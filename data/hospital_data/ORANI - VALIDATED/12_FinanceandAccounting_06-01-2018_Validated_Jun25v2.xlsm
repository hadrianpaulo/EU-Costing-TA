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julienne\Desktop\ORANI - VALIDATED\"/>
    </mc:Choice>
  </mc:AlternateContent>
  <xr:revisionPtr revIDLastSave="0" documentId="8_{A2AB6835-893D-4CC1-AC41-EF72B8CDF499}" xr6:coauthVersionLast="33" xr6:coauthVersionMax="33" xr10:uidLastSave="{00000000-0000-0000-0000-000000000000}"/>
  <workbookProtection workbookAlgorithmName="SHA-512" workbookHashValue="pkNjBuPwykpDM814fbzRp6A5MIV0YB8G/G+FdjMuEHGngiEqiivyYMIWne/kKqwqW2ydJnoEjQEgI6Lw7ffMbA==" workbookSaltValue="DNU3A3C7J/vBMsOVYm1yAQ==" workbookSpinCount="100000" lockStructure="1"/>
  <bookViews>
    <workbookView xWindow="0" yWindow="0" windowWidth="15530" windowHeight="7050" xr2:uid="{00000000-000D-0000-FFFF-FFFF0000000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definedNames>
    <definedName name="_xlnm._FilterDatabase" localSheetId="0" hidden="1">'10.1 Payroll'!$C$14:$AK$14</definedName>
  </definedNames>
  <calcPr calcId="179017"/>
</workbook>
</file>

<file path=xl/calcChain.xml><?xml version="1.0" encoding="utf-8"?>
<calcChain xmlns="http://schemas.openxmlformats.org/spreadsheetml/2006/main">
  <c r="C34" i="2" l="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<sst xmlns="http://schemas.openxmlformats.org/spreadsheetml/2006/main" count="1249" uniqueCount="556">
  <si>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</si>
  <si>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</si>
  <si>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</si>
  <si>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</si>
  <si>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</si>
  <si>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</si>
  <si>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</si>
  <si>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</si>
  <si>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</si>
  <si>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</si>
  <si>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</si>
  <si>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</si>
  <si>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</si>
  <si>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</si>
  <si>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</si>
  <si>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</si>
  <si>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</si>
  <si>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</si>
  <si>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</si>
  <si>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</si>
  <si>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</si>
  <si>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</si>
  <si>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</si>
  <si>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</si>
  <si>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</si>
  <si>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</si>
  <si>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</si>
  <si>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</si>
  <si>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</si>
  <si>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</si>
  <si>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</si>
  <si>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</si>
  <si>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</si>
  <si>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</si>
  <si>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</si>
  <si>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</si>
  <si>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</si>
  <si>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</si>
  <si>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</si>
  <si>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</si>
  <si>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</si>
  <si>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</si>
  <si>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</si>
  <si>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</si>
  <si>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</si>
  <si>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</si>
  <si>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</si>
  <si>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</si>
  <si>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</si>
  <si>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</si>
  <si>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</si>
  <si>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</si>
  <si>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</si>
  <si>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</si>
  <si>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</si>
  <si>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</si>
  <si>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</si>
  <si>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</si>
  <si>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</si>
  <si>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</si>
  <si>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</si>
  <si>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</si>
  <si>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</si>
  <si>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</si>
  <si>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</si>
  <si>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</si>
  <si>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</si>
  <si>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</si>
  <si>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</si>
  <si>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</si>
  <si>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</si>
  <si>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</si>
  <si>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</si>
  <si>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</si>
  <si>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</si>
  <si>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</si>
  <si>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</si>
  <si>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</si>
  <si>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</si>
  <si>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</si>
  <si>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</si>
  <si>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</si>
  <si>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</si>
  <si>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</si>
  <si>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</si>
  <si>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</si>
  <si>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</si>
  <si>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</si>
  <si>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</si>
  <si>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</si>
  <si>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</si>
  <si>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</si>
  <si>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</si>
  <si>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</si>
  <si>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</si>
  <si>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</si>
  <si>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</si>
  <si>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</si>
  <si>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</si>
  <si>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</si>
  <si>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</si>
  <si>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</si>
  <si>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</si>
  <si>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</si>
  <si>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</si>
  <si>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</si>
  <si>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</si>
  <si>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</si>
  <si>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</si>
  <si>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</si>
  <si>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</si>
  <si>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</si>
  <si>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</si>
  <si>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</si>
  <si>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</si>
  <si>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</si>
  <si>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</si>
  <si>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</si>
  <si>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</si>
  <si>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</si>
  <si>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</si>
  <si>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</si>
  <si>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</si>
  <si>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</si>
  <si>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</si>
  <si>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</si>
  <si>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</si>
  <si>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</si>
  <si>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</si>
  <si>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</si>
  <si>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</si>
  <si>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</si>
  <si>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</si>
  <si>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</si>
  <si>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</si>
  <si>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</si>
  <si>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</si>
  <si>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</si>
  <si>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</si>
  <si>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</si>
  <si>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</si>
  <si>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</si>
  <si>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</si>
  <si>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</si>
  <si>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</si>
  <si>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</si>
  <si>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</si>
  <si>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</si>
  <si>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</si>
  <si>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</si>
  <si>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</si>
  <si>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</si>
  <si>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</si>
  <si>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</si>
  <si>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</si>
  <si>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</si>
  <si>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</si>
  <si>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</si>
  <si>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</si>
  <si>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</si>
  <si>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</si>
  <si>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</si>
  <si>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</si>
  <si>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</si>
  <si>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</si>
  <si>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</si>
  <si>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</si>
  <si>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</si>
  <si>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</si>
  <si>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</si>
  <si>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</si>
  <si>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</si>
  <si>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</si>
  <si>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</si>
  <si>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</si>
  <si>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</si>
  <si>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</si>
  <si>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</si>
  <si>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</si>
  <si>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</si>
  <si>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</si>
  <si>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</si>
  <si>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</si>
  <si>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</si>
  <si>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</si>
  <si>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</si>
  <si>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</si>
  <si>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</si>
  <si>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</si>
  <si>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</si>
  <si>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</si>
  <si>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</si>
  <si>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</si>
  <si>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</si>
  <si>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</si>
  <si>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</si>
  <si>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</si>
  <si>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</si>
  <si>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</si>
  <si>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</si>
  <si>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</si>
  <si>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</si>
  <si>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</si>
  <si>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</si>
  <si>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</si>
  <si>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</si>
  <si>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</si>
  <si>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</si>
  <si>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</si>
  <si>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</si>
  <si>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</si>
  <si>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Loyalty Award</t>
  </si>
  <si>
    <t>Side Leave Benefits</t>
  </si>
  <si>
    <t>Adraneda, Ethel S.</t>
  </si>
  <si>
    <t>Clinical/Medical services -&gt; Ob/Gyne Ward</t>
  </si>
  <si>
    <t>Full Time</t>
  </si>
  <si>
    <t>Almero, Juliana B.</t>
  </si>
  <si>
    <t>Ancillary services/Support services -&gt; Pharmacy</t>
  </si>
  <si>
    <t>Barrion, Cecilia A.</t>
  </si>
  <si>
    <t>Clinical/Medical services -&gt; Outpatient Department (general)</t>
  </si>
  <si>
    <t>Bringula, Carmelito R.</t>
  </si>
  <si>
    <t>Ancillary services/Support services -&gt; Nutrition and Dietetics</t>
  </si>
  <si>
    <t>Bringula, Maita-Mia D.</t>
  </si>
  <si>
    <t>Ancillary services/Support services -&gt; Radiology / Diagnostic Imaging (CT Scan, MRI, ECG, Mammography, Endoscopy)</t>
  </si>
  <si>
    <t>Cabalic, Necitta I.</t>
  </si>
  <si>
    <t>Canlas, Mary Rose R.</t>
  </si>
  <si>
    <t>Capili, Emily B.</t>
  </si>
  <si>
    <t>Administrative/Overhead services -&gt; Central Supply Office</t>
  </si>
  <si>
    <t>Casimiro, Felicidad M.</t>
  </si>
  <si>
    <t>Cristobal, Rosemarie G.</t>
  </si>
  <si>
    <t>Cruz, Romeo C.</t>
  </si>
  <si>
    <t>Administrative/Overhead services -&gt; Housekeeping</t>
  </si>
  <si>
    <t>David, Imelda D.</t>
  </si>
  <si>
    <t>Ancillary services/Support services -&gt; Delivery Room</t>
  </si>
  <si>
    <t>De Jesus, Michael Andrew D.</t>
  </si>
  <si>
    <t>Clinical/Medical services -&gt; Internal Medicine Ward</t>
  </si>
  <si>
    <t>Del Rosario, Angela Rose P.</t>
  </si>
  <si>
    <t>Clinical/Medical services -&gt; Dental</t>
  </si>
  <si>
    <t>Dela Cruz, Anna Leveriza P.</t>
  </si>
  <si>
    <t>Dela Cruz, Erbert P.</t>
  </si>
  <si>
    <t>Administrative/Overhead services -&gt; Health Info Mgt (Admitting)</t>
  </si>
  <si>
    <t>Dela Rosa, Andrea G.</t>
  </si>
  <si>
    <t>Administrative/Overhead services -&gt; Medical Social Work</t>
  </si>
  <si>
    <t>Ducut, Mary Ann R.</t>
  </si>
  <si>
    <t>Fabian, Narcisa M.</t>
  </si>
  <si>
    <t>Fernandez, Leonora F.</t>
  </si>
  <si>
    <t>Fuentes, Jocelyn B.</t>
  </si>
  <si>
    <t>Garcia, Romelo R.</t>
  </si>
  <si>
    <t>Administrative/Overhead services -&gt; Engineering and Facilities Management</t>
  </si>
  <si>
    <t>Gaspi, Remedios D.</t>
  </si>
  <si>
    <t>Godoy, Celia R.</t>
  </si>
  <si>
    <t>Gomez, Gerardo C.</t>
  </si>
  <si>
    <t>Clinical/Medical services -&gt; Emergency Medicine Department</t>
  </si>
  <si>
    <t>Guinto, Wilhelmina E.</t>
  </si>
  <si>
    <t>Julio, Myrna Grace A.</t>
  </si>
  <si>
    <t>Ancillary services/Support services -&gt; Laboratory</t>
  </si>
  <si>
    <t>Lazarte, Ma. Theresa P.</t>
  </si>
  <si>
    <t>Clinical/Medical services -&gt; Smoking Cessation</t>
  </si>
  <si>
    <t>Lopez, Michael Anthony C.</t>
  </si>
  <si>
    <t>Magtanong, Janelle Ann C.</t>
  </si>
  <si>
    <t>Clinical/Medical services -&gt; HIV Aids</t>
  </si>
  <si>
    <t>Manubay, Rosalie P.</t>
  </si>
  <si>
    <t>Administrative/Overhead services -&gt; Office of the Chief of Medical Professional Staff</t>
  </si>
  <si>
    <t>Mina, Anita C.</t>
  </si>
  <si>
    <t>Clerk I</t>
  </si>
  <si>
    <t>Administrative/Overhead services -&gt; Cash Operations</t>
  </si>
  <si>
    <t>Niespla, Leila M.</t>
  </si>
  <si>
    <t>Administrative/Overhead services -&gt; Budget and Accounting</t>
  </si>
  <si>
    <t>Ocampo, Diana Elaine O.</t>
  </si>
  <si>
    <t>Padua, Romeo N.</t>
  </si>
  <si>
    <t>Pascual, Jhemar Hope D.</t>
  </si>
  <si>
    <t>Peregrino, Mary Ann R.</t>
  </si>
  <si>
    <t>Ramos, Anacel R.</t>
  </si>
  <si>
    <t>Administrative/Overhead services -&gt; Office of the Administrative Officer</t>
  </si>
  <si>
    <t>Remo, Carmen R.</t>
  </si>
  <si>
    <t>Reyes, June G.</t>
  </si>
  <si>
    <t>Sanchez, Jennifer Q.</t>
  </si>
  <si>
    <t>Santos, Victoria B.</t>
  </si>
  <si>
    <t>Tagorio, Rodelio P.</t>
  </si>
  <si>
    <t>Ancillary services/Support services -&gt; Laundry</t>
  </si>
  <si>
    <t>Tamayo, Grace C.</t>
  </si>
  <si>
    <t>Tarongoy, Vanessa C.</t>
  </si>
  <si>
    <t>Teologo, Wilfredo P.</t>
  </si>
  <si>
    <t>Administrative/Overhead services -&gt; Security</t>
  </si>
  <si>
    <t>Torres, Maribeth C.</t>
  </si>
  <si>
    <t>Dental Aide</t>
  </si>
  <si>
    <t>Tria, Bienvenido F.</t>
  </si>
  <si>
    <t>Tuazon, Angie R.</t>
  </si>
  <si>
    <t>Administrative/Overhead services -&gt; Others</t>
  </si>
  <si>
    <t>Valencia, Ferdinand B.</t>
  </si>
  <si>
    <t>Administrative/Overhead services -&gt; Office of the Medical Center Chief</t>
  </si>
  <si>
    <t>Valerio, Jowie D.</t>
  </si>
  <si>
    <t>Valiente, Imelda D.</t>
  </si>
  <si>
    <t>Villanueva, Rizalde C.</t>
  </si>
  <si>
    <t>Villegas, Rowena I.</t>
  </si>
  <si>
    <t>Clinical/Medical services -&gt; Family Planning Unit</t>
  </si>
  <si>
    <t>Banzuela, Angelica</t>
  </si>
  <si>
    <t>Medical Consultant</t>
  </si>
  <si>
    <t>Contractual</t>
  </si>
  <si>
    <t>230.11/hr</t>
  </si>
  <si>
    <t>264 days</t>
  </si>
  <si>
    <t>2112 hrs</t>
  </si>
  <si>
    <t>Bunque, Henry</t>
  </si>
  <si>
    <t>124 days</t>
  </si>
  <si>
    <t>992 hrs</t>
  </si>
  <si>
    <t>Jalaidi, Sheryl</t>
  </si>
  <si>
    <t>Part Time</t>
  </si>
  <si>
    <t>13.75 days</t>
  </si>
  <si>
    <t>110 hrs</t>
  </si>
  <si>
    <t>Acuña, Denise Aileen S</t>
  </si>
  <si>
    <t>606.04/day</t>
  </si>
  <si>
    <t>259 days</t>
  </si>
  <si>
    <t>2054 hrs</t>
  </si>
  <si>
    <t>Adraneda, Audrina P.</t>
  </si>
  <si>
    <t>546.63/day</t>
  </si>
  <si>
    <t>268 days</t>
  </si>
  <si>
    <t>2144 hrs</t>
  </si>
  <si>
    <t>Adraneda, Clarisse Joy S.</t>
  </si>
  <si>
    <t>Administrative/Overhead services -&gt; Billing and Claims</t>
  </si>
  <si>
    <t>332.13/day</t>
  </si>
  <si>
    <t>163 days</t>
  </si>
  <si>
    <t>1304 hrs</t>
  </si>
  <si>
    <t>Alba, Mary Rose T.</t>
  </si>
  <si>
    <t>244.5 days</t>
  </si>
  <si>
    <t>1956 hrs</t>
  </si>
  <si>
    <t>Albelda, Patrick F.</t>
  </si>
  <si>
    <t>Administrative/Overhead services -&gt; IT Departments</t>
  </si>
  <si>
    <t>158 days</t>
  </si>
  <si>
    <t>1264 hrs</t>
  </si>
  <si>
    <t>Alejo, Leonardo Jr. D.</t>
  </si>
  <si>
    <t>338.45/day</t>
  </si>
  <si>
    <t>295 days</t>
  </si>
  <si>
    <t>2360 hrs</t>
  </si>
  <si>
    <t>Angeles, Melanie Joyce M.</t>
  </si>
  <si>
    <t>276 days</t>
  </si>
  <si>
    <t>2208 hrs</t>
  </si>
  <si>
    <t>Atanacio, Joshua Elaine I.</t>
  </si>
  <si>
    <t>579.45/day</t>
  </si>
  <si>
    <t>91 days</t>
  </si>
  <si>
    <t>728 hrs</t>
  </si>
  <si>
    <t>Bautista, Claudine Ann D.</t>
  </si>
  <si>
    <t>265 days</t>
  </si>
  <si>
    <t>2120 hrs</t>
  </si>
  <si>
    <t>Bautista, Shaira Jazmine P.</t>
  </si>
  <si>
    <t>223 days</t>
  </si>
  <si>
    <t>1784 hrs</t>
  </si>
  <si>
    <t>Benitez, Ilene Irish C.</t>
  </si>
  <si>
    <t>258.5 days</t>
  </si>
  <si>
    <t>2067.52 hrs</t>
  </si>
  <si>
    <t>Calara, Jonarhoze Lyka A.</t>
  </si>
  <si>
    <t>447.63/day</t>
  </si>
  <si>
    <t>241 days</t>
  </si>
  <si>
    <t>1928 hrs</t>
  </si>
  <si>
    <t>Canlas, Aileen B.</t>
  </si>
  <si>
    <t>260 days</t>
  </si>
  <si>
    <t>2061.28 hrs</t>
  </si>
  <si>
    <t>Capule, Estella Marie Dayan V.</t>
  </si>
  <si>
    <t>273 days</t>
  </si>
  <si>
    <t>2182.08 hrs</t>
  </si>
  <si>
    <t>Capuli, Diana D.</t>
  </si>
  <si>
    <t>479.00/day</t>
  </si>
  <si>
    <t>234 days</t>
  </si>
  <si>
    <t>1872 hrs</t>
  </si>
  <si>
    <t>Castro, Maridel M.</t>
  </si>
  <si>
    <t>279.5 days</t>
  </si>
  <si>
    <t>2231.92 hrs</t>
  </si>
  <si>
    <t>Cristobal, Marvin G.</t>
  </si>
  <si>
    <t>144 days</t>
  </si>
  <si>
    <t>1152 hrs</t>
  </si>
  <si>
    <t>Cruz, Bienvenido S.</t>
  </si>
  <si>
    <t>402.45/day</t>
  </si>
  <si>
    <t>337 days</t>
  </si>
  <si>
    <t>2696 hrs</t>
  </si>
  <si>
    <t>Cruz, Cecille S.</t>
  </si>
  <si>
    <t>358.68/day</t>
  </si>
  <si>
    <t>162 days</t>
  </si>
  <si>
    <t>1296 hrs</t>
  </si>
  <si>
    <t>Cruz, Mark Joshua L.</t>
  </si>
  <si>
    <t>229 days</t>
  </si>
  <si>
    <t>1832 hrs</t>
  </si>
  <si>
    <t>Dacion, Ednalyn N.</t>
  </si>
  <si>
    <t>249 days</t>
  </si>
  <si>
    <t>1992 hrs</t>
  </si>
  <si>
    <t>Deang, Adam Angeline S.</t>
  </si>
  <si>
    <t>277 days</t>
  </si>
  <si>
    <t>2216 hrs</t>
  </si>
  <si>
    <t>De Guzman, Jacquelyn P.</t>
  </si>
  <si>
    <t>81 days</t>
  </si>
  <si>
    <t>648 hrs</t>
  </si>
  <si>
    <t>De Jesus, Jacqueline Z.</t>
  </si>
  <si>
    <t>254 days</t>
  </si>
  <si>
    <t>2032 hrs</t>
  </si>
  <si>
    <t>De Luna, Pedro S.</t>
  </si>
  <si>
    <t>279.50/day</t>
  </si>
  <si>
    <t>66 days</t>
  </si>
  <si>
    <t>528 hrs</t>
  </si>
  <si>
    <t>528.90/day</t>
  </si>
  <si>
    <t>266 days</t>
  </si>
  <si>
    <t>2124.88 hrs</t>
  </si>
  <si>
    <t>De Tablan, Alyssa Mae G.</t>
  </si>
  <si>
    <t>418.36/day</t>
  </si>
  <si>
    <t>84 days</t>
  </si>
  <si>
    <t>672 hrs</t>
  </si>
  <si>
    <t>Dela Cirna, Crisanta B.</t>
  </si>
  <si>
    <t>Administrative/Overhead services -&gt; Human Resource Management</t>
  </si>
  <si>
    <t>230 days</t>
  </si>
  <si>
    <t>1840 hrs</t>
  </si>
  <si>
    <t>Dela Cruz, Myrene P.</t>
  </si>
  <si>
    <t>257.5 days</t>
  </si>
  <si>
    <t>2060 hrs</t>
  </si>
  <si>
    <t>Diaz, Ryan David M.</t>
  </si>
  <si>
    <t>Clinical/Medical services -&gt; Animal Bite Center</t>
  </si>
  <si>
    <t>254.5 days</t>
  </si>
  <si>
    <t>2036 hrs</t>
  </si>
  <si>
    <t>Domingo, Jamie Anne D.</t>
  </si>
  <si>
    <t>Dominguez, Maylene O.</t>
  </si>
  <si>
    <t>67 days</t>
  </si>
  <si>
    <t>536 hrs</t>
  </si>
  <si>
    <t>Dumayas, Michael R.</t>
  </si>
  <si>
    <t>242 days</t>
  </si>
  <si>
    <t>1932.4 hrs</t>
  </si>
  <si>
    <t>Fabian, Maryll M.</t>
  </si>
  <si>
    <t>201 days</t>
  </si>
  <si>
    <t>1608 hrs</t>
  </si>
  <si>
    <t>Fajardo, Dominique Ellein V.</t>
  </si>
  <si>
    <t>172 days</t>
  </si>
  <si>
    <t>1376 hrs</t>
  </si>
  <si>
    <t>Godoy, Don Hussein C.</t>
  </si>
  <si>
    <t>190 days</t>
  </si>
  <si>
    <t>1520 hrs</t>
  </si>
  <si>
    <t>Guillermo, Raquel O.</t>
  </si>
  <si>
    <t>168 days</t>
  </si>
  <si>
    <t>1344 hrs</t>
  </si>
  <si>
    <t>Hatol, Jeanipher S.</t>
  </si>
  <si>
    <t>70 days</t>
  </si>
  <si>
    <t>560 hrs</t>
  </si>
  <si>
    <t>Llenarez, Crisencio R.</t>
  </si>
  <si>
    <t>228.5 days</t>
  </si>
  <si>
    <t>1828 hrs</t>
  </si>
  <si>
    <t>Lim, Chester M.</t>
  </si>
  <si>
    <t>72 days</t>
  </si>
  <si>
    <t>576 hrs</t>
  </si>
  <si>
    <t>Macalinao, Enrico A.</t>
  </si>
  <si>
    <t>261.5 days</t>
  </si>
  <si>
    <t>2092 hrs</t>
  </si>
  <si>
    <t>Malibiran, Cherrylyn S.</t>
  </si>
  <si>
    <t>257 days</t>
  </si>
  <si>
    <t>2056 hrs</t>
  </si>
  <si>
    <t>Medina, Jeffrey P.</t>
  </si>
  <si>
    <t>Ancillary services/Support services -&gt; Others</t>
  </si>
  <si>
    <t>318 days</t>
  </si>
  <si>
    <t>2544 hrs</t>
  </si>
  <si>
    <t>Medina, John Patrick A.</t>
  </si>
  <si>
    <t>204.5 days</t>
  </si>
  <si>
    <t>1636 hrs</t>
  </si>
  <si>
    <t>Monteagudo, Rona Mikaela N.</t>
  </si>
  <si>
    <t>77 days</t>
  </si>
  <si>
    <t>616 hrs</t>
  </si>
  <si>
    <t>Omagap, Jeffrey M.</t>
  </si>
  <si>
    <t>304.68/day</t>
  </si>
  <si>
    <t>299.5 days</t>
  </si>
  <si>
    <t>2396 hrs</t>
  </si>
  <si>
    <t>Palaypay, Maureen T.</t>
  </si>
  <si>
    <t>2070.4 hrs</t>
  </si>
  <si>
    <t>Ponce, Aurea T.</t>
  </si>
  <si>
    <t>151 days</t>
  </si>
  <si>
    <t>1208 hrs</t>
  </si>
  <si>
    <t>Reyes, Rosemarie Joy B.</t>
  </si>
  <si>
    <t>235.5 days</t>
  </si>
  <si>
    <t>1883.28 hrs</t>
  </si>
  <si>
    <t>Roman, Janelle G.</t>
  </si>
  <si>
    <t>Roman, Wilfredo P.</t>
  </si>
  <si>
    <t>283 days</t>
  </si>
  <si>
    <t>2264 hrs</t>
  </si>
  <si>
    <t>Roque, Dasched Vincent M.</t>
  </si>
  <si>
    <t>344.31/day</t>
  </si>
  <si>
    <t>253 days</t>
  </si>
  <si>
    <t>2023.28 hrs</t>
  </si>
  <si>
    <t>Santiago, Rosauro B.</t>
  </si>
  <si>
    <t>291.5 days</t>
  </si>
  <si>
    <t>2332 hrs</t>
  </si>
  <si>
    <t>Sarmiento, Joel L.</t>
  </si>
  <si>
    <t>645.36/day</t>
  </si>
  <si>
    <t>191.5 days</t>
  </si>
  <si>
    <t>1532 hrs</t>
  </si>
  <si>
    <t>Silvestre, Andy D.</t>
  </si>
  <si>
    <t>268.5 days</t>
  </si>
  <si>
    <t>2134.08 hrs</t>
  </si>
  <si>
    <t>Sunga, Rosita D.</t>
  </si>
  <si>
    <t>558.08 hrs</t>
  </si>
  <si>
    <t>Tolentino, Jocyana I.</t>
  </si>
  <si>
    <t>Ventura, Chiaky Kahlen R.</t>
  </si>
  <si>
    <t>74 days</t>
  </si>
  <si>
    <t>592 hrs</t>
  </si>
  <si>
    <t>Villafania, Grace Cel Q.</t>
  </si>
  <si>
    <t>231 days</t>
  </si>
  <si>
    <t>1848 hrs</t>
  </si>
  <si>
    <t>Villaflor, Glenda I.</t>
  </si>
  <si>
    <t>260.5 days</t>
  </si>
  <si>
    <t>2072.48 hrs</t>
  </si>
  <si>
    <t>252.5 days</t>
  </si>
  <si>
    <t>1922.8 hrs</t>
  </si>
  <si>
    <t>Zabala, Jennie V.</t>
  </si>
  <si>
    <t>207 days</t>
  </si>
  <si>
    <t>1656 hrs</t>
  </si>
  <si>
    <t>Medina, Ralph Lawrence C.</t>
  </si>
  <si>
    <t>Viray, Karl Maverick E.</t>
  </si>
  <si>
    <t>Cruz, Alfonso Jr A.</t>
  </si>
  <si>
    <t>Santos, Marcos D.</t>
  </si>
  <si>
    <t>Bautista, Herlene C.</t>
  </si>
  <si>
    <t>Dionisio, Nazarene L.</t>
  </si>
  <si>
    <t xml:space="preserve">Viray, Krizzia Anne E. </t>
  </si>
  <si>
    <t>Yuson, Rechelle M.</t>
  </si>
  <si>
    <t>Santos, Hector T.</t>
  </si>
  <si>
    <t>De mesa, Marlene V.</t>
  </si>
  <si>
    <t>Santos, Lysa, R.</t>
  </si>
  <si>
    <t>Bongabong, Michael D.</t>
  </si>
  <si>
    <t>Cabidog, Cesar C.</t>
  </si>
  <si>
    <t>Administrative Officer ll</t>
  </si>
  <si>
    <t>Cashier l</t>
  </si>
  <si>
    <t>Chief of Hospital l</t>
  </si>
  <si>
    <t>Clerk l</t>
  </si>
  <si>
    <t>Computer Operator l</t>
  </si>
  <si>
    <t>Cook l</t>
  </si>
  <si>
    <t>Dentist ll</t>
  </si>
  <si>
    <t>Driver l</t>
  </si>
  <si>
    <t>Electrician l</t>
  </si>
  <si>
    <t>Laboratory Aide ll</t>
  </si>
  <si>
    <t>Laundry Worke l</t>
  </si>
  <si>
    <t>Medical Officer lll</t>
  </si>
  <si>
    <t>Medical Technologist l</t>
  </si>
  <si>
    <t>Medical Technologist ll</t>
  </si>
  <si>
    <t>Nurse l</t>
  </si>
  <si>
    <t>Nurse ll</t>
  </si>
  <si>
    <t>Nurse lV</t>
  </si>
  <si>
    <t>Nursing Attendant l</t>
  </si>
  <si>
    <t>Nutritionist Dietitian ll</t>
  </si>
  <si>
    <t>OIC Chief of Hospital l</t>
  </si>
  <si>
    <t>Phamacist l</t>
  </si>
  <si>
    <t>Pharmacist l</t>
  </si>
  <si>
    <t>Pharmacist ll</t>
  </si>
  <si>
    <t>Radiology Technician l</t>
  </si>
  <si>
    <t>Radiology Technician ll</t>
  </si>
  <si>
    <t>Records Officer l</t>
  </si>
  <si>
    <t>Revenue Collection Clerk lll</t>
  </si>
  <si>
    <t>Security Guard l</t>
  </si>
  <si>
    <t>Social Welfare Officer l</t>
  </si>
  <si>
    <t>Storekeeper ll</t>
  </si>
  <si>
    <t>Utility Worker l</t>
  </si>
  <si>
    <t>Utility Worker ll</t>
  </si>
  <si>
    <t>Watchman l</t>
  </si>
  <si>
    <t>Permanent</t>
  </si>
  <si>
    <t>Ancillary services/Support services -&gt; Operating Room / Aneasthesiology / PACU / Recovery Room</t>
  </si>
  <si>
    <t>Ancillary services/Support services -&gt; Blood Bank</t>
  </si>
  <si>
    <t>Clinical/Medical services -&gt; Malaria</t>
  </si>
  <si>
    <t>Clinical/Medical services -&gt; TB Dots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</si>
</sst>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43"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0">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43"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2"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xr:uid="{00000000-0005-0000-0000-000002000000}"/>
    <cellStyle name="Normal 2 2" xfId="4" xr:uid="{00000000-0005-0000-0000-00000300000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69850</xdr:colOff>
          <xdr:row>14</xdr:row>
          <xdr:rowOff>19050</xdr:rowOff>
        </xdr:from>
        <xdr:to>
          <xdr:col>1</xdr:col>
          <xdr:colOff>793750</xdr:colOff>
          <xdr:row>15</xdr:row>
          <xdr:rowOff>12700</xdr:rowOff>
        </xdr:to>
        <xdr:sp macro="" textlink="">
          <xdr:nvSpPr>
            <xdr:cNvPr id="1025" name="Button 1" descr="Add Drug / Medication / Suppl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1568450</xdr:colOff>
          <xdr:row>15</xdr:row>
          <xdr:rowOff>12700</xdr:rowOff>
        </xdr:to>
        <xdr:sp macro="" textlink="">
          <xdr:nvSpPr>
            <xdr:cNvPr id="1026" name="Button 2" descr="Delete Drug / Medication / Supp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1:DQ946"/>
  <sheetViews>
    <sheetView tabSelected="1" topLeftCell="A9" zoomScaleNormal="100" workbookViewId="0">
      <selection activeCell="AM16" sqref="AM16"/>
    </sheetView>
  </sheetViews>
  <sheetFormatPr defaultColWidth="14.453125" defaultRowHeight="15" customHeight="1" outlineLevelRow="1" x14ac:dyDescent="0.35"/>
  <cols>
    <col min="1" max="1" width="4.81640625" customWidth="1"/>
    <col min="2" max="2" width="29.26953125" customWidth="1"/>
    <col min="3" max="3" width="28.54296875" customWidth="1"/>
    <col min="4" max="4" width="19" customWidth="1"/>
    <col min="5" max="5" width="22.1796875" customWidth="1"/>
    <col min="6" max="6" width="19" customWidth="1"/>
    <col min="7" max="37" width="16.26953125" customWidth="1"/>
  </cols>
  <sheetData>
    <row r="1" spans="2:121" ht="12.75" customHeight="1" x14ac:dyDescent="0.3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4"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3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35">
      <c r="B4" s="1" t="s">
        <v>209</v>
      </c>
      <c r="C4" s="1">
        <v>130</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3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3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3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35">
      <c r="B8" s="77" t="s">
        <v>208</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3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3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4" x14ac:dyDescent="0.3">
      <c r="H11" s="23"/>
    </row>
    <row r="12" spans="2:121" s="22" customFormat="1" ht="14" x14ac:dyDescent="0.3">
      <c r="B12" s="24" t="s">
        <v>130</v>
      </c>
      <c r="C12" s="25" t="s">
        <v>210</v>
      </c>
      <c r="F12" s="26"/>
    </row>
    <row r="13" spans="2:121" s="22" customFormat="1" ht="14" x14ac:dyDescent="0.3">
      <c r="F13" s="26"/>
    </row>
    <row r="14" spans="2:121" ht="81.75" customHeight="1" x14ac:dyDescent="0.35">
      <c r="B14" s="67" t="s">
        <v>5</v>
      </c>
      <c r="C14" s="67" t="s">
        <v>12</v>
      </c>
      <c r="D14" s="67" t="s">
        <v>13</v>
      </c>
      <c r="E14" s="67" t="s">
        <v>14</v>
      </c>
      <c r="F14" s="67" t="s">
        <v>15</v>
      </c>
      <c r="G14" s="67" t="s">
        <v>16</v>
      </c>
      <c r="H14" s="67" t="s">
        <v>118</v>
      </c>
      <c r="I14" s="67" t="s">
        <v>121</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5">
      <c r="B15" s="5">
        <v>1</v>
      </c>
      <c r="C15" s="60" t="s">
        <v>272</v>
      </c>
      <c r="D15" s="60" t="s">
        <v>518</v>
      </c>
      <c r="E15" s="60" t="s">
        <v>273</v>
      </c>
      <c r="F15" s="66" t="s">
        <v>215</v>
      </c>
      <c r="G15" s="82" t="s">
        <v>551</v>
      </c>
      <c r="H15" s="65">
        <v>0</v>
      </c>
      <c r="I15" s="65">
        <v>0</v>
      </c>
      <c r="J15" s="65">
        <v>0</v>
      </c>
      <c r="K15" s="65">
        <v>27565</v>
      </c>
      <c r="L15" s="65">
        <v>2000</v>
      </c>
      <c r="M15" s="65">
        <v>0</v>
      </c>
      <c r="N15" s="65">
        <v>0</v>
      </c>
      <c r="O15" s="65">
        <v>5000</v>
      </c>
      <c r="P15" s="65">
        <v>1500</v>
      </c>
      <c r="Q15" s="65">
        <v>150</v>
      </c>
      <c r="R15" s="65">
        <v>0</v>
      </c>
      <c r="S15" s="65">
        <v>5000</v>
      </c>
      <c r="T15" s="65">
        <v>0</v>
      </c>
      <c r="U15" s="65">
        <v>0</v>
      </c>
      <c r="V15" s="65">
        <v>2327.5</v>
      </c>
      <c r="W15" s="65">
        <v>0</v>
      </c>
      <c r="X15" s="65">
        <v>0</v>
      </c>
      <c r="Y15" s="65">
        <v>27565</v>
      </c>
      <c r="Z15" s="65">
        <v>5000</v>
      </c>
      <c r="AA15" s="65">
        <v>27565</v>
      </c>
      <c r="AB15" s="65">
        <v>3307.8</v>
      </c>
      <c r="AC15" s="65">
        <v>100</v>
      </c>
      <c r="AD15" s="65">
        <v>337.5</v>
      </c>
      <c r="AE15" s="65">
        <v>100</v>
      </c>
      <c r="AF15" s="65">
        <v>0</v>
      </c>
      <c r="AG15" s="65">
        <v>0</v>
      </c>
      <c r="AH15" s="65">
        <v>0</v>
      </c>
      <c r="AI15" s="65">
        <v>0</v>
      </c>
      <c r="AJ15" s="65">
        <v>0</v>
      </c>
      <c r="AK15" s="65">
        <v>502548.16000000003</v>
      </c>
    </row>
    <row r="16" spans="2:121" ht="12.75" customHeight="1" x14ac:dyDescent="0.35">
      <c r="B16" s="5">
        <v>2</v>
      </c>
      <c r="C16" s="60" t="s">
        <v>266</v>
      </c>
      <c r="D16" s="60" t="s">
        <v>519</v>
      </c>
      <c r="E16" s="60" t="s">
        <v>267</v>
      </c>
      <c r="F16" s="66" t="s">
        <v>215</v>
      </c>
      <c r="G16" s="82" t="s">
        <v>551</v>
      </c>
      <c r="H16" s="65">
        <v>0</v>
      </c>
      <c r="I16" s="65">
        <v>0</v>
      </c>
      <c r="J16" s="65">
        <v>0</v>
      </c>
      <c r="K16" s="65">
        <v>19244</v>
      </c>
      <c r="L16" s="65">
        <v>2000</v>
      </c>
      <c r="M16" s="65">
        <v>0</v>
      </c>
      <c r="N16" s="65">
        <v>0</v>
      </c>
      <c r="O16" s="65">
        <v>5000</v>
      </c>
      <c r="P16" s="65">
        <v>1500</v>
      </c>
      <c r="Q16" s="65">
        <v>150</v>
      </c>
      <c r="R16" s="65">
        <v>0</v>
      </c>
      <c r="S16" s="65">
        <v>5000</v>
      </c>
      <c r="T16" s="65">
        <v>0</v>
      </c>
      <c r="U16" s="65">
        <v>0</v>
      </c>
      <c r="V16" s="65">
        <v>1782.9</v>
      </c>
      <c r="W16" s="65">
        <v>0</v>
      </c>
      <c r="X16" s="65">
        <v>0</v>
      </c>
      <c r="Y16" s="65">
        <v>19244</v>
      </c>
      <c r="Z16" s="65">
        <v>5000</v>
      </c>
      <c r="AA16" s="65">
        <v>19244</v>
      </c>
      <c r="AB16" s="65">
        <v>2309.2800000000002</v>
      </c>
      <c r="AC16" s="65">
        <v>100</v>
      </c>
      <c r="AD16" s="65">
        <v>237.5</v>
      </c>
      <c r="AE16" s="65">
        <v>100</v>
      </c>
      <c r="AF16" s="65">
        <v>0</v>
      </c>
      <c r="AG16" s="65">
        <v>0</v>
      </c>
      <c r="AH16" s="65">
        <v>0</v>
      </c>
      <c r="AI16" s="65">
        <v>0</v>
      </c>
      <c r="AJ16" s="65">
        <v>0</v>
      </c>
      <c r="AK16" s="65">
        <v>382122.16000000003</v>
      </c>
    </row>
    <row r="17" spans="2:37" ht="12.75" customHeight="1" x14ac:dyDescent="0.35">
      <c r="B17" s="5">
        <v>3</v>
      </c>
      <c r="C17" s="60" t="s">
        <v>289</v>
      </c>
      <c r="D17" s="60" t="s">
        <v>520</v>
      </c>
      <c r="E17" s="60" t="s">
        <v>290</v>
      </c>
      <c r="F17" s="66" t="s">
        <v>215</v>
      </c>
      <c r="G17" s="82" t="s">
        <v>551</v>
      </c>
      <c r="H17" s="65">
        <v>0</v>
      </c>
      <c r="I17" s="65">
        <v>0</v>
      </c>
      <c r="J17" s="65">
        <v>0</v>
      </c>
      <c r="K17" s="65">
        <v>66187</v>
      </c>
      <c r="L17" s="65">
        <v>2000</v>
      </c>
      <c r="M17" s="65">
        <v>60000</v>
      </c>
      <c r="N17" s="65">
        <v>60000</v>
      </c>
      <c r="O17" s="65">
        <v>5000</v>
      </c>
      <c r="P17" s="65">
        <v>1500</v>
      </c>
      <c r="Q17" s="65">
        <v>150</v>
      </c>
      <c r="R17" s="65">
        <v>0</v>
      </c>
      <c r="S17" s="65">
        <v>0</v>
      </c>
      <c r="T17" s="65">
        <v>0</v>
      </c>
      <c r="U17" s="65">
        <v>0</v>
      </c>
      <c r="V17" s="65">
        <v>1041.1500000000001</v>
      </c>
      <c r="W17" s="65">
        <v>0</v>
      </c>
      <c r="X17" s="65">
        <v>0</v>
      </c>
      <c r="Y17" s="65">
        <v>66187</v>
      </c>
      <c r="Z17" s="65">
        <v>5000</v>
      </c>
      <c r="AA17" s="65">
        <v>66187</v>
      </c>
      <c r="AB17" s="65">
        <v>7942.44</v>
      </c>
      <c r="AC17" s="65">
        <v>100</v>
      </c>
      <c r="AD17" s="65">
        <v>437.5</v>
      </c>
      <c r="AE17" s="65">
        <v>100</v>
      </c>
      <c r="AF17" s="65">
        <v>0</v>
      </c>
      <c r="AG17" s="65">
        <v>0</v>
      </c>
      <c r="AH17" s="65">
        <v>0</v>
      </c>
      <c r="AI17" s="65">
        <v>0</v>
      </c>
      <c r="AJ17" s="65">
        <v>0</v>
      </c>
      <c r="AK17" s="65">
        <v>1095196.08</v>
      </c>
    </row>
    <row r="18" spans="2:37" ht="12.75" customHeight="1" x14ac:dyDescent="0.35">
      <c r="B18" s="5">
        <v>4</v>
      </c>
      <c r="C18" s="60" t="s">
        <v>317</v>
      </c>
      <c r="D18" s="60" t="s">
        <v>264</v>
      </c>
      <c r="E18" s="60" t="s">
        <v>318</v>
      </c>
      <c r="F18" s="66" t="s">
        <v>215</v>
      </c>
      <c r="G18" s="82" t="s">
        <v>120</v>
      </c>
      <c r="H18" s="65">
        <v>0</v>
      </c>
      <c r="I18" s="65">
        <v>0</v>
      </c>
      <c r="J18" s="65">
        <v>0</v>
      </c>
      <c r="K18" s="65">
        <v>12004</v>
      </c>
      <c r="L18" s="65">
        <v>2000</v>
      </c>
      <c r="M18" s="65">
        <v>0</v>
      </c>
      <c r="N18" s="65">
        <v>0</v>
      </c>
      <c r="O18" s="65">
        <v>5000</v>
      </c>
      <c r="P18" s="65">
        <v>1500</v>
      </c>
      <c r="Q18" s="65">
        <v>150</v>
      </c>
      <c r="R18" s="65">
        <v>0</v>
      </c>
      <c r="S18" s="65">
        <v>5000</v>
      </c>
      <c r="T18" s="65">
        <v>0</v>
      </c>
      <c r="U18" s="65">
        <v>0</v>
      </c>
      <c r="V18" s="65">
        <v>1083.07</v>
      </c>
      <c r="W18" s="65">
        <v>0</v>
      </c>
      <c r="X18" s="65">
        <v>0</v>
      </c>
      <c r="Y18" s="65">
        <v>12004</v>
      </c>
      <c r="Z18" s="65">
        <v>5000</v>
      </c>
      <c r="AA18" s="65">
        <v>12004</v>
      </c>
      <c r="AB18" s="65">
        <v>1440.48</v>
      </c>
      <c r="AC18" s="65">
        <v>100</v>
      </c>
      <c r="AD18" s="65">
        <v>150</v>
      </c>
      <c r="AE18" s="65">
        <v>100</v>
      </c>
      <c r="AF18" s="65">
        <v>0</v>
      </c>
      <c r="AG18" s="65">
        <v>0</v>
      </c>
      <c r="AH18" s="65">
        <v>0</v>
      </c>
      <c r="AI18" s="65">
        <v>0</v>
      </c>
      <c r="AJ18" s="65">
        <v>0</v>
      </c>
      <c r="AK18" s="65">
        <v>54142.080000000002</v>
      </c>
    </row>
    <row r="19" spans="2:37" ht="12.75" customHeight="1" x14ac:dyDescent="0.35">
      <c r="B19" s="5">
        <v>5</v>
      </c>
      <c r="C19" s="60" t="s">
        <v>366</v>
      </c>
      <c r="D19" s="60" t="s">
        <v>264</v>
      </c>
      <c r="E19" s="60" t="s">
        <v>240</v>
      </c>
      <c r="F19" s="66" t="s">
        <v>215</v>
      </c>
      <c r="G19" s="82" t="s">
        <v>120</v>
      </c>
      <c r="H19" s="65" t="s">
        <v>319</v>
      </c>
      <c r="I19" s="65" t="s">
        <v>320</v>
      </c>
      <c r="J19" s="65" t="s">
        <v>321</v>
      </c>
      <c r="K19" s="65">
        <v>0</v>
      </c>
      <c r="L19" s="65">
        <v>0</v>
      </c>
      <c r="M19" s="65">
        <v>0</v>
      </c>
      <c r="N19" s="65">
        <v>0</v>
      </c>
      <c r="O19" s="65">
        <v>0</v>
      </c>
      <c r="P19" s="65">
        <v>0</v>
      </c>
      <c r="Q19" s="65">
        <v>0</v>
      </c>
      <c r="R19" s="65">
        <v>0</v>
      </c>
      <c r="S19" s="65">
        <v>0</v>
      </c>
      <c r="T19" s="65">
        <v>0</v>
      </c>
      <c r="U19" s="65">
        <v>0</v>
      </c>
      <c r="V19" s="65">
        <v>0</v>
      </c>
      <c r="W19" s="65">
        <v>0</v>
      </c>
      <c r="X19" s="65">
        <v>0</v>
      </c>
      <c r="Y19" s="65">
        <v>0</v>
      </c>
      <c r="Z19" s="65">
        <v>0</v>
      </c>
      <c r="AA19" s="65">
        <v>0</v>
      </c>
      <c r="AB19" s="65">
        <v>0</v>
      </c>
      <c r="AC19" s="65">
        <v>0</v>
      </c>
      <c r="AD19" s="65">
        <v>0</v>
      </c>
      <c r="AE19" s="65">
        <v>0</v>
      </c>
      <c r="AF19" s="65">
        <v>0</v>
      </c>
      <c r="AG19" s="65">
        <v>0</v>
      </c>
      <c r="AH19" s="65">
        <v>0</v>
      </c>
      <c r="AI19" s="65">
        <v>0</v>
      </c>
      <c r="AJ19" s="65">
        <v>0</v>
      </c>
      <c r="AK19" s="65">
        <v>47831.040000000001</v>
      </c>
    </row>
    <row r="20" spans="2:37" ht="12.75" customHeight="1" x14ac:dyDescent="0.35">
      <c r="B20" s="5">
        <v>6</v>
      </c>
      <c r="C20" s="60" t="s">
        <v>325</v>
      </c>
      <c r="D20" s="60" t="s">
        <v>521</v>
      </c>
      <c r="E20" s="60" t="s">
        <v>240</v>
      </c>
      <c r="F20" s="66" t="s">
        <v>215</v>
      </c>
      <c r="G20" s="82" t="s">
        <v>120</v>
      </c>
      <c r="H20" s="65" t="s">
        <v>319</v>
      </c>
      <c r="I20" s="65" t="s">
        <v>327</v>
      </c>
      <c r="J20" s="65" t="s">
        <v>328</v>
      </c>
      <c r="K20" s="65">
        <v>0</v>
      </c>
      <c r="L20" s="65">
        <v>0</v>
      </c>
      <c r="M20" s="65">
        <v>0</v>
      </c>
      <c r="N20" s="65">
        <v>0</v>
      </c>
      <c r="O20" s="65">
        <v>0</v>
      </c>
      <c r="P20" s="65">
        <v>0</v>
      </c>
      <c r="Q20" s="65">
        <v>0</v>
      </c>
      <c r="R20" s="65">
        <v>0</v>
      </c>
      <c r="S20" s="65">
        <v>0</v>
      </c>
      <c r="T20" s="65">
        <v>0</v>
      </c>
      <c r="U20" s="65">
        <v>0</v>
      </c>
      <c r="V20" s="65">
        <v>0</v>
      </c>
      <c r="W20" s="65">
        <v>0</v>
      </c>
      <c r="X20" s="65">
        <v>0</v>
      </c>
      <c r="Y20" s="65">
        <v>0</v>
      </c>
      <c r="Z20" s="65">
        <v>0</v>
      </c>
      <c r="AA20" s="65">
        <v>0</v>
      </c>
      <c r="AB20" s="65">
        <v>0</v>
      </c>
      <c r="AC20" s="65">
        <v>0</v>
      </c>
      <c r="AD20" s="65">
        <v>0</v>
      </c>
      <c r="AE20" s="65">
        <v>0</v>
      </c>
      <c r="AF20" s="65">
        <v>0</v>
      </c>
      <c r="AG20" s="65">
        <v>0</v>
      </c>
      <c r="AH20" s="65">
        <v>0</v>
      </c>
      <c r="AI20" s="65">
        <v>0</v>
      </c>
      <c r="AJ20" s="65">
        <v>0</v>
      </c>
      <c r="AK20" s="65">
        <v>56481.279999999999</v>
      </c>
    </row>
    <row r="21" spans="2:37" ht="12.75" customHeight="1" x14ac:dyDescent="0.35">
      <c r="B21" s="5">
        <v>7</v>
      </c>
      <c r="C21" s="60" t="s">
        <v>427</v>
      </c>
      <c r="D21" s="60" t="s">
        <v>521</v>
      </c>
      <c r="E21" s="60" t="s">
        <v>217</v>
      </c>
      <c r="F21" s="66" t="s">
        <v>215</v>
      </c>
      <c r="G21" s="82" t="s">
        <v>120</v>
      </c>
      <c r="H21" s="65" t="s">
        <v>319</v>
      </c>
      <c r="I21" s="65" t="s">
        <v>367</v>
      </c>
      <c r="J21" s="65" t="s">
        <v>368</v>
      </c>
      <c r="K21" s="65">
        <v>0</v>
      </c>
      <c r="L21" s="65">
        <v>0</v>
      </c>
      <c r="M21" s="65">
        <v>0</v>
      </c>
      <c r="N21" s="65">
        <v>0</v>
      </c>
      <c r="O21" s="65">
        <v>0</v>
      </c>
      <c r="P21" s="65">
        <v>0</v>
      </c>
      <c r="Q21" s="65">
        <v>0</v>
      </c>
      <c r="R21" s="65">
        <v>0</v>
      </c>
      <c r="S21" s="65">
        <v>0</v>
      </c>
      <c r="T21" s="65">
        <v>0</v>
      </c>
      <c r="U21" s="65">
        <v>0</v>
      </c>
      <c r="V21" s="65">
        <v>0</v>
      </c>
      <c r="W21" s="65">
        <v>0</v>
      </c>
      <c r="X21" s="65">
        <v>0</v>
      </c>
      <c r="Y21" s="65">
        <v>0</v>
      </c>
      <c r="Z21" s="65">
        <v>0</v>
      </c>
      <c r="AA21" s="65">
        <v>0</v>
      </c>
      <c r="AB21" s="65">
        <v>0</v>
      </c>
      <c r="AC21" s="65">
        <v>0</v>
      </c>
      <c r="AD21" s="65">
        <v>0</v>
      </c>
      <c r="AE21" s="65">
        <v>0</v>
      </c>
      <c r="AF21" s="65">
        <v>0</v>
      </c>
      <c r="AG21" s="65">
        <v>0</v>
      </c>
      <c r="AH21" s="65">
        <v>0</v>
      </c>
      <c r="AI21" s="65">
        <v>0</v>
      </c>
      <c r="AJ21" s="65">
        <v>0</v>
      </c>
      <c r="AK21" s="65">
        <v>63110.400000000001</v>
      </c>
    </row>
    <row r="22" spans="2:37" ht="12.75" customHeight="1" x14ac:dyDescent="0.35">
      <c r="B22" s="5">
        <v>8</v>
      </c>
      <c r="C22" s="60" t="s">
        <v>263</v>
      </c>
      <c r="D22" s="60" t="s">
        <v>521</v>
      </c>
      <c r="E22" s="60" t="s">
        <v>265</v>
      </c>
      <c r="F22" s="66" t="s">
        <v>215</v>
      </c>
      <c r="G22" s="82" t="s">
        <v>551</v>
      </c>
      <c r="H22" s="65" t="s">
        <v>319</v>
      </c>
      <c r="I22" s="65" t="s">
        <v>428</v>
      </c>
      <c r="J22" s="65" t="s">
        <v>429</v>
      </c>
      <c r="K22" s="65">
        <v>0</v>
      </c>
      <c r="L22" s="65">
        <v>0</v>
      </c>
      <c r="M22" s="65">
        <v>0</v>
      </c>
      <c r="N22" s="65">
        <v>0</v>
      </c>
      <c r="O22" s="65">
        <v>0</v>
      </c>
      <c r="P22" s="65">
        <v>0</v>
      </c>
      <c r="Q22" s="65">
        <v>0</v>
      </c>
      <c r="R22" s="65">
        <v>0</v>
      </c>
      <c r="S22" s="65">
        <v>0</v>
      </c>
      <c r="T22" s="65">
        <v>0</v>
      </c>
      <c r="U22" s="65">
        <v>0</v>
      </c>
      <c r="V22" s="65">
        <v>0</v>
      </c>
      <c r="W22" s="65">
        <v>0</v>
      </c>
      <c r="X22" s="65">
        <v>0</v>
      </c>
      <c r="Y22" s="65">
        <v>0</v>
      </c>
      <c r="Z22" s="65">
        <v>0</v>
      </c>
      <c r="AA22" s="65">
        <v>0</v>
      </c>
      <c r="AB22" s="65">
        <v>0</v>
      </c>
      <c r="AC22" s="65">
        <v>0</v>
      </c>
      <c r="AD22" s="65">
        <v>0</v>
      </c>
      <c r="AE22" s="65">
        <v>0</v>
      </c>
      <c r="AF22" s="65">
        <v>0</v>
      </c>
      <c r="AG22" s="65">
        <v>0</v>
      </c>
      <c r="AH22" s="65">
        <v>0</v>
      </c>
      <c r="AI22" s="65">
        <v>0</v>
      </c>
      <c r="AJ22" s="65">
        <v>0</v>
      </c>
      <c r="AK22" s="65">
        <v>260663.59999999998</v>
      </c>
    </row>
    <row r="23" spans="2:37" ht="12.75" customHeight="1" x14ac:dyDescent="0.35">
      <c r="B23" s="5">
        <v>9</v>
      </c>
      <c r="C23" s="60" t="s">
        <v>464</v>
      </c>
      <c r="D23" s="60" t="s">
        <v>521</v>
      </c>
      <c r="E23" s="60" t="s">
        <v>255</v>
      </c>
      <c r="F23" s="66" t="s">
        <v>215</v>
      </c>
      <c r="G23" s="82" t="s">
        <v>120</v>
      </c>
      <c r="H23" s="65" t="s">
        <v>319</v>
      </c>
      <c r="I23" s="65" t="s">
        <v>465</v>
      </c>
      <c r="J23" s="65" t="s">
        <v>466</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0</v>
      </c>
      <c r="AC23" s="65">
        <v>0</v>
      </c>
      <c r="AD23" s="65">
        <v>0</v>
      </c>
      <c r="AE23" s="65">
        <v>0</v>
      </c>
      <c r="AF23" s="65">
        <v>0</v>
      </c>
      <c r="AG23" s="65">
        <v>0</v>
      </c>
      <c r="AH23" s="65">
        <v>0</v>
      </c>
      <c r="AI23" s="65">
        <v>0</v>
      </c>
      <c r="AJ23" s="65">
        <v>0</v>
      </c>
      <c r="AK23" s="65">
        <v>50156.160000000003</v>
      </c>
    </row>
    <row r="24" spans="2:37" ht="12.75" customHeight="1" x14ac:dyDescent="0.35">
      <c r="B24" s="5">
        <v>10</v>
      </c>
      <c r="C24" s="60" t="s">
        <v>488</v>
      </c>
      <c r="D24" s="60" t="s">
        <v>521</v>
      </c>
      <c r="E24" s="60" t="s">
        <v>240</v>
      </c>
      <c r="F24" s="66" t="s">
        <v>215</v>
      </c>
      <c r="G24" s="82" t="s">
        <v>120</v>
      </c>
      <c r="H24" s="65" t="s">
        <v>319</v>
      </c>
      <c r="I24" s="65" t="s">
        <v>434</v>
      </c>
      <c r="J24" s="65" t="s">
        <v>489</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v>0</v>
      </c>
      <c r="AF24" s="65">
        <v>0</v>
      </c>
      <c r="AG24" s="65">
        <v>0</v>
      </c>
      <c r="AH24" s="65">
        <v>0</v>
      </c>
      <c r="AI24" s="65">
        <v>0</v>
      </c>
      <c r="AJ24" s="65">
        <v>0</v>
      </c>
      <c r="AK24" s="65">
        <v>23171.48</v>
      </c>
    </row>
    <row r="25" spans="2:37" ht="12.75" customHeight="1" x14ac:dyDescent="0.35">
      <c r="B25" s="5">
        <v>11</v>
      </c>
      <c r="C25" s="60" t="s">
        <v>491</v>
      </c>
      <c r="D25" s="60" t="s">
        <v>521</v>
      </c>
      <c r="E25" s="60" t="s">
        <v>318</v>
      </c>
      <c r="F25" s="66" t="s">
        <v>215</v>
      </c>
      <c r="G25" s="82" t="s">
        <v>120</v>
      </c>
      <c r="H25" s="65" t="s">
        <v>319</v>
      </c>
      <c r="I25" s="65" t="s">
        <v>492</v>
      </c>
      <c r="J25" s="65" t="s">
        <v>493</v>
      </c>
      <c r="K25" s="65">
        <v>0</v>
      </c>
      <c r="L25" s="65">
        <v>0</v>
      </c>
      <c r="M25" s="65">
        <v>0</v>
      </c>
      <c r="N25" s="65">
        <v>0</v>
      </c>
      <c r="O25" s="65">
        <v>0</v>
      </c>
      <c r="P25" s="65">
        <v>0</v>
      </c>
      <c r="Q25" s="65">
        <v>0</v>
      </c>
      <c r="R25" s="65">
        <v>0</v>
      </c>
      <c r="S25" s="65">
        <v>0</v>
      </c>
      <c r="T25" s="65">
        <v>0</v>
      </c>
      <c r="U25" s="65">
        <v>0</v>
      </c>
      <c r="V25" s="65">
        <v>0</v>
      </c>
      <c r="W25" s="65">
        <v>0</v>
      </c>
      <c r="X25" s="65">
        <v>0</v>
      </c>
      <c r="Y25" s="65">
        <v>0</v>
      </c>
      <c r="Z25" s="65">
        <v>0</v>
      </c>
      <c r="AA25" s="65">
        <v>0</v>
      </c>
      <c r="AB25" s="65">
        <v>0</v>
      </c>
      <c r="AC25" s="65">
        <v>0</v>
      </c>
      <c r="AD25" s="65">
        <v>0</v>
      </c>
      <c r="AE25" s="65">
        <v>0</v>
      </c>
      <c r="AF25" s="65">
        <v>0</v>
      </c>
      <c r="AG25" s="65">
        <v>0</v>
      </c>
      <c r="AH25" s="65">
        <v>0</v>
      </c>
      <c r="AI25" s="65">
        <v>0</v>
      </c>
      <c r="AJ25" s="65">
        <v>0</v>
      </c>
      <c r="AK25" s="65">
        <v>24579.84</v>
      </c>
    </row>
    <row r="26" spans="2:37" ht="12.75" customHeight="1" x14ac:dyDescent="0.35">
      <c r="B26" s="5">
        <v>12</v>
      </c>
      <c r="C26" s="60" t="s">
        <v>349</v>
      </c>
      <c r="D26" s="60" t="s">
        <v>522</v>
      </c>
      <c r="E26" s="60" t="s">
        <v>223</v>
      </c>
      <c r="F26" s="66" t="s">
        <v>215</v>
      </c>
      <c r="G26" s="82" t="s">
        <v>120</v>
      </c>
      <c r="H26" s="65" t="s">
        <v>350</v>
      </c>
      <c r="I26" s="65" t="s">
        <v>351</v>
      </c>
      <c r="J26" s="65" t="s">
        <v>352</v>
      </c>
      <c r="K26" s="65">
        <v>0</v>
      </c>
      <c r="L26" s="65">
        <v>0</v>
      </c>
      <c r="M26" s="65">
        <v>0</v>
      </c>
      <c r="N26" s="65">
        <v>0</v>
      </c>
      <c r="O26" s="65">
        <v>0</v>
      </c>
      <c r="P26" s="65">
        <v>0</v>
      </c>
      <c r="Q26" s="65">
        <v>0</v>
      </c>
      <c r="R26" s="65">
        <v>0</v>
      </c>
      <c r="S26" s="65">
        <v>0</v>
      </c>
      <c r="T26" s="65">
        <v>0</v>
      </c>
      <c r="U26" s="65">
        <v>0</v>
      </c>
      <c r="V26" s="65">
        <v>0</v>
      </c>
      <c r="W26" s="65">
        <v>0</v>
      </c>
      <c r="X26" s="65">
        <v>0</v>
      </c>
      <c r="Y26" s="65">
        <v>0</v>
      </c>
      <c r="Z26" s="65">
        <v>0</v>
      </c>
      <c r="AA26" s="65">
        <v>0</v>
      </c>
      <c r="AB26" s="65">
        <v>0</v>
      </c>
      <c r="AC26" s="65">
        <v>0</v>
      </c>
      <c r="AD26" s="65">
        <v>0</v>
      </c>
      <c r="AE26" s="65">
        <v>0</v>
      </c>
      <c r="AF26" s="65">
        <v>0</v>
      </c>
      <c r="AG26" s="65">
        <v>0</v>
      </c>
      <c r="AH26" s="65">
        <v>0</v>
      </c>
      <c r="AI26" s="65">
        <v>0</v>
      </c>
      <c r="AJ26" s="65">
        <v>0</v>
      </c>
      <c r="AK26" s="65">
        <v>90671.039999999994</v>
      </c>
    </row>
    <row r="27" spans="2:37" ht="12.75" customHeight="1" x14ac:dyDescent="0.35">
      <c r="B27" s="5">
        <v>13</v>
      </c>
      <c r="C27" s="60" t="s">
        <v>377</v>
      </c>
      <c r="D27" s="60" t="s">
        <v>522</v>
      </c>
      <c r="E27" s="60" t="s">
        <v>326</v>
      </c>
      <c r="F27" s="66" t="s">
        <v>215</v>
      </c>
      <c r="G27" s="82" t="s">
        <v>120</v>
      </c>
      <c r="H27" s="65" t="s">
        <v>350</v>
      </c>
      <c r="I27" s="65" t="s">
        <v>378</v>
      </c>
      <c r="J27" s="65" t="s">
        <v>379</v>
      </c>
      <c r="K27" s="65">
        <v>0</v>
      </c>
      <c r="L27" s="65">
        <v>0</v>
      </c>
      <c r="M27" s="65">
        <v>0</v>
      </c>
      <c r="N27" s="65">
        <v>0</v>
      </c>
      <c r="O27" s="65">
        <v>0</v>
      </c>
      <c r="P27" s="65">
        <v>0</v>
      </c>
      <c r="Q27" s="65">
        <v>0</v>
      </c>
      <c r="R27" s="65">
        <v>0</v>
      </c>
      <c r="S27" s="65">
        <v>0</v>
      </c>
      <c r="T27" s="65">
        <v>0</v>
      </c>
      <c r="U27" s="65">
        <v>0</v>
      </c>
      <c r="V27" s="65">
        <v>0</v>
      </c>
      <c r="W27" s="65">
        <v>0</v>
      </c>
      <c r="X27" s="65">
        <v>0</v>
      </c>
      <c r="Y27" s="65">
        <v>0</v>
      </c>
      <c r="Z27" s="65">
        <v>0</v>
      </c>
      <c r="AA27" s="65">
        <v>0</v>
      </c>
      <c r="AB27" s="65">
        <v>0</v>
      </c>
      <c r="AC27" s="65">
        <v>0</v>
      </c>
      <c r="AD27" s="65">
        <v>0</v>
      </c>
      <c r="AE27" s="65">
        <v>0</v>
      </c>
      <c r="AF27" s="65">
        <v>0</v>
      </c>
      <c r="AG27" s="65">
        <v>0</v>
      </c>
      <c r="AH27" s="65">
        <v>0</v>
      </c>
      <c r="AI27" s="65">
        <v>0</v>
      </c>
      <c r="AJ27" s="65">
        <v>0</v>
      </c>
      <c r="AK27" s="65">
        <v>85992.48</v>
      </c>
    </row>
    <row r="28" spans="2:37" ht="12.75" customHeight="1" x14ac:dyDescent="0.35">
      <c r="B28" s="5">
        <v>14</v>
      </c>
      <c r="C28" s="60" t="s">
        <v>380</v>
      </c>
      <c r="D28" s="60" t="s">
        <v>522</v>
      </c>
      <c r="E28" s="60" t="s">
        <v>240</v>
      </c>
      <c r="F28" s="66" t="s">
        <v>215</v>
      </c>
      <c r="G28" s="82" t="s">
        <v>120</v>
      </c>
      <c r="H28" s="65" t="s">
        <v>350</v>
      </c>
      <c r="I28" s="65" t="s">
        <v>381</v>
      </c>
      <c r="J28" s="65" t="s">
        <v>382</v>
      </c>
      <c r="K28" s="65">
        <v>0</v>
      </c>
      <c r="L28" s="65">
        <v>0</v>
      </c>
      <c r="M28" s="65">
        <v>0</v>
      </c>
      <c r="N28" s="65">
        <v>0</v>
      </c>
      <c r="O28" s="65">
        <v>0</v>
      </c>
      <c r="P28" s="65">
        <v>0</v>
      </c>
      <c r="Q28" s="65">
        <v>0</v>
      </c>
      <c r="R28" s="65">
        <v>0</v>
      </c>
      <c r="S28" s="65">
        <v>0</v>
      </c>
      <c r="T28" s="65">
        <v>0</v>
      </c>
      <c r="U28" s="65">
        <v>0</v>
      </c>
      <c r="V28" s="65">
        <v>0</v>
      </c>
      <c r="W28" s="65">
        <v>0</v>
      </c>
      <c r="X28" s="65">
        <v>0</v>
      </c>
      <c r="Y28" s="65">
        <v>0</v>
      </c>
      <c r="Z28" s="65">
        <v>0</v>
      </c>
      <c r="AA28" s="65">
        <v>0</v>
      </c>
      <c r="AB28" s="65">
        <v>0</v>
      </c>
      <c r="AC28" s="65">
        <v>0</v>
      </c>
      <c r="AD28" s="65">
        <v>0</v>
      </c>
      <c r="AE28" s="65">
        <v>0</v>
      </c>
      <c r="AF28" s="65">
        <v>0</v>
      </c>
      <c r="AG28" s="65">
        <v>0</v>
      </c>
      <c r="AH28" s="65">
        <v>0</v>
      </c>
      <c r="AI28" s="65">
        <v>0</v>
      </c>
      <c r="AJ28" s="65">
        <v>0</v>
      </c>
      <c r="AK28" s="65">
        <v>93790.080000000002</v>
      </c>
    </row>
    <row r="29" spans="2:37" ht="12.75" customHeight="1" x14ac:dyDescent="0.35">
      <c r="B29" s="5">
        <v>15</v>
      </c>
      <c r="C29" s="60" t="s">
        <v>403</v>
      </c>
      <c r="D29" s="60" t="s">
        <v>522</v>
      </c>
      <c r="E29" s="60" t="s">
        <v>404</v>
      </c>
      <c r="F29" s="66" t="s">
        <v>215</v>
      </c>
      <c r="G29" s="82" t="s">
        <v>120</v>
      </c>
      <c r="H29" s="65" t="s">
        <v>350</v>
      </c>
      <c r="I29" s="65" t="s">
        <v>405</v>
      </c>
      <c r="J29" s="65" t="s">
        <v>406</v>
      </c>
      <c r="K29" s="65">
        <v>0</v>
      </c>
      <c r="L29" s="65">
        <v>0</v>
      </c>
      <c r="M29" s="65">
        <v>0</v>
      </c>
      <c r="N29" s="65">
        <v>0</v>
      </c>
      <c r="O29" s="65">
        <v>0</v>
      </c>
      <c r="P29" s="65">
        <v>0</v>
      </c>
      <c r="Q29" s="65">
        <v>0</v>
      </c>
      <c r="R29" s="65">
        <v>0</v>
      </c>
      <c r="S29" s="65">
        <v>0</v>
      </c>
      <c r="T29" s="65">
        <v>0</v>
      </c>
      <c r="U29" s="65">
        <v>0</v>
      </c>
      <c r="V29" s="65">
        <v>0</v>
      </c>
      <c r="W29" s="65">
        <v>0</v>
      </c>
      <c r="X29" s="65">
        <v>0</v>
      </c>
      <c r="Y29" s="65">
        <v>0</v>
      </c>
      <c r="Z29" s="65">
        <v>0</v>
      </c>
      <c r="AA29" s="65">
        <v>0</v>
      </c>
      <c r="AB29" s="65">
        <v>0</v>
      </c>
      <c r="AC29" s="65">
        <v>0</v>
      </c>
      <c r="AD29" s="65">
        <v>0</v>
      </c>
      <c r="AE29" s="65">
        <v>0</v>
      </c>
      <c r="AF29" s="65">
        <v>0</v>
      </c>
      <c r="AG29" s="65">
        <v>0</v>
      </c>
      <c r="AH29" s="65">
        <v>0</v>
      </c>
      <c r="AI29" s="65">
        <v>0</v>
      </c>
      <c r="AJ29" s="65">
        <v>0</v>
      </c>
      <c r="AK29" s="65">
        <v>82944.800000000003</v>
      </c>
    </row>
    <row r="30" spans="2:37" ht="12.75" customHeight="1" x14ac:dyDescent="0.35">
      <c r="B30" s="5">
        <v>16</v>
      </c>
      <c r="C30" s="60" t="s">
        <v>445</v>
      </c>
      <c r="D30" s="60" t="s">
        <v>522</v>
      </c>
      <c r="E30" s="60" t="s">
        <v>240</v>
      </c>
      <c r="F30" s="66" t="s">
        <v>215</v>
      </c>
      <c r="G30" s="82" t="s">
        <v>120</v>
      </c>
      <c r="H30" s="65" t="s">
        <v>350</v>
      </c>
      <c r="I30" s="65" t="s">
        <v>446</v>
      </c>
      <c r="J30" s="65" t="s">
        <v>447</v>
      </c>
      <c r="K30" s="65">
        <v>0</v>
      </c>
      <c r="L30" s="65">
        <v>0</v>
      </c>
      <c r="M30" s="65">
        <v>0</v>
      </c>
      <c r="N30" s="65">
        <v>0</v>
      </c>
      <c r="O30" s="65">
        <v>0</v>
      </c>
      <c r="P30" s="65">
        <v>0</v>
      </c>
      <c r="Q30" s="65">
        <v>0</v>
      </c>
      <c r="R30" s="65">
        <v>0</v>
      </c>
      <c r="S30" s="65">
        <v>0</v>
      </c>
      <c r="T30" s="65">
        <v>0</v>
      </c>
      <c r="U30" s="65">
        <v>0</v>
      </c>
      <c r="V30" s="65">
        <v>0</v>
      </c>
      <c r="W30" s="65">
        <v>0</v>
      </c>
      <c r="X30" s="65">
        <v>0</v>
      </c>
      <c r="Y30" s="65">
        <v>0</v>
      </c>
      <c r="Z30" s="65">
        <v>0</v>
      </c>
      <c r="AA30" s="65">
        <v>0</v>
      </c>
      <c r="AB30" s="65">
        <v>0</v>
      </c>
      <c r="AC30" s="65">
        <v>0</v>
      </c>
      <c r="AD30" s="65">
        <v>0</v>
      </c>
      <c r="AE30" s="65">
        <v>0</v>
      </c>
      <c r="AF30" s="65">
        <v>0</v>
      </c>
      <c r="AG30" s="65">
        <v>0</v>
      </c>
      <c r="AH30" s="65">
        <v>0</v>
      </c>
      <c r="AI30" s="65">
        <v>0</v>
      </c>
      <c r="AJ30" s="65">
        <v>0</v>
      </c>
      <c r="AK30" s="65">
        <v>103621.52</v>
      </c>
    </row>
    <row r="31" spans="2:37" ht="12.75" customHeight="1" x14ac:dyDescent="0.35">
      <c r="B31" s="5">
        <v>17</v>
      </c>
      <c r="C31" s="60" t="s">
        <v>505</v>
      </c>
      <c r="D31" s="60" t="s">
        <v>522</v>
      </c>
      <c r="E31" s="60" t="s">
        <v>326</v>
      </c>
      <c r="F31" s="66" t="s">
        <v>215</v>
      </c>
      <c r="G31" s="82" t="s">
        <v>120</v>
      </c>
      <c r="H31" s="65" t="s">
        <v>350</v>
      </c>
      <c r="I31" s="65" t="s">
        <v>495</v>
      </c>
      <c r="J31" s="65" t="s">
        <v>496</v>
      </c>
      <c r="K31" s="65">
        <v>0</v>
      </c>
      <c r="L31" s="65">
        <v>0</v>
      </c>
      <c r="M31" s="65">
        <v>0</v>
      </c>
      <c r="N31" s="65">
        <v>0</v>
      </c>
      <c r="O31" s="65">
        <v>0</v>
      </c>
      <c r="P31" s="65">
        <v>0</v>
      </c>
      <c r="Q31" s="65">
        <v>0</v>
      </c>
      <c r="R31" s="65">
        <v>0</v>
      </c>
      <c r="S31" s="65">
        <v>0</v>
      </c>
      <c r="T31" s="65">
        <v>0</v>
      </c>
      <c r="U31" s="65">
        <v>0</v>
      </c>
      <c r="V31" s="65">
        <v>0</v>
      </c>
      <c r="W31" s="65">
        <v>0</v>
      </c>
      <c r="X31" s="65">
        <v>0</v>
      </c>
      <c r="Y31" s="65">
        <v>0</v>
      </c>
      <c r="Z31" s="65">
        <v>0</v>
      </c>
      <c r="AA31" s="65">
        <v>0</v>
      </c>
      <c r="AB31" s="65">
        <v>0</v>
      </c>
      <c r="AC31" s="65">
        <v>0</v>
      </c>
      <c r="AD31" s="65">
        <v>0</v>
      </c>
      <c r="AE31" s="65">
        <v>0</v>
      </c>
      <c r="AF31" s="65">
        <v>0</v>
      </c>
      <c r="AG31" s="65">
        <v>0</v>
      </c>
      <c r="AH31" s="65">
        <v>0</v>
      </c>
      <c r="AI31" s="65">
        <v>0</v>
      </c>
      <c r="AJ31" s="65">
        <v>0</v>
      </c>
      <c r="AK31" s="65">
        <v>88837.079999999987</v>
      </c>
    </row>
    <row r="32" spans="2:37" ht="12.75" customHeight="1" x14ac:dyDescent="0.35">
      <c r="B32" s="5">
        <v>18</v>
      </c>
      <c r="C32" s="60" t="s">
        <v>494</v>
      </c>
      <c r="D32" s="60" t="s">
        <v>522</v>
      </c>
      <c r="E32" s="60" t="s">
        <v>242</v>
      </c>
      <c r="F32" s="66" t="s">
        <v>215</v>
      </c>
      <c r="G32" s="82" t="s">
        <v>120</v>
      </c>
      <c r="H32" s="65">
        <v>0</v>
      </c>
      <c r="I32" s="65">
        <v>0</v>
      </c>
      <c r="J32" s="65">
        <v>0</v>
      </c>
      <c r="K32" s="65">
        <v>11387</v>
      </c>
      <c r="L32" s="65">
        <v>2000</v>
      </c>
      <c r="M32" s="65">
        <v>0</v>
      </c>
      <c r="N32" s="65">
        <v>0</v>
      </c>
      <c r="O32" s="65">
        <v>5000</v>
      </c>
      <c r="P32" s="65">
        <v>1500</v>
      </c>
      <c r="Q32" s="65">
        <v>150</v>
      </c>
      <c r="R32" s="65">
        <v>0</v>
      </c>
      <c r="S32" s="65">
        <v>5000</v>
      </c>
      <c r="T32" s="65">
        <v>0</v>
      </c>
      <c r="U32" s="65">
        <v>0</v>
      </c>
      <c r="V32" s="65">
        <v>1056.82</v>
      </c>
      <c r="W32" s="65">
        <v>0</v>
      </c>
      <c r="X32" s="65">
        <v>0</v>
      </c>
      <c r="Y32" s="65">
        <v>11387</v>
      </c>
      <c r="Z32" s="65">
        <v>5000</v>
      </c>
      <c r="AA32" s="65">
        <v>11387</v>
      </c>
      <c r="AB32" s="65">
        <v>1366.44</v>
      </c>
      <c r="AC32" s="65">
        <v>100</v>
      </c>
      <c r="AD32" s="65">
        <v>137.5</v>
      </c>
      <c r="AE32" s="65">
        <v>100</v>
      </c>
      <c r="AF32" s="65">
        <v>0</v>
      </c>
      <c r="AG32" s="65">
        <v>0</v>
      </c>
      <c r="AH32" s="65">
        <v>0</v>
      </c>
      <c r="AI32" s="65">
        <v>0</v>
      </c>
      <c r="AJ32" s="65">
        <v>0</v>
      </c>
      <c r="AK32" s="65">
        <v>87003.12</v>
      </c>
    </row>
    <row r="33" spans="2:37" ht="12.75" customHeight="1" x14ac:dyDescent="0.35">
      <c r="B33" s="5">
        <v>19</v>
      </c>
      <c r="C33" s="60" t="s">
        <v>506</v>
      </c>
      <c r="D33" s="60" t="s">
        <v>522</v>
      </c>
      <c r="E33" s="60" t="s">
        <v>326</v>
      </c>
      <c r="F33" s="66" t="s">
        <v>215</v>
      </c>
      <c r="G33" s="82" t="s">
        <v>120</v>
      </c>
      <c r="H33" s="65">
        <v>0</v>
      </c>
      <c r="I33" s="65">
        <v>0</v>
      </c>
      <c r="J33" s="65">
        <v>0</v>
      </c>
      <c r="K33" s="65">
        <v>12155</v>
      </c>
      <c r="L33" s="65">
        <v>2000</v>
      </c>
      <c r="M33" s="65">
        <v>0</v>
      </c>
      <c r="N33" s="65">
        <v>0</v>
      </c>
      <c r="O33" s="65">
        <v>5000</v>
      </c>
      <c r="P33" s="65">
        <v>1500</v>
      </c>
      <c r="Q33" s="65">
        <v>150</v>
      </c>
      <c r="R33" s="65">
        <v>0</v>
      </c>
      <c r="S33" s="65">
        <v>5000</v>
      </c>
      <c r="T33" s="65">
        <v>0</v>
      </c>
      <c r="U33" s="65">
        <v>0</v>
      </c>
      <c r="V33" s="65">
        <v>1141.3499999999999</v>
      </c>
      <c r="W33" s="65">
        <v>0</v>
      </c>
      <c r="X33" s="65">
        <v>0</v>
      </c>
      <c r="Y33" s="65">
        <v>12155</v>
      </c>
      <c r="Z33" s="65">
        <v>5000</v>
      </c>
      <c r="AA33" s="65">
        <v>12155</v>
      </c>
      <c r="AB33" s="65">
        <v>1458.6</v>
      </c>
      <c r="AC33" s="65">
        <v>100</v>
      </c>
      <c r="AD33" s="65">
        <v>150</v>
      </c>
      <c r="AE33" s="65">
        <v>100</v>
      </c>
      <c r="AF33" s="65">
        <v>0</v>
      </c>
      <c r="AG33" s="65">
        <v>0</v>
      </c>
      <c r="AH33" s="65">
        <v>0</v>
      </c>
      <c r="AI33" s="65">
        <v>0</v>
      </c>
      <c r="AJ33" s="65">
        <v>5000</v>
      </c>
      <c r="AK33" s="65">
        <v>88837.079999999987</v>
      </c>
    </row>
    <row r="34" spans="2:37" ht="12.75" customHeight="1" x14ac:dyDescent="0.35">
      <c r="B34" s="5">
        <v>20</v>
      </c>
      <c r="C34" s="60" t="s">
        <v>253</v>
      </c>
      <c r="D34" s="60" t="s">
        <v>523</v>
      </c>
      <c r="E34" s="60" t="s">
        <v>221</v>
      </c>
      <c r="F34" s="66" t="s">
        <v>215</v>
      </c>
      <c r="G34" s="82" t="s">
        <v>551</v>
      </c>
      <c r="H34" s="65">
        <v>0</v>
      </c>
      <c r="I34" s="65">
        <v>0</v>
      </c>
      <c r="J34" s="65">
        <v>0</v>
      </c>
      <c r="K34" s="65">
        <v>32747</v>
      </c>
      <c r="L34" s="65">
        <v>2000</v>
      </c>
      <c r="M34" s="65">
        <v>0</v>
      </c>
      <c r="N34" s="65">
        <v>0</v>
      </c>
      <c r="O34" s="65">
        <v>5000</v>
      </c>
      <c r="P34" s="65">
        <v>1500</v>
      </c>
      <c r="Q34" s="65">
        <v>150</v>
      </c>
      <c r="R34" s="65">
        <v>0</v>
      </c>
      <c r="S34" s="65">
        <v>5000</v>
      </c>
      <c r="T34" s="65">
        <v>0</v>
      </c>
      <c r="U34" s="65">
        <v>0</v>
      </c>
      <c r="V34" s="65">
        <v>2615.1999999999998</v>
      </c>
      <c r="W34" s="65">
        <v>0</v>
      </c>
      <c r="X34" s="65">
        <v>0</v>
      </c>
      <c r="Y34" s="65">
        <v>32747</v>
      </c>
      <c r="Z34" s="65">
        <v>5000</v>
      </c>
      <c r="AA34" s="65">
        <v>32747</v>
      </c>
      <c r="AB34" s="65">
        <v>3929.64</v>
      </c>
      <c r="AC34" s="65">
        <v>100</v>
      </c>
      <c r="AD34" s="65">
        <v>400</v>
      </c>
      <c r="AE34" s="65">
        <v>100</v>
      </c>
      <c r="AF34" s="65">
        <v>0</v>
      </c>
      <c r="AG34" s="65">
        <v>0</v>
      </c>
      <c r="AH34" s="65">
        <v>0</v>
      </c>
      <c r="AI34" s="65">
        <v>0</v>
      </c>
      <c r="AJ34" s="65">
        <v>0</v>
      </c>
      <c r="AK34" s="65">
        <v>251047.12</v>
      </c>
    </row>
    <row r="35" spans="2:37" ht="12.75" customHeight="1" x14ac:dyDescent="0.35">
      <c r="B35" s="5">
        <v>21</v>
      </c>
      <c r="C35" s="60" t="s">
        <v>284</v>
      </c>
      <c r="D35" s="60" t="s">
        <v>285</v>
      </c>
      <c r="E35" s="60" t="s">
        <v>240</v>
      </c>
      <c r="F35" s="66" t="s">
        <v>215</v>
      </c>
      <c r="G35" s="82" t="s">
        <v>551</v>
      </c>
      <c r="H35" s="65" t="s">
        <v>370</v>
      </c>
      <c r="I35" s="65" t="s">
        <v>371</v>
      </c>
      <c r="J35" s="65" t="s">
        <v>372</v>
      </c>
      <c r="K35" s="65">
        <v>0</v>
      </c>
      <c r="L35" s="65">
        <v>0</v>
      </c>
      <c r="M35" s="65">
        <v>0</v>
      </c>
      <c r="N35" s="65">
        <v>0</v>
      </c>
      <c r="O35" s="65">
        <v>0</v>
      </c>
      <c r="P35" s="65">
        <v>0</v>
      </c>
      <c r="Q35" s="65">
        <v>0</v>
      </c>
      <c r="R35" s="65">
        <v>0</v>
      </c>
      <c r="S35" s="65">
        <v>0</v>
      </c>
      <c r="T35" s="65">
        <v>0</v>
      </c>
      <c r="U35" s="65">
        <v>0</v>
      </c>
      <c r="V35" s="65">
        <v>0</v>
      </c>
      <c r="W35" s="65">
        <v>0</v>
      </c>
      <c r="X35" s="65">
        <v>0</v>
      </c>
      <c r="Y35" s="65">
        <v>0</v>
      </c>
      <c r="Z35" s="65">
        <v>0</v>
      </c>
      <c r="AA35" s="65">
        <v>0</v>
      </c>
      <c r="AB35" s="65">
        <v>0</v>
      </c>
      <c r="AC35" s="65">
        <v>0</v>
      </c>
      <c r="AD35" s="65">
        <v>0</v>
      </c>
      <c r="AE35" s="65">
        <v>0</v>
      </c>
      <c r="AF35" s="65">
        <v>0</v>
      </c>
      <c r="AG35" s="65">
        <v>0</v>
      </c>
      <c r="AH35" s="65">
        <v>0</v>
      </c>
      <c r="AI35" s="65">
        <v>0</v>
      </c>
      <c r="AJ35" s="65">
        <v>0</v>
      </c>
      <c r="AK35" s="65">
        <v>269119.40000000002</v>
      </c>
    </row>
    <row r="36" spans="2:37" ht="12.75" customHeight="1" x14ac:dyDescent="0.35">
      <c r="B36" s="5">
        <v>22</v>
      </c>
      <c r="C36" s="60" t="s">
        <v>236</v>
      </c>
      <c r="D36" s="60" t="s">
        <v>524</v>
      </c>
      <c r="E36" s="60" t="s">
        <v>237</v>
      </c>
      <c r="F36" s="66" t="s">
        <v>215</v>
      </c>
      <c r="G36" s="82" t="s">
        <v>551</v>
      </c>
      <c r="H36" s="65" t="s">
        <v>319</v>
      </c>
      <c r="I36" s="65" t="s">
        <v>450</v>
      </c>
      <c r="J36" s="65" t="s">
        <v>451</v>
      </c>
      <c r="K36" s="65">
        <v>0</v>
      </c>
      <c r="L36" s="65">
        <v>0</v>
      </c>
      <c r="M36" s="65">
        <v>0</v>
      </c>
      <c r="N36" s="65">
        <v>0</v>
      </c>
      <c r="O36" s="65">
        <v>0</v>
      </c>
      <c r="P36" s="65">
        <v>0</v>
      </c>
      <c r="Q36" s="65">
        <v>0</v>
      </c>
      <c r="R36" s="65">
        <v>0</v>
      </c>
      <c r="S36" s="65">
        <v>0</v>
      </c>
      <c r="T36" s="65">
        <v>0</v>
      </c>
      <c r="U36" s="65">
        <v>0</v>
      </c>
      <c r="V36" s="65">
        <v>0</v>
      </c>
      <c r="W36" s="65">
        <v>0</v>
      </c>
      <c r="X36" s="65">
        <v>0</v>
      </c>
      <c r="Y36" s="65">
        <v>0</v>
      </c>
      <c r="Z36" s="65">
        <v>0</v>
      </c>
      <c r="AA36" s="65">
        <v>0</v>
      </c>
      <c r="AB36" s="65">
        <v>0</v>
      </c>
      <c r="AC36" s="65">
        <v>0</v>
      </c>
      <c r="AD36" s="65">
        <v>0</v>
      </c>
      <c r="AE36" s="65">
        <v>0</v>
      </c>
      <c r="AF36" s="65">
        <v>0</v>
      </c>
      <c r="AG36" s="65">
        <v>0</v>
      </c>
      <c r="AH36" s="65">
        <v>0</v>
      </c>
      <c r="AI36" s="65">
        <v>0</v>
      </c>
      <c r="AJ36" s="65">
        <v>0</v>
      </c>
      <c r="AK36" s="65">
        <v>602096.07999999996</v>
      </c>
    </row>
    <row r="37" spans="2:37" ht="12.75" customHeight="1" x14ac:dyDescent="0.35">
      <c r="B37" s="5">
        <v>23</v>
      </c>
      <c r="C37" s="60" t="s">
        <v>507</v>
      </c>
      <c r="D37" s="60" t="s">
        <v>525</v>
      </c>
      <c r="E37" s="60" t="s">
        <v>288</v>
      </c>
      <c r="F37" s="66" t="s">
        <v>215</v>
      </c>
      <c r="G37" s="82" t="s">
        <v>551</v>
      </c>
      <c r="H37" s="65">
        <v>0</v>
      </c>
      <c r="I37" s="65">
        <v>0</v>
      </c>
      <c r="J37" s="65">
        <v>0</v>
      </c>
      <c r="K37" s="65">
        <v>12155</v>
      </c>
      <c r="L37" s="65">
        <v>2000</v>
      </c>
      <c r="M37" s="65">
        <v>0</v>
      </c>
      <c r="N37" s="65">
        <v>0</v>
      </c>
      <c r="O37" s="65">
        <v>5000</v>
      </c>
      <c r="P37" s="65">
        <v>1500</v>
      </c>
      <c r="Q37" s="65">
        <v>150</v>
      </c>
      <c r="R37" s="65">
        <v>0</v>
      </c>
      <c r="S37" s="65">
        <v>5000</v>
      </c>
      <c r="T37" s="65">
        <v>0</v>
      </c>
      <c r="U37" s="65">
        <v>0</v>
      </c>
      <c r="V37" s="65">
        <v>1141.3499999999999</v>
      </c>
      <c r="W37" s="65">
        <v>0</v>
      </c>
      <c r="X37" s="65">
        <v>0</v>
      </c>
      <c r="Y37" s="65">
        <v>12155</v>
      </c>
      <c r="Z37" s="65">
        <v>5000</v>
      </c>
      <c r="AA37" s="65">
        <v>12155</v>
      </c>
      <c r="AB37" s="65">
        <v>1458.6</v>
      </c>
      <c r="AC37" s="65">
        <v>100</v>
      </c>
      <c r="AD37" s="65">
        <v>150</v>
      </c>
      <c r="AE37" s="65">
        <v>100</v>
      </c>
      <c r="AF37" s="65">
        <v>0</v>
      </c>
      <c r="AG37" s="65">
        <v>0</v>
      </c>
      <c r="AH37" s="65">
        <v>0</v>
      </c>
      <c r="AI37" s="65">
        <v>0</v>
      </c>
      <c r="AJ37" s="65">
        <v>0</v>
      </c>
      <c r="AK37" s="65">
        <v>260663.59999999998</v>
      </c>
    </row>
    <row r="38" spans="2:37" ht="12.75" customHeight="1" x14ac:dyDescent="0.35">
      <c r="B38" s="5">
        <v>24</v>
      </c>
      <c r="C38" s="60" t="s">
        <v>369</v>
      </c>
      <c r="D38" s="60" t="s">
        <v>525</v>
      </c>
      <c r="E38" s="60" t="s">
        <v>449</v>
      </c>
      <c r="F38" s="66" t="s">
        <v>215</v>
      </c>
      <c r="G38" s="82" t="s">
        <v>120</v>
      </c>
      <c r="H38" s="65">
        <v>0</v>
      </c>
      <c r="I38" s="65">
        <v>0</v>
      </c>
      <c r="J38" s="65">
        <v>0</v>
      </c>
      <c r="K38" s="65">
        <v>12155</v>
      </c>
      <c r="L38" s="65">
        <v>2000</v>
      </c>
      <c r="M38" s="65">
        <v>0</v>
      </c>
      <c r="N38" s="65">
        <v>0</v>
      </c>
      <c r="O38" s="65">
        <v>5000</v>
      </c>
      <c r="P38" s="65">
        <v>1500</v>
      </c>
      <c r="Q38" s="65">
        <v>150</v>
      </c>
      <c r="R38" s="65">
        <v>0</v>
      </c>
      <c r="S38" s="65">
        <v>5000</v>
      </c>
      <c r="T38" s="65">
        <v>0</v>
      </c>
      <c r="U38" s="65">
        <v>0</v>
      </c>
      <c r="V38" s="65">
        <v>1141.3499999999999</v>
      </c>
      <c r="W38" s="65">
        <v>0</v>
      </c>
      <c r="X38" s="65">
        <v>0</v>
      </c>
      <c r="Y38" s="65">
        <v>12155</v>
      </c>
      <c r="Z38" s="65">
        <v>5000</v>
      </c>
      <c r="AA38" s="65">
        <v>12155</v>
      </c>
      <c r="AB38" s="65">
        <v>1458.6</v>
      </c>
      <c r="AC38" s="65">
        <v>100</v>
      </c>
      <c r="AD38" s="65">
        <v>150</v>
      </c>
      <c r="AE38" s="65">
        <v>100</v>
      </c>
      <c r="AF38" s="65">
        <v>0</v>
      </c>
      <c r="AG38" s="65">
        <v>0</v>
      </c>
      <c r="AH38" s="65">
        <v>0</v>
      </c>
      <c r="AI38" s="65">
        <v>0</v>
      </c>
      <c r="AJ38" s="65">
        <v>0</v>
      </c>
      <c r="AK38" s="65">
        <v>135635.76</v>
      </c>
    </row>
    <row r="39" spans="2:37" ht="12.75" customHeight="1" x14ac:dyDescent="0.35">
      <c r="B39" s="5">
        <v>25</v>
      </c>
      <c r="C39" s="60" t="s">
        <v>448</v>
      </c>
      <c r="D39" s="60" t="s">
        <v>525</v>
      </c>
      <c r="E39" s="60" t="s">
        <v>449</v>
      </c>
      <c r="F39" s="66" t="s">
        <v>215</v>
      </c>
      <c r="G39" s="82" t="s">
        <v>120</v>
      </c>
      <c r="H39" s="65">
        <v>0</v>
      </c>
      <c r="I39" s="65">
        <v>0</v>
      </c>
      <c r="J39" s="65">
        <v>0</v>
      </c>
      <c r="K39" s="65">
        <v>12927</v>
      </c>
      <c r="L39" s="65">
        <v>2000</v>
      </c>
      <c r="M39" s="65">
        <v>0</v>
      </c>
      <c r="N39" s="65">
        <v>0</v>
      </c>
      <c r="O39" s="65">
        <v>5000</v>
      </c>
      <c r="P39" s="65">
        <v>1500</v>
      </c>
      <c r="Q39" s="65">
        <v>150</v>
      </c>
      <c r="R39" s="65">
        <v>0</v>
      </c>
      <c r="S39" s="65">
        <v>5000</v>
      </c>
      <c r="T39" s="65">
        <v>0</v>
      </c>
      <c r="U39" s="65">
        <v>0</v>
      </c>
      <c r="V39" s="65">
        <v>1259.6500000000001</v>
      </c>
      <c r="W39" s="65">
        <v>0</v>
      </c>
      <c r="X39" s="65">
        <v>0</v>
      </c>
      <c r="Y39" s="65">
        <v>12927</v>
      </c>
      <c r="Z39" s="65">
        <v>5000</v>
      </c>
      <c r="AA39" s="65">
        <v>12927</v>
      </c>
      <c r="AB39" s="65">
        <v>1551.24</v>
      </c>
      <c r="AC39" s="65">
        <v>100</v>
      </c>
      <c r="AD39" s="65">
        <v>150</v>
      </c>
      <c r="AE39" s="65">
        <v>100</v>
      </c>
      <c r="AF39" s="65">
        <v>0</v>
      </c>
      <c r="AG39" s="65">
        <v>0</v>
      </c>
      <c r="AH39" s="65">
        <v>0</v>
      </c>
      <c r="AI39" s="65">
        <v>0</v>
      </c>
      <c r="AJ39" s="65">
        <v>0</v>
      </c>
      <c r="AK39" s="65">
        <v>105626.88</v>
      </c>
    </row>
    <row r="40" spans="2:37" ht="12.75" customHeight="1" x14ac:dyDescent="0.35">
      <c r="B40" s="5">
        <v>26</v>
      </c>
      <c r="C40" s="60" t="s">
        <v>508</v>
      </c>
      <c r="D40" s="60" t="s">
        <v>525</v>
      </c>
      <c r="E40" s="60" t="s">
        <v>449</v>
      </c>
      <c r="F40" s="66" t="s">
        <v>215</v>
      </c>
      <c r="G40" s="82" t="s">
        <v>551</v>
      </c>
      <c r="H40" s="65">
        <v>0</v>
      </c>
      <c r="I40" s="65">
        <v>0</v>
      </c>
      <c r="J40" s="65">
        <v>0</v>
      </c>
      <c r="K40" s="65">
        <v>10543</v>
      </c>
      <c r="L40" s="65">
        <v>2000</v>
      </c>
      <c r="M40" s="65">
        <v>0</v>
      </c>
      <c r="N40" s="65">
        <v>0</v>
      </c>
      <c r="O40" s="65">
        <v>5000</v>
      </c>
      <c r="P40" s="65">
        <v>1500</v>
      </c>
      <c r="Q40" s="65">
        <v>150</v>
      </c>
      <c r="R40" s="65">
        <v>0</v>
      </c>
      <c r="S40" s="65">
        <v>5000</v>
      </c>
      <c r="T40" s="65">
        <v>0</v>
      </c>
      <c r="U40" s="65">
        <v>0</v>
      </c>
      <c r="V40" s="65">
        <v>934.32</v>
      </c>
      <c r="W40" s="65">
        <v>0</v>
      </c>
      <c r="X40" s="65">
        <v>0</v>
      </c>
      <c r="Y40" s="65">
        <v>10543</v>
      </c>
      <c r="Z40" s="65">
        <v>5000</v>
      </c>
      <c r="AA40" s="65">
        <v>10543</v>
      </c>
      <c r="AB40" s="65">
        <v>1265.1600000000001</v>
      </c>
      <c r="AC40" s="65">
        <v>100</v>
      </c>
      <c r="AD40" s="65">
        <v>125</v>
      </c>
      <c r="AE40" s="65">
        <v>100</v>
      </c>
      <c r="AF40" s="65">
        <v>0</v>
      </c>
      <c r="AG40" s="65">
        <v>0</v>
      </c>
      <c r="AH40" s="65">
        <v>0</v>
      </c>
      <c r="AI40" s="65">
        <v>0</v>
      </c>
      <c r="AJ40" s="65">
        <v>0</v>
      </c>
      <c r="AK40" s="65">
        <v>260663.59999999998</v>
      </c>
    </row>
    <row r="41" spans="2:37" ht="12.75" customHeight="1" x14ac:dyDescent="0.35">
      <c r="B41" s="5">
        <v>27</v>
      </c>
      <c r="C41" s="60" t="s">
        <v>247</v>
      </c>
      <c r="D41" s="60" t="s">
        <v>526</v>
      </c>
      <c r="E41" s="60" t="s">
        <v>248</v>
      </c>
      <c r="F41" s="66" t="s">
        <v>215</v>
      </c>
      <c r="G41" s="82" t="s">
        <v>551</v>
      </c>
      <c r="H41" s="65">
        <v>0</v>
      </c>
      <c r="I41" s="65">
        <v>0</v>
      </c>
      <c r="J41" s="65">
        <v>0</v>
      </c>
      <c r="K41" s="65">
        <v>9981</v>
      </c>
      <c r="L41" s="65">
        <v>2000</v>
      </c>
      <c r="M41" s="65">
        <v>0</v>
      </c>
      <c r="N41" s="65">
        <v>0</v>
      </c>
      <c r="O41" s="65">
        <v>0</v>
      </c>
      <c r="P41" s="65">
        <v>1500</v>
      </c>
      <c r="Q41" s="65">
        <v>150</v>
      </c>
      <c r="R41" s="65">
        <v>0</v>
      </c>
      <c r="S41" s="65">
        <v>0</v>
      </c>
      <c r="T41" s="65">
        <v>0</v>
      </c>
      <c r="U41" s="65">
        <v>0</v>
      </c>
      <c r="V41" s="65">
        <v>889.35</v>
      </c>
      <c r="W41" s="65">
        <v>0</v>
      </c>
      <c r="X41" s="65">
        <v>0</v>
      </c>
      <c r="Y41" s="65">
        <v>0</v>
      </c>
      <c r="Z41" s="65">
        <v>500</v>
      </c>
      <c r="AA41" s="65">
        <v>0</v>
      </c>
      <c r="AB41" s="65">
        <v>1197.72</v>
      </c>
      <c r="AC41" s="65">
        <v>100</v>
      </c>
      <c r="AD41" s="65">
        <v>112.5</v>
      </c>
      <c r="AE41" s="65">
        <v>99.81</v>
      </c>
      <c r="AF41" s="65">
        <v>0</v>
      </c>
      <c r="AG41" s="65">
        <v>0</v>
      </c>
      <c r="AH41" s="65">
        <v>0</v>
      </c>
      <c r="AI41" s="65">
        <v>0</v>
      </c>
      <c r="AJ41" s="65">
        <v>0</v>
      </c>
      <c r="AK41" s="65">
        <v>264019.40000000002</v>
      </c>
    </row>
    <row r="42" spans="2:37" ht="12.75" customHeight="1" x14ac:dyDescent="0.35">
      <c r="B42" s="5">
        <v>28</v>
      </c>
      <c r="C42" s="60" t="s">
        <v>244</v>
      </c>
      <c r="D42" s="60" t="s">
        <v>527</v>
      </c>
      <c r="E42" s="60" t="s">
        <v>217</v>
      </c>
      <c r="F42" s="66" t="s">
        <v>215</v>
      </c>
      <c r="G42" s="82" t="s">
        <v>551</v>
      </c>
      <c r="H42" s="65">
        <v>0</v>
      </c>
      <c r="I42" s="65">
        <v>0</v>
      </c>
      <c r="J42" s="65">
        <v>0</v>
      </c>
      <c r="K42" s="65">
        <v>49764</v>
      </c>
      <c r="L42" s="65">
        <v>2000</v>
      </c>
      <c r="M42" s="65">
        <v>0</v>
      </c>
      <c r="N42" s="65">
        <v>0</v>
      </c>
      <c r="O42" s="65">
        <v>5000</v>
      </c>
      <c r="P42" s="65">
        <v>1500</v>
      </c>
      <c r="Q42" s="65">
        <v>150</v>
      </c>
      <c r="R42" s="65">
        <v>0</v>
      </c>
      <c r="S42" s="65">
        <v>5000</v>
      </c>
      <c r="T42" s="65">
        <v>0</v>
      </c>
      <c r="U42" s="65">
        <v>0</v>
      </c>
      <c r="V42" s="65">
        <v>925.5</v>
      </c>
      <c r="W42" s="65">
        <v>0</v>
      </c>
      <c r="X42" s="65">
        <v>0</v>
      </c>
      <c r="Y42" s="65">
        <v>49764</v>
      </c>
      <c r="Z42" s="65">
        <v>5000</v>
      </c>
      <c r="AA42" s="65">
        <v>49764</v>
      </c>
      <c r="AB42" s="65">
        <v>5971.68</v>
      </c>
      <c r="AC42" s="65">
        <v>100</v>
      </c>
      <c r="AD42" s="65">
        <v>437.5</v>
      </c>
      <c r="AE42" s="65">
        <v>100</v>
      </c>
      <c r="AF42" s="65">
        <v>0</v>
      </c>
      <c r="AG42" s="65">
        <v>0</v>
      </c>
      <c r="AH42" s="65">
        <v>0</v>
      </c>
      <c r="AI42" s="65">
        <v>0</v>
      </c>
      <c r="AJ42" s="65">
        <v>10000</v>
      </c>
      <c r="AK42" s="65">
        <v>277508.68</v>
      </c>
    </row>
    <row r="43" spans="2:37" ht="12.75" customHeight="1" x14ac:dyDescent="0.35">
      <c r="B43" s="5">
        <v>29</v>
      </c>
      <c r="C43" s="60" t="s">
        <v>254</v>
      </c>
      <c r="D43" s="60" t="s">
        <v>527</v>
      </c>
      <c r="E43" s="60" t="s">
        <v>255</v>
      </c>
      <c r="F43" s="66" t="s">
        <v>215</v>
      </c>
      <c r="G43" s="82" t="s">
        <v>551</v>
      </c>
      <c r="H43" s="65">
        <v>0</v>
      </c>
      <c r="I43" s="65">
        <v>0</v>
      </c>
      <c r="J43" s="65">
        <v>0</v>
      </c>
      <c r="K43" s="65">
        <v>50443</v>
      </c>
      <c r="L43" s="65">
        <v>2000</v>
      </c>
      <c r="M43" s="65">
        <v>0</v>
      </c>
      <c r="N43" s="65">
        <v>0</v>
      </c>
      <c r="O43" s="65">
        <v>5000</v>
      </c>
      <c r="P43" s="65">
        <v>1500</v>
      </c>
      <c r="Q43" s="65">
        <v>150</v>
      </c>
      <c r="R43" s="65">
        <v>0</v>
      </c>
      <c r="S43" s="65">
        <v>5000</v>
      </c>
      <c r="T43" s="65">
        <v>0</v>
      </c>
      <c r="U43" s="65">
        <v>0</v>
      </c>
      <c r="V43" s="65">
        <v>925.5</v>
      </c>
      <c r="W43" s="65">
        <v>0</v>
      </c>
      <c r="X43" s="65">
        <v>0</v>
      </c>
      <c r="Y43" s="65">
        <v>50443</v>
      </c>
      <c r="Z43" s="65">
        <v>5000</v>
      </c>
      <c r="AA43" s="65">
        <v>50443</v>
      </c>
      <c r="AB43" s="65">
        <v>6053.16</v>
      </c>
      <c r="AC43" s="65">
        <v>100</v>
      </c>
      <c r="AD43" s="65">
        <v>437.5</v>
      </c>
      <c r="AE43" s="65">
        <v>100</v>
      </c>
      <c r="AF43" s="65">
        <v>0</v>
      </c>
      <c r="AG43" s="65">
        <v>0</v>
      </c>
      <c r="AH43" s="65">
        <v>0</v>
      </c>
      <c r="AI43" s="65">
        <v>0</v>
      </c>
      <c r="AJ43" s="65">
        <v>0</v>
      </c>
      <c r="AK43" s="65">
        <v>263469.40000000002</v>
      </c>
    </row>
    <row r="44" spans="2:37" ht="12.75" customHeight="1" x14ac:dyDescent="0.35">
      <c r="B44" s="5">
        <v>30</v>
      </c>
      <c r="C44" s="60" t="s">
        <v>229</v>
      </c>
      <c r="D44" s="60" t="s">
        <v>528</v>
      </c>
      <c r="E44" s="60" t="s">
        <v>217</v>
      </c>
      <c r="F44" s="66" t="s">
        <v>215</v>
      </c>
      <c r="G44" s="82" t="s">
        <v>551</v>
      </c>
      <c r="H44" s="65">
        <v>0</v>
      </c>
      <c r="I44" s="65">
        <v>0</v>
      </c>
      <c r="J44" s="65">
        <v>0</v>
      </c>
      <c r="K44" s="65">
        <v>49764</v>
      </c>
      <c r="L44" s="65">
        <v>2000</v>
      </c>
      <c r="M44" s="65">
        <v>0</v>
      </c>
      <c r="N44" s="65">
        <v>0</v>
      </c>
      <c r="O44" s="65">
        <v>5000</v>
      </c>
      <c r="P44" s="65">
        <v>1500</v>
      </c>
      <c r="Q44" s="65">
        <v>150</v>
      </c>
      <c r="R44" s="65">
        <v>0</v>
      </c>
      <c r="S44" s="65">
        <v>5000</v>
      </c>
      <c r="T44" s="65">
        <v>0</v>
      </c>
      <c r="U44" s="65">
        <v>0</v>
      </c>
      <c r="V44" s="65">
        <v>925.5</v>
      </c>
      <c r="W44" s="65">
        <v>0</v>
      </c>
      <c r="X44" s="65">
        <v>0</v>
      </c>
      <c r="Y44" s="65">
        <v>50443</v>
      </c>
      <c r="Z44" s="65">
        <v>5000</v>
      </c>
      <c r="AA44" s="65">
        <v>49764</v>
      </c>
      <c r="AB44" s="65">
        <v>6053.16</v>
      </c>
      <c r="AC44" s="65">
        <v>100</v>
      </c>
      <c r="AD44" s="65">
        <v>437.5</v>
      </c>
      <c r="AE44" s="65">
        <v>100</v>
      </c>
      <c r="AF44" s="65">
        <v>0</v>
      </c>
      <c r="AG44" s="65">
        <v>0</v>
      </c>
      <c r="AH44" s="65">
        <v>0</v>
      </c>
      <c r="AI44" s="65">
        <v>0</v>
      </c>
      <c r="AJ44" s="65">
        <v>0</v>
      </c>
      <c r="AK44" s="65">
        <v>235845.76000000001</v>
      </c>
    </row>
    <row r="45" spans="2:37" ht="12.75" customHeight="1" x14ac:dyDescent="0.35">
      <c r="B45" s="5">
        <v>31</v>
      </c>
      <c r="C45" s="60" t="s">
        <v>278</v>
      </c>
      <c r="D45" s="60" t="s">
        <v>528</v>
      </c>
      <c r="E45" s="60" t="s">
        <v>279</v>
      </c>
      <c r="F45" s="66" t="s">
        <v>215</v>
      </c>
      <c r="G45" s="82" t="s">
        <v>551</v>
      </c>
      <c r="H45" s="65">
        <v>0</v>
      </c>
      <c r="I45" s="65">
        <v>0</v>
      </c>
      <c r="J45" s="65">
        <v>0</v>
      </c>
      <c r="K45" s="65">
        <v>47779</v>
      </c>
      <c r="L45" s="65">
        <v>2000</v>
      </c>
      <c r="M45" s="65">
        <v>0</v>
      </c>
      <c r="N45" s="65">
        <v>0</v>
      </c>
      <c r="O45" s="65">
        <v>5000</v>
      </c>
      <c r="P45" s="65">
        <v>1500</v>
      </c>
      <c r="Q45" s="65">
        <v>150</v>
      </c>
      <c r="R45" s="65">
        <v>0</v>
      </c>
      <c r="S45" s="65">
        <v>5000</v>
      </c>
      <c r="T45" s="65">
        <v>0</v>
      </c>
      <c r="U45" s="65">
        <v>0</v>
      </c>
      <c r="V45" s="65">
        <v>925.5</v>
      </c>
      <c r="W45" s="65">
        <v>0</v>
      </c>
      <c r="X45" s="65">
        <v>0</v>
      </c>
      <c r="Y45" s="65">
        <v>47779</v>
      </c>
      <c r="Z45" s="65">
        <v>5000</v>
      </c>
      <c r="AA45" s="65">
        <v>47779</v>
      </c>
      <c r="AB45" s="65">
        <v>5733.48</v>
      </c>
      <c r="AC45" s="65">
        <v>100</v>
      </c>
      <c r="AD45" s="65">
        <v>437.5</v>
      </c>
      <c r="AE45" s="65">
        <v>100</v>
      </c>
      <c r="AF45" s="65">
        <v>0</v>
      </c>
      <c r="AG45" s="65">
        <v>0</v>
      </c>
      <c r="AH45" s="65">
        <v>0</v>
      </c>
      <c r="AI45" s="65">
        <v>0</v>
      </c>
      <c r="AJ45" s="65">
        <v>0</v>
      </c>
      <c r="AK45" s="65">
        <v>180864.56</v>
      </c>
    </row>
    <row r="46" spans="2:37" ht="12.75" customHeight="1" x14ac:dyDescent="0.35">
      <c r="B46" s="5">
        <v>32</v>
      </c>
      <c r="C46" s="60" t="s">
        <v>296</v>
      </c>
      <c r="D46" s="60" t="s">
        <v>297</v>
      </c>
      <c r="E46" s="60" t="s">
        <v>252</v>
      </c>
      <c r="F46" s="66" t="s">
        <v>215</v>
      </c>
      <c r="G46" s="82" t="s">
        <v>298</v>
      </c>
      <c r="H46" s="65">
        <v>0</v>
      </c>
      <c r="I46" s="65">
        <v>0</v>
      </c>
      <c r="J46" s="65">
        <v>0</v>
      </c>
      <c r="K46" s="65">
        <v>47779</v>
      </c>
      <c r="L46" s="65">
        <v>2000</v>
      </c>
      <c r="M46" s="65">
        <v>0</v>
      </c>
      <c r="N46" s="65">
        <v>0</v>
      </c>
      <c r="O46" s="65">
        <v>5000</v>
      </c>
      <c r="P46" s="65">
        <v>1500</v>
      </c>
      <c r="Q46" s="65">
        <v>150</v>
      </c>
      <c r="R46" s="65">
        <v>0</v>
      </c>
      <c r="S46" s="65">
        <v>5000</v>
      </c>
      <c r="T46" s="65">
        <v>0</v>
      </c>
      <c r="U46" s="65">
        <v>0</v>
      </c>
      <c r="V46" s="65">
        <v>925.5</v>
      </c>
      <c r="W46" s="65">
        <v>0</v>
      </c>
      <c r="X46" s="65">
        <v>0</v>
      </c>
      <c r="Y46" s="65">
        <v>47779</v>
      </c>
      <c r="Z46" s="65">
        <v>5000</v>
      </c>
      <c r="AA46" s="65">
        <v>47779</v>
      </c>
      <c r="AB46" s="65">
        <v>5733.48</v>
      </c>
      <c r="AC46" s="65">
        <v>100</v>
      </c>
      <c r="AD46" s="65">
        <v>437.5</v>
      </c>
      <c r="AE46" s="65">
        <v>100</v>
      </c>
      <c r="AF46" s="65">
        <v>0</v>
      </c>
      <c r="AG46" s="65">
        <v>0</v>
      </c>
      <c r="AH46" s="65">
        <v>0</v>
      </c>
      <c r="AI46" s="65">
        <v>0</v>
      </c>
      <c r="AJ46" s="65">
        <v>0</v>
      </c>
      <c r="AK46" s="65">
        <v>486000</v>
      </c>
    </row>
    <row r="47" spans="2:37" ht="12.75" customHeight="1" x14ac:dyDescent="0.35">
      <c r="B47" s="5">
        <v>33</v>
      </c>
      <c r="C47" s="60" t="s">
        <v>302</v>
      </c>
      <c r="D47" s="60" t="s">
        <v>297</v>
      </c>
      <c r="E47" s="60" t="s">
        <v>252</v>
      </c>
      <c r="F47" s="66" t="s">
        <v>215</v>
      </c>
      <c r="G47" s="82" t="s">
        <v>298</v>
      </c>
      <c r="H47" s="65" t="s">
        <v>482</v>
      </c>
      <c r="I47" s="65" t="s">
        <v>483</v>
      </c>
      <c r="J47" s="65" t="s">
        <v>484</v>
      </c>
      <c r="K47" s="65">
        <v>0</v>
      </c>
      <c r="L47" s="65">
        <v>0</v>
      </c>
      <c r="M47" s="65">
        <v>0</v>
      </c>
      <c r="N47" s="65">
        <v>0</v>
      </c>
      <c r="O47" s="65">
        <v>0</v>
      </c>
      <c r="P47" s="65">
        <v>0</v>
      </c>
      <c r="Q47" s="65">
        <v>0</v>
      </c>
      <c r="R47" s="65">
        <v>0</v>
      </c>
      <c r="S47" s="65">
        <v>0</v>
      </c>
      <c r="T47" s="65">
        <v>0</v>
      </c>
      <c r="U47" s="65">
        <v>0</v>
      </c>
      <c r="V47" s="65">
        <v>0</v>
      </c>
      <c r="W47" s="65">
        <v>0</v>
      </c>
      <c r="X47" s="65">
        <v>0</v>
      </c>
      <c r="Y47" s="65">
        <v>0</v>
      </c>
      <c r="Z47" s="65">
        <v>0</v>
      </c>
      <c r="AA47" s="65">
        <v>0</v>
      </c>
      <c r="AB47" s="65">
        <v>0</v>
      </c>
      <c r="AC47" s="65">
        <v>0</v>
      </c>
      <c r="AD47" s="65">
        <v>0</v>
      </c>
      <c r="AE47" s="65">
        <v>0</v>
      </c>
      <c r="AF47" s="65">
        <v>0</v>
      </c>
      <c r="AG47" s="65">
        <v>0</v>
      </c>
      <c r="AH47" s="65">
        <v>0</v>
      </c>
      <c r="AI47" s="65">
        <v>0</v>
      </c>
      <c r="AJ47" s="65">
        <v>0</v>
      </c>
      <c r="AK47" s="65">
        <v>228269.12</v>
      </c>
    </row>
    <row r="48" spans="2:37" ht="12.75" customHeight="1" x14ac:dyDescent="0.35">
      <c r="B48" s="5">
        <v>34</v>
      </c>
      <c r="C48" s="60" t="s">
        <v>305</v>
      </c>
      <c r="D48" s="60" t="s">
        <v>297</v>
      </c>
      <c r="E48" s="60" t="s">
        <v>552</v>
      </c>
      <c r="F48" s="66" t="s">
        <v>306</v>
      </c>
      <c r="G48" s="82" t="s">
        <v>298</v>
      </c>
      <c r="H48" s="65">
        <v>0</v>
      </c>
      <c r="I48" s="65">
        <v>0</v>
      </c>
      <c r="J48" s="65">
        <v>0</v>
      </c>
      <c r="K48" s="65">
        <v>27565</v>
      </c>
      <c r="L48" s="65">
        <v>2000</v>
      </c>
      <c r="M48" s="65">
        <v>0</v>
      </c>
      <c r="N48" s="65">
        <v>0</v>
      </c>
      <c r="O48" s="65">
        <v>5000</v>
      </c>
      <c r="P48" s="65">
        <v>1500</v>
      </c>
      <c r="Q48" s="65">
        <v>150</v>
      </c>
      <c r="R48" s="65">
        <v>0</v>
      </c>
      <c r="S48" s="65">
        <v>5000</v>
      </c>
      <c r="T48" s="65">
        <v>0</v>
      </c>
      <c r="U48" s="65">
        <v>0</v>
      </c>
      <c r="V48" s="65">
        <v>2327.5</v>
      </c>
      <c r="W48" s="65">
        <v>0</v>
      </c>
      <c r="X48" s="65">
        <v>0</v>
      </c>
      <c r="Y48" s="65">
        <v>27565</v>
      </c>
      <c r="Z48" s="65">
        <v>5000</v>
      </c>
      <c r="AA48" s="65">
        <v>27565</v>
      </c>
      <c r="AB48" s="65">
        <v>3307.8</v>
      </c>
      <c r="AC48" s="65">
        <v>100</v>
      </c>
      <c r="AD48" s="65">
        <v>337.5</v>
      </c>
      <c r="AE48" s="65">
        <v>100</v>
      </c>
      <c r="AF48" s="65">
        <v>0</v>
      </c>
      <c r="AG48" s="65">
        <v>0</v>
      </c>
      <c r="AH48" s="65">
        <v>0</v>
      </c>
      <c r="AI48" s="65">
        <v>0</v>
      </c>
      <c r="AJ48" s="65">
        <v>0</v>
      </c>
      <c r="AK48" s="65">
        <v>25312.1</v>
      </c>
    </row>
    <row r="49" spans="2:37" ht="12.75" customHeight="1" x14ac:dyDescent="0.35">
      <c r="B49" s="5">
        <v>35</v>
      </c>
      <c r="C49" s="60" t="s">
        <v>249</v>
      </c>
      <c r="D49" s="60" t="s">
        <v>529</v>
      </c>
      <c r="E49" s="60" t="s">
        <v>219</v>
      </c>
      <c r="F49" s="66" t="s">
        <v>215</v>
      </c>
      <c r="G49" s="82" t="s">
        <v>551</v>
      </c>
      <c r="H49" s="65">
        <v>0</v>
      </c>
      <c r="I49" s="65">
        <v>0</v>
      </c>
      <c r="J49" s="65">
        <v>0</v>
      </c>
      <c r="K49" s="65">
        <v>29902</v>
      </c>
      <c r="L49" s="65">
        <v>2000</v>
      </c>
      <c r="M49" s="65">
        <v>0</v>
      </c>
      <c r="N49" s="65">
        <v>0</v>
      </c>
      <c r="O49" s="65">
        <v>5000</v>
      </c>
      <c r="P49" s="65">
        <v>1500</v>
      </c>
      <c r="Q49" s="65">
        <v>150</v>
      </c>
      <c r="R49" s="65">
        <v>0</v>
      </c>
      <c r="S49" s="65">
        <v>5000</v>
      </c>
      <c r="T49" s="65">
        <v>0</v>
      </c>
      <c r="U49" s="65">
        <v>0</v>
      </c>
      <c r="V49" s="65">
        <v>2506.35</v>
      </c>
      <c r="W49" s="65">
        <v>0</v>
      </c>
      <c r="X49" s="65">
        <v>0</v>
      </c>
      <c r="Y49" s="65">
        <v>29902</v>
      </c>
      <c r="Z49" s="65">
        <v>5000</v>
      </c>
      <c r="AA49" s="65">
        <v>29902</v>
      </c>
      <c r="AB49" s="65">
        <v>3588.24</v>
      </c>
      <c r="AC49" s="65">
        <v>100</v>
      </c>
      <c r="AD49" s="65">
        <v>362.5</v>
      </c>
      <c r="AE49" s="65">
        <v>100</v>
      </c>
      <c r="AF49" s="65">
        <v>0</v>
      </c>
      <c r="AG49" s="65">
        <v>0</v>
      </c>
      <c r="AH49" s="65">
        <v>0</v>
      </c>
      <c r="AI49" s="65">
        <v>0</v>
      </c>
      <c r="AJ49" s="65">
        <v>0</v>
      </c>
      <c r="AK49" s="65">
        <v>855012.16</v>
      </c>
    </row>
    <row r="50" spans="2:37" ht="12.75" customHeight="1" x14ac:dyDescent="0.35">
      <c r="B50" s="5">
        <v>36</v>
      </c>
      <c r="C50" s="60" t="s">
        <v>261</v>
      </c>
      <c r="D50" s="60" t="s">
        <v>529</v>
      </c>
      <c r="E50" s="60" t="s">
        <v>219</v>
      </c>
      <c r="F50" s="66" t="s">
        <v>215</v>
      </c>
      <c r="G50" s="82" t="s">
        <v>551</v>
      </c>
      <c r="H50" s="65" t="s">
        <v>337</v>
      </c>
      <c r="I50" s="65" t="s">
        <v>344</v>
      </c>
      <c r="J50" s="65" t="s">
        <v>345</v>
      </c>
      <c r="K50" s="65">
        <v>0</v>
      </c>
      <c r="L50" s="65">
        <v>0</v>
      </c>
      <c r="M50" s="65">
        <v>0</v>
      </c>
      <c r="N50" s="65">
        <v>0</v>
      </c>
      <c r="O50" s="65">
        <v>0</v>
      </c>
      <c r="P50" s="65">
        <v>0</v>
      </c>
      <c r="Q50" s="65">
        <v>0</v>
      </c>
      <c r="R50" s="65">
        <v>0</v>
      </c>
      <c r="S50" s="65">
        <v>0</v>
      </c>
      <c r="T50" s="65">
        <v>0</v>
      </c>
      <c r="U50" s="65">
        <v>0</v>
      </c>
      <c r="V50" s="65">
        <v>0</v>
      </c>
      <c r="W50" s="65">
        <v>0</v>
      </c>
      <c r="X50" s="65">
        <v>0</v>
      </c>
      <c r="Y50" s="65">
        <v>0</v>
      </c>
      <c r="Z50" s="65">
        <v>0</v>
      </c>
      <c r="AA50" s="65">
        <v>0</v>
      </c>
      <c r="AB50" s="65">
        <v>0</v>
      </c>
      <c r="AC50" s="65">
        <v>0</v>
      </c>
      <c r="AD50" s="65">
        <v>0</v>
      </c>
      <c r="AE50" s="65">
        <v>0</v>
      </c>
      <c r="AF50" s="65">
        <v>0</v>
      </c>
      <c r="AG50" s="65">
        <v>0</v>
      </c>
      <c r="AH50" s="65">
        <v>0</v>
      </c>
      <c r="AI50" s="65">
        <v>0</v>
      </c>
      <c r="AJ50" s="65">
        <v>0</v>
      </c>
      <c r="AK50" s="65">
        <v>855645.92</v>
      </c>
    </row>
    <row r="51" spans="2:37" ht="12.75" customHeight="1" x14ac:dyDescent="0.35">
      <c r="B51" s="5">
        <v>37</v>
      </c>
      <c r="C51" s="60" t="s">
        <v>275</v>
      </c>
      <c r="D51" s="60" t="s">
        <v>529</v>
      </c>
      <c r="E51" s="60" t="s">
        <v>219</v>
      </c>
      <c r="F51" s="66" t="s">
        <v>215</v>
      </c>
      <c r="G51" s="82" t="s">
        <v>551</v>
      </c>
      <c r="H51" s="65" t="s">
        <v>337</v>
      </c>
      <c r="I51" s="65" t="s">
        <v>453</v>
      </c>
      <c r="J51" s="65" t="s">
        <v>454</v>
      </c>
      <c r="K51" s="65">
        <v>0</v>
      </c>
      <c r="L51" s="65">
        <v>0</v>
      </c>
      <c r="M51" s="65">
        <v>0</v>
      </c>
      <c r="N51" s="65">
        <v>0</v>
      </c>
      <c r="O51" s="65">
        <v>0</v>
      </c>
      <c r="P51" s="65">
        <v>0</v>
      </c>
      <c r="Q51" s="65">
        <v>0</v>
      </c>
      <c r="R51" s="65">
        <v>0</v>
      </c>
      <c r="S51" s="65">
        <v>0</v>
      </c>
      <c r="T51" s="65">
        <v>0</v>
      </c>
      <c r="U51" s="65">
        <v>0</v>
      </c>
      <c r="V51" s="65">
        <v>0</v>
      </c>
      <c r="W51" s="65">
        <v>0</v>
      </c>
      <c r="X51" s="65">
        <v>0</v>
      </c>
      <c r="Y51" s="65">
        <v>0</v>
      </c>
      <c r="Z51" s="65">
        <v>0</v>
      </c>
      <c r="AA51" s="65">
        <v>0</v>
      </c>
      <c r="AB51" s="65">
        <v>0</v>
      </c>
      <c r="AC51" s="65">
        <v>0</v>
      </c>
      <c r="AD51" s="65">
        <v>0</v>
      </c>
      <c r="AE51" s="65">
        <v>0</v>
      </c>
      <c r="AF51" s="65">
        <v>0</v>
      </c>
      <c r="AG51" s="65">
        <v>0</v>
      </c>
      <c r="AH51" s="65">
        <v>0</v>
      </c>
      <c r="AI51" s="65">
        <v>0</v>
      </c>
      <c r="AJ51" s="65">
        <v>0</v>
      </c>
      <c r="AK51" s="65">
        <v>831457.86</v>
      </c>
    </row>
    <row r="52" spans="2:37" ht="12.75" customHeight="1" x14ac:dyDescent="0.35">
      <c r="B52" s="5">
        <v>38</v>
      </c>
      <c r="C52" s="60" t="s">
        <v>281</v>
      </c>
      <c r="D52" s="60" t="s">
        <v>529</v>
      </c>
      <c r="E52" s="60" t="s">
        <v>252</v>
      </c>
      <c r="F52" s="66" t="s">
        <v>215</v>
      </c>
      <c r="G52" s="82" t="s">
        <v>551</v>
      </c>
      <c r="H52" s="65" t="s">
        <v>337</v>
      </c>
      <c r="I52" s="65" t="s">
        <v>503</v>
      </c>
      <c r="J52" s="65" t="s">
        <v>504</v>
      </c>
      <c r="K52" s="65">
        <v>0</v>
      </c>
      <c r="L52" s="65">
        <v>0</v>
      </c>
      <c r="M52" s="65">
        <v>0</v>
      </c>
      <c r="N52" s="65">
        <v>0</v>
      </c>
      <c r="O52" s="65">
        <v>0</v>
      </c>
      <c r="P52" s="65">
        <v>0</v>
      </c>
      <c r="Q52" s="65">
        <v>0</v>
      </c>
      <c r="R52" s="65">
        <v>0</v>
      </c>
      <c r="S52" s="65">
        <v>0</v>
      </c>
      <c r="T52" s="65">
        <v>0</v>
      </c>
      <c r="U52" s="65">
        <v>0</v>
      </c>
      <c r="V52" s="65">
        <v>0</v>
      </c>
      <c r="W52" s="65">
        <v>0</v>
      </c>
      <c r="X52" s="65">
        <v>0</v>
      </c>
      <c r="Y52" s="65">
        <v>0</v>
      </c>
      <c r="Z52" s="65">
        <v>0</v>
      </c>
      <c r="AA52" s="65">
        <v>0</v>
      </c>
      <c r="AB52" s="65">
        <v>0</v>
      </c>
      <c r="AC52" s="65">
        <v>0</v>
      </c>
      <c r="AD52" s="65">
        <v>0</v>
      </c>
      <c r="AE52" s="65">
        <v>0</v>
      </c>
      <c r="AF52" s="65">
        <v>0</v>
      </c>
      <c r="AG52" s="65">
        <v>0</v>
      </c>
      <c r="AH52" s="65">
        <v>0</v>
      </c>
      <c r="AI52" s="65">
        <v>0</v>
      </c>
      <c r="AJ52" s="65">
        <v>0</v>
      </c>
      <c r="AK52" s="65">
        <v>815013.76</v>
      </c>
    </row>
    <row r="53" spans="2:37" ht="12.75" customHeight="1" x14ac:dyDescent="0.35">
      <c r="B53" s="5">
        <v>39</v>
      </c>
      <c r="C53" s="60" t="s">
        <v>293</v>
      </c>
      <c r="D53" s="60" t="s">
        <v>529</v>
      </c>
      <c r="E53" s="60" t="s">
        <v>552</v>
      </c>
      <c r="F53" s="66" t="s">
        <v>215</v>
      </c>
      <c r="G53" s="82" t="s">
        <v>551</v>
      </c>
      <c r="H53" s="65" t="s">
        <v>299</v>
      </c>
      <c r="I53" s="65" t="s">
        <v>300</v>
      </c>
      <c r="J53" s="65" t="s">
        <v>301</v>
      </c>
      <c r="K53" s="65">
        <v>40500</v>
      </c>
      <c r="L53" s="65">
        <v>0</v>
      </c>
      <c r="M53" s="65">
        <v>0</v>
      </c>
      <c r="N53" s="65">
        <v>0</v>
      </c>
      <c r="O53" s="65">
        <v>0</v>
      </c>
      <c r="P53" s="65">
        <v>0</v>
      </c>
      <c r="Q53" s="65">
        <v>0</v>
      </c>
      <c r="R53" s="65">
        <v>0</v>
      </c>
      <c r="S53" s="65">
        <v>0</v>
      </c>
      <c r="T53" s="65">
        <v>0</v>
      </c>
      <c r="U53" s="65">
        <v>0</v>
      </c>
      <c r="V53" s="65">
        <v>0</v>
      </c>
      <c r="W53" s="65">
        <v>0</v>
      </c>
      <c r="X53" s="65">
        <v>0</v>
      </c>
      <c r="Y53" s="65">
        <v>0</v>
      </c>
      <c r="Z53" s="65">
        <v>0</v>
      </c>
      <c r="AA53" s="65">
        <v>0</v>
      </c>
      <c r="AB53" s="65">
        <v>0</v>
      </c>
      <c r="AC53" s="65">
        <v>0</v>
      </c>
      <c r="AD53" s="65">
        <v>0</v>
      </c>
      <c r="AE53" s="65">
        <v>0</v>
      </c>
      <c r="AF53" s="65">
        <v>0</v>
      </c>
      <c r="AG53" s="65">
        <v>0</v>
      </c>
      <c r="AH53" s="65">
        <v>0</v>
      </c>
      <c r="AI53" s="65">
        <v>0</v>
      </c>
      <c r="AJ53" s="65">
        <v>0</v>
      </c>
      <c r="AK53" s="65">
        <v>814763.76</v>
      </c>
    </row>
    <row r="54" spans="2:37" ht="12.75" customHeight="1" x14ac:dyDescent="0.35">
      <c r="B54" s="5">
        <v>40</v>
      </c>
      <c r="C54" s="60" t="s">
        <v>343</v>
      </c>
      <c r="D54" s="60" t="s">
        <v>530</v>
      </c>
      <c r="E54" s="60" t="s">
        <v>255</v>
      </c>
      <c r="F54" s="66" t="s">
        <v>215</v>
      </c>
      <c r="G54" s="82" t="s">
        <v>120</v>
      </c>
      <c r="H54" s="65" t="s">
        <v>299</v>
      </c>
      <c r="I54" s="65" t="s">
        <v>303</v>
      </c>
      <c r="J54" s="65" t="s">
        <v>304</v>
      </c>
      <c r="K54" s="65">
        <v>40500</v>
      </c>
      <c r="L54" s="65">
        <v>0</v>
      </c>
      <c r="M54" s="65">
        <v>0</v>
      </c>
      <c r="N54" s="65">
        <v>0</v>
      </c>
      <c r="O54" s="65">
        <v>0</v>
      </c>
      <c r="P54" s="65">
        <v>0</v>
      </c>
      <c r="Q54" s="65">
        <v>0</v>
      </c>
      <c r="R54" s="65">
        <v>0</v>
      </c>
      <c r="S54" s="65">
        <v>0</v>
      </c>
      <c r="T54" s="65">
        <v>0</v>
      </c>
      <c r="U54" s="65">
        <v>0</v>
      </c>
      <c r="V54" s="65">
        <v>0</v>
      </c>
      <c r="W54" s="65">
        <v>0</v>
      </c>
      <c r="X54" s="65">
        <v>0</v>
      </c>
      <c r="Y54" s="65">
        <v>0</v>
      </c>
      <c r="Z54" s="65">
        <v>0</v>
      </c>
      <c r="AA54" s="65">
        <v>0</v>
      </c>
      <c r="AB54" s="65">
        <v>0</v>
      </c>
      <c r="AC54" s="65">
        <v>0</v>
      </c>
      <c r="AD54" s="65">
        <v>0</v>
      </c>
      <c r="AE54" s="65">
        <v>0</v>
      </c>
      <c r="AF54" s="65">
        <v>0</v>
      </c>
      <c r="AG54" s="65">
        <v>0</v>
      </c>
      <c r="AH54" s="65">
        <v>0</v>
      </c>
      <c r="AI54" s="65">
        <v>0</v>
      </c>
      <c r="AJ54" s="65">
        <v>0</v>
      </c>
      <c r="AK54" s="65">
        <v>129215.13</v>
      </c>
    </row>
    <row r="55" spans="2:37" ht="12.75" customHeight="1" x14ac:dyDescent="0.35">
      <c r="B55" s="5">
        <v>41</v>
      </c>
      <c r="C55" s="60" t="s">
        <v>452</v>
      </c>
      <c r="D55" s="60" t="s">
        <v>530</v>
      </c>
      <c r="E55" s="60" t="s">
        <v>255</v>
      </c>
      <c r="F55" s="66" t="s">
        <v>215</v>
      </c>
      <c r="G55" s="82" t="s">
        <v>120</v>
      </c>
      <c r="H55" s="65" t="s">
        <v>299</v>
      </c>
      <c r="I55" s="65" t="s">
        <v>307</v>
      </c>
      <c r="J55" s="65" t="s">
        <v>308</v>
      </c>
      <c r="K55" s="65">
        <v>40500</v>
      </c>
      <c r="L55" s="65">
        <v>0</v>
      </c>
      <c r="M55" s="65">
        <v>0</v>
      </c>
      <c r="N55" s="65">
        <v>0</v>
      </c>
      <c r="O55" s="65">
        <v>0</v>
      </c>
      <c r="P55" s="65">
        <v>0</v>
      </c>
      <c r="Q55" s="65">
        <v>0</v>
      </c>
      <c r="R55" s="65">
        <v>0</v>
      </c>
      <c r="S55" s="65">
        <v>0</v>
      </c>
      <c r="T55" s="65">
        <v>0</v>
      </c>
      <c r="U55" s="65">
        <v>0</v>
      </c>
      <c r="V55" s="65">
        <v>0</v>
      </c>
      <c r="W55" s="65">
        <v>0</v>
      </c>
      <c r="X55" s="65">
        <v>0</v>
      </c>
      <c r="Y55" s="65">
        <v>0</v>
      </c>
      <c r="Z55" s="65">
        <v>0</v>
      </c>
      <c r="AA55" s="65">
        <v>0</v>
      </c>
      <c r="AB55" s="65">
        <v>0</v>
      </c>
      <c r="AC55" s="65">
        <v>0</v>
      </c>
      <c r="AD55" s="65">
        <v>0</v>
      </c>
      <c r="AE55" s="65">
        <v>0</v>
      </c>
      <c r="AF55" s="65">
        <v>0</v>
      </c>
      <c r="AG55" s="65">
        <v>0</v>
      </c>
      <c r="AH55" s="65">
        <v>0</v>
      </c>
      <c r="AI55" s="65">
        <v>0</v>
      </c>
      <c r="AJ55" s="65">
        <v>0</v>
      </c>
      <c r="AK55" s="65">
        <v>118495.48</v>
      </c>
    </row>
    <row r="56" spans="2:37" ht="12.75" customHeight="1" x14ac:dyDescent="0.35">
      <c r="B56" s="5">
        <v>42</v>
      </c>
      <c r="C56" s="60" t="s">
        <v>481</v>
      </c>
      <c r="D56" s="60" t="s">
        <v>530</v>
      </c>
      <c r="E56" s="60" t="s">
        <v>255</v>
      </c>
      <c r="F56" s="66" t="s">
        <v>215</v>
      </c>
      <c r="G56" s="82" t="s">
        <v>120</v>
      </c>
      <c r="H56" s="65">
        <v>0</v>
      </c>
      <c r="I56" s="65">
        <v>0</v>
      </c>
      <c r="J56" s="65">
        <v>0</v>
      </c>
      <c r="K56" s="65">
        <v>20567</v>
      </c>
      <c r="L56" s="65">
        <v>2000</v>
      </c>
      <c r="M56" s="65">
        <v>0</v>
      </c>
      <c r="N56" s="65">
        <v>0</v>
      </c>
      <c r="O56" s="65">
        <v>5000</v>
      </c>
      <c r="P56" s="65">
        <v>1500</v>
      </c>
      <c r="Q56" s="65">
        <v>150</v>
      </c>
      <c r="R56" s="65">
        <v>0</v>
      </c>
      <c r="S56" s="65">
        <v>5000</v>
      </c>
      <c r="T56" s="65">
        <v>0</v>
      </c>
      <c r="U56" s="65">
        <v>0</v>
      </c>
      <c r="V56" s="65">
        <v>1843.62</v>
      </c>
      <c r="W56" s="65">
        <v>0</v>
      </c>
      <c r="X56" s="65">
        <v>0</v>
      </c>
      <c r="Y56" s="65">
        <v>20567</v>
      </c>
      <c r="Z56" s="65">
        <v>5000</v>
      </c>
      <c r="AA56" s="65">
        <v>20567</v>
      </c>
      <c r="AB56" s="65">
        <v>2468.04</v>
      </c>
      <c r="AC56" s="65">
        <v>100</v>
      </c>
      <c r="AD56" s="65">
        <v>250</v>
      </c>
      <c r="AE56" s="65">
        <v>100</v>
      </c>
      <c r="AF56" s="65">
        <v>0</v>
      </c>
      <c r="AG56" s="65">
        <v>0</v>
      </c>
      <c r="AH56" s="65">
        <v>0</v>
      </c>
      <c r="AI56" s="65">
        <v>0</v>
      </c>
      <c r="AJ56" s="65">
        <v>5000</v>
      </c>
      <c r="AK56" s="65">
        <v>123586.44</v>
      </c>
    </row>
    <row r="57" spans="2:37" ht="12.75" customHeight="1" x14ac:dyDescent="0.35">
      <c r="B57" s="5">
        <v>43</v>
      </c>
      <c r="C57" s="60" t="s">
        <v>502</v>
      </c>
      <c r="D57" s="60" t="s">
        <v>530</v>
      </c>
      <c r="E57" s="60" t="s">
        <v>255</v>
      </c>
      <c r="F57" s="66" t="s">
        <v>215</v>
      </c>
      <c r="G57" s="82" t="s">
        <v>120</v>
      </c>
      <c r="H57" s="65">
        <v>0</v>
      </c>
      <c r="I57" s="65">
        <v>0</v>
      </c>
      <c r="J57" s="65">
        <v>0</v>
      </c>
      <c r="K57" s="65">
        <v>19620</v>
      </c>
      <c r="L57" s="65">
        <v>2000</v>
      </c>
      <c r="M57" s="65">
        <v>0</v>
      </c>
      <c r="N57" s="65">
        <v>0</v>
      </c>
      <c r="O57" s="65">
        <v>0</v>
      </c>
      <c r="P57" s="65">
        <v>1500</v>
      </c>
      <c r="Q57" s="65">
        <v>150</v>
      </c>
      <c r="R57" s="65">
        <v>0</v>
      </c>
      <c r="S57" s="65">
        <v>0</v>
      </c>
      <c r="T57" s="65">
        <v>0</v>
      </c>
      <c r="U57" s="65">
        <v>0</v>
      </c>
      <c r="V57" s="65">
        <v>1843.62</v>
      </c>
      <c r="W57" s="65">
        <v>0</v>
      </c>
      <c r="X57" s="65">
        <v>0</v>
      </c>
      <c r="Y57" s="65">
        <v>0</v>
      </c>
      <c r="Z57" s="65">
        <v>500</v>
      </c>
      <c r="AA57" s="65">
        <v>0</v>
      </c>
      <c r="AB57" s="65">
        <v>2354.4</v>
      </c>
      <c r="AC57" s="65">
        <v>100</v>
      </c>
      <c r="AD57" s="65">
        <v>237.5</v>
      </c>
      <c r="AE57" s="65">
        <v>100</v>
      </c>
      <c r="AF57" s="65">
        <v>0</v>
      </c>
      <c r="AG57" s="65">
        <v>0</v>
      </c>
      <c r="AH57" s="65">
        <v>0</v>
      </c>
      <c r="AI57" s="65">
        <v>0</v>
      </c>
      <c r="AJ57" s="65">
        <v>0</v>
      </c>
      <c r="AK57" s="65">
        <v>119944.08</v>
      </c>
    </row>
    <row r="58" spans="2:37" ht="12.75" customHeight="1" x14ac:dyDescent="0.35">
      <c r="B58" s="5">
        <v>44</v>
      </c>
      <c r="C58" s="60" t="s">
        <v>271</v>
      </c>
      <c r="D58" s="60" t="s">
        <v>531</v>
      </c>
      <c r="E58" s="60" t="s">
        <v>553</v>
      </c>
      <c r="F58" s="66" t="s">
        <v>215</v>
      </c>
      <c r="G58" s="82" t="s">
        <v>551</v>
      </c>
      <c r="H58" s="65">
        <v>0</v>
      </c>
      <c r="I58" s="65">
        <v>0</v>
      </c>
      <c r="J58" s="65">
        <v>0</v>
      </c>
      <c r="K58" s="65">
        <v>19620</v>
      </c>
      <c r="L58" s="65">
        <v>2000</v>
      </c>
      <c r="M58" s="65">
        <v>0</v>
      </c>
      <c r="N58" s="65">
        <v>0</v>
      </c>
      <c r="O58" s="65">
        <v>5000</v>
      </c>
      <c r="P58" s="65">
        <v>1500</v>
      </c>
      <c r="Q58" s="65">
        <v>150</v>
      </c>
      <c r="R58" s="65">
        <v>0</v>
      </c>
      <c r="S58" s="65">
        <v>5000</v>
      </c>
      <c r="T58" s="65">
        <v>0</v>
      </c>
      <c r="U58" s="65">
        <v>0</v>
      </c>
      <c r="V58" s="65">
        <v>1843.62</v>
      </c>
      <c r="W58" s="65">
        <v>0</v>
      </c>
      <c r="X58" s="65">
        <v>0</v>
      </c>
      <c r="Y58" s="65">
        <v>19620</v>
      </c>
      <c r="Z58" s="65">
        <v>5000</v>
      </c>
      <c r="AA58" s="65">
        <v>19620</v>
      </c>
      <c r="AB58" s="65">
        <v>2354.4</v>
      </c>
      <c r="AC58" s="65">
        <v>100</v>
      </c>
      <c r="AD58" s="65">
        <v>237.5</v>
      </c>
      <c r="AE58" s="65">
        <v>100</v>
      </c>
      <c r="AF58" s="65">
        <v>0</v>
      </c>
      <c r="AG58" s="65">
        <v>0</v>
      </c>
      <c r="AH58" s="65">
        <v>0</v>
      </c>
      <c r="AI58" s="65">
        <v>0</v>
      </c>
      <c r="AJ58" s="65">
        <v>0</v>
      </c>
      <c r="AK58" s="65">
        <v>518633.60000000003</v>
      </c>
    </row>
    <row r="59" spans="2:37" ht="12.75" customHeight="1" x14ac:dyDescent="0.35">
      <c r="B59" s="5">
        <v>45</v>
      </c>
      <c r="C59" s="60" t="s">
        <v>277</v>
      </c>
      <c r="D59" s="60" t="s">
        <v>531</v>
      </c>
      <c r="E59" s="60" t="s">
        <v>554</v>
      </c>
      <c r="F59" s="66" t="s">
        <v>215</v>
      </c>
      <c r="G59" s="82" t="s">
        <v>551</v>
      </c>
      <c r="H59" s="65">
        <v>0</v>
      </c>
      <c r="I59" s="65">
        <v>0</v>
      </c>
      <c r="J59" s="65">
        <v>0</v>
      </c>
      <c r="K59" s="65">
        <v>21058</v>
      </c>
      <c r="L59" s="65">
        <v>2000</v>
      </c>
      <c r="M59" s="65">
        <v>0</v>
      </c>
      <c r="N59" s="65">
        <v>0</v>
      </c>
      <c r="O59" s="65">
        <v>5000</v>
      </c>
      <c r="P59" s="65">
        <v>1500</v>
      </c>
      <c r="Q59" s="65">
        <v>150</v>
      </c>
      <c r="R59" s="65">
        <v>0</v>
      </c>
      <c r="S59" s="65">
        <v>5000</v>
      </c>
      <c r="T59" s="65">
        <v>0</v>
      </c>
      <c r="U59" s="65">
        <v>0</v>
      </c>
      <c r="V59" s="65">
        <v>1889.65</v>
      </c>
      <c r="W59" s="65">
        <v>0</v>
      </c>
      <c r="X59" s="65">
        <v>0</v>
      </c>
      <c r="Y59" s="65">
        <v>21058</v>
      </c>
      <c r="Z59" s="65">
        <v>5000</v>
      </c>
      <c r="AA59" s="65">
        <v>21058</v>
      </c>
      <c r="AB59" s="65">
        <v>2526.96</v>
      </c>
      <c r="AC59" s="65">
        <v>100</v>
      </c>
      <c r="AD59" s="65">
        <v>262.5</v>
      </c>
      <c r="AE59" s="65">
        <v>100</v>
      </c>
      <c r="AF59" s="65">
        <v>0</v>
      </c>
      <c r="AG59" s="65">
        <v>0</v>
      </c>
      <c r="AH59" s="65">
        <v>0</v>
      </c>
      <c r="AI59" s="65">
        <v>0</v>
      </c>
      <c r="AJ59" s="65">
        <v>5000</v>
      </c>
      <c r="AK59" s="65">
        <v>556738.07999999996</v>
      </c>
    </row>
    <row r="60" spans="2:37" ht="12.75" customHeight="1" x14ac:dyDescent="0.35">
      <c r="B60" s="5">
        <v>46</v>
      </c>
      <c r="C60" s="60" t="s">
        <v>309</v>
      </c>
      <c r="D60" s="60" t="s">
        <v>532</v>
      </c>
      <c r="E60" s="60" t="s">
        <v>235</v>
      </c>
      <c r="F60" s="66" t="s">
        <v>215</v>
      </c>
      <c r="G60" s="82" t="s">
        <v>120</v>
      </c>
      <c r="H60" s="65">
        <v>0</v>
      </c>
      <c r="I60" s="65">
        <v>0</v>
      </c>
      <c r="J60" s="65">
        <v>0</v>
      </c>
      <c r="K60" s="65">
        <v>19620</v>
      </c>
      <c r="L60" s="65">
        <v>2000</v>
      </c>
      <c r="M60" s="65">
        <v>0</v>
      </c>
      <c r="N60" s="65">
        <v>0</v>
      </c>
      <c r="O60" s="65">
        <v>5000</v>
      </c>
      <c r="P60" s="65">
        <v>1500</v>
      </c>
      <c r="Q60" s="65">
        <v>150</v>
      </c>
      <c r="R60" s="65">
        <v>0</v>
      </c>
      <c r="S60" s="65">
        <v>5000</v>
      </c>
      <c r="T60" s="65">
        <v>0</v>
      </c>
      <c r="U60" s="65">
        <v>0</v>
      </c>
      <c r="V60" s="65">
        <v>1843.62</v>
      </c>
      <c r="W60" s="65">
        <v>0</v>
      </c>
      <c r="X60" s="65">
        <v>0</v>
      </c>
      <c r="Y60" s="65">
        <v>19620</v>
      </c>
      <c r="Z60" s="65">
        <v>5000</v>
      </c>
      <c r="AA60" s="65">
        <v>19620</v>
      </c>
      <c r="AB60" s="65">
        <v>2354.4</v>
      </c>
      <c r="AC60" s="65">
        <v>100</v>
      </c>
      <c r="AD60" s="65">
        <v>237.5</v>
      </c>
      <c r="AE60" s="65">
        <v>100</v>
      </c>
      <c r="AF60" s="65">
        <v>0</v>
      </c>
      <c r="AG60" s="65">
        <v>0</v>
      </c>
      <c r="AH60" s="65">
        <v>0</v>
      </c>
      <c r="AI60" s="65">
        <v>0</v>
      </c>
      <c r="AJ60" s="65">
        <v>0</v>
      </c>
      <c r="AK60" s="65">
        <v>155600.76999999999</v>
      </c>
    </row>
    <row r="61" spans="2:37" ht="12.75" customHeight="1" x14ac:dyDescent="0.35">
      <c r="B61" s="5">
        <v>47</v>
      </c>
      <c r="C61" s="60" t="s">
        <v>313</v>
      </c>
      <c r="D61" s="60" t="s">
        <v>532</v>
      </c>
      <c r="E61" s="60" t="s">
        <v>235</v>
      </c>
      <c r="F61" s="66" t="s">
        <v>215</v>
      </c>
      <c r="G61" s="82" t="s">
        <v>120</v>
      </c>
      <c r="H61" s="65">
        <v>0</v>
      </c>
      <c r="I61" s="65">
        <v>0</v>
      </c>
      <c r="J61" s="65">
        <v>0</v>
      </c>
      <c r="K61" s="65">
        <v>19620</v>
      </c>
      <c r="L61" s="65">
        <v>2000</v>
      </c>
      <c r="M61" s="65">
        <v>0</v>
      </c>
      <c r="N61" s="65">
        <v>0</v>
      </c>
      <c r="O61" s="65">
        <v>0</v>
      </c>
      <c r="P61" s="65">
        <v>1500</v>
      </c>
      <c r="Q61" s="65">
        <v>150</v>
      </c>
      <c r="R61" s="65">
        <v>0</v>
      </c>
      <c r="S61" s="65">
        <v>0</v>
      </c>
      <c r="T61" s="65">
        <v>0</v>
      </c>
      <c r="U61" s="65">
        <v>0</v>
      </c>
      <c r="V61" s="65">
        <v>1843.62</v>
      </c>
      <c r="W61" s="65">
        <v>0</v>
      </c>
      <c r="X61" s="65">
        <v>0</v>
      </c>
      <c r="Y61" s="65">
        <v>0</v>
      </c>
      <c r="Z61" s="65">
        <v>500</v>
      </c>
      <c r="AA61" s="65">
        <v>0</v>
      </c>
      <c r="AB61" s="65">
        <v>2354.4</v>
      </c>
      <c r="AC61" s="65">
        <v>100</v>
      </c>
      <c r="AD61" s="65">
        <v>237.5</v>
      </c>
      <c r="AE61" s="65">
        <v>100</v>
      </c>
      <c r="AF61" s="65">
        <v>0</v>
      </c>
      <c r="AG61" s="65">
        <v>0</v>
      </c>
      <c r="AH61" s="65">
        <v>0</v>
      </c>
      <c r="AI61" s="65">
        <v>0</v>
      </c>
      <c r="AJ61" s="65">
        <v>0</v>
      </c>
      <c r="AK61" s="65">
        <v>116150.44</v>
      </c>
    </row>
    <row r="62" spans="2:37" ht="12.75" customHeight="1" x14ac:dyDescent="0.35">
      <c r="B62" s="5">
        <v>48</v>
      </c>
      <c r="C62" s="60" t="s">
        <v>322</v>
      </c>
      <c r="D62" s="60" t="s">
        <v>532</v>
      </c>
      <c r="E62" s="60" t="s">
        <v>318</v>
      </c>
      <c r="F62" s="66" t="s">
        <v>215</v>
      </c>
      <c r="G62" s="82" t="s">
        <v>120</v>
      </c>
      <c r="H62" s="65">
        <v>0</v>
      </c>
      <c r="I62" s="65">
        <v>0</v>
      </c>
      <c r="J62" s="65">
        <v>0</v>
      </c>
      <c r="K62" s="65">
        <v>19620</v>
      </c>
      <c r="L62" s="65">
        <v>2000</v>
      </c>
      <c r="M62" s="65">
        <v>0</v>
      </c>
      <c r="N62" s="65">
        <v>0</v>
      </c>
      <c r="O62" s="65">
        <v>5000</v>
      </c>
      <c r="P62" s="65">
        <v>1500</v>
      </c>
      <c r="Q62" s="65">
        <v>150</v>
      </c>
      <c r="R62" s="65">
        <v>0</v>
      </c>
      <c r="S62" s="65">
        <v>5000</v>
      </c>
      <c r="T62" s="65">
        <v>0</v>
      </c>
      <c r="U62" s="65">
        <v>0</v>
      </c>
      <c r="V62" s="65">
        <v>1843.62</v>
      </c>
      <c r="W62" s="65">
        <v>0</v>
      </c>
      <c r="X62" s="65">
        <v>0</v>
      </c>
      <c r="Y62" s="65">
        <v>19620</v>
      </c>
      <c r="Z62" s="65">
        <v>5000</v>
      </c>
      <c r="AA62" s="65">
        <v>19620</v>
      </c>
      <c r="AB62" s="65">
        <v>2354.4</v>
      </c>
      <c r="AC62" s="65">
        <v>100</v>
      </c>
      <c r="AD62" s="65">
        <v>237.5</v>
      </c>
      <c r="AE62" s="65">
        <v>100</v>
      </c>
      <c r="AF62" s="65">
        <v>0</v>
      </c>
      <c r="AG62" s="65">
        <v>0</v>
      </c>
      <c r="AH62" s="65">
        <v>0</v>
      </c>
      <c r="AI62" s="65">
        <v>0</v>
      </c>
      <c r="AJ62" s="65">
        <v>0</v>
      </c>
      <c r="AK62" s="65">
        <v>105935.28</v>
      </c>
    </row>
    <row r="63" spans="2:37" ht="12.75" customHeight="1" x14ac:dyDescent="0.35">
      <c r="B63" s="5">
        <v>49</v>
      </c>
      <c r="C63" s="60" t="s">
        <v>333</v>
      </c>
      <c r="D63" s="60" t="s">
        <v>532</v>
      </c>
      <c r="E63" s="60" t="s">
        <v>235</v>
      </c>
      <c r="F63" s="66" t="s">
        <v>215</v>
      </c>
      <c r="G63" s="82" t="s">
        <v>120</v>
      </c>
      <c r="H63" s="65">
        <v>0</v>
      </c>
      <c r="I63" s="65">
        <v>0</v>
      </c>
      <c r="J63" s="65">
        <v>0</v>
      </c>
      <c r="K63" s="65">
        <v>19620</v>
      </c>
      <c r="L63" s="65">
        <v>2000</v>
      </c>
      <c r="M63" s="65">
        <v>0</v>
      </c>
      <c r="N63" s="65">
        <v>0</v>
      </c>
      <c r="O63" s="65">
        <v>5000</v>
      </c>
      <c r="P63" s="65">
        <v>1500</v>
      </c>
      <c r="Q63" s="65">
        <v>150</v>
      </c>
      <c r="R63" s="65">
        <v>0</v>
      </c>
      <c r="S63" s="65">
        <v>5000</v>
      </c>
      <c r="T63" s="65">
        <v>0</v>
      </c>
      <c r="U63" s="65">
        <v>0</v>
      </c>
      <c r="V63" s="65">
        <v>1843.62</v>
      </c>
      <c r="W63" s="65">
        <v>0</v>
      </c>
      <c r="X63" s="65">
        <v>0</v>
      </c>
      <c r="Y63" s="65">
        <v>19620</v>
      </c>
      <c r="Z63" s="65">
        <v>5000</v>
      </c>
      <c r="AA63" s="65">
        <v>19620</v>
      </c>
      <c r="AB63" s="65">
        <v>2354.4</v>
      </c>
      <c r="AC63" s="65">
        <v>100</v>
      </c>
      <c r="AD63" s="65">
        <v>237.5</v>
      </c>
      <c r="AE63" s="65">
        <v>100</v>
      </c>
      <c r="AF63" s="65">
        <v>0</v>
      </c>
      <c r="AG63" s="65">
        <v>0</v>
      </c>
      <c r="AH63" s="65">
        <v>0</v>
      </c>
      <c r="AI63" s="65">
        <v>0</v>
      </c>
      <c r="AJ63" s="65">
        <v>0</v>
      </c>
      <c r="AK63" s="65">
        <v>118456.44</v>
      </c>
    </row>
    <row r="64" spans="2:37" ht="12.75" customHeight="1" x14ac:dyDescent="0.35">
      <c r="B64" s="5">
        <v>50</v>
      </c>
      <c r="C64" s="60" t="s">
        <v>340</v>
      </c>
      <c r="D64" s="60" t="s">
        <v>532</v>
      </c>
      <c r="E64" s="60" t="s">
        <v>235</v>
      </c>
      <c r="F64" s="66" t="s">
        <v>215</v>
      </c>
      <c r="G64" s="82" t="s">
        <v>120</v>
      </c>
      <c r="H64" s="65">
        <v>0</v>
      </c>
      <c r="I64" s="65">
        <v>0</v>
      </c>
      <c r="J64" s="65">
        <v>0</v>
      </c>
      <c r="K64" s="65">
        <v>19620</v>
      </c>
      <c r="L64" s="65">
        <v>2000</v>
      </c>
      <c r="M64" s="65">
        <v>0</v>
      </c>
      <c r="N64" s="65">
        <v>0</v>
      </c>
      <c r="O64" s="65">
        <v>0</v>
      </c>
      <c r="P64" s="65">
        <v>1500</v>
      </c>
      <c r="Q64" s="65">
        <v>150</v>
      </c>
      <c r="R64" s="65">
        <v>0</v>
      </c>
      <c r="S64" s="65">
        <v>0</v>
      </c>
      <c r="T64" s="65">
        <v>0</v>
      </c>
      <c r="U64" s="65">
        <v>0</v>
      </c>
      <c r="V64" s="65">
        <v>1843.62</v>
      </c>
      <c r="W64" s="65">
        <v>0</v>
      </c>
      <c r="X64" s="65">
        <v>0</v>
      </c>
      <c r="Y64" s="65">
        <v>0</v>
      </c>
      <c r="Z64" s="65">
        <v>500</v>
      </c>
      <c r="AA64" s="65">
        <v>0</v>
      </c>
      <c r="AB64" s="65">
        <v>2354.4</v>
      </c>
      <c r="AC64" s="65">
        <v>100</v>
      </c>
      <c r="AD64" s="65">
        <v>237.5</v>
      </c>
      <c r="AE64" s="65">
        <v>100</v>
      </c>
      <c r="AF64" s="65">
        <v>0</v>
      </c>
      <c r="AG64" s="65">
        <v>0</v>
      </c>
      <c r="AH64" s="65">
        <v>0</v>
      </c>
      <c r="AI64" s="65">
        <v>0</v>
      </c>
      <c r="AJ64" s="65">
        <v>0</v>
      </c>
      <c r="AK64" s="65">
        <v>113383</v>
      </c>
    </row>
    <row r="65" spans="2:37" ht="12.75" customHeight="1" x14ac:dyDescent="0.35">
      <c r="B65" s="5">
        <v>51</v>
      </c>
      <c r="C65" s="60" t="s">
        <v>509</v>
      </c>
      <c r="D65" s="60" t="s">
        <v>532</v>
      </c>
      <c r="E65" s="60" t="s">
        <v>235</v>
      </c>
      <c r="F65" s="66" t="s">
        <v>215</v>
      </c>
      <c r="G65" s="82" t="s">
        <v>120</v>
      </c>
      <c r="H65" s="65">
        <v>0</v>
      </c>
      <c r="I65" s="65">
        <v>0</v>
      </c>
      <c r="J65" s="65">
        <v>0</v>
      </c>
      <c r="K65" s="65">
        <v>20326</v>
      </c>
      <c r="L65" s="65">
        <v>2000</v>
      </c>
      <c r="M65" s="65">
        <v>0</v>
      </c>
      <c r="N65" s="65">
        <v>0</v>
      </c>
      <c r="O65" s="65">
        <v>5000</v>
      </c>
      <c r="P65" s="65">
        <v>1500</v>
      </c>
      <c r="Q65" s="65">
        <v>150</v>
      </c>
      <c r="R65" s="65">
        <v>0</v>
      </c>
      <c r="S65" s="65">
        <v>5000</v>
      </c>
      <c r="T65" s="65">
        <v>0</v>
      </c>
      <c r="U65" s="65">
        <v>0</v>
      </c>
      <c r="V65" s="65">
        <v>1843.62</v>
      </c>
      <c r="W65" s="65">
        <v>0</v>
      </c>
      <c r="X65" s="65">
        <v>0</v>
      </c>
      <c r="Y65" s="65">
        <v>20326</v>
      </c>
      <c r="Z65" s="65">
        <v>5000</v>
      </c>
      <c r="AA65" s="65">
        <v>20326</v>
      </c>
      <c r="AB65" s="65">
        <v>2439.12</v>
      </c>
      <c r="AC65" s="65">
        <v>100</v>
      </c>
      <c r="AD65" s="65">
        <v>250</v>
      </c>
      <c r="AE65" s="65">
        <v>100</v>
      </c>
      <c r="AF65" s="65">
        <v>0</v>
      </c>
      <c r="AG65" s="65">
        <v>0</v>
      </c>
      <c r="AH65" s="65">
        <v>0</v>
      </c>
      <c r="AI65" s="65">
        <v>0</v>
      </c>
      <c r="AJ65" s="65">
        <v>0</v>
      </c>
      <c r="AK65" s="65">
        <v>39358.080000000002</v>
      </c>
    </row>
    <row r="66" spans="2:37" ht="12.75" customHeight="1" x14ac:dyDescent="0.35">
      <c r="B66" s="5">
        <v>52</v>
      </c>
      <c r="C66" s="60" t="s">
        <v>346</v>
      </c>
      <c r="D66" s="60" t="s">
        <v>532</v>
      </c>
      <c r="E66" s="60" t="s">
        <v>235</v>
      </c>
      <c r="F66" s="66" t="s">
        <v>215</v>
      </c>
      <c r="G66" s="82" t="s">
        <v>120</v>
      </c>
      <c r="H66" s="65">
        <v>0</v>
      </c>
      <c r="I66" s="65">
        <v>0</v>
      </c>
      <c r="J66" s="65">
        <v>0</v>
      </c>
      <c r="K66" s="65">
        <v>19620</v>
      </c>
      <c r="L66" s="65">
        <v>2000</v>
      </c>
      <c r="M66" s="65">
        <v>0</v>
      </c>
      <c r="N66" s="65">
        <v>0</v>
      </c>
      <c r="O66" s="65">
        <v>0</v>
      </c>
      <c r="P66" s="65">
        <v>1500</v>
      </c>
      <c r="Q66" s="65">
        <v>150</v>
      </c>
      <c r="R66" s="65">
        <v>0</v>
      </c>
      <c r="S66" s="65">
        <v>0</v>
      </c>
      <c r="T66" s="65">
        <v>0</v>
      </c>
      <c r="U66" s="65">
        <v>0</v>
      </c>
      <c r="V66" s="65">
        <v>1843.62</v>
      </c>
      <c r="W66" s="65">
        <v>0</v>
      </c>
      <c r="X66" s="65">
        <v>0</v>
      </c>
      <c r="Y66" s="65">
        <v>0</v>
      </c>
      <c r="Z66" s="65">
        <v>500</v>
      </c>
      <c r="AA66" s="65">
        <v>0</v>
      </c>
      <c r="AB66" s="65">
        <v>2354.4</v>
      </c>
      <c r="AC66" s="65">
        <v>100</v>
      </c>
      <c r="AD66" s="65">
        <v>237.5</v>
      </c>
      <c r="AE66" s="65">
        <v>100</v>
      </c>
      <c r="AF66" s="65">
        <v>0</v>
      </c>
      <c r="AG66" s="65">
        <v>0</v>
      </c>
      <c r="AH66" s="65">
        <v>0</v>
      </c>
      <c r="AI66" s="65">
        <v>0</v>
      </c>
      <c r="AJ66" s="65">
        <v>0</v>
      </c>
      <c r="AK66" s="65">
        <v>141273.64000000001</v>
      </c>
    </row>
    <row r="67" spans="2:37" ht="12.75" customHeight="1" x14ac:dyDescent="0.35">
      <c r="B67" s="5">
        <v>53</v>
      </c>
      <c r="C67" s="60" t="s">
        <v>224</v>
      </c>
      <c r="D67" s="60" t="s">
        <v>532</v>
      </c>
      <c r="E67" s="60" t="s">
        <v>252</v>
      </c>
      <c r="F67" s="66" t="s">
        <v>215</v>
      </c>
      <c r="G67" s="82" t="s">
        <v>551</v>
      </c>
      <c r="H67" s="65">
        <v>0</v>
      </c>
      <c r="I67" s="65">
        <v>0</v>
      </c>
      <c r="J67" s="65">
        <v>0</v>
      </c>
      <c r="K67" s="65">
        <v>20567</v>
      </c>
      <c r="L67" s="65">
        <v>2000</v>
      </c>
      <c r="M67" s="65">
        <v>0</v>
      </c>
      <c r="N67" s="65">
        <v>0</v>
      </c>
      <c r="O67" s="65">
        <v>5000</v>
      </c>
      <c r="P67" s="65">
        <v>1500</v>
      </c>
      <c r="Q67" s="65">
        <v>150</v>
      </c>
      <c r="R67" s="65">
        <v>0</v>
      </c>
      <c r="S67" s="65">
        <v>5000</v>
      </c>
      <c r="T67" s="65">
        <v>0</v>
      </c>
      <c r="U67" s="65">
        <v>0</v>
      </c>
      <c r="V67" s="65">
        <v>1843.62</v>
      </c>
      <c r="W67" s="65">
        <v>0</v>
      </c>
      <c r="X67" s="65">
        <v>0</v>
      </c>
      <c r="Y67" s="65">
        <v>20567</v>
      </c>
      <c r="Z67" s="65">
        <v>5000</v>
      </c>
      <c r="AA67" s="65">
        <v>20567</v>
      </c>
      <c r="AB67" s="65">
        <v>2468.04</v>
      </c>
      <c r="AC67" s="65">
        <v>100</v>
      </c>
      <c r="AD67" s="65">
        <v>250</v>
      </c>
      <c r="AE67" s="65">
        <v>100</v>
      </c>
      <c r="AF67" s="65">
        <v>0</v>
      </c>
      <c r="AG67" s="65">
        <v>0</v>
      </c>
      <c r="AH67" s="65">
        <v>0</v>
      </c>
      <c r="AI67" s="65">
        <v>0</v>
      </c>
      <c r="AJ67" s="65">
        <v>0</v>
      </c>
      <c r="AK67" s="65">
        <v>410531.93</v>
      </c>
    </row>
    <row r="68" spans="2:37" ht="12.75" customHeight="1" x14ac:dyDescent="0.35">
      <c r="B68" s="5">
        <v>54</v>
      </c>
      <c r="C68" s="60" t="s">
        <v>356</v>
      </c>
      <c r="D68" s="60" t="s">
        <v>532</v>
      </c>
      <c r="E68" s="60" t="s">
        <v>235</v>
      </c>
      <c r="F68" s="66" t="s">
        <v>215</v>
      </c>
      <c r="G68" s="82" t="s">
        <v>120</v>
      </c>
      <c r="H68" s="65" t="s">
        <v>310</v>
      </c>
      <c r="I68" s="65" t="s">
        <v>311</v>
      </c>
      <c r="J68" s="65" t="s">
        <v>312</v>
      </c>
      <c r="K68" s="65">
        <v>0</v>
      </c>
      <c r="L68" s="65">
        <v>0</v>
      </c>
      <c r="M68" s="65">
        <v>0</v>
      </c>
      <c r="N68" s="65">
        <v>0</v>
      </c>
      <c r="O68" s="65">
        <v>0</v>
      </c>
      <c r="P68" s="65">
        <v>0</v>
      </c>
      <c r="Q68" s="65">
        <v>0</v>
      </c>
      <c r="R68" s="65">
        <v>0</v>
      </c>
      <c r="S68" s="65">
        <v>0</v>
      </c>
      <c r="T68" s="65">
        <v>0</v>
      </c>
      <c r="U68" s="65">
        <v>0</v>
      </c>
      <c r="V68" s="65">
        <v>0</v>
      </c>
      <c r="W68" s="65">
        <v>0</v>
      </c>
      <c r="X68" s="65">
        <v>0</v>
      </c>
      <c r="Y68" s="65">
        <v>0</v>
      </c>
      <c r="Z68" s="65">
        <v>0</v>
      </c>
      <c r="AA68" s="65">
        <v>0</v>
      </c>
      <c r="AB68" s="65">
        <v>0</v>
      </c>
      <c r="AC68" s="65">
        <v>0</v>
      </c>
      <c r="AD68" s="65">
        <v>0</v>
      </c>
      <c r="AE68" s="65">
        <v>0</v>
      </c>
      <c r="AF68" s="65">
        <v>0</v>
      </c>
      <c r="AG68" s="65">
        <v>0</v>
      </c>
      <c r="AH68" s="65">
        <v>0</v>
      </c>
      <c r="AI68" s="65">
        <v>0</v>
      </c>
      <c r="AJ68" s="65">
        <v>0</v>
      </c>
      <c r="AK68" s="65">
        <v>149101.53</v>
      </c>
    </row>
    <row r="69" spans="2:37" ht="12.75" customHeight="1" x14ac:dyDescent="0.35">
      <c r="B69" s="5">
        <v>55</v>
      </c>
      <c r="C69" s="60" t="s">
        <v>363</v>
      </c>
      <c r="D69" s="60" t="s">
        <v>532</v>
      </c>
      <c r="E69" s="60" t="s">
        <v>252</v>
      </c>
      <c r="F69" s="66" t="s">
        <v>215</v>
      </c>
      <c r="G69" s="82" t="s">
        <v>120</v>
      </c>
      <c r="H69" s="65" t="s">
        <v>314</v>
      </c>
      <c r="I69" s="65" t="s">
        <v>315</v>
      </c>
      <c r="J69" s="65" t="s">
        <v>316</v>
      </c>
      <c r="K69" s="65">
        <v>0</v>
      </c>
      <c r="L69" s="65">
        <v>0</v>
      </c>
      <c r="M69" s="65">
        <v>0</v>
      </c>
      <c r="N69" s="65">
        <v>0</v>
      </c>
      <c r="O69" s="65">
        <v>0</v>
      </c>
      <c r="P69" s="65">
        <v>0</v>
      </c>
      <c r="Q69" s="65">
        <v>0</v>
      </c>
      <c r="R69" s="65">
        <v>0</v>
      </c>
      <c r="S69" s="65">
        <v>0</v>
      </c>
      <c r="T69" s="65">
        <v>0</v>
      </c>
      <c r="U69" s="65">
        <v>0</v>
      </c>
      <c r="V69" s="65">
        <v>0</v>
      </c>
      <c r="W69" s="65">
        <v>0</v>
      </c>
      <c r="X69" s="65">
        <v>0</v>
      </c>
      <c r="Y69" s="65">
        <v>0</v>
      </c>
      <c r="Z69" s="65">
        <v>0</v>
      </c>
      <c r="AA69" s="65">
        <v>0</v>
      </c>
      <c r="AB69" s="65">
        <v>0</v>
      </c>
      <c r="AC69" s="65">
        <v>0</v>
      </c>
      <c r="AD69" s="65">
        <v>0</v>
      </c>
      <c r="AE69" s="65">
        <v>0</v>
      </c>
      <c r="AF69" s="65">
        <v>0</v>
      </c>
      <c r="AG69" s="65">
        <v>0</v>
      </c>
      <c r="AH69" s="65">
        <v>0</v>
      </c>
      <c r="AI69" s="65">
        <v>0</v>
      </c>
      <c r="AJ69" s="65">
        <v>0</v>
      </c>
      <c r="AK69" s="65">
        <v>152507.09</v>
      </c>
    </row>
    <row r="70" spans="2:37" ht="12.75" customHeight="1" x14ac:dyDescent="0.35">
      <c r="B70" s="5">
        <v>56</v>
      </c>
      <c r="C70" s="60" t="s">
        <v>373</v>
      </c>
      <c r="D70" s="60" t="s">
        <v>532</v>
      </c>
      <c r="E70" s="60" t="s">
        <v>233</v>
      </c>
      <c r="F70" s="66" t="s">
        <v>215</v>
      </c>
      <c r="G70" s="82" t="s">
        <v>120</v>
      </c>
      <c r="H70" s="65" t="s">
        <v>314</v>
      </c>
      <c r="I70" s="65" t="s">
        <v>323</v>
      </c>
      <c r="J70" s="65" t="s">
        <v>324</v>
      </c>
      <c r="K70" s="65">
        <v>0</v>
      </c>
      <c r="L70" s="65">
        <v>0</v>
      </c>
      <c r="M70" s="65">
        <v>0</v>
      </c>
      <c r="N70" s="65">
        <v>0</v>
      </c>
      <c r="O70" s="65">
        <v>0</v>
      </c>
      <c r="P70" s="65">
        <v>0</v>
      </c>
      <c r="Q70" s="65">
        <v>0</v>
      </c>
      <c r="R70" s="65">
        <v>0</v>
      </c>
      <c r="S70" s="65">
        <v>0</v>
      </c>
      <c r="T70" s="65">
        <v>0</v>
      </c>
      <c r="U70" s="65">
        <v>0</v>
      </c>
      <c r="V70" s="65">
        <v>0</v>
      </c>
      <c r="W70" s="65">
        <v>0</v>
      </c>
      <c r="X70" s="65">
        <v>0</v>
      </c>
      <c r="Y70" s="65">
        <v>0</v>
      </c>
      <c r="Z70" s="65">
        <v>0</v>
      </c>
      <c r="AA70" s="65">
        <v>0</v>
      </c>
      <c r="AB70" s="65">
        <v>0</v>
      </c>
      <c r="AC70" s="65">
        <v>0</v>
      </c>
      <c r="AD70" s="65">
        <v>0</v>
      </c>
      <c r="AE70" s="65">
        <v>0</v>
      </c>
      <c r="AF70" s="65">
        <v>0</v>
      </c>
      <c r="AG70" s="65">
        <v>0</v>
      </c>
      <c r="AH70" s="65">
        <v>0</v>
      </c>
      <c r="AI70" s="65">
        <v>0</v>
      </c>
      <c r="AJ70" s="65">
        <v>0</v>
      </c>
      <c r="AK70" s="65">
        <v>73616.039999999994</v>
      </c>
    </row>
    <row r="71" spans="2:37" ht="12.75" customHeight="1" x14ac:dyDescent="0.35">
      <c r="B71" s="5">
        <v>57</v>
      </c>
      <c r="C71" s="60" t="s">
        <v>383</v>
      </c>
      <c r="D71" s="60" t="s">
        <v>532</v>
      </c>
      <c r="E71" s="60" t="s">
        <v>219</v>
      </c>
      <c r="F71" s="66" t="s">
        <v>215</v>
      </c>
      <c r="G71" s="82" t="s">
        <v>120</v>
      </c>
      <c r="H71" s="65" t="s">
        <v>314</v>
      </c>
      <c r="I71" s="65" t="s">
        <v>334</v>
      </c>
      <c r="J71" s="65" t="s">
        <v>335</v>
      </c>
      <c r="K71" s="65">
        <v>0</v>
      </c>
      <c r="L71" s="65">
        <v>0</v>
      </c>
      <c r="M71" s="65">
        <v>0</v>
      </c>
      <c r="N71" s="65">
        <v>0</v>
      </c>
      <c r="O71" s="65">
        <v>0</v>
      </c>
      <c r="P71" s="65">
        <v>0</v>
      </c>
      <c r="Q71" s="65">
        <v>0</v>
      </c>
      <c r="R71" s="65">
        <v>0</v>
      </c>
      <c r="S71" s="65">
        <v>0</v>
      </c>
      <c r="T71" s="65">
        <v>0</v>
      </c>
      <c r="U71" s="65">
        <v>0</v>
      </c>
      <c r="V71" s="65">
        <v>0</v>
      </c>
      <c r="W71" s="65">
        <v>0</v>
      </c>
      <c r="X71" s="65">
        <v>0</v>
      </c>
      <c r="Y71" s="65">
        <v>0</v>
      </c>
      <c r="Z71" s="65">
        <v>0</v>
      </c>
      <c r="AA71" s="65">
        <v>0</v>
      </c>
      <c r="AB71" s="65">
        <v>0</v>
      </c>
      <c r="AC71" s="65">
        <v>0</v>
      </c>
      <c r="AD71" s="65">
        <v>0</v>
      </c>
      <c r="AE71" s="65">
        <v>0</v>
      </c>
      <c r="AF71" s="65">
        <v>0</v>
      </c>
      <c r="AG71" s="65">
        <v>0</v>
      </c>
      <c r="AH71" s="65">
        <v>0</v>
      </c>
      <c r="AI71" s="65">
        <v>0</v>
      </c>
      <c r="AJ71" s="65">
        <v>0</v>
      </c>
      <c r="AK71" s="65">
        <v>151419.28</v>
      </c>
    </row>
    <row r="72" spans="2:37" ht="12.75" customHeight="1" x14ac:dyDescent="0.35">
      <c r="B72" s="5">
        <v>58</v>
      </c>
      <c r="C72" s="60" t="s">
        <v>399</v>
      </c>
      <c r="D72" s="60" t="s">
        <v>532</v>
      </c>
      <c r="E72" s="60" t="s">
        <v>219</v>
      </c>
      <c r="F72" s="66" t="s">
        <v>215</v>
      </c>
      <c r="G72" s="82" t="s">
        <v>120</v>
      </c>
      <c r="H72" s="65" t="s">
        <v>314</v>
      </c>
      <c r="I72" s="65" t="s">
        <v>341</v>
      </c>
      <c r="J72" s="65" t="s">
        <v>342</v>
      </c>
      <c r="K72" s="65">
        <v>0</v>
      </c>
      <c r="L72" s="65">
        <v>0</v>
      </c>
      <c r="M72" s="65">
        <v>0</v>
      </c>
      <c r="N72" s="65">
        <v>0</v>
      </c>
      <c r="O72" s="65">
        <v>0</v>
      </c>
      <c r="P72" s="65">
        <v>0</v>
      </c>
      <c r="Q72" s="65">
        <v>0</v>
      </c>
      <c r="R72" s="65">
        <v>0</v>
      </c>
      <c r="S72" s="65">
        <v>0</v>
      </c>
      <c r="T72" s="65">
        <v>0</v>
      </c>
      <c r="U72" s="65">
        <v>0</v>
      </c>
      <c r="V72" s="65">
        <v>0</v>
      </c>
      <c r="W72" s="65">
        <v>0</v>
      </c>
      <c r="X72" s="65">
        <v>0</v>
      </c>
      <c r="Y72" s="65">
        <v>0</v>
      </c>
      <c r="Z72" s="65">
        <v>0</v>
      </c>
      <c r="AA72" s="65">
        <v>0</v>
      </c>
      <c r="AB72" s="65">
        <v>0</v>
      </c>
      <c r="AC72" s="65">
        <v>0</v>
      </c>
      <c r="AD72" s="65">
        <v>0</v>
      </c>
      <c r="AE72" s="65">
        <v>0</v>
      </c>
      <c r="AF72" s="65">
        <v>0</v>
      </c>
      <c r="AG72" s="65">
        <v>0</v>
      </c>
      <c r="AH72" s="65">
        <v>0</v>
      </c>
      <c r="AI72" s="65">
        <v>0</v>
      </c>
      <c r="AJ72" s="65">
        <v>0</v>
      </c>
      <c r="AK72" s="65">
        <v>112061.2</v>
      </c>
    </row>
    <row r="73" spans="2:37" ht="12.75" customHeight="1" x14ac:dyDescent="0.35">
      <c r="B73" s="5">
        <v>59</v>
      </c>
      <c r="C73" s="60" t="s">
        <v>386</v>
      </c>
      <c r="D73" s="60" t="s">
        <v>532</v>
      </c>
      <c r="E73" s="60" t="s">
        <v>252</v>
      </c>
      <c r="F73" s="66" t="s">
        <v>215</v>
      </c>
      <c r="G73" s="82" t="s">
        <v>120</v>
      </c>
      <c r="H73" s="65" t="s">
        <v>314</v>
      </c>
      <c r="I73" s="65" t="s">
        <v>347</v>
      </c>
      <c r="J73" s="65" t="s">
        <v>348</v>
      </c>
      <c r="K73" s="65">
        <v>0</v>
      </c>
      <c r="L73" s="65">
        <v>0</v>
      </c>
      <c r="M73" s="65">
        <v>0</v>
      </c>
      <c r="N73" s="65">
        <v>0</v>
      </c>
      <c r="O73" s="65">
        <v>0</v>
      </c>
      <c r="P73" s="65">
        <v>0</v>
      </c>
      <c r="Q73" s="65">
        <v>0</v>
      </c>
      <c r="R73" s="65">
        <v>0</v>
      </c>
      <c r="S73" s="65">
        <v>0</v>
      </c>
      <c r="T73" s="65">
        <v>0</v>
      </c>
      <c r="U73" s="65">
        <v>0</v>
      </c>
      <c r="V73" s="65">
        <v>0</v>
      </c>
      <c r="W73" s="65">
        <v>0</v>
      </c>
      <c r="X73" s="65">
        <v>0</v>
      </c>
      <c r="Y73" s="65">
        <v>0</v>
      </c>
      <c r="Z73" s="65">
        <v>0</v>
      </c>
      <c r="AA73" s="65">
        <v>0</v>
      </c>
      <c r="AB73" s="65">
        <v>0</v>
      </c>
      <c r="AC73" s="65">
        <v>0</v>
      </c>
      <c r="AD73" s="65">
        <v>0</v>
      </c>
      <c r="AE73" s="65">
        <v>0</v>
      </c>
      <c r="AF73" s="65">
        <v>0</v>
      </c>
      <c r="AG73" s="65">
        <v>0</v>
      </c>
      <c r="AH73" s="65">
        <v>0</v>
      </c>
      <c r="AI73" s="65">
        <v>0</v>
      </c>
      <c r="AJ73" s="65">
        <v>0</v>
      </c>
      <c r="AK73" s="65">
        <v>44277.84</v>
      </c>
    </row>
    <row r="74" spans="2:37" ht="12.75" customHeight="1" x14ac:dyDescent="0.35">
      <c r="B74" s="5">
        <v>60</v>
      </c>
      <c r="C74" s="60" t="s">
        <v>389</v>
      </c>
      <c r="D74" s="60" t="s">
        <v>532</v>
      </c>
      <c r="E74" s="60" t="s">
        <v>318</v>
      </c>
      <c r="F74" s="66" t="s">
        <v>215</v>
      </c>
      <c r="G74" s="82" t="s">
        <v>120</v>
      </c>
      <c r="H74" s="65" t="s">
        <v>314</v>
      </c>
      <c r="I74" s="65" t="s">
        <v>357</v>
      </c>
      <c r="J74" s="65" t="s">
        <v>358</v>
      </c>
      <c r="K74" s="65">
        <v>0</v>
      </c>
      <c r="L74" s="65">
        <v>0</v>
      </c>
      <c r="M74" s="65">
        <v>0</v>
      </c>
      <c r="N74" s="65">
        <v>0</v>
      </c>
      <c r="O74" s="65">
        <v>0</v>
      </c>
      <c r="P74" s="65">
        <v>0</v>
      </c>
      <c r="Q74" s="65">
        <v>0</v>
      </c>
      <c r="R74" s="65">
        <v>0</v>
      </c>
      <c r="S74" s="65">
        <v>0</v>
      </c>
      <c r="T74" s="65">
        <v>0</v>
      </c>
      <c r="U74" s="65">
        <v>0</v>
      </c>
      <c r="V74" s="65">
        <v>0</v>
      </c>
      <c r="W74" s="65">
        <v>0</v>
      </c>
      <c r="X74" s="65">
        <v>0</v>
      </c>
      <c r="Y74" s="65">
        <v>0</v>
      </c>
      <c r="Z74" s="65">
        <v>0</v>
      </c>
      <c r="AA74" s="65">
        <v>0</v>
      </c>
      <c r="AB74" s="65">
        <v>0</v>
      </c>
      <c r="AC74" s="65">
        <v>0</v>
      </c>
      <c r="AD74" s="65">
        <v>0</v>
      </c>
      <c r="AE74" s="65">
        <v>0</v>
      </c>
      <c r="AF74" s="65">
        <v>0</v>
      </c>
      <c r="AG74" s="65">
        <v>0</v>
      </c>
      <c r="AH74" s="65">
        <v>0</v>
      </c>
      <c r="AI74" s="65">
        <v>0</v>
      </c>
      <c r="AJ74" s="65">
        <v>0</v>
      </c>
      <c r="AK74" s="65">
        <v>109718.96</v>
      </c>
    </row>
    <row r="75" spans="2:37" ht="12.75" customHeight="1" x14ac:dyDescent="0.35">
      <c r="B75" s="5">
        <v>61</v>
      </c>
      <c r="C75" s="60" t="s">
        <v>234</v>
      </c>
      <c r="D75" s="60" t="s">
        <v>532</v>
      </c>
      <c r="E75" s="60" t="s">
        <v>552</v>
      </c>
      <c r="F75" s="66" t="s">
        <v>215</v>
      </c>
      <c r="G75" s="82" t="s">
        <v>551</v>
      </c>
      <c r="H75" s="65" t="s">
        <v>314</v>
      </c>
      <c r="I75" s="65" t="s">
        <v>364</v>
      </c>
      <c r="J75" s="65" t="s">
        <v>365</v>
      </c>
      <c r="K75" s="65">
        <v>0</v>
      </c>
      <c r="L75" s="65">
        <v>0</v>
      </c>
      <c r="M75" s="65">
        <v>0</v>
      </c>
      <c r="N75" s="65">
        <v>0</v>
      </c>
      <c r="O75" s="65">
        <v>0</v>
      </c>
      <c r="P75" s="65">
        <v>0</v>
      </c>
      <c r="Q75" s="65">
        <v>0</v>
      </c>
      <c r="R75" s="65">
        <v>0</v>
      </c>
      <c r="S75" s="65">
        <v>0</v>
      </c>
      <c r="T75" s="65">
        <v>0</v>
      </c>
      <c r="U75" s="65">
        <v>0</v>
      </c>
      <c r="V75" s="65">
        <v>0</v>
      </c>
      <c r="W75" s="65">
        <v>0</v>
      </c>
      <c r="X75" s="65">
        <v>0</v>
      </c>
      <c r="Y75" s="65">
        <v>0</v>
      </c>
      <c r="Z75" s="65">
        <v>0</v>
      </c>
      <c r="AA75" s="65">
        <v>0</v>
      </c>
      <c r="AB75" s="65">
        <v>0</v>
      </c>
      <c r="AC75" s="65">
        <v>0</v>
      </c>
      <c r="AD75" s="65">
        <v>0</v>
      </c>
      <c r="AE75" s="65">
        <v>0</v>
      </c>
      <c r="AF75" s="65">
        <v>0</v>
      </c>
      <c r="AG75" s="65">
        <v>0</v>
      </c>
      <c r="AH75" s="65">
        <v>0</v>
      </c>
      <c r="AI75" s="65">
        <v>0</v>
      </c>
      <c r="AJ75" s="65">
        <v>0</v>
      </c>
      <c r="AK75" s="65">
        <v>323366.24</v>
      </c>
    </row>
    <row r="76" spans="2:37" ht="12.75" customHeight="1" x14ac:dyDescent="0.35">
      <c r="B76" s="5">
        <v>62</v>
      </c>
      <c r="C76" s="60" t="s">
        <v>238</v>
      </c>
      <c r="D76" s="60" t="s">
        <v>532</v>
      </c>
      <c r="E76" s="60" t="s">
        <v>235</v>
      </c>
      <c r="F76" s="66" t="s">
        <v>215</v>
      </c>
      <c r="G76" s="82" t="s">
        <v>551</v>
      </c>
      <c r="H76" s="65" t="s">
        <v>374</v>
      </c>
      <c r="I76" s="65" t="s">
        <v>375</v>
      </c>
      <c r="J76" s="65" t="s">
        <v>376</v>
      </c>
      <c r="K76" s="65">
        <v>0</v>
      </c>
      <c r="L76" s="65">
        <v>0</v>
      </c>
      <c r="M76" s="65">
        <v>0</v>
      </c>
      <c r="N76" s="65">
        <v>0</v>
      </c>
      <c r="O76" s="65">
        <v>0</v>
      </c>
      <c r="P76" s="65">
        <v>0</v>
      </c>
      <c r="Q76" s="65">
        <v>0</v>
      </c>
      <c r="R76" s="65">
        <v>0</v>
      </c>
      <c r="S76" s="65">
        <v>0</v>
      </c>
      <c r="T76" s="65">
        <v>0</v>
      </c>
      <c r="U76" s="65">
        <v>0</v>
      </c>
      <c r="V76" s="65">
        <v>0</v>
      </c>
      <c r="W76" s="65">
        <v>0</v>
      </c>
      <c r="X76" s="65">
        <v>0</v>
      </c>
      <c r="Y76" s="65">
        <v>0</v>
      </c>
      <c r="Z76" s="65">
        <v>0</v>
      </c>
      <c r="AA76" s="65">
        <v>0</v>
      </c>
      <c r="AB76" s="65">
        <v>0</v>
      </c>
      <c r="AC76" s="65">
        <v>0</v>
      </c>
      <c r="AD76" s="65">
        <v>0</v>
      </c>
      <c r="AE76" s="65">
        <v>0</v>
      </c>
      <c r="AF76" s="65">
        <v>0</v>
      </c>
      <c r="AG76" s="65">
        <v>0</v>
      </c>
      <c r="AH76" s="65">
        <v>0</v>
      </c>
      <c r="AI76" s="65">
        <v>0</v>
      </c>
      <c r="AJ76" s="65">
        <v>0</v>
      </c>
      <c r="AK76" s="65">
        <v>388731.24</v>
      </c>
    </row>
    <row r="77" spans="2:37" ht="12.75" customHeight="1" x14ac:dyDescent="0.35">
      <c r="B77" s="5">
        <v>63</v>
      </c>
      <c r="C77" s="60" t="s">
        <v>407</v>
      </c>
      <c r="D77" s="60" t="s">
        <v>532</v>
      </c>
      <c r="E77" s="60" t="s">
        <v>214</v>
      </c>
      <c r="F77" s="66" t="s">
        <v>215</v>
      </c>
      <c r="G77" s="82" t="s">
        <v>120</v>
      </c>
      <c r="H77" s="65" t="s">
        <v>314</v>
      </c>
      <c r="I77" s="65" t="s">
        <v>384</v>
      </c>
      <c r="J77" s="65" t="s">
        <v>385</v>
      </c>
      <c r="K77" s="65">
        <v>0</v>
      </c>
      <c r="L77" s="65">
        <v>0</v>
      </c>
      <c r="M77" s="65">
        <v>0</v>
      </c>
      <c r="N77" s="65">
        <v>0</v>
      </c>
      <c r="O77" s="65">
        <v>0</v>
      </c>
      <c r="P77" s="65">
        <v>0</v>
      </c>
      <c r="Q77" s="65">
        <v>0</v>
      </c>
      <c r="R77" s="65">
        <v>0</v>
      </c>
      <c r="S77" s="65">
        <v>0</v>
      </c>
      <c r="T77" s="65">
        <v>0</v>
      </c>
      <c r="U77" s="65">
        <v>0</v>
      </c>
      <c r="V77" s="65">
        <v>0</v>
      </c>
      <c r="W77" s="65">
        <v>0</v>
      </c>
      <c r="X77" s="65">
        <v>0</v>
      </c>
      <c r="Y77" s="65">
        <v>0</v>
      </c>
      <c r="Z77" s="65">
        <v>0</v>
      </c>
      <c r="AA77" s="65">
        <v>0</v>
      </c>
      <c r="AB77" s="65">
        <v>0</v>
      </c>
      <c r="AC77" s="65">
        <v>0</v>
      </c>
      <c r="AD77" s="65">
        <v>0</v>
      </c>
      <c r="AE77" s="65">
        <v>0</v>
      </c>
      <c r="AF77" s="65">
        <v>0</v>
      </c>
      <c r="AG77" s="65">
        <v>0</v>
      </c>
      <c r="AH77" s="65">
        <v>0</v>
      </c>
      <c r="AI77" s="65">
        <v>0</v>
      </c>
      <c r="AJ77" s="65">
        <v>0</v>
      </c>
      <c r="AK77" s="65">
        <v>111538.24000000001</v>
      </c>
    </row>
    <row r="78" spans="2:37" ht="12.75" customHeight="1" x14ac:dyDescent="0.35">
      <c r="B78" s="5">
        <v>64</v>
      </c>
      <c r="C78" s="60" t="s">
        <v>410</v>
      </c>
      <c r="D78" s="60" t="s">
        <v>532</v>
      </c>
      <c r="E78" s="60" t="s">
        <v>411</v>
      </c>
      <c r="F78" s="66" t="s">
        <v>215</v>
      </c>
      <c r="G78" s="82" t="s">
        <v>120</v>
      </c>
      <c r="H78" s="65" t="s">
        <v>314</v>
      </c>
      <c r="I78" s="65" t="s">
        <v>387</v>
      </c>
      <c r="J78" s="65" t="s">
        <v>388</v>
      </c>
      <c r="K78" s="65">
        <v>0</v>
      </c>
      <c r="L78" s="65">
        <v>0</v>
      </c>
      <c r="M78" s="65">
        <v>0</v>
      </c>
      <c r="N78" s="65">
        <v>0</v>
      </c>
      <c r="O78" s="65">
        <v>0</v>
      </c>
      <c r="P78" s="65">
        <v>0</v>
      </c>
      <c r="Q78" s="65">
        <v>0</v>
      </c>
      <c r="R78" s="65">
        <v>0</v>
      </c>
      <c r="S78" s="65">
        <v>0</v>
      </c>
      <c r="T78" s="65">
        <v>0</v>
      </c>
      <c r="U78" s="65">
        <v>0</v>
      </c>
      <c r="V78" s="65">
        <v>0</v>
      </c>
      <c r="W78" s="65">
        <v>0</v>
      </c>
      <c r="X78" s="65">
        <v>0</v>
      </c>
      <c r="Y78" s="65">
        <v>0</v>
      </c>
      <c r="Z78" s="65">
        <v>0</v>
      </c>
      <c r="AA78" s="65">
        <v>0</v>
      </c>
      <c r="AB78" s="65">
        <v>0</v>
      </c>
      <c r="AC78" s="65">
        <v>0</v>
      </c>
      <c r="AD78" s="65">
        <v>0</v>
      </c>
      <c r="AE78" s="65">
        <v>0</v>
      </c>
      <c r="AF78" s="65">
        <v>0</v>
      </c>
      <c r="AG78" s="65">
        <v>0</v>
      </c>
      <c r="AH78" s="65">
        <v>0</v>
      </c>
      <c r="AI78" s="65">
        <v>0</v>
      </c>
      <c r="AJ78" s="65">
        <v>0</v>
      </c>
      <c r="AK78" s="65">
        <v>108770.8</v>
      </c>
    </row>
    <row r="79" spans="2:37" ht="12.75" customHeight="1" x14ac:dyDescent="0.35">
      <c r="B79" s="5">
        <v>65</v>
      </c>
      <c r="C79" s="60" t="s">
        <v>510</v>
      </c>
      <c r="D79" s="60" t="s">
        <v>532</v>
      </c>
      <c r="E79" s="60" t="s">
        <v>235</v>
      </c>
      <c r="F79" s="66" t="s">
        <v>215</v>
      </c>
      <c r="G79" s="82" t="s">
        <v>120</v>
      </c>
      <c r="H79" s="65" t="s">
        <v>314</v>
      </c>
      <c r="I79" s="65" t="s">
        <v>390</v>
      </c>
      <c r="J79" s="65" t="s">
        <v>391</v>
      </c>
      <c r="K79" s="65">
        <v>0</v>
      </c>
      <c r="L79" s="65">
        <v>0</v>
      </c>
      <c r="M79" s="65">
        <v>0</v>
      </c>
      <c r="N79" s="65">
        <v>0</v>
      </c>
      <c r="O79" s="65">
        <v>0</v>
      </c>
      <c r="P79" s="65">
        <v>0</v>
      </c>
      <c r="Q79" s="65">
        <v>0</v>
      </c>
      <c r="R79" s="65">
        <v>0</v>
      </c>
      <c r="S79" s="65">
        <v>0</v>
      </c>
      <c r="T79" s="65">
        <v>0</v>
      </c>
      <c r="U79" s="65">
        <v>0</v>
      </c>
      <c r="V79" s="65">
        <v>0</v>
      </c>
      <c r="W79" s="65">
        <v>0</v>
      </c>
      <c r="X79" s="65">
        <v>0</v>
      </c>
      <c r="Y79" s="65">
        <v>0</v>
      </c>
      <c r="Z79" s="65">
        <v>0</v>
      </c>
      <c r="AA79" s="65">
        <v>0</v>
      </c>
      <c r="AB79" s="65">
        <v>0</v>
      </c>
      <c r="AC79" s="65">
        <v>0</v>
      </c>
      <c r="AD79" s="65">
        <v>0</v>
      </c>
      <c r="AE79" s="65">
        <v>0</v>
      </c>
      <c r="AF79" s="65">
        <v>0</v>
      </c>
      <c r="AG79" s="65">
        <v>0</v>
      </c>
      <c r="AH79" s="65">
        <v>0</v>
      </c>
      <c r="AI79" s="65">
        <v>0</v>
      </c>
      <c r="AJ79" s="65">
        <v>0</v>
      </c>
      <c r="AK79" s="65">
        <v>39358.080000000002</v>
      </c>
    </row>
    <row r="80" spans="2:37" ht="12.75" customHeight="1" x14ac:dyDescent="0.35">
      <c r="B80" s="5">
        <v>66</v>
      </c>
      <c r="C80" s="60" t="s">
        <v>418</v>
      </c>
      <c r="D80" s="60" t="s">
        <v>532</v>
      </c>
      <c r="E80" s="60" t="s">
        <v>219</v>
      </c>
      <c r="F80" s="66" t="s">
        <v>215</v>
      </c>
      <c r="G80" s="82" t="s">
        <v>120</v>
      </c>
      <c r="H80" s="65" t="s">
        <v>400</v>
      </c>
      <c r="I80" s="65" t="s">
        <v>401</v>
      </c>
      <c r="J80" s="65" t="s">
        <v>402</v>
      </c>
      <c r="K80" s="65">
        <v>0</v>
      </c>
      <c r="L80" s="65">
        <v>0</v>
      </c>
      <c r="M80" s="65">
        <v>0</v>
      </c>
      <c r="N80" s="65">
        <v>0</v>
      </c>
      <c r="O80" s="65">
        <v>0</v>
      </c>
      <c r="P80" s="65">
        <v>0</v>
      </c>
      <c r="Q80" s="65">
        <v>0</v>
      </c>
      <c r="R80" s="65">
        <v>0</v>
      </c>
      <c r="S80" s="65">
        <v>0</v>
      </c>
      <c r="T80" s="65">
        <v>0</v>
      </c>
      <c r="U80" s="65">
        <v>0</v>
      </c>
      <c r="V80" s="65">
        <v>0</v>
      </c>
      <c r="W80" s="65">
        <v>0</v>
      </c>
      <c r="X80" s="65">
        <v>0</v>
      </c>
      <c r="Y80" s="65">
        <v>0</v>
      </c>
      <c r="Z80" s="65">
        <v>0</v>
      </c>
      <c r="AA80" s="65">
        <v>0</v>
      </c>
      <c r="AB80" s="65">
        <v>0</v>
      </c>
      <c r="AC80" s="65">
        <v>0</v>
      </c>
      <c r="AD80" s="65">
        <v>0</v>
      </c>
      <c r="AE80" s="65">
        <v>0</v>
      </c>
      <c r="AF80" s="65">
        <v>0</v>
      </c>
      <c r="AG80" s="65">
        <v>0</v>
      </c>
      <c r="AH80" s="65">
        <v>0</v>
      </c>
      <c r="AI80" s="65">
        <v>0</v>
      </c>
      <c r="AJ80" s="65">
        <v>0</v>
      </c>
      <c r="AK80" s="65">
        <v>132040.89000000001</v>
      </c>
    </row>
    <row r="81" spans="2:37" ht="12.75" customHeight="1" x14ac:dyDescent="0.35">
      <c r="B81" s="5">
        <v>67</v>
      </c>
      <c r="C81" s="60" t="s">
        <v>421</v>
      </c>
      <c r="D81" s="60" t="s">
        <v>532</v>
      </c>
      <c r="E81" s="60" t="s">
        <v>233</v>
      </c>
      <c r="F81" s="66" t="s">
        <v>215</v>
      </c>
      <c r="G81" s="82" t="s">
        <v>120</v>
      </c>
      <c r="H81" s="65" t="s">
        <v>314</v>
      </c>
      <c r="I81" s="65" t="s">
        <v>408</v>
      </c>
      <c r="J81" s="65" t="s">
        <v>409</v>
      </c>
      <c r="K81" s="65">
        <v>0</v>
      </c>
      <c r="L81" s="65">
        <v>0</v>
      </c>
      <c r="M81" s="65">
        <v>0</v>
      </c>
      <c r="N81" s="65">
        <v>0</v>
      </c>
      <c r="O81" s="65">
        <v>0</v>
      </c>
      <c r="P81" s="65">
        <v>0</v>
      </c>
      <c r="Q81" s="65">
        <v>0</v>
      </c>
      <c r="R81" s="65">
        <v>0</v>
      </c>
      <c r="S81" s="65">
        <v>0</v>
      </c>
      <c r="T81" s="65">
        <v>0</v>
      </c>
      <c r="U81" s="65">
        <v>0</v>
      </c>
      <c r="V81" s="65">
        <v>0</v>
      </c>
      <c r="W81" s="65">
        <v>0</v>
      </c>
      <c r="X81" s="65">
        <v>0</v>
      </c>
      <c r="Y81" s="65">
        <v>0</v>
      </c>
      <c r="Z81" s="65">
        <v>0</v>
      </c>
      <c r="AA81" s="65">
        <v>0</v>
      </c>
      <c r="AB81" s="65">
        <v>0</v>
      </c>
      <c r="AC81" s="65">
        <v>0</v>
      </c>
      <c r="AD81" s="65">
        <v>0</v>
      </c>
      <c r="AE81" s="65">
        <v>0</v>
      </c>
      <c r="AF81" s="65">
        <v>0</v>
      </c>
      <c r="AG81" s="65">
        <v>0</v>
      </c>
      <c r="AH81" s="65">
        <v>0</v>
      </c>
      <c r="AI81" s="65">
        <v>0</v>
      </c>
      <c r="AJ81" s="65">
        <v>0</v>
      </c>
      <c r="AK81" s="65">
        <v>87042.36</v>
      </c>
    </row>
    <row r="82" spans="2:37" ht="12.75" customHeight="1" x14ac:dyDescent="0.35">
      <c r="B82" s="5">
        <v>68</v>
      </c>
      <c r="C82" s="60" t="s">
        <v>424</v>
      </c>
      <c r="D82" s="60" t="s">
        <v>532</v>
      </c>
      <c r="E82" s="60" t="s">
        <v>235</v>
      </c>
      <c r="F82" s="66" t="s">
        <v>215</v>
      </c>
      <c r="G82" s="82" t="s">
        <v>120</v>
      </c>
      <c r="H82" s="65" t="s">
        <v>314</v>
      </c>
      <c r="I82" s="65" t="s">
        <v>412</v>
      </c>
      <c r="J82" s="65" t="s">
        <v>413</v>
      </c>
      <c r="K82" s="65">
        <v>0</v>
      </c>
      <c r="L82" s="65">
        <v>0</v>
      </c>
      <c r="M82" s="65">
        <v>0</v>
      </c>
      <c r="N82" s="65">
        <v>0</v>
      </c>
      <c r="O82" s="65">
        <v>0</v>
      </c>
      <c r="P82" s="65">
        <v>0</v>
      </c>
      <c r="Q82" s="65">
        <v>0</v>
      </c>
      <c r="R82" s="65">
        <v>0</v>
      </c>
      <c r="S82" s="65">
        <v>0</v>
      </c>
      <c r="T82" s="65">
        <v>0</v>
      </c>
      <c r="U82" s="65">
        <v>0</v>
      </c>
      <c r="V82" s="65">
        <v>0</v>
      </c>
      <c r="W82" s="65">
        <v>0</v>
      </c>
      <c r="X82" s="65">
        <v>0</v>
      </c>
      <c r="Y82" s="65">
        <v>0</v>
      </c>
      <c r="Z82" s="65">
        <v>0</v>
      </c>
      <c r="AA82" s="65">
        <v>0</v>
      </c>
      <c r="AB82" s="65">
        <v>0</v>
      </c>
      <c r="AC82" s="65">
        <v>0</v>
      </c>
      <c r="AD82" s="65">
        <v>0</v>
      </c>
      <c r="AE82" s="65">
        <v>0</v>
      </c>
      <c r="AF82" s="65">
        <v>0</v>
      </c>
      <c r="AG82" s="65">
        <v>0</v>
      </c>
      <c r="AH82" s="65">
        <v>0</v>
      </c>
      <c r="AI82" s="65">
        <v>0</v>
      </c>
      <c r="AJ82" s="65">
        <v>0</v>
      </c>
      <c r="AK82" s="65">
        <v>76921.36</v>
      </c>
    </row>
    <row r="83" spans="2:37" ht="12.75" customHeight="1" x14ac:dyDescent="0.35">
      <c r="B83" s="5">
        <v>69</v>
      </c>
      <c r="C83" s="60" t="s">
        <v>251</v>
      </c>
      <c r="D83" s="60" t="s">
        <v>532</v>
      </c>
      <c r="E83" s="60" t="s">
        <v>552</v>
      </c>
      <c r="F83" s="66" t="s">
        <v>215</v>
      </c>
      <c r="G83" s="82" t="s">
        <v>551</v>
      </c>
      <c r="H83" s="65" t="s">
        <v>314</v>
      </c>
      <c r="I83" s="65" t="s">
        <v>419</v>
      </c>
      <c r="J83" s="65" t="s">
        <v>420</v>
      </c>
      <c r="K83" s="65">
        <v>0</v>
      </c>
      <c r="L83" s="65">
        <v>0</v>
      </c>
      <c r="M83" s="65">
        <v>0</v>
      </c>
      <c r="N83" s="65">
        <v>0</v>
      </c>
      <c r="O83" s="65">
        <v>0</v>
      </c>
      <c r="P83" s="65">
        <v>0</v>
      </c>
      <c r="Q83" s="65">
        <v>0</v>
      </c>
      <c r="R83" s="65">
        <v>0</v>
      </c>
      <c r="S83" s="65">
        <v>0</v>
      </c>
      <c r="T83" s="65">
        <v>0</v>
      </c>
      <c r="U83" s="65">
        <v>0</v>
      </c>
      <c r="V83" s="65">
        <v>0</v>
      </c>
      <c r="W83" s="65">
        <v>0</v>
      </c>
      <c r="X83" s="65">
        <v>0</v>
      </c>
      <c r="Y83" s="65">
        <v>0</v>
      </c>
      <c r="Z83" s="65">
        <v>0</v>
      </c>
      <c r="AA83" s="65">
        <v>0</v>
      </c>
      <c r="AB83" s="65">
        <v>0</v>
      </c>
      <c r="AC83" s="65">
        <v>0</v>
      </c>
      <c r="AD83" s="65">
        <v>0</v>
      </c>
      <c r="AE83" s="65">
        <v>0</v>
      </c>
      <c r="AF83" s="65">
        <v>0</v>
      </c>
      <c r="AG83" s="65">
        <v>0</v>
      </c>
      <c r="AH83" s="65">
        <v>0</v>
      </c>
      <c r="AI83" s="65">
        <v>0</v>
      </c>
      <c r="AJ83" s="65">
        <v>0</v>
      </c>
      <c r="AK83" s="65">
        <v>415711.32</v>
      </c>
    </row>
    <row r="84" spans="2:37" ht="12.75" customHeight="1" x14ac:dyDescent="0.35">
      <c r="B84" s="5">
        <v>70</v>
      </c>
      <c r="C84" s="60" t="s">
        <v>439</v>
      </c>
      <c r="D84" s="60" t="s">
        <v>532</v>
      </c>
      <c r="E84" s="60" t="s">
        <v>252</v>
      </c>
      <c r="F84" s="66" t="s">
        <v>215</v>
      </c>
      <c r="G84" s="82" t="s">
        <v>120</v>
      </c>
      <c r="H84" s="65" t="s">
        <v>374</v>
      </c>
      <c r="I84" s="65" t="s">
        <v>422</v>
      </c>
      <c r="J84" s="65" t="s">
        <v>423</v>
      </c>
      <c r="K84" s="65">
        <v>0</v>
      </c>
      <c r="L84" s="65">
        <v>0</v>
      </c>
      <c r="M84" s="65">
        <v>0</v>
      </c>
      <c r="N84" s="65">
        <v>0</v>
      </c>
      <c r="O84" s="65">
        <v>0</v>
      </c>
      <c r="P84" s="65">
        <v>0</v>
      </c>
      <c r="Q84" s="65">
        <v>0</v>
      </c>
      <c r="R84" s="65">
        <v>0</v>
      </c>
      <c r="S84" s="65">
        <v>0</v>
      </c>
      <c r="T84" s="65">
        <v>0</v>
      </c>
      <c r="U84" s="65">
        <v>0</v>
      </c>
      <c r="V84" s="65">
        <v>0</v>
      </c>
      <c r="W84" s="65">
        <v>0</v>
      </c>
      <c r="X84" s="65">
        <v>0</v>
      </c>
      <c r="Y84" s="65">
        <v>0</v>
      </c>
      <c r="Z84" s="65">
        <v>0</v>
      </c>
      <c r="AA84" s="65">
        <v>0</v>
      </c>
      <c r="AB84" s="65">
        <v>0</v>
      </c>
      <c r="AC84" s="65">
        <v>0</v>
      </c>
      <c r="AD84" s="65">
        <v>0</v>
      </c>
      <c r="AE84" s="65">
        <v>0</v>
      </c>
      <c r="AF84" s="65">
        <v>0</v>
      </c>
      <c r="AG84" s="65">
        <v>0</v>
      </c>
      <c r="AH84" s="65">
        <v>0</v>
      </c>
      <c r="AI84" s="65">
        <v>0</v>
      </c>
      <c r="AJ84" s="65">
        <v>0</v>
      </c>
      <c r="AK84" s="65">
        <v>39358.080000000002</v>
      </c>
    </row>
    <row r="85" spans="2:37" ht="12.75" customHeight="1" x14ac:dyDescent="0.35">
      <c r="B85" s="5">
        <v>71</v>
      </c>
      <c r="C85" s="60" t="s">
        <v>258</v>
      </c>
      <c r="D85" s="60" t="s">
        <v>532</v>
      </c>
      <c r="E85" s="60" t="s">
        <v>411</v>
      </c>
      <c r="F85" s="66" t="s">
        <v>215</v>
      </c>
      <c r="G85" s="82" t="s">
        <v>551</v>
      </c>
      <c r="H85" s="65" t="s">
        <v>374</v>
      </c>
      <c r="I85" s="65" t="s">
        <v>425</v>
      </c>
      <c r="J85" s="65" t="s">
        <v>426</v>
      </c>
      <c r="K85" s="65">
        <v>0</v>
      </c>
      <c r="L85" s="65">
        <v>0</v>
      </c>
      <c r="M85" s="65">
        <v>0</v>
      </c>
      <c r="N85" s="65">
        <v>0</v>
      </c>
      <c r="O85" s="65">
        <v>0</v>
      </c>
      <c r="P85" s="65">
        <v>0</v>
      </c>
      <c r="Q85" s="65">
        <v>0</v>
      </c>
      <c r="R85" s="65">
        <v>0</v>
      </c>
      <c r="S85" s="65">
        <v>0</v>
      </c>
      <c r="T85" s="65">
        <v>0</v>
      </c>
      <c r="U85" s="65">
        <v>0</v>
      </c>
      <c r="V85" s="65">
        <v>0</v>
      </c>
      <c r="W85" s="65">
        <v>0</v>
      </c>
      <c r="X85" s="65">
        <v>0</v>
      </c>
      <c r="Y85" s="65">
        <v>0</v>
      </c>
      <c r="Z85" s="65">
        <v>0</v>
      </c>
      <c r="AA85" s="65">
        <v>0</v>
      </c>
      <c r="AB85" s="65">
        <v>0</v>
      </c>
      <c r="AC85" s="65">
        <v>0</v>
      </c>
      <c r="AD85" s="65">
        <v>0</v>
      </c>
      <c r="AE85" s="65">
        <v>0</v>
      </c>
      <c r="AF85" s="65">
        <v>0</v>
      </c>
      <c r="AG85" s="65">
        <v>0</v>
      </c>
      <c r="AH85" s="65">
        <v>0</v>
      </c>
      <c r="AI85" s="65">
        <v>0</v>
      </c>
      <c r="AJ85" s="65">
        <v>0</v>
      </c>
      <c r="AK85" s="65">
        <v>388731.24</v>
      </c>
    </row>
    <row r="86" spans="2:37" ht="12.75" customHeight="1" x14ac:dyDescent="0.35">
      <c r="B86" s="5">
        <v>72</v>
      </c>
      <c r="C86" s="60" t="s">
        <v>259</v>
      </c>
      <c r="D86" s="60" t="s">
        <v>532</v>
      </c>
      <c r="E86" s="60" t="s">
        <v>260</v>
      </c>
      <c r="F86" s="66" t="s">
        <v>215</v>
      </c>
      <c r="G86" s="82" t="s">
        <v>551</v>
      </c>
      <c r="H86" s="65" t="s">
        <v>314</v>
      </c>
      <c r="I86" s="65" t="s">
        <v>440</v>
      </c>
      <c r="J86" s="65" t="s">
        <v>441</v>
      </c>
      <c r="K86" s="65">
        <v>0</v>
      </c>
      <c r="L86" s="65">
        <v>0</v>
      </c>
      <c r="M86" s="65">
        <v>0</v>
      </c>
      <c r="N86" s="65">
        <v>0</v>
      </c>
      <c r="O86" s="65">
        <v>0</v>
      </c>
      <c r="P86" s="65">
        <v>0</v>
      </c>
      <c r="Q86" s="65">
        <v>0</v>
      </c>
      <c r="R86" s="65">
        <v>0</v>
      </c>
      <c r="S86" s="65">
        <v>0</v>
      </c>
      <c r="T86" s="65">
        <v>0</v>
      </c>
      <c r="U86" s="65">
        <v>0</v>
      </c>
      <c r="V86" s="65">
        <v>0</v>
      </c>
      <c r="W86" s="65">
        <v>0</v>
      </c>
      <c r="X86" s="65">
        <v>0</v>
      </c>
      <c r="Y86" s="65">
        <v>0</v>
      </c>
      <c r="Z86" s="65">
        <v>0</v>
      </c>
      <c r="AA86" s="65">
        <v>0</v>
      </c>
      <c r="AB86" s="65">
        <v>0</v>
      </c>
      <c r="AC86" s="65">
        <v>0</v>
      </c>
      <c r="AD86" s="65">
        <v>0</v>
      </c>
      <c r="AE86" s="65">
        <v>0</v>
      </c>
      <c r="AF86" s="65">
        <v>0</v>
      </c>
      <c r="AG86" s="65">
        <v>0</v>
      </c>
      <c r="AH86" s="65">
        <v>0</v>
      </c>
      <c r="AI86" s="65">
        <v>0</v>
      </c>
      <c r="AJ86" s="65">
        <v>0</v>
      </c>
      <c r="AK86" s="65">
        <v>323366.24</v>
      </c>
    </row>
    <row r="87" spans="2:37" ht="12.75" customHeight="1" x14ac:dyDescent="0.35">
      <c r="B87" s="5">
        <v>73</v>
      </c>
      <c r="C87" s="60" t="s">
        <v>268</v>
      </c>
      <c r="D87" s="60" t="s">
        <v>532</v>
      </c>
      <c r="E87" s="60" t="s">
        <v>252</v>
      </c>
      <c r="F87" s="66" t="s">
        <v>215</v>
      </c>
      <c r="G87" s="82" t="s">
        <v>120</v>
      </c>
      <c r="H87" s="65" t="s">
        <v>314</v>
      </c>
      <c r="I87" s="65" t="s">
        <v>387</v>
      </c>
      <c r="J87" s="65" t="s">
        <v>388</v>
      </c>
      <c r="K87" s="65">
        <v>0</v>
      </c>
      <c r="L87" s="65">
        <v>0</v>
      </c>
      <c r="M87" s="65">
        <v>0</v>
      </c>
      <c r="N87" s="65">
        <v>0</v>
      </c>
      <c r="O87" s="65">
        <v>0</v>
      </c>
      <c r="P87" s="65">
        <v>0</v>
      </c>
      <c r="Q87" s="65">
        <v>0</v>
      </c>
      <c r="R87" s="65">
        <v>0</v>
      </c>
      <c r="S87" s="65">
        <v>0</v>
      </c>
      <c r="T87" s="65">
        <v>0</v>
      </c>
      <c r="U87" s="65">
        <v>0</v>
      </c>
      <c r="V87" s="65">
        <v>0</v>
      </c>
      <c r="W87" s="65">
        <v>0</v>
      </c>
      <c r="X87" s="65">
        <v>0</v>
      </c>
      <c r="Y87" s="65">
        <v>0</v>
      </c>
      <c r="Z87" s="65">
        <v>0</v>
      </c>
      <c r="AA87" s="65">
        <v>0</v>
      </c>
      <c r="AB87" s="65">
        <v>0</v>
      </c>
      <c r="AC87" s="65">
        <v>0</v>
      </c>
      <c r="AD87" s="65">
        <v>0</v>
      </c>
      <c r="AE87" s="65">
        <v>0</v>
      </c>
      <c r="AF87" s="65">
        <v>0</v>
      </c>
      <c r="AG87" s="65">
        <v>0</v>
      </c>
      <c r="AH87" s="65">
        <v>0</v>
      </c>
      <c r="AI87" s="65">
        <v>0</v>
      </c>
      <c r="AJ87" s="65">
        <v>0</v>
      </c>
      <c r="AK87" s="65">
        <v>388731.24</v>
      </c>
    </row>
    <row r="88" spans="2:37" ht="12.75" customHeight="1" x14ac:dyDescent="0.35">
      <c r="B88" s="5">
        <v>74</v>
      </c>
      <c r="C88" s="60" t="s">
        <v>269</v>
      </c>
      <c r="D88" s="60" t="s">
        <v>532</v>
      </c>
      <c r="E88" s="60" t="s">
        <v>252</v>
      </c>
      <c r="F88" s="66" t="s">
        <v>215</v>
      </c>
      <c r="G88" s="82" t="s">
        <v>551</v>
      </c>
      <c r="H88" s="65" t="s">
        <v>314</v>
      </c>
      <c r="I88" s="65" t="s">
        <v>500</v>
      </c>
      <c r="J88" s="65" t="s">
        <v>501</v>
      </c>
      <c r="K88" s="65">
        <v>0</v>
      </c>
      <c r="L88" s="65">
        <v>0</v>
      </c>
      <c r="M88" s="65">
        <v>0</v>
      </c>
      <c r="N88" s="65">
        <v>0</v>
      </c>
      <c r="O88" s="65">
        <v>0</v>
      </c>
      <c r="P88" s="65">
        <v>0</v>
      </c>
      <c r="Q88" s="65">
        <v>0</v>
      </c>
      <c r="R88" s="65">
        <v>0</v>
      </c>
      <c r="S88" s="65">
        <v>0</v>
      </c>
      <c r="T88" s="65">
        <v>0</v>
      </c>
      <c r="U88" s="65">
        <v>0</v>
      </c>
      <c r="V88" s="65">
        <v>0</v>
      </c>
      <c r="W88" s="65">
        <v>0</v>
      </c>
      <c r="X88" s="65">
        <v>0</v>
      </c>
      <c r="Y88" s="65">
        <v>0</v>
      </c>
      <c r="Z88" s="65">
        <v>0</v>
      </c>
      <c r="AA88" s="65">
        <v>0</v>
      </c>
      <c r="AB88" s="65">
        <v>0</v>
      </c>
      <c r="AC88" s="65">
        <v>0</v>
      </c>
      <c r="AD88" s="65">
        <v>0</v>
      </c>
      <c r="AE88" s="65">
        <v>0</v>
      </c>
      <c r="AF88" s="65">
        <v>0</v>
      </c>
      <c r="AG88" s="65">
        <v>0</v>
      </c>
      <c r="AH88" s="65">
        <v>0</v>
      </c>
      <c r="AI88" s="65">
        <v>0</v>
      </c>
      <c r="AJ88" s="65">
        <v>0</v>
      </c>
      <c r="AK88" s="65">
        <v>388506.24</v>
      </c>
    </row>
    <row r="89" spans="2:37" ht="12.75" customHeight="1" x14ac:dyDescent="0.35">
      <c r="B89" s="5">
        <v>75</v>
      </c>
      <c r="C89" s="60" t="s">
        <v>270</v>
      </c>
      <c r="D89" s="60" t="s">
        <v>532</v>
      </c>
      <c r="E89" s="60" t="s">
        <v>219</v>
      </c>
      <c r="F89" s="66" t="s">
        <v>215</v>
      </c>
      <c r="G89" s="82" t="s">
        <v>551</v>
      </c>
      <c r="H89" s="65">
        <v>0</v>
      </c>
      <c r="I89" s="65">
        <v>0</v>
      </c>
      <c r="J89" s="65">
        <v>0</v>
      </c>
      <c r="K89" s="65">
        <v>29902</v>
      </c>
      <c r="L89" s="65">
        <v>2000</v>
      </c>
      <c r="M89" s="65">
        <v>0</v>
      </c>
      <c r="N89" s="65">
        <v>0</v>
      </c>
      <c r="O89" s="65">
        <v>5000</v>
      </c>
      <c r="P89" s="65">
        <v>1500</v>
      </c>
      <c r="Q89" s="65">
        <v>150</v>
      </c>
      <c r="R89" s="65">
        <v>0</v>
      </c>
      <c r="S89" s="65">
        <v>5000</v>
      </c>
      <c r="T89" s="65">
        <v>0</v>
      </c>
      <c r="U89" s="65">
        <v>0</v>
      </c>
      <c r="V89" s="65">
        <v>2569</v>
      </c>
      <c r="W89" s="65">
        <v>0</v>
      </c>
      <c r="X89" s="65">
        <v>0</v>
      </c>
      <c r="Y89" s="65">
        <v>29902</v>
      </c>
      <c r="Z89" s="65">
        <v>5000</v>
      </c>
      <c r="AA89" s="65">
        <v>29902</v>
      </c>
      <c r="AB89" s="65">
        <v>3588.24</v>
      </c>
      <c r="AC89" s="65">
        <v>100</v>
      </c>
      <c r="AD89" s="65">
        <v>362.5</v>
      </c>
      <c r="AE89" s="65">
        <v>100</v>
      </c>
      <c r="AF89" s="65">
        <v>0</v>
      </c>
      <c r="AG89" s="65">
        <v>0</v>
      </c>
      <c r="AH89" s="65">
        <v>0</v>
      </c>
      <c r="AI89" s="65">
        <v>0</v>
      </c>
      <c r="AJ89" s="65">
        <v>5000</v>
      </c>
      <c r="AK89" s="65">
        <v>323366.24</v>
      </c>
    </row>
    <row r="90" spans="2:37" ht="12.75" customHeight="1" x14ac:dyDescent="0.35">
      <c r="B90" s="5">
        <v>76</v>
      </c>
      <c r="C90" s="60" t="s">
        <v>470</v>
      </c>
      <c r="D90" s="60" t="s">
        <v>532</v>
      </c>
      <c r="E90" s="60" t="s">
        <v>235</v>
      </c>
      <c r="F90" s="66" t="s">
        <v>215</v>
      </c>
      <c r="G90" s="82" t="s">
        <v>120</v>
      </c>
      <c r="H90" s="65">
        <v>0</v>
      </c>
      <c r="I90" s="65">
        <v>0</v>
      </c>
      <c r="J90" s="65">
        <v>0</v>
      </c>
      <c r="K90" s="65">
        <v>27565</v>
      </c>
      <c r="L90" s="65">
        <v>2000</v>
      </c>
      <c r="M90" s="65">
        <v>0</v>
      </c>
      <c r="N90" s="65">
        <v>0</v>
      </c>
      <c r="O90" s="65">
        <v>5000</v>
      </c>
      <c r="P90" s="65">
        <v>1500</v>
      </c>
      <c r="Q90" s="65">
        <v>150</v>
      </c>
      <c r="R90" s="65">
        <v>0</v>
      </c>
      <c r="S90" s="65">
        <v>5000</v>
      </c>
      <c r="T90" s="65">
        <v>0</v>
      </c>
      <c r="U90" s="65">
        <v>0</v>
      </c>
      <c r="V90" s="65">
        <v>2327.5</v>
      </c>
      <c r="W90" s="65">
        <v>0</v>
      </c>
      <c r="X90" s="65">
        <v>0</v>
      </c>
      <c r="Y90" s="65">
        <v>27565</v>
      </c>
      <c r="Z90" s="65">
        <v>5000</v>
      </c>
      <c r="AA90" s="65">
        <v>27565</v>
      </c>
      <c r="AB90" s="65">
        <v>3307.8</v>
      </c>
      <c r="AC90" s="65">
        <v>100</v>
      </c>
      <c r="AD90" s="65">
        <v>337.5</v>
      </c>
      <c r="AE90" s="65">
        <v>100</v>
      </c>
      <c r="AF90" s="65">
        <v>0</v>
      </c>
      <c r="AG90" s="65">
        <v>0</v>
      </c>
      <c r="AH90" s="65">
        <v>0</v>
      </c>
      <c r="AI90" s="65">
        <v>0</v>
      </c>
      <c r="AJ90" s="65">
        <v>0</v>
      </c>
      <c r="AK90" s="65">
        <v>44277.84</v>
      </c>
    </row>
    <row r="91" spans="2:37" ht="12.75" customHeight="1" x14ac:dyDescent="0.35">
      <c r="B91" s="5">
        <v>77</v>
      </c>
      <c r="C91" s="60" t="s">
        <v>287</v>
      </c>
      <c r="D91" s="60" t="s">
        <v>532</v>
      </c>
      <c r="E91" s="60" t="s">
        <v>262</v>
      </c>
      <c r="F91" s="66" t="s">
        <v>215</v>
      </c>
      <c r="G91" s="82" t="s">
        <v>551</v>
      </c>
      <c r="H91" s="65">
        <v>0</v>
      </c>
      <c r="I91" s="65">
        <v>0</v>
      </c>
      <c r="J91" s="65">
        <v>0</v>
      </c>
      <c r="K91" s="65">
        <v>27565</v>
      </c>
      <c r="L91" s="65">
        <v>2000</v>
      </c>
      <c r="M91" s="65">
        <v>0</v>
      </c>
      <c r="N91" s="65">
        <v>0</v>
      </c>
      <c r="O91" s="65">
        <v>5000</v>
      </c>
      <c r="P91" s="65">
        <v>1500</v>
      </c>
      <c r="Q91" s="65">
        <v>150</v>
      </c>
      <c r="R91" s="65">
        <v>0</v>
      </c>
      <c r="S91" s="65">
        <v>5000</v>
      </c>
      <c r="T91" s="65">
        <v>0</v>
      </c>
      <c r="U91" s="65">
        <v>0</v>
      </c>
      <c r="V91" s="65">
        <v>2327.5</v>
      </c>
      <c r="W91" s="65">
        <v>0</v>
      </c>
      <c r="X91" s="65">
        <v>0</v>
      </c>
      <c r="Y91" s="65">
        <v>27565</v>
      </c>
      <c r="Z91" s="65">
        <v>5000</v>
      </c>
      <c r="AA91" s="65">
        <v>27565</v>
      </c>
      <c r="AB91" s="65">
        <v>3307.8</v>
      </c>
      <c r="AC91" s="65">
        <v>100</v>
      </c>
      <c r="AD91" s="65">
        <v>337.5</v>
      </c>
      <c r="AE91" s="65">
        <v>100</v>
      </c>
      <c r="AF91" s="65">
        <v>0</v>
      </c>
      <c r="AG91" s="65">
        <v>0</v>
      </c>
      <c r="AH91" s="65">
        <v>0</v>
      </c>
      <c r="AI91" s="65">
        <v>0</v>
      </c>
      <c r="AJ91" s="65">
        <v>5000</v>
      </c>
      <c r="AK91" s="65">
        <v>399506.88</v>
      </c>
    </row>
    <row r="92" spans="2:37" ht="12.75" customHeight="1" x14ac:dyDescent="0.35">
      <c r="B92" s="5">
        <v>78</v>
      </c>
      <c r="C92" s="60" t="s">
        <v>291</v>
      </c>
      <c r="D92" s="60" t="s">
        <v>532</v>
      </c>
      <c r="E92" s="60" t="s">
        <v>219</v>
      </c>
      <c r="F92" s="66" t="s">
        <v>215</v>
      </c>
      <c r="G92" s="82" t="s">
        <v>551</v>
      </c>
      <c r="H92" s="65">
        <v>0</v>
      </c>
      <c r="I92" s="65">
        <v>0</v>
      </c>
      <c r="J92" s="65">
        <v>0</v>
      </c>
      <c r="K92" s="65">
        <v>12927</v>
      </c>
      <c r="L92" s="65">
        <v>2000</v>
      </c>
      <c r="M92" s="65">
        <v>0</v>
      </c>
      <c r="N92" s="65">
        <v>0</v>
      </c>
      <c r="O92" s="65">
        <v>5000</v>
      </c>
      <c r="P92" s="65">
        <v>1500</v>
      </c>
      <c r="Q92" s="65">
        <v>150</v>
      </c>
      <c r="R92" s="65">
        <v>0</v>
      </c>
      <c r="S92" s="65">
        <v>5000</v>
      </c>
      <c r="T92" s="65">
        <v>0</v>
      </c>
      <c r="U92" s="65">
        <v>0</v>
      </c>
      <c r="V92" s="65">
        <v>1228.8499999999999</v>
      </c>
      <c r="W92" s="65">
        <v>0</v>
      </c>
      <c r="X92" s="65">
        <v>0</v>
      </c>
      <c r="Y92" s="65">
        <v>12927</v>
      </c>
      <c r="Z92" s="65">
        <v>5000</v>
      </c>
      <c r="AA92" s="65">
        <v>12927</v>
      </c>
      <c r="AB92" s="65">
        <v>1551.24</v>
      </c>
      <c r="AC92" s="65">
        <v>100</v>
      </c>
      <c r="AD92" s="65">
        <v>150</v>
      </c>
      <c r="AE92" s="65">
        <v>100</v>
      </c>
      <c r="AF92" s="65">
        <v>0</v>
      </c>
      <c r="AG92" s="65">
        <v>0</v>
      </c>
      <c r="AH92" s="65">
        <v>0</v>
      </c>
      <c r="AI92" s="65">
        <v>0</v>
      </c>
      <c r="AJ92" s="65">
        <v>0</v>
      </c>
      <c r="AK92" s="65">
        <v>323366.24</v>
      </c>
    </row>
    <row r="93" spans="2:37" ht="12.75" customHeight="1" x14ac:dyDescent="0.35">
      <c r="B93" s="5">
        <v>79</v>
      </c>
      <c r="C93" s="60" t="s">
        <v>294</v>
      </c>
      <c r="D93" s="60" t="s">
        <v>532</v>
      </c>
      <c r="E93" s="60" t="s">
        <v>295</v>
      </c>
      <c r="F93" s="66" t="s">
        <v>215</v>
      </c>
      <c r="G93" s="82" t="s">
        <v>551</v>
      </c>
      <c r="H93" s="65">
        <v>0</v>
      </c>
      <c r="I93" s="65">
        <v>0</v>
      </c>
      <c r="J93" s="65">
        <v>0</v>
      </c>
      <c r="K93" s="65">
        <v>12927</v>
      </c>
      <c r="L93" s="65">
        <v>2000</v>
      </c>
      <c r="M93" s="65">
        <v>0</v>
      </c>
      <c r="N93" s="65">
        <v>0</v>
      </c>
      <c r="O93" s="65">
        <v>5000</v>
      </c>
      <c r="P93" s="65">
        <v>1500</v>
      </c>
      <c r="Q93" s="65">
        <v>150</v>
      </c>
      <c r="R93" s="65">
        <v>0</v>
      </c>
      <c r="S93" s="65">
        <v>5000</v>
      </c>
      <c r="T93" s="65">
        <v>0</v>
      </c>
      <c r="U93" s="65">
        <v>0</v>
      </c>
      <c r="V93" s="65">
        <v>1228.8499999999999</v>
      </c>
      <c r="W93" s="65">
        <v>0</v>
      </c>
      <c r="X93" s="65">
        <v>0</v>
      </c>
      <c r="Y93" s="65">
        <v>12927</v>
      </c>
      <c r="Z93" s="65">
        <v>5000</v>
      </c>
      <c r="AA93" s="65">
        <v>12927</v>
      </c>
      <c r="AB93" s="65">
        <v>1551.24</v>
      </c>
      <c r="AC93" s="65">
        <v>100</v>
      </c>
      <c r="AD93" s="65">
        <v>150</v>
      </c>
      <c r="AE93" s="65">
        <v>100</v>
      </c>
      <c r="AF93" s="65">
        <v>0</v>
      </c>
      <c r="AG93" s="65">
        <v>0</v>
      </c>
      <c r="AH93" s="65">
        <v>0</v>
      </c>
      <c r="AI93" s="65">
        <v>0</v>
      </c>
      <c r="AJ93" s="65">
        <v>0</v>
      </c>
      <c r="AK93" s="65">
        <v>387931.93</v>
      </c>
    </row>
    <row r="94" spans="2:37" ht="12.75" customHeight="1" x14ac:dyDescent="0.35">
      <c r="B94" s="5">
        <v>80</v>
      </c>
      <c r="C94" s="60" t="s">
        <v>511</v>
      </c>
      <c r="D94" s="60" t="s">
        <v>532</v>
      </c>
      <c r="E94" s="60" t="s">
        <v>219</v>
      </c>
      <c r="F94" s="66" t="s">
        <v>215</v>
      </c>
      <c r="G94" s="82" t="s">
        <v>120</v>
      </c>
      <c r="H94" s="65">
        <v>0</v>
      </c>
      <c r="I94" s="65">
        <v>0</v>
      </c>
      <c r="J94" s="65">
        <v>0</v>
      </c>
      <c r="K94" s="65">
        <v>12927</v>
      </c>
      <c r="L94" s="65">
        <v>2000</v>
      </c>
      <c r="M94" s="65">
        <v>0</v>
      </c>
      <c r="N94" s="65">
        <v>0</v>
      </c>
      <c r="O94" s="65">
        <v>5000</v>
      </c>
      <c r="P94" s="65">
        <v>1500</v>
      </c>
      <c r="Q94" s="65">
        <v>150</v>
      </c>
      <c r="R94" s="65">
        <v>0</v>
      </c>
      <c r="S94" s="65">
        <v>0</v>
      </c>
      <c r="T94" s="65">
        <v>0</v>
      </c>
      <c r="U94" s="65">
        <v>0</v>
      </c>
      <c r="V94" s="65">
        <v>0</v>
      </c>
      <c r="W94" s="65">
        <v>0</v>
      </c>
      <c r="X94" s="65">
        <v>0</v>
      </c>
      <c r="Y94" s="65">
        <v>0</v>
      </c>
      <c r="Z94" s="65">
        <v>0</v>
      </c>
      <c r="AA94" s="65">
        <v>0</v>
      </c>
      <c r="AB94" s="65">
        <v>0</v>
      </c>
      <c r="AC94" s="65">
        <v>100</v>
      </c>
      <c r="AD94" s="65">
        <v>150</v>
      </c>
      <c r="AE94" s="65">
        <v>100</v>
      </c>
      <c r="AF94" s="65">
        <v>0</v>
      </c>
      <c r="AG94" s="65">
        <v>0</v>
      </c>
      <c r="AH94" s="65">
        <v>0</v>
      </c>
      <c r="AI94" s="65">
        <v>0</v>
      </c>
      <c r="AJ94" s="65">
        <v>0</v>
      </c>
      <c r="AK94" s="65">
        <v>39358.080000000002</v>
      </c>
    </row>
    <row r="95" spans="2:37" ht="12.75" customHeight="1" x14ac:dyDescent="0.35">
      <c r="B95" s="5">
        <v>81</v>
      </c>
      <c r="C95" s="60" t="s">
        <v>512</v>
      </c>
      <c r="D95" s="60" t="s">
        <v>532</v>
      </c>
      <c r="E95" s="60" t="s">
        <v>318</v>
      </c>
      <c r="F95" s="66" t="s">
        <v>215</v>
      </c>
      <c r="G95" s="82" t="s">
        <v>120</v>
      </c>
      <c r="H95" s="65">
        <v>0</v>
      </c>
      <c r="I95" s="65">
        <v>0</v>
      </c>
      <c r="J95" s="65">
        <v>0</v>
      </c>
      <c r="K95" s="65">
        <v>12927</v>
      </c>
      <c r="L95" s="65">
        <v>2000</v>
      </c>
      <c r="M95" s="65">
        <v>0</v>
      </c>
      <c r="N95" s="65">
        <v>0</v>
      </c>
      <c r="O95" s="65">
        <v>5000</v>
      </c>
      <c r="P95" s="65">
        <v>1500</v>
      </c>
      <c r="Q95" s="65">
        <v>150</v>
      </c>
      <c r="R95" s="65">
        <v>0</v>
      </c>
      <c r="S95" s="65">
        <v>5000</v>
      </c>
      <c r="T95" s="65">
        <v>0</v>
      </c>
      <c r="U95" s="65">
        <v>0</v>
      </c>
      <c r="V95" s="65">
        <v>1259.6500000000001</v>
      </c>
      <c r="W95" s="65">
        <v>0</v>
      </c>
      <c r="X95" s="65">
        <v>0</v>
      </c>
      <c r="Y95" s="65">
        <v>12927</v>
      </c>
      <c r="Z95" s="65">
        <v>5000</v>
      </c>
      <c r="AA95" s="65">
        <v>12927</v>
      </c>
      <c r="AB95" s="65">
        <v>1551.24</v>
      </c>
      <c r="AC95" s="65">
        <v>100</v>
      </c>
      <c r="AD95" s="65">
        <v>150</v>
      </c>
      <c r="AE95" s="65">
        <v>100</v>
      </c>
      <c r="AF95" s="65">
        <v>0</v>
      </c>
      <c r="AG95" s="65">
        <v>0</v>
      </c>
      <c r="AH95" s="65">
        <v>0</v>
      </c>
      <c r="AI95" s="65">
        <v>0</v>
      </c>
      <c r="AJ95" s="65">
        <v>0</v>
      </c>
      <c r="AK95" s="65">
        <v>39358.080000000002</v>
      </c>
    </row>
    <row r="96" spans="2:37" ht="12.75" customHeight="1" x14ac:dyDescent="0.35">
      <c r="B96" s="5">
        <v>82</v>
      </c>
      <c r="C96" s="60" t="s">
        <v>256</v>
      </c>
      <c r="D96" s="60" t="s">
        <v>533</v>
      </c>
      <c r="E96" s="60" t="s">
        <v>257</v>
      </c>
      <c r="F96" s="66" t="s">
        <v>215</v>
      </c>
      <c r="G96" s="82" t="s">
        <v>551</v>
      </c>
      <c r="H96" s="65">
        <v>0</v>
      </c>
      <c r="I96" s="65">
        <v>0</v>
      </c>
      <c r="J96" s="65">
        <v>0</v>
      </c>
      <c r="K96" s="65">
        <v>12927</v>
      </c>
      <c r="L96" s="65">
        <v>2000</v>
      </c>
      <c r="M96" s="65">
        <v>0</v>
      </c>
      <c r="N96" s="65">
        <v>0</v>
      </c>
      <c r="O96" s="65">
        <v>5000</v>
      </c>
      <c r="P96" s="65">
        <v>1500</v>
      </c>
      <c r="Q96" s="65">
        <v>150</v>
      </c>
      <c r="R96" s="65">
        <v>0</v>
      </c>
      <c r="S96" s="65">
        <v>5000</v>
      </c>
      <c r="T96" s="65">
        <v>0</v>
      </c>
      <c r="U96" s="65">
        <v>0</v>
      </c>
      <c r="V96" s="65">
        <v>1228.8499999999999</v>
      </c>
      <c r="W96" s="65">
        <v>0</v>
      </c>
      <c r="X96" s="65">
        <v>0</v>
      </c>
      <c r="Y96" s="65">
        <v>12927</v>
      </c>
      <c r="Z96" s="65">
        <v>5000</v>
      </c>
      <c r="AA96" s="65">
        <v>12927</v>
      </c>
      <c r="AB96" s="65">
        <v>1551.24</v>
      </c>
      <c r="AC96" s="65">
        <v>100</v>
      </c>
      <c r="AD96" s="65">
        <v>150</v>
      </c>
      <c r="AE96" s="65">
        <v>100</v>
      </c>
      <c r="AF96" s="65">
        <v>0</v>
      </c>
      <c r="AG96" s="65">
        <v>0</v>
      </c>
      <c r="AH96" s="65">
        <v>0</v>
      </c>
      <c r="AI96" s="65">
        <v>0</v>
      </c>
      <c r="AJ96" s="65">
        <v>0</v>
      </c>
      <c r="AK96" s="65">
        <v>517483.60000000003</v>
      </c>
    </row>
    <row r="97" spans="2:37" ht="12.75" customHeight="1" x14ac:dyDescent="0.35">
      <c r="B97" s="5">
        <v>83</v>
      </c>
      <c r="C97" s="60" t="s">
        <v>274</v>
      </c>
      <c r="D97" s="60" t="s">
        <v>533</v>
      </c>
      <c r="E97" s="60" t="s">
        <v>252</v>
      </c>
      <c r="F97" s="66" t="s">
        <v>215</v>
      </c>
      <c r="G97" s="82" t="s">
        <v>551</v>
      </c>
      <c r="H97" s="65">
        <v>0</v>
      </c>
      <c r="I97" s="65">
        <v>0</v>
      </c>
      <c r="J97" s="65">
        <v>0</v>
      </c>
      <c r="K97" s="65">
        <v>12927</v>
      </c>
      <c r="L97" s="65">
        <v>2000</v>
      </c>
      <c r="M97" s="65">
        <v>0</v>
      </c>
      <c r="N97" s="65">
        <v>0</v>
      </c>
      <c r="O97" s="65">
        <v>5000</v>
      </c>
      <c r="P97" s="65">
        <v>1500</v>
      </c>
      <c r="Q97" s="65">
        <v>150</v>
      </c>
      <c r="R97" s="65">
        <v>0</v>
      </c>
      <c r="S97" s="65">
        <v>5000</v>
      </c>
      <c r="T97" s="65">
        <v>0</v>
      </c>
      <c r="U97" s="65">
        <v>0</v>
      </c>
      <c r="V97" s="65">
        <v>1259.6500000000001</v>
      </c>
      <c r="W97" s="65">
        <v>0</v>
      </c>
      <c r="X97" s="65">
        <v>0</v>
      </c>
      <c r="Y97" s="65">
        <v>12927</v>
      </c>
      <c r="Z97" s="65">
        <v>5000</v>
      </c>
      <c r="AA97" s="65">
        <v>12927</v>
      </c>
      <c r="AB97" s="65">
        <v>1551.24</v>
      </c>
      <c r="AC97" s="65">
        <v>100</v>
      </c>
      <c r="AD97" s="65">
        <v>150</v>
      </c>
      <c r="AE97" s="65">
        <v>100</v>
      </c>
      <c r="AF97" s="65">
        <v>0</v>
      </c>
      <c r="AG97" s="65">
        <v>0</v>
      </c>
      <c r="AH97" s="65">
        <v>0</v>
      </c>
      <c r="AI97" s="65">
        <v>0</v>
      </c>
      <c r="AJ97" s="65">
        <v>0</v>
      </c>
      <c r="AK97" s="65">
        <v>522033.60000000003</v>
      </c>
    </row>
    <row r="98" spans="2:37" ht="12.75" customHeight="1" x14ac:dyDescent="0.35">
      <c r="B98" s="5">
        <v>84</v>
      </c>
      <c r="C98" s="60" t="s">
        <v>250</v>
      </c>
      <c r="D98" s="60" t="s">
        <v>534</v>
      </c>
      <c r="E98" s="60" t="s">
        <v>555</v>
      </c>
      <c r="F98" s="66" t="s">
        <v>215</v>
      </c>
      <c r="G98" s="82" t="s">
        <v>551</v>
      </c>
      <c r="H98" s="65">
        <v>0</v>
      </c>
      <c r="I98" s="65">
        <v>0</v>
      </c>
      <c r="J98" s="65">
        <v>0</v>
      </c>
      <c r="K98" s="65">
        <v>12927</v>
      </c>
      <c r="L98" s="65">
        <v>2000</v>
      </c>
      <c r="M98" s="65">
        <v>0</v>
      </c>
      <c r="N98" s="65">
        <v>0</v>
      </c>
      <c r="O98" s="65">
        <v>5000</v>
      </c>
      <c r="P98" s="65">
        <v>1500</v>
      </c>
      <c r="Q98" s="65">
        <v>150</v>
      </c>
      <c r="R98" s="65">
        <v>0</v>
      </c>
      <c r="S98" s="65">
        <v>5000</v>
      </c>
      <c r="T98" s="65">
        <v>0</v>
      </c>
      <c r="U98" s="65">
        <v>0</v>
      </c>
      <c r="V98" s="65">
        <v>1228.8499999999999</v>
      </c>
      <c r="W98" s="65">
        <v>0</v>
      </c>
      <c r="X98" s="65">
        <v>0</v>
      </c>
      <c r="Y98" s="65">
        <v>12927</v>
      </c>
      <c r="Z98" s="65">
        <v>5000</v>
      </c>
      <c r="AA98" s="65">
        <v>12927</v>
      </c>
      <c r="AB98" s="65">
        <v>1551.24</v>
      </c>
      <c r="AC98" s="65">
        <v>100</v>
      </c>
      <c r="AD98" s="65">
        <v>150</v>
      </c>
      <c r="AE98" s="65">
        <v>100</v>
      </c>
      <c r="AF98" s="65">
        <v>0</v>
      </c>
      <c r="AG98" s="65">
        <v>0</v>
      </c>
      <c r="AH98" s="65">
        <v>0</v>
      </c>
      <c r="AI98" s="65">
        <v>0</v>
      </c>
      <c r="AJ98" s="65">
        <v>0</v>
      </c>
      <c r="AK98" s="65">
        <v>602953.25</v>
      </c>
    </row>
    <row r="99" spans="2:37" ht="12.75" customHeight="1" x14ac:dyDescent="0.35">
      <c r="B99" s="5">
        <v>85</v>
      </c>
      <c r="C99" s="60" t="s">
        <v>213</v>
      </c>
      <c r="D99" s="60" t="s">
        <v>535</v>
      </c>
      <c r="E99" s="60" t="s">
        <v>233</v>
      </c>
      <c r="F99" s="66" t="s">
        <v>215</v>
      </c>
      <c r="G99" s="82" t="s">
        <v>551</v>
      </c>
      <c r="H99" s="65">
        <v>0</v>
      </c>
      <c r="I99" s="65">
        <v>0</v>
      </c>
      <c r="J99" s="65">
        <v>0</v>
      </c>
      <c r="K99" s="65">
        <v>12927</v>
      </c>
      <c r="L99" s="65">
        <v>2000</v>
      </c>
      <c r="M99" s="65">
        <v>0</v>
      </c>
      <c r="N99" s="65">
        <v>0</v>
      </c>
      <c r="O99" s="65">
        <v>5000</v>
      </c>
      <c r="P99" s="65">
        <v>1500</v>
      </c>
      <c r="Q99" s="65">
        <v>150</v>
      </c>
      <c r="R99" s="65">
        <v>0</v>
      </c>
      <c r="S99" s="65">
        <v>5000</v>
      </c>
      <c r="T99" s="65">
        <v>0</v>
      </c>
      <c r="U99" s="65">
        <v>0</v>
      </c>
      <c r="V99" s="65">
        <v>1259.6500000000001</v>
      </c>
      <c r="W99" s="65">
        <v>0</v>
      </c>
      <c r="X99" s="65">
        <v>0</v>
      </c>
      <c r="Y99" s="65">
        <v>12927</v>
      </c>
      <c r="Z99" s="65">
        <v>5000</v>
      </c>
      <c r="AA99" s="65">
        <v>12927</v>
      </c>
      <c r="AB99" s="65">
        <v>1551.24</v>
      </c>
      <c r="AC99" s="65">
        <v>100</v>
      </c>
      <c r="AD99" s="65">
        <v>150</v>
      </c>
      <c r="AE99" s="65">
        <v>100</v>
      </c>
      <c r="AF99" s="65">
        <v>0</v>
      </c>
      <c r="AG99" s="65">
        <v>0</v>
      </c>
      <c r="AH99" s="65">
        <v>0</v>
      </c>
      <c r="AI99" s="65">
        <v>0</v>
      </c>
      <c r="AJ99" s="65">
        <v>0</v>
      </c>
      <c r="AK99" s="65">
        <v>276489.08</v>
      </c>
    </row>
    <row r="100" spans="2:37" ht="12.75" customHeight="1" x14ac:dyDescent="0.35">
      <c r="B100" s="5">
        <v>86</v>
      </c>
      <c r="C100" s="60" t="s">
        <v>218</v>
      </c>
      <c r="D100" s="60" t="s">
        <v>535</v>
      </c>
      <c r="E100" s="60" t="s">
        <v>233</v>
      </c>
      <c r="F100" s="66" t="s">
        <v>215</v>
      </c>
      <c r="G100" s="82" t="s">
        <v>551</v>
      </c>
      <c r="H100" s="65" t="s">
        <v>374</v>
      </c>
      <c r="I100" s="65" t="s">
        <v>416</v>
      </c>
      <c r="J100" s="65" t="s">
        <v>417</v>
      </c>
      <c r="K100" s="65">
        <v>0</v>
      </c>
      <c r="L100" s="65">
        <v>0</v>
      </c>
      <c r="M100" s="65">
        <v>0</v>
      </c>
      <c r="N100" s="65">
        <v>0</v>
      </c>
      <c r="O100" s="65">
        <v>0</v>
      </c>
      <c r="P100" s="65">
        <v>0</v>
      </c>
      <c r="Q100" s="65">
        <v>0</v>
      </c>
      <c r="R100" s="65">
        <v>0</v>
      </c>
      <c r="S100" s="65">
        <v>0</v>
      </c>
      <c r="T100" s="65">
        <v>0</v>
      </c>
      <c r="U100" s="65">
        <v>0</v>
      </c>
      <c r="V100" s="65">
        <v>0</v>
      </c>
      <c r="W100" s="65">
        <v>0</v>
      </c>
      <c r="X100" s="65">
        <v>0</v>
      </c>
      <c r="Y100" s="65">
        <v>0</v>
      </c>
      <c r="Z100" s="65">
        <v>0</v>
      </c>
      <c r="AA100" s="65">
        <v>0</v>
      </c>
      <c r="AB100" s="65">
        <v>0</v>
      </c>
      <c r="AC100" s="65">
        <v>0</v>
      </c>
      <c r="AD100" s="65">
        <v>0</v>
      </c>
      <c r="AE100" s="65">
        <v>0</v>
      </c>
      <c r="AF100" s="65">
        <v>0</v>
      </c>
      <c r="AG100" s="65">
        <v>0</v>
      </c>
      <c r="AH100" s="65">
        <v>0</v>
      </c>
      <c r="AI100" s="65">
        <v>0</v>
      </c>
      <c r="AJ100" s="65">
        <v>0</v>
      </c>
      <c r="AK100" s="65">
        <v>276189.08</v>
      </c>
    </row>
    <row r="101" spans="2:37" ht="12.75" customHeight="1" x14ac:dyDescent="0.35">
      <c r="B101" s="5">
        <v>87</v>
      </c>
      <c r="C101" s="60" t="s">
        <v>228</v>
      </c>
      <c r="D101" s="60" t="s">
        <v>535</v>
      </c>
      <c r="E101" s="60" t="s">
        <v>233</v>
      </c>
      <c r="F101" s="66" t="s">
        <v>215</v>
      </c>
      <c r="G101" s="82" t="s">
        <v>120</v>
      </c>
      <c r="H101" s="65" t="s">
        <v>374</v>
      </c>
      <c r="I101" s="65" t="s">
        <v>431</v>
      </c>
      <c r="J101" s="65" t="s">
        <v>432</v>
      </c>
      <c r="K101" s="65">
        <v>0</v>
      </c>
      <c r="L101" s="65">
        <v>0</v>
      </c>
      <c r="M101" s="65">
        <v>0</v>
      </c>
      <c r="N101" s="65">
        <v>0</v>
      </c>
      <c r="O101" s="65">
        <v>0</v>
      </c>
      <c r="P101" s="65">
        <v>0</v>
      </c>
      <c r="Q101" s="65">
        <v>0</v>
      </c>
      <c r="R101" s="65">
        <v>0</v>
      </c>
      <c r="S101" s="65">
        <v>0</v>
      </c>
      <c r="T101" s="65">
        <v>0</v>
      </c>
      <c r="U101" s="65">
        <v>0</v>
      </c>
      <c r="V101" s="65">
        <v>0</v>
      </c>
      <c r="W101" s="65">
        <v>0</v>
      </c>
      <c r="X101" s="65">
        <v>0</v>
      </c>
      <c r="Y101" s="65">
        <v>0</v>
      </c>
      <c r="Z101" s="65">
        <v>0</v>
      </c>
      <c r="AA101" s="65">
        <v>0</v>
      </c>
      <c r="AB101" s="65">
        <v>0</v>
      </c>
      <c r="AC101" s="65">
        <v>0</v>
      </c>
      <c r="AD101" s="65">
        <v>0</v>
      </c>
      <c r="AE101" s="65">
        <v>0</v>
      </c>
      <c r="AF101" s="65">
        <v>0</v>
      </c>
      <c r="AG101" s="65">
        <v>0</v>
      </c>
      <c r="AH101" s="65">
        <v>0</v>
      </c>
      <c r="AI101" s="65">
        <v>0</v>
      </c>
      <c r="AJ101" s="65">
        <v>0</v>
      </c>
      <c r="AK101" s="65">
        <v>44414.18</v>
      </c>
    </row>
    <row r="102" spans="2:37" ht="12.75" customHeight="1" x14ac:dyDescent="0.35">
      <c r="B102" s="5">
        <v>88</v>
      </c>
      <c r="C102" s="60" t="s">
        <v>232</v>
      </c>
      <c r="D102" s="60" t="s">
        <v>535</v>
      </c>
      <c r="E102" s="60" t="s">
        <v>233</v>
      </c>
      <c r="F102" s="66" t="s">
        <v>215</v>
      </c>
      <c r="G102" s="82" t="s">
        <v>551</v>
      </c>
      <c r="H102" s="65" t="s">
        <v>374</v>
      </c>
      <c r="I102" s="65" t="s">
        <v>434</v>
      </c>
      <c r="J102" s="65" t="s">
        <v>435</v>
      </c>
      <c r="K102" s="65">
        <v>0</v>
      </c>
      <c r="L102" s="65">
        <v>0</v>
      </c>
      <c r="M102" s="65">
        <v>0</v>
      </c>
      <c r="N102" s="65">
        <v>0</v>
      </c>
      <c r="O102" s="65">
        <v>0</v>
      </c>
      <c r="P102" s="65">
        <v>0</v>
      </c>
      <c r="Q102" s="65">
        <v>0</v>
      </c>
      <c r="R102" s="65">
        <v>0</v>
      </c>
      <c r="S102" s="65">
        <v>0</v>
      </c>
      <c r="T102" s="65">
        <v>0</v>
      </c>
      <c r="U102" s="65">
        <v>0</v>
      </c>
      <c r="V102" s="65">
        <v>0</v>
      </c>
      <c r="W102" s="65">
        <v>0</v>
      </c>
      <c r="X102" s="65">
        <v>0</v>
      </c>
      <c r="Y102" s="65">
        <v>0</v>
      </c>
      <c r="Z102" s="65">
        <v>0</v>
      </c>
      <c r="AA102" s="65">
        <v>0</v>
      </c>
      <c r="AB102" s="65">
        <v>0</v>
      </c>
      <c r="AC102" s="65">
        <v>0</v>
      </c>
      <c r="AD102" s="65">
        <v>0</v>
      </c>
      <c r="AE102" s="65">
        <v>0</v>
      </c>
      <c r="AF102" s="65">
        <v>0</v>
      </c>
      <c r="AG102" s="65">
        <v>0</v>
      </c>
      <c r="AH102" s="65">
        <v>0</v>
      </c>
      <c r="AI102" s="65">
        <v>0</v>
      </c>
      <c r="AJ102" s="65">
        <v>0</v>
      </c>
      <c r="AK102" s="65">
        <v>277208.68</v>
      </c>
    </row>
    <row r="103" spans="2:37" ht="12.75" customHeight="1" x14ac:dyDescent="0.35">
      <c r="B103" s="5">
        <v>89</v>
      </c>
      <c r="C103" s="60" t="s">
        <v>415</v>
      </c>
      <c r="D103" s="60" t="s">
        <v>535</v>
      </c>
      <c r="E103" s="60" t="s">
        <v>318</v>
      </c>
      <c r="F103" s="66" t="s">
        <v>215</v>
      </c>
      <c r="G103" s="82" t="s">
        <v>120</v>
      </c>
      <c r="H103" s="65" t="s">
        <v>374</v>
      </c>
      <c r="I103" s="65" t="s">
        <v>456</v>
      </c>
      <c r="J103" s="65" t="s">
        <v>457</v>
      </c>
      <c r="K103" s="65">
        <v>0</v>
      </c>
      <c r="L103" s="65">
        <v>0</v>
      </c>
      <c r="M103" s="65">
        <v>0</v>
      </c>
      <c r="N103" s="65">
        <v>0</v>
      </c>
      <c r="O103" s="65">
        <v>0</v>
      </c>
      <c r="P103" s="65">
        <v>0</v>
      </c>
      <c r="Q103" s="65">
        <v>0</v>
      </c>
      <c r="R103" s="65">
        <v>0</v>
      </c>
      <c r="S103" s="65">
        <v>0</v>
      </c>
      <c r="T103" s="65">
        <v>0</v>
      </c>
      <c r="U103" s="65">
        <v>0</v>
      </c>
      <c r="V103" s="65">
        <v>0</v>
      </c>
      <c r="W103" s="65">
        <v>0</v>
      </c>
      <c r="X103" s="65">
        <v>0</v>
      </c>
      <c r="Y103" s="65">
        <v>0</v>
      </c>
      <c r="Z103" s="65">
        <v>0</v>
      </c>
      <c r="AA103" s="65">
        <v>0</v>
      </c>
      <c r="AB103" s="65">
        <v>0</v>
      </c>
      <c r="AC103" s="65">
        <v>0</v>
      </c>
      <c r="AD103" s="65">
        <v>0</v>
      </c>
      <c r="AE103" s="65">
        <v>0</v>
      </c>
      <c r="AF103" s="65">
        <v>0</v>
      </c>
      <c r="AG103" s="65">
        <v>0</v>
      </c>
      <c r="AH103" s="65">
        <v>0</v>
      </c>
      <c r="AI103" s="65">
        <v>0</v>
      </c>
      <c r="AJ103" s="65">
        <v>0</v>
      </c>
      <c r="AK103" s="65">
        <v>24034.240000000002</v>
      </c>
    </row>
    <row r="104" spans="2:37" ht="12.75" customHeight="1" x14ac:dyDescent="0.35">
      <c r="B104" s="5">
        <v>90</v>
      </c>
      <c r="C104" s="60" t="s">
        <v>243</v>
      </c>
      <c r="D104" s="60" t="s">
        <v>535</v>
      </c>
      <c r="E104" s="60" t="s">
        <v>233</v>
      </c>
      <c r="F104" s="66" t="s">
        <v>215</v>
      </c>
      <c r="G104" s="82" t="s">
        <v>551</v>
      </c>
      <c r="H104" s="65">
        <v>0</v>
      </c>
      <c r="I104" s="65">
        <v>0</v>
      </c>
      <c r="J104" s="65">
        <v>0</v>
      </c>
      <c r="K104" s="65">
        <v>27565</v>
      </c>
      <c r="L104" s="65">
        <v>2000</v>
      </c>
      <c r="M104" s="65">
        <v>0</v>
      </c>
      <c r="N104" s="65">
        <v>0</v>
      </c>
      <c r="O104" s="65">
        <v>5000</v>
      </c>
      <c r="P104" s="65">
        <v>1500</v>
      </c>
      <c r="Q104" s="65">
        <v>150</v>
      </c>
      <c r="R104" s="65">
        <v>0</v>
      </c>
      <c r="S104" s="65">
        <v>5000</v>
      </c>
      <c r="T104" s="65">
        <v>0</v>
      </c>
      <c r="U104" s="65">
        <v>0</v>
      </c>
      <c r="V104" s="65">
        <v>2327.5</v>
      </c>
      <c r="W104" s="65">
        <v>0</v>
      </c>
      <c r="X104" s="65">
        <v>0</v>
      </c>
      <c r="Y104" s="65">
        <v>27565</v>
      </c>
      <c r="Z104" s="65">
        <v>5000</v>
      </c>
      <c r="AA104" s="65">
        <v>27565</v>
      </c>
      <c r="AB104" s="65">
        <v>3307.8</v>
      </c>
      <c r="AC104" s="65">
        <v>100</v>
      </c>
      <c r="AD104" s="65">
        <v>337.5</v>
      </c>
      <c r="AE104" s="65">
        <v>100</v>
      </c>
      <c r="AF104" s="65">
        <v>0</v>
      </c>
      <c r="AG104" s="65">
        <v>0</v>
      </c>
      <c r="AH104" s="65">
        <v>0</v>
      </c>
      <c r="AI104" s="65">
        <v>0</v>
      </c>
      <c r="AJ104" s="65">
        <v>0</v>
      </c>
      <c r="AK104" s="65">
        <v>274689.08</v>
      </c>
    </row>
    <row r="105" spans="2:37" ht="12.75" customHeight="1" x14ac:dyDescent="0.35">
      <c r="B105" s="5">
        <v>91</v>
      </c>
      <c r="C105" s="60" t="s">
        <v>245</v>
      </c>
      <c r="D105" s="60" t="s">
        <v>535</v>
      </c>
      <c r="E105" s="60" t="s">
        <v>233</v>
      </c>
      <c r="F105" s="66" t="s">
        <v>215</v>
      </c>
      <c r="G105" s="82" t="s">
        <v>551</v>
      </c>
      <c r="H105" s="65" t="s">
        <v>314</v>
      </c>
      <c r="I105" s="65" t="s">
        <v>354</v>
      </c>
      <c r="J105" s="65" t="s">
        <v>355</v>
      </c>
      <c r="K105" s="65">
        <v>0</v>
      </c>
      <c r="L105" s="65">
        <v>0</v>
      </c>
      <c r="M105" s="65">
        <v>0</v>
      </c>
      <c r="N105" s="65">
        <v>0</v>
      </c>
      <c r="O105" s="65">
        <v>0</v>
      </c>
      <c r="P105" s="65">
        <v>0</v>
      </c>
      <c r="Q105" s="65">
        <v>0</v>
      </c>
      <c r="R105" s="65">
        <v>0</v>
      </c>
      <c r="S105" s="65">
        <v>0</v>
      </c>
      <c r="T105" s="65">
        <v>0</v>
      </c>
      <c r="U105" s="65">
        <v>0</v>
      </c>
      <c r="V105" s="65">
        <v>0</v>
      </c>
      <c r="W105" s="65">
        <v>0</v>
      </c>
      <c r="X105" s="65">
        <v>0</v>
      </c>
      <c r="Y105" s="65">
        <v>0</v>
      </c>
      <c r="Z105" s="65">
        <v>0</v>
      </c>
      <c r="AA105" s="65">
        <v>0</v>
      </c>
      <c r="AB105" s="65">
        <v>0</v>
      </c>
      <c r="AC105" s="65">
        <v>0</v>
      </c>
      <c r="AD105" s="65">
        <v>0</v>
      </c>
      <c r="AE105" s="65">
        <v>0</v>
      </c>
      <c r="AF105" s="65">
        <v>0</v>
      </c>
      <c r="AG105" s="65">
        <v>0</v>
      </c>
      <c r="AH105" s="65">
        <v>0</v>
      </c>
      <c r="AI105" s="65">
        <v>0</v>
      </c>
      <c r="AJ105" s="65">
        <v>0</v>
      </c>
      <c r="AK105" s="65">
        <v>276758.68</v>
      </c>
    </row>
    <row r="106" spans="2:37" ht="12.75" customHeight="1" x14ac:dyDescent="0.35">
      <c r="B106" s="5">
        <v>92</v>
      </c>
      <c r="C106" s="60" t="s">
        <v>430</v>
      </c>
      <c r="D106" s="60" t="s">
        <v>535</v>
      </c>
      <c r="E106" s="60" t="s">
        <v>233</v>
      </c>
      <c r="F106" s="66" t="s">
        <v>215</v>
      </c>
      <c r="G106" s="82" t="s">
        <v>120</v>
      </c>
      <c r="H106" s="65" t="s">
        <v>314</v>
      </c>
      <c r="I106" s="65" t="s">
        <v>408</v>
      </c>
      <c r="J106" s="65" t="s">
        <v>409</v>
      </c>
      <c r="K106" s="65">
        <v>0</v>
      </c>
      <c r="L106" s="65">
        <v>0</v>
      </c>
      <c r="M106" s="65">
        <v>0</v>
      </c>
      <c r="N106" s="65">
        <v>0</v>
      </c>
      <c r="O106" s="65">
        <v>0</v>
      </c>
      <c r="P106" s="65">
        <v>0</v>
      </c>
      <c r="Q106" s="65">
        <v>0</v>
      </c>
      <c r="R106" s="65">
        <v>0</v>
      </c>
      <c r="S106" s="65">
        <v>0</v>
      </c>
      <c r="T106" s="65">
        <v>0</v>
      </c>
      <c r="U106" s="65">
        <v>0</v>
      </c>
      <c r="V106" s="65">
        <v>0</v>
      </c>
      <c r="W106" s="65">
        <v>0</v>
      </c>
      <c r="X106" s="65">
        <v>0</v>
      </c>
      <c r="Y106" s="65">
        <v>0</v>
      </c>
      <c r="Z106" s="65">
        <v>0</v>
      </c>
      <c r="AA106" s="65">
        <v>0</v>
      </c>
      <c r="AB106" s="65">
        <v>0</v>
      </c>
      <c r="AC106" s="65">
        <v>0</v>
      </c>
      <c r="AD106" s="65">
        <v>0</v>
      </c>
      <c r="AE106" s="65">
        <v>0</v>
      </c>
      <c r="AF106" s="65">
        <v>0</v>
      </c>
      <c r="AG106" s="65">
        <v>0</v>
      </c>
      <c r="AH106" s="65">
        <v>0</v>
      </c>
      <c r="AI106" s="65">
        <v>0</v>
      </c>
      <c r="AJ106" s="65">
        <v>0</v>
      </c>
      <c r="AK106" s="65">
        <v>60264.959999999999</v>
      </c>
    </row>
    <row r="107" spans="2:37" ht="12.75" customHeight="1" x14ac:dyDescent="0.35">
      <c r="B107" s="5">
        <v>93</v>
      </c>
      <c r="C107" s="60" t="s">
        <v>433</v>
      </c>
      <c r="D107" s="60" t="s">
        <v>535</v>
      </c>
      <c r="E107" s="60" t="s">
        <v>233</v>
      </c>
      <c r="F107" s="66" t="s">
        <v>215</v>
      </c>
      <c r="G107" s="82" t="s">
        <v>120</v>
      </c>
      <c r="H107" s="65" t="s">
        <v>314</v>
      </c>
      <c r="I107" s="65" t="s">
        <v>456</v>
      </c>
      <c r="J107" s="65" t="s">
        <v>457</v>
      </c>
      <c r="K107" s="65">
        <v>0</v>
      </c>
      <c r="L107" s="65">
        <v>0</v>
      </c>
      <c r="M107" s="65">
        <v>0</v>
      </c>
      <c r="N107" s="65">
        <v>0</v>
      </c>
      <c r="O107" s="65">
        <v>0</v>
      </c>
      <c r="P107" s="65">
        <v>0</v>
      </c>
      <c r="Q107" s="65">
        <v>0</v>
      </c>
      <c r="R107" s="65">
        <v>0</v>
      </c>
      <c r="S107" s="65">
        <v>0</v>
      </c>
      <c r="T107" s="65">
        <v>0</v>
      </c>
      <c r="U107" s="65">
        <v>0</v>
      </c>
      <c r="V107" s="65">
        <v>0</v>
      </c>
      <c r="W107" s="65">
        <v>0</v>
      </c>
      <c r="X107" s="65">
        <v>0</v>
      </c>
      <c r="Y107" s="65">
        <v>0</v>
      </c>
      <c r="Z107" s="65">
        <v>0</v>
      </c>
      <c r="AA107" s="65">
        <v>0</v>
      </c>
      <c r="AB107" s="65">
        <v>0</v>
      </c>
      <c r="AC107" s="65">
        <v>0</v>
      </c>
      <c r="AD107" s="65">
        <v>0</v>
      </c>
      <c r="AE107" s="65">
        <v>0</v>
      </c>
      <c r="AF107" s="65">
        <v>0</v>
      </c>
      <c r="AG107" s="65">
        <v>0</v>
      </c>
      <c r="AH107" s="65">
        <v>0</v>
      </c>
      <c r="AI107" s="65">
        <v>0</v>
      </c>
      <c r="AJ107" s="65">
        <v>0</v>
      </c>
      <c r="AK107" s="65">
        <v>25110.400000000001</v>
      </c>
    </row>
    <row r="108" spans="2:37" ht="12.75" customHeight="1" x14ac:dyDescent="0.35">
      <c r="B108" s="5">
        <v>94</v>
      </c>
      <c r="C108" s="60" t="s">
        <v>276</v>
      </c>
      <c r="D108" s="60" t="s">
        <v>535</v>
      </c>
      <c r="E108" s="60" t="s">
        <v>233</v>
      </c>
      <c r="F108" s="66" t="s">
        <v>215</v>
      </c>
      <c r="G108" s="82" t="s">
        <v>551</v>
      </c>
      <c r="H108" s="65" t="s">
        <v>310</v>
      </c>
      <c r="I108" s="65" t="s">
        <v>443</v>
      </c>
      <c r="J108" s="65" t="s">
        <v>463</v>
      </c>
      <c r="K108" s="65">
        <v>0</v>
      </c>
      <c r="L108" s="65">
        <v>0</v>
      </c>
      <c r="M108" s="65">
        <v>0</v>
      </c>
      <c r="N108" s="65">
        <v>0</v>
      </c>
      <c r="O108" s="65">
        <v>0</v>
      </c>
      <c r="P108" s="65">
        <v>0</v>
      </c>
      <c r="Q108" s="65">
        <v>0</v>
      </c>
      <c r="R108" s="65">
        <v>0</v>
      </c>
      <c r="S108" s="65">
        <v>0</v>
      </c>
      <c r="T108" s="65">
        <v>0</v>
      </c>
      <c r="U108" s="65">
        <v>0</v>
      </c>
      <c r="V108" s="65">
        <v>0</v>
      </c>
      <c r="W108" s="65">
        <v>0</v>
      </c>
      <c r="X108" s="65">
        <v>0</v>
      </c>
      <c r="Y108" s="65">
        <v>0</v>
      </c>
      <c r="Z108" s="65">
        <v>0</v>
      </c>
      <c r="AA108" s="65">
        <v>0</v>
      </c>
      <c r="AB108" s="65">
        <v>0</v>
      </c>
      <c r="AC108" s="65">
        <v>0</v>
      </c>
      <c r="AD108" s="65">
        <v>0</v>
      </c>
      <c r="AE108" s="65">
        <v>0</v>
      </c>
      <c r="AF108" s="65">
        <v>0</v>
      </c>
      <c r="AG108" s="65">
        <v>0</v>
      </c>
      <c r="AH108" s="65">
        <v>0</v>
      </c>
      <c r="AI108" s="65">
        <v>0</v>
      </c>
      <c r="AJ108" s="65">
        <v>0</v>
      </c>
      <c r="AK108" s="65">
        <v>276889.08</v>
      </c>
    </row>
    <row r="109" spans="2:37" ht="12.75" customHeight="1" x14ac:dyDescent="0.35">
      <c r="B109" s="5">
        <v>95</v>
      </c>
      <c r="C109" s="60" t="s">
        <v>280</v>
      </c>
      <c r="D109" s="60" t="s">
        <v>535</v>
      </c>
      <c r="E109" s="60" t="s">
        <v>233</v>
      </c>
      <c r="F109" s="66" t="s">
        <v>215</v>
      </c>
      <c r="G109" s="82" t="s">
        <v>551</v>
      </c>
      <c r="H109" s="65" t="s">
        <v>314</v>
      </c>
      <c r="I109" s="65" t="s">
        <v>498</v>
      </c>
      <c r="J109" s="65" t="s">
        <v>499</v>
      </c>
      <c r="K109" s="65">
        <v>0</v>
      </c>
      <c r="L109" s="65">
        <v>0</v>
      </c>
      <c r="M109" s="65">
        <v>0</v>
      </c>
      <c r="N109" s="65">
        <v>0</v>
      </c>
      <c r="O109" s="65">
        <v>0</v>
      </c>
      <c r="P109" s="65">
        <v>0</v>
      </c>
      <c r="Q109" s="65">
        <v>0</v>
      </c>
      <c r="R109" s="65">
        <v>0</v>
      </c>
      <c r="S109" s="65">
        <v>0</v>
      </c>
      <c r="T109" s="65">
        <v>0</v>
      </c>
      <c r="U109" s="65">
        <v>0</v>
      </c>
      <c r="V109" s="65">
        <v>0</v>
      </c>
      <c r="W109" s="65">
        <v>0</v>
      </c>
      <c r="X109" s="65">
        <v>0</v>
      </c>
      <c r="Y109" s="65">
        <v>0</v>
      </c>
      <c r="Z109" s="65">
        <v>0</v>
      </c>
      <c r="AA109" s="65">
        <v>0</v>
      </c>
      <c r="AB109" s="65">
        <v>0</v>
      </c>
      <c r="AC109" s="65">
        <v>0</v>
      </c>
      <c r="AD109" s="65">
        <v>0</v>
      </c>
      <c r="AE109" s="65">
        <v>0</v>
      </c>
      <c r="AF109" s="65">
        <v>0</v>
      </c>
      <c r="AG109" s="65">
        <v>0</v>
      </c>
      <c r="AH109" s="65">
        <v>0</v>
      </c>
      <c r="AI109" s="65">
        <v>0</v>
      </c>
      <c r="AJ109" s="65">
        <v>0</v>
      </c>
      <c r="AK109" s="65">
        <v>277258.68</v>
      </c>
    </row>
    <row r="110" spans="2:37" ht="12.75" customHeight="1" x14ac:dyDescent="0.35">
      <c r="B110" s="5">
        <v>96</v>
      </c>
      <c r="C110" s="60" t="s">
        <v>490</v>
      </c>
      <c r="D110" s="60" t="s">
        <v>535</v>
      </c>
      <c r="E110" s="60" t="s">
        <v>318</v>
      </c>
      <c r="F110" s="66" t="s">
        <v>215</v>
      </c>
      <c r="G110" s="82" t="s">
        <v>120</v>
      </c>
      <c r="H110" s="65">
        <v>0</v>
      </c>
      <c r="I110" s="65">
        <v>0</v>
      </c>
      <c r="J110" s="65">
        <v>0</v>
      </c>
      <c r="K110" s="65">
        <v>29557</v>
      </c>
      <c r="L110" s="65">
        <v>2000</v>
      </c>
      <c r="M110" s="65">
        <v>0</v>
      </c>
      <c r="N110" s="65">
        <v>0</v>
      </c>
      <c r="O110" s="65">
        <v>5000</v>
      </c>
      <c r="P110" s="65">
        <v>1500</v>
      </c>
      <c r="Q110" s="65">
        <v>150</v>
      </c>
      <c r="R110" s="65">
        <v>0</v>
      </c>
      <c r="S110" s="65">
        <v>5000</v>
      </c>
      <c r="T110" s="65">
        <v>0</v>
      </c>
      <c r="U110" s="65">
        <v>0</v>
      </c>
      <c r="V110" s="65">
        <v>2445.27</v>
      </c>
      <c r="W110" s="65">
        <v>0</v>
      </c>
      <c r="X110" s="65">
        <v>0</v>
      </c>
      <c r="Y110" s="65">
        <v>29902</v>
      </c>
      <c r="Z110" s="65">
        <v>5000</v>
      </c>
      <c r="AA110" s="65">
        <v>29902</v>
      </c>
      <c r="AB110" s="65">
        <v>3558.24</v>
      </c>
      <c r="AC110" s="65">
        <v>100</v>
      </c>
      <c r="AD110" s="65">
        <v>362.5</v>
      </c>
      <c r="AE110" s="65">
        <v>100</v>
      </c>
      <c r="AF110" s="65">
        <v>0</v>
      </c>
      <c r="AG110" s="65">
        <v>0</v>
      </c>
      <c r="AH110" s="65">
        <v>0</v>
      </c>
      <c r="AI110" s="65">
        <v>0</v>
      </c>
      <c r="AJ110" s="65">
        <v>0</v>
      </c>
      <c r="AK110" s="65">
        <v>27621.439999999999</v>
      </c>
    </row>
    <row r="111" spans="2:37" ht="12.75" customHeight="1" x14ac:dyDescent="0.35">
      <c r="B111" s="5">
        <v>97</v>
      </c>
      <c r="C111" s="60" t="s">
        <v>246</v>
      </c>
      <c r="D111" s="60" t="s">
        <v>536</v>
      </c>
      <c r="E111" s="60" t="s">
        <v>221</v>
      </c>
      <c r="F111" s="66" t="s">
        <v>215</v>
      </c>
      <c r="G111" s="82" t="s">
        <v>551</v>
      </c>
      <c r="H111" s="65">
        <v>0</v>
      </c>
      <c r="I111" s="65">
        <v>0</v>
      </c>
      <c r="J111" s="65">
        <v>0</v>
      </c>
      <c r="K111" s="65">
        <v>25141</v>
      </c>
      <c r="L111" s="65">
        <v>2000</v>
      </c>
      <c r="M111" s="65">
        <v>0</v>
      </c>
      <c r="N111" s="65">
        <v>0</v>
      </c>
      <c r="O111" s="65">
        <v>5000</v>
      </c>
      <c r="P111" s="65">
        <v>1500</v>
      </c>
      <c r="Q111" s="65">
        <v>150</v>
      </c>
      <c r="R111" s="65">
        <v>0</v>
      </c>
      <c r="S111" s="65">
        <v>5000</v>
      </c>
      <c r="T111" s="65">
        <v>0</v>
      </c>
      <c r="U111" s="65">
        <v>0</v>
      </c>
      <c r="V111" s="65">
        <v>2176.3000000000002</v>
      </c>
      <c r="W111" s="65">
        <v>0</v>
      </c>
      <c r="X111" s="65">
        <v>0</v>
      </c>
      <c r="Y111" s="65">
        <v>25141</v>
      </c>
      <c r="Z111" s="65">
        <v>5000</v>
      </c>
      <c r="AA111" s="65">
        <v>25141</v>
      </c>
      <c r="AB111" s="65">
        <v>3016.92</v>
      </c>
      <c r="AC111" s="65">
        <v>100</v>
      </c>
      <c r="AD111" s="65">
        <v>312.5</v>
      </c>
      <c r="AE111" s="65">
        <v>100</v>
      </c>
      <c r="AF111" s="65">
        <v>0</v>
      </c>
      <c r="AG111" s="65">
        <v>0</v>
      </c>
      <c r="AH111" s="65">
        <v>0</v>
      </c>
      <c r="AI111" s="65">
        <v>0</v>
      </c>
      <c r="AJ111" s="65">
        <v>0</v>
      </c>
      <c r="AK111" s="65">
        <v>518333.60000000003</v>
      </c>
    </row>
    <row r="112" spans="2:37" ht="12.75" customHeight="1" x14ac:dyDescent="0.35">
      <c r="B112" s="5">
        <v>98</v>
      </c>
      <c r="C112" s="60" t="s">
        <v>513</v>
      </c>
      <c r="D112" s="60" t="s">
        <v>537</v>
      </c>
      <c r="E112" s="60" t="s">
        <v>290</v>
      </c>
      <c r="F112" s="66" t="s">
        <v>215</v>
      </c>
      <c r="G112" s="82" t="s">
        <v>551</v>
      </c>
      <c r="H112" s="65" t="s">
        <v>360</v>
      </c>
      <c r="I112" s="65" t="s">
        <v>361</v>
      </c>
      <c r="J112" s="65" t="s">
        <v>362</v>
      </c>
      <c r="K112" s="65">
        <v>0</v>
      </c>
      <c r="L112" s="65">
        <v>0</v>
      </c>
      <c r="M112" s="65">
        <v>0</v>
      </c>
      <c r="N112" s="65">
        <v>0</v>
      </c>
      <c r="O112" s="65">
        <v>0</v>
      </c>
      <c r="P112" s="65">
        <v>0</v>
      </c>
      <c r="Q112" s="65">
        <v>0</v>
      </c>
      <c r="R112" s="65">
        <v>0</v>
      </c>
      <c r="S112" s="65">
        <v>0</v>
      </c>
      <c r="T112" s="65">
        <v>0</v>
      </c>
      <c r="U112" s="65">
        <v>0</v>
      </c>
      <c r="V112" s="65">
        <v>0</v>
      </c>
      <c r="W112" s="65">
        <v>0</v>
      </c>
      <c r="X112" s="65">
        <v>0</v>
      </c>
      <c r="Y112" s="65">
        <v>0</v>
      </c>
      <c r="Z112" s="65">
        <v>0</v>
      </c>
      <c r="AA112" s="65">
        <v>0</v>
      </c>
      <c r="AB112" s="65">
        <v>0</v>
      </c>
      <c r="AC112" s="65">
        <v>0</v>
      </c>
      <c r="AD112" s="65">
        <v>0</v>
      </c>
      <c r="AE112" s="65">
        <v>0</v>
      </c>
      <c r="AF112" s="65">
        <v>0</v>
      </c>
      <c r="AG112" s="65">
        <v>0</v>
      </c>
      <c r="AH112" s="65">
        <v>0</v>
      </c>
      <c r="AI112" s="65">
        <v>0</v>
      </c>
      <c r="AJ112" s="65">
        <v>0</v>
      </c>
      <c r="AK112" s="65">
        <v>1095196.08</v>
      </c>
    </row>
    <row r="113" spans="2:37" ht="12.75" customHeight="1" x14ac:dyDescent="0.35">
      <c r="B113" s="5">
        <v>99</v>
      </c>
      <c r="C113" s="60" t="s">
        <v>455</v>
      </c>
      <c r="D113" s="60" t="s">
        <v>538</v>
      </c>
      <c r="E113" s="60" t="s">
        <v>217</v>
      </c>
      <c r="F113" s="66" t="s">
        <v>215</v>
      </c>
      <c r="G113" s="82" t="s">
        <v>120</v>
      </c>
      <c r="H113" s="65" t="s">
        <v>396</v>
      </c>
      <c r="I113" s="65" t="s">
        <v>397</v>
      </c>
      <c r="J113" s="65" t="s">
        <v>398</v>
      </c>
      <c r="K113" s="65">
        <v>0</v>
      </c>
      <c r="L113" s="65">
        <v>0</v>
      </c>
      <c r="M113" s="65">
        <v>0</v>
      </c>
      <c r="N113" s="65">
        <v>0</v>
      </c>
      <c r="O113" s="65">
        <v>0</v>
      </c>
      <c r="P113" s="65">
        <v>0</v>
      </c>
      <c r="Q113" s="65">
        <v>0</v>
      </c>
      <c r="R113" s="65">
        <v>0</v>
      </c>
      <c r="S113" s="65">
        <v>0</v>
      </c>
      <c r="T113" s="65">
        <v>0</v>
      </c>
      <c r="U113" s="65">
        <v>0</v>
      </c>
      <c r="V113" s="65">
        <v>0</v>
      </c>
      <c r="W113" s="65">
        <v>0</v>
      </c>
      <c r="X113" s="65">
        <v>0</v>
      </c>
      <c r="Y113" s="65">
        <v>0</v>
      </c>
      <c r="Z113" s="65">
        <v>0</v>
      </c>
      <c r="AA113" s="65">
        <v>0</v>
      </c>
      <c r="AB113" s="65">
        <v>0</v>
      </c>
      <c r="AC113" s="65">
        <v>0</v>
      </c>
      <c r="AD113" s="65">
        <v>0</v>
      </c>
      <c r="AE113" s="65">
        <v>0</v>
      </c>
      <c r="AF113" s="65">
        <v>0</v>
      </c>
      <c r="AG113" s="65">
        <v>0</v>
      </c>
      <c r="AH113" s="65">
        <v>0</v>
      </c>
      <c r="AI113" s="65">
        <v>0</v>
      </c>
      <c r="AJ113" s="65">
        <v>0</v>
      </c>
      <c r="AK113" s="65">
        <v>42091.28</v>
      </c>
    </row>
    <row r="114" spans="2:37" ht="12.75" customHeight="1" x14ac:dyDescent="0.35">
      <c r="B114" s="5">
        <v>100</v>
      </c>
      <c r="C114" s="60" t="s">
        <v>353</v>
      </c>
      <c r="D114" s="60" t="s">
        <v>539</v>
      </c>
      <c r="E114" s="60" t="s">
        <v>217</v>
      </c>
      <c r="F114" s="66" t="s">
        <v>215</v>
      </c>
      <c r="G114" s="82" t="s">
        <v>120</v>
      </c>
      <c r="H114" s="65" t="s">
        <v>396</v>
      </c>
      <c r="I114" s="65" t="s">
        <v>486</v>
      </c>
      <c r="J114" s="65" t="s">
        <v>487</v>
      </c>
      <c r="K114" s="65">
        <v>0</v>
      </c>
      <c r="L114" s="65">
        <v>0</v>
      </c>
      <c r="M114" s="65">
        <v>0</v>
      </c>
      <c r="N114" s="65">
        <v>0</v>
      </c>
      <c r="O114" s="65">
        <v>0</v>
      </c>
      <c r="P114" s="65">
        <v>0</v>
      </c>
      <c r="Q114" s="65">
        <v>0</v>
      </c>
      <c r="R114" s="65">
        <v>0</v>
      </c>
      <c r="S114" s="65">
        <v>0</v>
      </c>
      <c r="T114" s="65">
        <v>0</v>
      </c>
      <c r="U114" s="65">
        <v>0</v>
      </c>
      <c r="V114" s="65">
        <v>0</v>
      </c>
      <c r="W114" s="65">
        <v>0</v>
      </c>
      <c r="X114" s="65">
        <v>0</v>
      </c>
      <c r="Y114" s="65">
        <v>0</v>
      </c>
      <c r="Z114" s="65">
        <v>0</v>
      </c>
      <c r="AA114" s="65">
        <v>0</v>
      </c>
      <c r="AB114" s="65">
        <v>0</v>
      </c>
      <c r="AC114" s="65">
        <v>0</v>
      </c>
      <c r="AD114" s="65">
        <v>0</v>
      </c>
      <c r="AE114" s="65">
        <v>0</v>
      </c>
      <c r="AF114" s="65">
        <v>0</v>
      </c>
      <c r="AG114" s="65">
        <v>0</v>
      </c>
      <c r="AH114" s="65">
        <v>0</v>
      </c>
      <c r="AI114" s="65">
        <v>0</v>
      </c>
      <c r="AJ114" s="65">
        <v>0</v>
      </c>
      <c r="AK114" s="65">
        <v>140847.26</v>
      </c>
    </row>
    <row r="115" spans="2:37" ht="12.75" customHeight="1" x14ac:dyDescent="0.35">
      <c r="B115" s="5">
        <v>101</v>
      </c>
      <c r="C115" s="60" t="s">
        <v>414</v>
      </c>
      <c r="D115" s="60" t="s">
        <v>539</v>
      </c>
      <c r="E115" s="60" t="s">
        <v>217</v>
      </c>
      <c r="F115" s="66" t="s">
        <v>215</v>
      </c>
      <c r="G115" s="82" t="s">
        <v>120</v>
      </c>
      <c r="H115" s="65">
        <v>0</v>
      </c>
      <c r="I115" s="65">
        <v>0</v>
      </c>
      <c r="J115" s="65">
        <v>0</v>
      </c>
      <c r="K115" s="65">
        <v>18217</v>
      </c>
      <c r="L115" s="65">
        <v>2000</v>
      </c>
      <c r="M115" s="65">
        <v>0</v>
      </c>
      <c r="N115" s="65">
        <v>0</v>
      </c>
      <c r="O115" s="65">
        <v>0</v>
      </c>
      <c r="P115" s="65">
        <v>1500</v>
      </c>
      <c r="Q115" s="65">
        <v>150</v>
      </c>
      <c r="R115" s="65">
        <v>0</v>
      </c>
      <c r="S115" s="65">
        <v>0</v>
      </c>
      <c r="T115" s="65">
        <v>0</v>
      </c>
      <c r="U115" s="65">
        <v>0</v>
      </c>
      <c r="V115" s="65">
        <v>1739.32</v>
      </c>
      <c r="W115" s="65">
        <v>0</v>
      </c>
      <c r="X115" s="65">
        <v>0</v>
      </c>
      <c r="Y115" s="65">
        <v>0</v>
      </c>
      <c r="Z115" s="65">
        <v>500</v>
      </c>
      <c r="AA115" s="65">
        <v>0</v>
      </c>
      <c r="AB115" s="65">
        <v>2186.04</v>
      </c>
      <c r="AC115" s="65">
        <v>100</v>
      </c>
      <c r="AD115" s="65">
        <v>225</v>
      </c>
      <c r="AE115" s="65">
        <v>100</v>
      </c>
      <c r="AF115" s="65">
        <v>0</v>
      </c>
      <c r="AG115" s="65">
        <v>0</v>
      </c>
      <c r="AH115" s="65">
        <v>0</v>
      </c>
      <c r="AI115" s="65">
        <v>0</v>
      </c>
      <c r="AJ115" s="65">
        <v>0</v>
      </c>
      <c r="AK115" s="65">
        <v>140759.79999999999</v>
      </c>
    </row>
    <row r="116" spans="2:37" ht="12.75" customHeight="1" x14ac:dyDescent="0.35">
      <c r="B116" s="5">
        <v>102</v>
      </c>
      <c r="C116" s="60" t="s">
        <v>462</v>
      </c>
      <c r="D116" s="60" t="s">
        <v>539</v>
      </c>
      <c r="E116" s="60" t="s">
        <v>217</v>
      </c>
      <c r="F116" s="66" t="s">
        <v>215</v>
      </c>
      <c r="G116" s="82" t="s">
        <v>120</v>
      </c>
      <c r="H116" s="65">
        <v>0</v>
      </c>
      <c r="I116" s="65">
        <v>0</v>
      </c>
      <c r="J116" s="65">
        <v>0</v>
      </c>
      <c r="K116" s="65">
        <v>12110</v>
      </c>
      <c r="L116" s="65">
        <v>2000</v>
      </c>
      <c r="M116" s="65">
        <v>0</v>
      </c>
      <c r="N116" s="65">
        <v>0</v>
      </c>
      <c r="O116" s="65">
        <v>5000</v>
      </c>
      <c r="P116" s="65">
        <v>1500</v>
      </c>
      <c r="Q116" s="65">
        <v>150</v>
      </c>
      <c r="R116" s="65">
        <v>0</v>
      </c>
      <c r="S116" s="65">
        <v>5000</v>
      </c>
      <c r="T116" s="65">
        <v>0</v>
      </c>
      <c r="U116" s="65">
        <v>0</v>
      </c>
      <c r="V116" s="65">
        <v>1225.17</v>
      </c>
      <c r="W116" s="65">
        <v>0</v>
      </c>
      <c r="X116" s="65">
        <v>0</v>
      </c>
      <c r="Y116" s="65">
        <v>12110</v>
      </c>
      <c r="Z116" s="65">
        <v>5000</v>
      </c>
      <c r="AA116" s="65">
        <v>12110</v>
      </c>
      <c r="AB116" s="65">
        <v>1453.2</v>
      </c>
      <c r="AC116" s="65">
        <v>100</v>
      </c>
      <c r="AD116" s="65">
        <v>150</v>
      </c>
      <c r="AE116" s="65">
        <v>100</v>
      </c>
      <c r="AF116" s="65">
        <v>0</v>
      </c>
      <c r="AG116" s="65">
        <v>0</v>
      </c>
      <c r="AH116" s="65">
        <v>0</v>
      </c>
      <c r="AI116" s="65">
        <v>0</v>
      </c>
      <c r="AJ116" s="65">
        <v>0</v>
      </c>
      <c r="AK116" s="65">
        <v>156843.15</v>
      </c>
    </row>
    <row r="117" spans="2:37" ht="12.75" customHeight="1" x14ac:dyDescent="0.35">
      <c r="B117" s="5">
        <v>103</v>
      </c>
      <c r="C117" s="60" t="s">
        <v>497</v>
      </c>
      <c r="D117" s="60" t="s">
        <v>539</v>
      </c>
      <c r="E117" s="60" t="s">
        <v>217</v>
      </c>
      <c r="F117" s="66" t="s">
        <v>215</v>
      </c>
      <c r="G117" s="82" t="s">
        <v>120</v>
      </c>
      <c r="H117" s="65">
        <v>0</v>
      </c>
      <c r="I117" s="65">
        <v>0</v>
      </c>
      <c r="J117" s="65">
        <v>0</v>
      </c>
      <c r="K117" s="65">
        <v>20088</v>
      </c>
      <c r="L117" s="65">
        <v>2000</v>
      </c>
      <c r="M117" s="65">
        <v>0</v>
      </c>
      <c r="N117" s="65">
        <v>0</v>
      </c>
      <c r="O117" s="65">
        <v>5000</v>
      </c>
      <c r="P117" s="65">
        <v>1500</v>
      </c>
      <c r="Q117" s="65">
        <v>150</v>
      </c>
      <c r="R117" s="65">
        <v>0</v>
      </c>
      <c r="S117" s="65">
        <v>5000</v>
      </c>
      <c r="T117" s="65">
        <v>0</v>
      </c>
      <c r="U117" s="65">
        <v>0</v>
      </c>
      <c r="V117" s="65">
        <v>1843.62</v>
      </c>
      <c r="W117" s="65">
        <v>0</v>
      </c>
      <c r="X117" s="65">
        <v>0</v>
      </c>
      <c r="Y117" s="65">
        <v>20088</v>
      </c>
      <c r="Z117" s="65">
        <v>5000</v>
      </c>
      <c r="AA117" s="65">
        <v>20088</v>
      </c>
      <c r="AB117" s="65">
        <v>2410.56</v>
      </c>
      <c r="AC117" s="65">
        <v>100</v>
      </c>
      <c r="AD117" s="65">
        <v>250</v>
      </c>
      <c r="AE117" s="65">
        <v>100</v>
      </c>
      <c r="AF117" s="65">
        <v>0</v>
      </c>
      <c r="AG117" s="65">
        <v>0</v>
      </c>
      <c r="AH117" s="65">
        <v>0</v>
      </c>
      <c r="AI117" s="65">
        <v>0</v>
      </c>
      <c r="AJ117" s="65">
        <v>0</v>
      </c>
      <c r="AK117" s="65">
        <v>141612.56</v>
      </c>
    </row>
    <row r="118" spans="2:37" ht="12.75" customHeight="1" x14ac:dyDescent="0.35">
      <c r="B118" s="5">
        <v>104</v>
      </c>
      <c r="C118" s="60" t="s">
        <v>216</v>
      </c>
      <c r="D118" s="60" t="s">
        <v>540</v>
      </c>
      <c r="E118" s="60" t="s">
        <v>217</v>
      </c>
      <c r="F118" s="66" t="s">
        <v>215</v>
      </c>
      <c r="G118" s="82" t="s">
        <v>551</v>
      </c>
      <c r="H118" s="65" t="s">
        <v>337</v>
      </c>
      <c r="I118" s="65" t="s">
        <v>338</v>
      </c>
      <c r="J118" s="65" t="s">
        <v>339</v>
      </c>
      <c r="K118" s="65">
        <v>0</v>
      </c>
      <c r="L118" s="65">
        <v>0</v>
      </c>
      <c r="M118" s="65">
        <v>0</v>
      </c>
      <c r="N118" s="65">
        <v>0</v>
      </c>
      <c r="O118" s="65">
        <v>0</v>
      </c>
      <c r="P118" s="65">
        <v>0</v>
      </c>
      <c r="Q118" s="65">
        <v>0</v>
      </c>
      <c r="R118" s="65">
        <v>0</v>
      </c>
      <c r="S118" s="65">
        <v>0</v>
      </c>
      <c r="T118" s="65">
        <v>0</v>
      </c>
      <c r="U118" s="65">
        <v>0</v>
      </c>
      <c r="V118" s="65">
        <v>0</v>
      </c>
      <c r="W118" s="65">
        <v>0</v>
      </c>
      <c r="X118" s="65">
        <v>0</v>
      </c>
      <c r="Y118" s="65">
        <v>0</v>
      </c>
      <c r="Z118" s="65">
        <v>0</v>
      </c>
      <c r="AA118" s="65">
        <v>0</v>
      </c>
      <c r="AB118" s="65">
        <v>0</v>
      </c>
      <c r="AC118" s="65">
        <v>0</v>
      </c>
      <c r="AD118" s="65">
        <v>0</v>
      </c>
      <c r="AE118" s="65">
        <v>0</v>
      </c>
      <c r="AF118" s="65">
        <v>0</v>
      </c>
      <c r="AG118" s="65">
        <v>0</v>
      </c>
      <c r="AH118" s="65">
        <v>0</v>
      </c>
      <c r="AI118" s="65">
        <v>0</v>
      </c>
      <c r="AJ118" s="65">
        <v>0</v>
      </c>
      <c r="AK118" s="65">
        <v>578575.12</v>
      </c>
    </row>
    <row r="119" spans="2:37" ht="12.75" customHeight="1" x14ac:dyDescent="0.35">
      <c r="B119" s="5">
        <v>105</v>
      </c>
      <c r="C119" s="60" t="s">
        <v>359</v>
      </c>
      <c r="D119" s="60" t="s">
        <v>541</v>
      </c>
      <c r="E119" s="60" t="s">
        <v>223</v>
      </c>
      <c r="F119" s="66" t="s">
        <v>215</v>
      </c>
      <c r="G119" s="82" t="s">
        <v>120</v>
      </c>
      <c r="H119" s="65">
        <v>0</v>
      </c>
      <c r="I119" s="65">
        <v>0</v>
      </c>
      <c r="J119" s="65">
        <v>0</v>
      </c>
      <c r="K119" s="65">
        <v>13851</v>
      </c>
      <c r="L119" s="65">
        <v>2000</v>
      </c>
      <c r="M119" s="65">
        <v>0</v>
      </c>
      <c r="N119" s="65">
        <v>0</v>
      </c>
      <c r="O119" s="65">
        <v>5000</v>
      </c>
      <c r="P119" s="65">
        <v>1500</v>
      </c>
      <c r="Q119" s="65">
        <v>150</v>
      </c>
      <c r="R119" s="65">
        <v>0</v>
      </c>
      <c r="S119" s="65">
        <v>5000</v>
      </c>
      <c r="T119" s="65">
        <v>0</v>
      </c>
      <c r="U119" s="65">
        <v>0</v>
      </c>
      <c r="V119" s="65">
        <v>1331.05</v>
      </c>
      <c r="W119" s="65">
        <v>0</v>
      </c>
      <c r="X119" s="65">
        <v>0</v>
      </c>
      <c r="Y119" s="65">
        <v>13851</v>
      </c>
      <c r="Z119" s="65">
        <v>5000</v>
      </c>
      <c r="AA119" s="65">
        <v>13851</v>
      </c>
      <c r="AB119" s="65">
        <v>1662.12</v>
      </c>
      <c r="AC119" s="65">
        <v>100</v>
      </c>
      <c r="AD119" s="65">
        <v>162.5</v>
      </c>
      <c r="AE119" s="65">
        <v>100</v>
      </c>
      <c r="AF119" s="65">
        <v>0</v>
      </c>
      <c r="AG119" s="65">
        <v>0</v>
      </c>
      <c r="AH119" s="65">
        <v>0</v>
      </c>
      <c r="AI119" s="65">
        <v>0</v>
      </c>
      <c r="AJ119" s="65">
        <v>0</v>
      </c>
      <c r="AK119" s="65">
        <v>112095.36</v>
      </c>
    </row>
    <row r="120" spans="2:37" ht="12.75" customHeight="1" x14ac:dyDescent="0.35">
      <c r="B120" s="5">
        <v>106</v>
      </c>
      <c r="C120" s="60" t="s">
        <v>514</v>
      </c>
      <c r="D120" s="60" t="s">
        <v>541</v>
      </c>
      <c r="E120" s="60" t="s">
        <v>223</v>
      </c>
      <c r="F120" s="66" t="s">
        <v>215</v>
      </c>
      <c r="G120" s="82" t="s">
        <v>120</v>
      </c>
      <c r="H120" s="65">
        <v>0</v>
      </c>
      <c r="I120" s="65">
        <v>0</v>
      </c>
      <c r="J120" s="65">
        <v>0</v>
      </c>
      <c r="K120" s="65">
        <v>10640</v>
      </c>
      <c r="L120" s="65">
        <v>2000</v>
      </c>
      <c r="M120" s="65">
        <v>0</v>
      </c>
      <c r="N120" s="65">
        <v>0</v>
      </c>
      <c r="O120" s="65">
        <v>5000</v>
      </c>
      <c r="P120" s="65">
        <v>1500</v>
      </c>
      <c r="Q120" s="65">
        <v>150</v>
      </c>
      <c r="R120" s="65">
        <v>0</v>
      </c>
      <c r="S120" s="65">
        <v>5000</v>
      </c>
      <c r="T120" s="65">
        <v>0</v>
      </c>
      <c r="U120" s="65">
        <v>0</v>
      </c>
      <c r="V120" s="65">
        <v>1057.17</v>
      </c>
      <c r="W120" s="65">
        <v>0</v>
      </c>
      <c r="X120" s="65">
        <v>0</v>
      </c>
      <c r="Y120" s="65">
        <v>10640</v>
      </c>
      <c r="Z120" s="65">
        <v>5000</v>
      </c>
      <c r="AA120" s="65">
        <v>10640</v>
      </c>
      <c r="AB120" s="65">
        <v>1276.8</v>
      </c>
      <c r="AC120" s="65">
        <v>100</v>
      </c>
      <c r="AD120" s="65">
        <v>125</v>
      </c>
      <c r="AE120" s="65">
        <v>100</v>
      </c>
      <c r="AF120" s="65">
        <v>0</v>
      </c>
      <c r="AG120" s="65">
        <v>0</v>
      </c>
      <c r="AH120" s="65">
        <v>0</v>
      </c>
      <c r="AI120" s="65">
        <v>0</v>
      </c>
      <c r="AJ120" s="65">
        <v>0</v>
      </c>
      <c r="AK120" s="65">
        <v>140475.82</v>
      </c>
    </row>
    <row r="121" spans="2:37" ht="12.75" customHeight="1" x14ac:dyDescent="0.35">
      <c r="B121" s="5">
        <v>107</v>
      </c>
      <c r="C121" s="60" t="s">
        <v>485</v>
      </c>
      <c r="D121" s="60" t="s">
        <v>541</v>
      </c>
      <c r="E121" s="60" t="s">
        <v>223</v>
      </c>
      <c r="F121" s="66" t="s">
        <v>215</v>
      </c>
      <c r="G121" s="82" t="s">
        <v>120</v>
      </c>
      <c r="H121" s="65">
        <v>0</v>
      </c>
      <c r="I121" s="65">
        <v>0</v>
      </c>
      <c r="J121" s="65">
        <v>0</v>
      </c>
      <c r="K121" s="65">
        <v>9981</v>
      </c>
      <c r="L121" s="65">
        <v>2000</v>
      </c>
      <c r="M121" s="65">
        <v>0</v>
      </c>
      <c r="N121" s="65">
        <v>0</v>
      </c>
      <c r="O121" s="65">
        <v>0</v>
      </c>
      <c r="P121" s="65">
        <v>1500</v>
      </c>
      <c r="Q121" s="65">
        <v>150</v>
      </c>
      <c r="R121" s="65">
        <v>0</v>
      </c>
      <c r="S121" s="65">
        <v>0</v>
      </c>
      <c r="T121" s="65">
        <v>0</v>
      </c>
      <c r="U121" s="65">
        <v>0</v>
      </c>
      <c r="V121" s="65">
        <v>889.35</v>
      </c>
      <c r="W121" s="65">
        <v>0</v>
      </c>
      <c r="X121" s="65">
        <v>0</v>
      </c>
      <c r="Y121" s="65">
        <v>0</v>
      </c>
      <c r="Z121" s="65">
        <v>500</v>
      </c>
      <c r="AA121" s="65">
        <v>0</v>
      </c>
      <c r="AB121" s="65">
        <v>1197.72</v>
      </c>
      <c r="AC121" s="65">
        <v>100</v>
      </c>
      <c r="AD121" s="65">
        <v>112.5</v>
      </c>
      <c r="AE121" s="65">
        <v>99.81</v>
      </c>
      <c r="AF121" s="65">
        <v>0</v>
      </c>
      <c r="AG121" s="65">
        <v>0</v>
      </c>
      <c r="AH121" s="65">
        <v>0</v>
      </c>
      <c r="AI121" s="65">
        <v>0</v>
      </c>
      <c r="AJ121" s="65">
        <v>0</v>
      </c>
      <c r="AK121" s="65">
        <v>141084.03</v>
      </c>
    </row>
    <row r="122" spans="2:37" ht="12.75" customHeight="1" x14ac:dyDescent="0.35">
      <c r="B122" s="5">
        <v>108</v>
      </c>
      <c r="C122" s="60" t="s">
        <v>222</v>
      </c>
      <c r="D122" s="60" t="s">
        <v>542</v>
      </c>
      <c r="E122" s="60" t="s">
        <v>223</v>
      </c>
      <c r="F122" s="66" t="s">
        <v>215</v>
      </c>
      <c r="G122" s="82" t="s">
        <v>551</v>
      </c>
      <c r="H122" s="65">
        <v>0</v>
      </c>
      <c r="I122" s="65">
        <v>0</v>
      </c>
      <c r="J122" s="65">
        <v>0</v>
      </c>
      <c r="K122" s="65">
        <v>9981</v>
      </c>
      <c r="L122" s="65">
        <v>2000</v>
      </c>
      <c r="M122" s="65">
        <v>0</v>
      </c>
      <c r="N122" s="65">
        <v>0</v>
      </c>
      <c r="O122" s="65">
        <v>0</v>
      </c>
      <c r="P122" s="65">
        <v>1500</v>
      </c>
      <c r="Q122" s="65">
        <v>150</v>
      </c>
      <c r="R122" s="65">
        <v>0</v>
      </c>
      <c r="S122" s="65">
        <v>0</v>
      </c>
      <c r="T122" s="65">
        <v>0</v>
      </c>
      <c r="U122" s="65">
        <v>0</v>
      </c>
      <c r="V122" s="65">
        <v>889.35</v>
      </c>
      <c r="W122" s="65">
        <v>0</v>
      </c>
      <c r="X122" s="65">
        <v>0</v>
      </c>
      <c r="Y122" s="65">
        <v>0</v>
      </c>
      <c r="Z122" s="65">
        <v>500</v>
      </c>
      <c r="AA122" s="65">
        <v>0</v>
      </c>
      <c r="AB122" s="65">
        <v>1197.72</v>
      </c>
      <c r="AC122" s="65">
        <v>100</v>
      </c>
      <c r="AD122" s="65">
        <v>112.5</v>
      </c>
      <c r="AE122" s="65">
        <v>99.81</v>
      </c>
      <c r="AF122" s="65">
        <v>0</v>
      </c>
      <c r="AG122" s="65">
        <v>0</v>
      </c>
      <c r="AH122" s="65">
        <v>0</v>
      </c>
      <c r="AI122" s="65">
        <v>0</v>
      </c>
      <c r="AJ122" s="65">
        <v>0</v>
      </c>
      <c r="AK122" s="65">
        <v>478842.64</v>
      </c>
    </row>
    <row r="123" spans="2:37" ht="12.75" customHeight="1" x14ac:dyDescent="0.35">
      <c r="B123" s="5">
        <v>109</v>
      </c>
      <c r="C123" s="60" t="s">
        <v>239</v>
      </c>
      <c r="D123" s="60" t="s">
        <v>543</v>
      </c>
      <c r="E123" s="60" t="s">
        <v>240</v>
      </c>
      <c r="F123" s="66" t="s">
        <v>215</v>
      </c>
      <c r="G123" s="82" t="s">
        <v>551</v>
      </c>
      <c r="H123" s="65">
        <v>0</v>
      </c>
      <c r="I123" s="65">
        <v>0</v>
      </c>
      <c r="J123" s="65">
        <v>0</v>
      </c>
      <c r="K123" s="65">
        <v>10640</v>
      </c>
      <c r="L123" s="65">
        <v>2000</v>
      </c>
      <c r="M123" s="65">
        <v>0</v>
      </c>
      <c r="N123" s="65">
        <v>0</v>
      </c>
      <c r="O123" s="65">
        <v>5000</v>
      </c>
      <c r="P123" s="65">
        <v>1500</v>
      </c>
      <c r="Q123" s="65">
        <v>150</v>
      </c>
      <c r="R123" s="65">
        <v>0</v>
      </c>
      <c r="S123" s="65">
        <v>0</v>
      </c>
      <c r="T123" s="65">
        <v>0</v>
      </c>
      <c r="U123" s="65">
        <v>0</v>
      </c>
      <c r="V123" s="65">
        <v>957.77</v>
      </c>
      <c r="W123" s="65">
        <v>0</v>
      </c>
      <c r="X123" s="65">
        <v>0</v>
      </c>
      <c r="Y123" s="65">
        <v>0</v>
      </c>
      <c r="Z123" s="65">
        <v>0</v>
      </c>
      <c r="AA123" s="65">
        <v>10640</v>
      </c>
      <c r="AB123" s="65">
        <v>1276.8</v>
      </c>
      <c r="AC123" s="65">
        <v>100</v>
      </c>
      <c r="AD123" s="65">
        <v>125</v>
      </c>
      <c r="AE123" s="65">
        <v>100</v>
      </c>
      <c r="AF123" s="65">
        <v>0</v>
      </c>
      <c r="AG123" s="65">
        <v>0</v>
      </c>
      <c r="AH123" s="65">
        <v>0</v>
      </c>
      <c r="AI123" s="65">
        <v>0</v>
      </c>
      <c r="AJ123" s="65">
        <v>0</v>
      </c>
      <c r="AK123" s="65">
        <v>303108.32</v>
      </c>
    </row>
    <row r="124" spans="2:37" ht="12.75" customHeight="1" x14ac:dyDescent="0.35">
      <c r="B124" s="5">
        <v>110</v>
      </c>
      <c r="C124" s="60" t="s">
        <v>515</v>
      </c>
      <c r="D124" s="60" t="s">
        <v>544</v>
      </c>
      <c r="E124" s="60" t="s">
        <v>265</v>
      </c>
      <c r="F124" s="66" t="s">
        <v>215</v>
      </c>
      <c r="G124" s="82" t="s">
        <v>551</v>
      </c>
      <c r="H124" s="65">
        <v>0</v>
      </c>
      <c r="I124" s="65">
        <v>0</v>
      </c>
      <c r="J124" s="65">
        <v>0</v>
      </c>
      <c r="K124" s="65">
        <v>10640</v>
      </c>
      <c r="L124" s="65">
        <v>2000</v>
      </c>
      <c r="M124" s="65">
        <v>0</v>
      </c>
      <c r="N124" s="65">
        <v>0</v>
      </c>
      <c r="O124" s="65">
        <v>5000</v>
      </c>
      <c r="P124" s="65">
        <v>1500</v>
      </c>
      <c r="Q124" s="65">
        <v>150</v>
      </c>
      <c r="R124" s="65">
        <v>0</v>
      </c>
      <c r="S124" s="65">
        <v>5000</v>
      </c>
      <c r="T124" s="65">
        <v>0</v>
      </c>
      <c r="U124" s="65">
        <v>0</v>
      </c>
      <c r="V124" s="65">
        <v>1057.17</v>
      </c>
      <c r="W124" s="65">
        <v>0</v>
      </c>
      <c r="X124" s="65">
        <v>0</v>
      </c>
      <c r="Y124" s="65">
        <v>10640</v>
      </c>
      <c r="Z124" s="65">
        <v>5000</v>
      </c>
      <c r="AA124" s="65">
        <v>10640</v>
      </c>
      <c r="AB124" s="65">
        <v>1276.8</v>
      </c>
      <c r="AC124" s="65">
        <v>100</v>
      </c>
      <c r="AD124" s="65">
        <v>125</v>
      </c>
      <c r="AE124" s="65">
        <v>100</v>
      </c>
      <c r="AF124" s="65">
        <v>0</v>
      </c>
      <c r="AG124" s="65">
        <v>0</v>
      </c>
      <c r="AH124" s="65">
        <v>0</v>
      </c>
      <c r="AI124" s="65">
        <v>0</v>
      </c>
      <c r="AJ124" s="65">
        <v>0</v>
      </c>
      <c r="AK124" s="65">
        <v>303108.32</v>
      </c>
    </row>
    <row r="125" spans="2:37" ht="12.75" customHeight="1" x14ac:dyDescent="0.35">
      <c r="B125" s="5">
        <v>111</v>
      </c>
      <c r="C125" s="60" t="s">
        <v>282</v>
      </c>
      <c r="D125" s="60" t="s">
        <v>545</v>
      </c>
      <c r="E125" s="60" t="s">
        <v>283</v>
      </c>
      <c r="F125" s="66" t="s">
        <v>215</v>
      </c>
      <c r="G125" s="82" t="s">
        <v>551</v>
      </c>
      <c r="H125" s="65" t="s">
        <v>393</v>
      </c>
      <c r="I125" s="65" t="s">
        <v>394</v>
      </c>
      <c r="J125" s="65" t="s">
        <v>395</v>
      </c>
      <c r="K125" s="65">
        <v>0</v>
      </c>
      <c r="L125" s="65">
        <v>0</v>
      </c>
      <c r="M125" s="65">
        <v>0</v>
      </c>
      <c r="N125" s="65">
        <v>0</v>
      </c>
      <c r="O125" s="65">
        <v>0</v>
      </c>
      <c r="P125" s="65">
        <v>0</v>
      </c>
      <c r="Q125" s="65">
        <v>0</v>
      </c>
      <c r="R125" s="65">
        <v>0</v>
      </c>
      <c r="S125" s="65">
        <v>0</v>
      </c>
      <c r="T125" s="65">
        <v>0</v>
      </c>
      <c r="U125" s="65">
        <v>0</v>
      </c>
      <c r="V125" s="65">
        <v>0</v>
      </c>
      <c r="W125" s="65">
        <v>0</v>
      </c>
      <c r="X125" s="65">
        <v>0</v>
      </c>
      <c r="Y125" s="65">
        <v>0</v>
      </c>
      <c r="Z125" s="65">
        <v>0</v>
      </c>
      <c r="AA125" s="65">
        <v>0</v>
      </c>
      <c r="AB125" s="65">
        <v>0</v>
      </c>
      <c r="AC125" s="65">
        <v>0</v>
      </c>
      <c r="AD125" s="65">
        <v>0</v>
      </c>
      <c r="AE125" s="65">
        <v>0</v>
      </c>
      <c r="AF125" s="65">
        <v>0</v>
      </c>
      <c r="AG125" s="65">
        <v>0</v>
      </c>
      <c r="AH125" s="65">
        <v>0</v>
      </c>
      <c r="AI125" s="65">
        <v>0</v>
      </c>
      <c r="AJ125" s="65">
        <v>0</v>
      </c>
      <c r="AK125" s="65">
        <v>264180.44</v>
      </c>
    </row>
    <row r="126" spans="2:37" ht="12.75" customHeight="1" x14ac:dyDescent="0.35">
      <c r="B126" s="5">
        <v>112</v>
      </c>
      <c r="C126" s="60" t="s">
        <v>336</v>
      </c>
      <c r="D126" s="60" t="s">
        <v>546</v>
      </c>
      <c r="E126" s="60" t="s">
        <v>242</v>
      </c>
      <c r="F126" s="66" t="s">
        <v>215</v>
      </c>
      <c r="G126" s="82" t="s">
        <v>120</v>
      </c>
      <c r="H126" s="65" t="s">
        <v>393</v>
      </c>
      <c r="I126" s="65" t="s">
        <v>437</v>
      </c>
      <c r="J126" s="65" t="s">
        <v>438</v>
      </c>
      <c r="K126" s="65">
        <v>0</v>
      </c>
      <c r="L126" s="65">
        <v>0</v>
      </c>
      <c r="M126" s="65">
        <v>0</v>
      </c>
      <c r="N126" s="65">
        <v>0</v>
      </c>
      <c r="O126" s="65">
        <v>0</v>
      </c>
      <c r="P126" s="65">
        <v>0</v>
      </c>
      <c r="Q126" s="65">
        <v>0</v>
      </c>
      <c r="R126" s="65">
        <v>0</v>
      </c>
      <c r="S126" s="65">
        <v>0</v>
      </c>
      <c r="T126" s="65">
        <v>0</v>
      </c>
      <c r="U126" s="65">
        <v>0</v>
      </c>
      <c r="V126" s="65">
        <v>0</v>
      </c>
      <c r="W126" s="65">
        <v>0</v>
      </c>
      <c r="X126" s="65">
        <v>0</v>
      </c>
      <c r="Y126" s="65">
        <v>0</v>
      </c>
      <c r="Z126" s="65">
        <v>0</v>
      </c>
      <c r="AA126" s="65">
        <v>0</v>
      </c>
      <c r="AB126" s="65">
        <v>0</v>
      </c>
      <c r="AC126" s="65">
        <v>0</v>
      </c>
      <c r="AD126" s="65">
        <v>0</v>
      </c>
      <c r="AE126" s="65">
        <v>0</v>
      </c>
      <c r="AF126" s="65">
        <v>0</v>
      </c>
      <c r="AG126" s="65">
        <v>0</v>
      </c>
      <c r="AH126" s="65">
        <v>0</v>
      </c>
      <c r="AI126" s="65">
        <v>0</v>
      </c>
      <c r="AJ126" s="65">
        <v>0</v>
      </c>
      <c r="AK126" s="65">
        <v>52729.04</v>
      </c>
    </row>
    <row r="127" spans="2:37" ht="12.75" customHeight="1" x14ac:dyDescent="0.35">
      <c r="B127" s="5">
        <v>113</v>
      </c>
      <c r="C127" s="60" t="s">
        <v>241</v>
      </c>
      <c r="D127" s="60" t="s">
        <v>546</v>
      </c>
      <c r="E127" s="60" t="s">
        <v>242</v>
      </c>
      <c r="F127" s="66" t="s">
        <v>215</v>
      </c>
      <c r="G127" s="82" t="s">
        <v>551</v>
      </c>
      <c r="H127" s="65" t="s">
        <v>393</v>
      </c>
      <c r="I127" s="65" t="s">
        <v>443</v>
      </c>
      <c r="J127" s="65" t="s">
        <v>444</v>
      </c>
      <c r="K127" s="65">
        <v>0</v>
      </c>
      <c r="L127" s="65">
        <v>0</v>
      </c>
      <c r="M127" s="65">
        <v>0</v>
      </c>
      <c r="N127" s="65">
        <v>0</v>
      </c>
      <c r="O127" s="65">
        <v>0</v>
      </c>
      <c r="P127" s="65">
        <v>0</v>
      </c>
      <c r="Q127" s="65">
        <v>0</v>
      </c>
      <c r="R127" s="65">
        <v>0</v>
      </c>
      <c r="S127" s="65">
        <v>0</v>
      </c>
      <c r="T127" s="65">
        <v>0</v>
      </c>
      <c r="U127" s="65">
        <v>0</v>
      </c>
      <c r="V127" s="65">
        <v>0</v>
      </c>
      <c r="W127" s="65">
        <v>0</v>
      </c>
      <c r="X127" s="65">
        <v>0</v>
      </c>
      <c r="Y127" s="65">
        <v>0</v>
      </c>
      <c r="Z127" s="65">
        <v>0</v>
      </c>
      <c r="AA127" s="65">
        <v>0</v>
      </c>
      <c r="AB127" s="65">
        <v>0</v>
      </c>
      <c r="AC127" s="65">
        <v>0</v>
      </c>
      <c r="AD127" s="65">
        <v>0</v>
      </c>
      <c r="AE127" s="65">
        <v>0</v>
      </c>
      <c r="AF127" s="65">
        <v>0</v>
      </c>
      <c r="AG127" s="65">
        <v>0</v>
      </c>
      <c r="AH127" s="65">
        <v>0</v>
      </c>
      <c r="AI127" s="65">
        <v>0</v>
      </c>
      <c r="AJ127" s="65">
        <v>0</v>
      </c>
      <c r="AK127" s="65">
        <v>395657.16000000003</v>
      </c>
    </row>
    <row r="128" spans="2:37" ht="12.75" customHeight="1" x14ac:dyDescent="0.35">
      <c r="B128" s="5">
        <v>114</v>
      </c>
      <c r="C128" s="60" t="s">
        <v>226</v>
      </c>
      <c r="D128" s="60" t="s">
        <v>547</v>
      </c>
      <c r="E128" s="60" t="s">
        <v>227</v>
      </c>
      <c r="F128" s="66" t="s">
        <v>215</v>
      </c>
      <c r="G128" s="82" t="s">
        <v>551</v>
      </c>
      <c r="H128" s="65" t="s">
        <v>393</v>
      </c>
      <c r="I128" s="65" t="s">
        <v>468</v>
      </c>
      <c r="J128" s="65" t="s">
        <v>469</v>
      </c>
      <c r="K128" s="65">
        <v>0</v>
      </c>
      <c r="L128" s="65">
        <v>0</v>
      </c>
      <c r="M128" s="65">
        <v>0</v>
      </c>
      <c r="N128" s="65">
        <v>0</v>
      </c>
      <c r="O128" s="65">
        <v>0</v>
      </c>
      <c r="P128" s="65">
        <v>0</v>
      </c>
      <c r="Q128" s="65">
        <v>0</v>
      </c>
      <c r="R128" s="65">
        <v>0</v>
      </c>
      <c r="S128" s="65">
        <v>0</v>
      </c>
      <c r="T128" s="65">
        <v>0</v>
      </c>
      <c r="U128" s="65">
        <v>0</v>
      </c>
      <c r="V128" s="65">
        <v>0</v>
      </c>
      <c r="W128" s="65">
        <v>0</v>
      </c>
      <c r="X128" s="65">
        <v>0</v>
      </c>
      <c r="Y128" s="65">
        <v>0</v>
      </c>
      <c r="Z128" s="65">
        <v>0</v>
      </c>
      <c r="AA128" s="65">
        <v>0</v>
      </c>
      <c r="AB128" s="65">
        <v>0</v>
      </c>
      <c r="AC128" s="65">
        <v>0</v>
      </c>
      <c r="AD128" s="65">
        <v>0</v>
      </c>
      <c r="AE128" s="65">
        <v>0</v>
      </c>
      <c r="AF128" s="65">
        <v>0</v>
      </c>
      <c r="AG128" s="65">
        <v>0</v>
      </c>
      <c r="AH128" s="65">
        <v>0</v>
      </c>
      <c r="AI128" s="65">
        <v>0</v>
      </c>
      <c r="AJ128" s="65">
        <v>0</v>
      </c>
      <c r="AK128" s="65">
        <v>292882.03999999998</v>
      </c>
    </row>
    <row r="129" spans="2:37" ht="12.75" customHeight="1" x14ac:dyDescent="0.35">
      <c r="B129" s="5">
        <v>115</v>
      </c>
      <c r="C129" s="60" t="s">
        <v>516</v>
      </c>
      <c r="D129" s="60" t="s">
        <v>548</v>
      </c>
      <c r="E129" s="60" t="s">
        <v>231</v>
      </c>
      <c r="F129" s="66" t="s">
        <v>215</v>
      </c>
      <c r="G129" s="82" t="s">
        <v>120</v>
      </c>
      <c r="H129" s="65" t="s">
        <v>475</v>
      </c>
      <c r="I129" s="65" t="s">
        <v>476</v>
      </c>
      <c r="J129" s="65" t="s">
        <v>477</v>
      </c>
      <c r="K129" s="65">
        <v>0</v>
      </c>
      <c r="L129" s="65">
        <v>0</v>
      </c>
      <c r="M129" s="65">
        <v>0</v>
      </c>
      <c r="N129" s="65">
        <v>0</v>
      </c>
      <c r="O129" s="65">
        <v>0</v>
      </c>
      <c r="P129" s="65">
        <v>0</v>
      </c>
      <c r="Q129" s="65">
        <v>0</v>
      </c>
      <c r="R129" s="65">
        <v>0</v>
      </c>
      <c r="S129" s="65">
        <v>0</v>
      </c>
      <c r="T129" s="65">
        <v>0</v>
      </c>
      <c r="U129" s="65">
        <v>0</v>
      </c>
      <c r="V129" s="65">
        <v>0</v>
      </c>
      <c r="W129" s="65">
        <v>0</v>
      </c>
      <c r="X129" s="65">
        <v>0</v>
      </c>
      <c r="Y129" s="65">
        <v>0</v>
      </c>
      <c r="Z129" s="65">
        <v>0</v>
      </c>
      <c r="AA129" s="65">
        <v>0</v>
      </c>
      <c r="AB129" s="65">
        <v>0</v>
      </c>
      <c r="AC129" s="65">
        <v>0</v>
      </c>
      <c r="AD129" s="65">
        <v>0</v>
      </c>
      <c r="AE129" s="65">
        <v>0</v>
      </c>
      <c r="AF129" s="65">
        <v>0</v>
      </c>
      <c r="AG129" s="65">
        <v>0</v>
      </c>
      <c r="AH129" s="65">
        <v>0</v>
      </c>
      <c r="AI129" s="65">
        <v>0</v>
      </c>
      <c r="AJ129" s="65">
        <v>0</v>
      </c>
      <c r="AK129" s="65">
        <v>87081.97</v>
      </c>
    </row>
    <row r="130" spans="2:37" ht="12.75" customHeight="1" x14ac:dyDescent="0.35">
      <c r="B130" s="5">
        <v>116</v>
      </c>
      <c r="C130" s="60" t="s">
        <v>220</v>
      </c>
      <c r="D130" s="60" t="s">
        <v>548</v>
      </c>
      <c r="E130" s="60" t="s">
        <v>221</v>
      </c>
      <c r="F130" s="66" t="s">
        <v>215</v>
      </c>
      <c r="G130" s="82" t="s">
        <v>551</v>
      </c>
      <c r="H130" s="65">
        <v>0</v>
      </c>
      <c r="I130" s="65">
        <v>0</v>
      </c>
      <c r="J130" s="65">
        <v>0</v>
      </c>
      <c r="K130" s="65">
        <v>11387</v>
      </c>
      <c r="L130" s="65">
        <v>2000</v>
      </c>
      <c r="M130" s="65">
        <v>0</v>
      </c>
      <c r="N130" s="65">
        <v>0</v>
      </c>
      <c r="O130" s="65">
        <v>5000</v>
      </c>
      <c r="P130" s="65">
        <v>1500</v>
      </c>
      <c r="Q130" s="65">
        <v>150</v>
      </c>
      <c r="R130" s="65">
        <v>0</v>
      </c>
      <c r="S130" s="65">
        <v>5000</v>
      </c>
      <c r="T130" s="65">
        <v>0</v>
      </c>
      <c r="U130" s="65">
        <v>0</v>
      </c>
      <c r="V130" s="65">
        <v>1056.82</v>
      </c>
      <c r="W130" s="65">
        <v>0</v>
      </c>
      <c r="X130" s="65">
        <v>0</v>
      </c>
      <c r="Y130" s="65">
        <v>11387</v>
      </c>
      <c r="Z130" s="65">
        <v>5000</v>
      </c>
      <c r="AA130" s="65">
        <v>11387</v>
      </c>
      <c r="AB130" s="65">
        <v>1366.44</v>
      </c>
      <c r="AC130" s="65">
        <v>100</v>
      </c>
      <c r="AD130" s="65">
        <v>137.5</v>
      </c>
      <c r="AE130" s="65">
        <v>100</v>
      </c>
      <c r="AF130" s="65">
        <v>0</v>
      </c>
      <c r="AG130" s="65">
        <v>0</v>
      </c>
      <c r="AH130" s="65">
        <v>0</v>
      </c>
      <c r="AI130" s="65">
        <v>0</v>
      </c>
      <c r="AJ130" s="65">
        <v>0</v>
      </c>
      <c r="AK130" s="65">
        <v>239217.63999999998</v>
      </c>
    </row>
    <row r="131" spans="2:37" ht="12.75" customHeight="1" x14ac:dyDescent="0.35">
      <c r="B131" s="5">
        <v>117</v>
      </c>
      <c r="C131" s="60" t="s">
        <v>225</v>
      </c>
      <c r="D131" s="60" t="s">
        <v>548</v>
      </c>
      <c r="E131" s="60" t="s">
        <v>221</v>
      </c>
      <c r="F131" s="66" t="s">
        <v>215</v>
      </c>
      <c r="G131" s="82" t="s">
        <v>551</v>
      </c>
      <c r="H131" s="65" t="s">
        <v>330</v>
      </c>
      <c r="I131" s="65" t="s">
        <v>331</v>
      </c>
      <c r="J131" s="65" t="s">
        <v>332</v>
      </c>
      <c r="K131" s="65">
        <v>0</v>
      </c>
      <c r="L131" s="65">
        <v>0</v>
      </c>
      <c r="M131" s="65">
        <v>0</v>
      </c>
      <c r="N131" s="65">
        <v>0</v>
      </c>
      <c r="O131" s="65">
        <v>0</v>
      </c>
      <c r="P131" s="65">
        <v>0</v>
      </c>
      <c r="Q131" s="65">
        <v>0</v>
      </c>
      <c r="R131" s="65">
        <v>0</v>
      </c>
      <c r="S131" s="65">
        <v>0</v>
      </c>
      <c r="T131" s="65">
        <v>0</v>
      </c>
      <c r="U131" s="65">
        <v>0</v>
      </c>
      <c r="V131" s="65">
        <v>0</v>
      </c>
      <c r="W131" s="65">
        <v>0</v>
      </c>
      <c r="X131" s="65">
        <v>0</v>
      </c>
      <c r="Y131" s="65">
        <v>0</v>
      </c>
      <c r="Z131" s="65">
        <v>0</v>
      </c>
      <c r="AA131" s="65">
        <v>0</v>
      </c>
      <c r="AB131" s="65">
        <v>0</v>
      </c>
      <c r="AC131" s="65">
        <v>0</v>
      </c>
      <c r="AD131" s="65">
        <v>0</v>
      </c>
      <c r="AE131" s="65">
        <v>0</v>
      </c>
      <c r="AF131" s="65">
        <v>0</v>
      </c>
      <c r="AG131" s="65">
        <v>0</v>
      </c>
      <c r="AH131" s="65">
        <v>0</v>
      </c>
      <c r="AI131" s="65">
        <v>0</v>
      </c>
      <c r="AJ131" s="65">
        <v>0</v>
      </c>
      <c r="AK131" s="65">
        <v>180864.56</v>
      </c>
    </row>
    <row r="132" spans="2:37" ht="12.75" customHeight="1" x14ac:dyDescent="0.35">
      <c r="B132" s="5">
        <v>118</v>
      </c>
      <c r="C132" s="60" t="s">
        <v>230</v>
      </c>
      <c r="D132" s="60" t="s">
        <v>548</v>
      </c>
      <c r="E132" s="60" t="s">
        <v>231</v>
      </c>
      <c r="F132" s="66" t="s">
        <v>215</v>
      </c>
      <c r="G132" s="82" t="s">
        <v>551</v>
      </c>
      <c r="H132" s="65" t="s">
        <v>459</v>
      </c>
      <c r="I132" s="65" t="s">
        <v>460</v>
      </c>
      <c r="J132" s="65" t="s">
        <v>461</v>
      </c>
      <c r="K132" s="65">
        <v>0</v>
      </c>
      <c r="L132" s="65">
        <v>0</v>
      </c>
      <c r="M132" s="65">
        <v>0</v>
      </c>
      <c r="N132" s="65">
        <v>0</v>
      </c>
      <c r="O132" s="65">
        <v>0</v>
      </c>
      <c r="P132" s="65">
        <v>0</v>
      </c>
      <c r="Q132" s="65">
        <v>0</v>
      </c>
      <c r="R132" s="65">
        <v>0</v>
      </c>
      <c r="S132" s="65">
        <v>0</v>
      </c>
      <c r="T132" s="65">
        <v>0</v>
      </c>
      <c r="U132" s="65">
        <v>0</v>
      </c>
      <c r="V132" s="65">
        <v>0</v>
      </c>
      <c r="W132" s="65">
        <v>0</v>
      </c>
      <c r="X132" s="65">
        <v>0</v>
      </c>
      <c r="Y132" s="65">
        <v>0</v>
      </c>
      <c r="Z132" s="65">
        <v>0</v>
      </c>
      <c r="AA132" s="65">
        <v>0</v>
      </c>
      <c r="AB132" s="65">
        <v>0</v>
      </c>
      <c r="AC132" s="65">
        <v>0</v>
      </c>
      <c r="AD132" s="65">
        <v>0</v>
      </c>
      <c r="AE132" s="65">
        <v>0</v>
      </c>
      <c r="AF132" s="65">
        <v>0</v>
      </c>
      <c r="AG132" s="65">
        <v>0</v>
      </c>
      <c r="AH132" s="65">
        <v>0</v>
      </c>
      <c r="AI132" s="65">
        <v>0</v>
      </c>
      <c r="AJ132" s="65">
        <v>0</v>
      </c>
      <c r="AK132" s="65">
        <v>180864.56</v>
      </c>
    </row>
    <row r="133" spans="2:37" ht="12.75" customHeight="1" x14ac:dyDescent="0.35">
      <c r="B133" s="5">
        <v>119</v>
      </c>
      <c r="C133" s="60" t="s">
        <v>392</v>
      </c>
      <c r="D133" s="60" t="s">
        <v>548</v>
      </c>
      <c r="E133" s="60" t="s">
        <v>231</v>
      </c>
      <c r="F133" s="66" t="s">
        <v>215</v>
      </c>
      <c r="G133" s="82" t="s">
        <v>120</v>
      </c>
      <c r="H133" s="65" t="s">
        <v>330</v>
      </c>
      <c r="I133" s="65" t="s">
        <v>472</v>
      </c>
      <c r="J133" s="65" t="s">
        <v>473</v>
      </c>
      <c r="K133" s="65">
        <v>0</v>
      </c>
      <c r="L133" s="65">
        <v>0</v>
      </c>
      <c r="M133" s="65">
        <v>0</v>
      </c>
      <c r="N133" s="65">
        <v>0</v>
      </c>
      <c r="O133" s="65">
        <v>0</v>
      </c>
      <c r="P133" s="65">
        <v>0</v>
      </c>
      <c r="Q133" s="65">
        <v>0</v>
      </c>
      <c r="R133" s="65">
        <v>0</v>
      </c>
      <c r="S133" s="65">
        <v>0</v>
      </c>
      <c r="T133" s="65">
        <v>0</v>
      </c>
      <c r="U133" s="65">
        <v>0</v>
      </c>
      <c r="V133" s="65">
        <v>0</v>
      </c>
      <c r="W133" s="65">
        <v>0</v>
      </c>
      <c r="X133" s="65">
        <v>0</v>
      </c>
      <c r="Y133" s="65">
        <v>0</v>
      </c>
      <c r="Z133" s="65">
        <v>0</v>
      </c>
      <c r="AA133" s="65">
        <v>0</v>
      </c>
      <c r="AB133" s="65">
        <v>0</v>
      </c>
      <c r="AC133" s="65">
        <v>0</v>
      </c>
      <c r="AD133" s="65">
        <v>0</v>
      </c>
      <c r="AE133" s="65">
        <v>0</v>
      </c>
      <c r="AF133" s="65">
        <v>0</v>
      </c>
      <c r="AG133" s="65">
        <v>0</v>
      </c>
      <c r="AH133" s="65">
        <v>0</v>
      </c>
      <c r="AI133" s="65">
        <v>0</v>
      </c>
      <c r="AJ133" s="65">
        <v>0</v>
      </c>
      <c r="AK133" s="65">
        <v>18448.32</v>
      </c>
    </row>
    <row r="134" spans="2:37" ht="12.75" customHeight="1" x14ac:dyDescent="0.35">
      <c r="B134" s="5">
        <v>120</v>
      </c>
      <c r="C134" s="60" t="s">
        <v>436</v>
      </c>
      <c r="D134" s="60" t="s">
        <v>548</v>
      </c>
      <c r="E134" s="60" t="s">
        <v>231</v>
      </c>
      <c r="F134" s="66" t="s">
        <v>215</v>
      </c>
      <c r="G134" s="82" t="s">
        <v>120</v>
      </c>
      <c r="H134" s="65" t="s">
        <v>459</v>
      </c>
      <c r="I134" s="65" t="s">
        <v>479</v>
      </c>
      <c r="J134" s="65" t="s">
        <v>480</v>
      </c>
      <c r="K134" s="65">
        <v>0</v>
      </c>
      <c r="L134" s="65">
        <v>0</v>
      </c>
      <c r="M134" s="65">
        <v>0</v>
      </c>
      <c r="N134" s="65">
        <v>0</v>
      </c>
      <c r="O134" s="65">
        <v>0</v>
      </c>
      <c r="P134" s="65">
        <v>0</v>
      </c>
      <c r="Q134" s="65">
        <v>0</v>
      </c>
      <c r="R134" s="65">
        <v>0</v>
      </c>
      <c r="S134" s="65">
        <v>0</v>
      </c>
      <c r="T134" s="65">
        <v>0</v>
      </c>
      <c r="U134" s="65">
        <v>0</v>
      </c>
      <c r="V134" s="65">
        <v>0</v>
      </c>
      <c r="W134" s="65">
        <v>0</v>
      </c>
      <c r="X134" s="65">
        <v>0</v>
      </c>
      <c r="Y134" s="65">
        <v>0</v>
      </c>
      <c r="Z134" s="65">
        <v>0</v>
      </c>
      <c r="AA134" s="65">
        <v>0</v>
      </c>
      <c r="AB134" s="65">
        <v>0</v>
      </c>
      <c r="AC134" s="65">
        <v>0</v>
      </c>
      <c r="AD134" s="65">
        <v>0</v>
      </c>
      <c r="AE134" s="65">
        <v>0</v>
      </c>
      <c r="AF134" s="65">
        <v>0</v>
      </c>
      <c r="AG134" s="65">
        <v>0</v>
      </c>
      <c r="AH134" s="65">
        <v>0</v>
      </c>
      <c r="AI134" s="65">
        <v>0</v>
      </c>
      <c r="AJ134" s="65">
        <v>0</v>
      </c>
      <c r="AK134" s="65">
        <v>63870.32</v>
      </c>
    </row>
    <row r="135" spans="2:37" ht="12.75" customHeight="1" x14ac:dyDescent="0.35">
      <c r="B135" s="5">
        <v>121</v>
      </c>
      <c r="C135" s="60" t="s">
        <v>442</v>
      </c>
      <c r="D135" s="60" t="s">
        <v>548</v>
      </c>
      <c r="E135" s="60" t="s">
        <v>231</v>
      </c>
      <c r="F135" s="66" t="s">
        <v>215</v>
      </c>
      <c r="G135" s="82" t="s">
        <v>120</v>
      </c>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v>73094.48</v>
      </c>
    </row>
    <row r="136" spans="2:37" ht="12.75" customHeight="1" x14ac:dyDescent="0.35">
      <c r="B136" s="5">
        <v>122</v>
      </c>
      <c r="C136" s="60" t="s">
        <v>467</v>
      </c>
      <c r="D136" s="60" t="s">
        <v>548</v>
      </c>
      <c r="E136" s="60" t="s">
        <v>279</v>
      </c>
      <c r="F136" s="66" t="s">
        <v>215</v>
      </c>
      <c r="G136" s="82" t="s">
        <v>120</v>
      </c>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v>65801.8</v>
      </c>
    </row>
    <row r="137" spans="2:37" ht="12.75" customHeight="1" x14ac:dyDescent="0.35">
      <c r="B137" s="5">
        <v>123</v>
      </c>
      <c r="C137" s="60" t="s">
        <v>474</v>
      </c>
      <c r="D137" s="60" t="s">
        <v>548</v>
      </c>
      <c r="E137" s="60" t="s">
        <v>231</v>
      </c>
      <c r="F137" s="66" t="s">
        <v>215</v>
      </c>
      <c r="G137" s="82" t="s">
        <v>120</v>
      </c>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v>87081.97</v>
      </c>
    </row>
    <row r="138" spans="2:37" ht="12.75" customHeight="1" x14ac:dyDescent="0.35">
      <c r="B138" s="5">
        <v>124</v>
      </c>
      <c r="C138" s="60" t="s">
        <v>286</v>
      </c>
      <c r="D138" s="60" t="s">
        <v>548</v>
      </c>
      <c r="E138" s="60" t="s">
        <v>231</v>
      </c>
      <c r="F138" s="66" t="s">
        <v>215</v>
      </c>
      <c r="G138" s="82" t="s">
        <v>551</v>
      </c>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v>238867.63999999998</v>
      </c>
    </row>
    <row r="139" spans="2:37" ht="12.75" customHeight="1" x14ac:dyDescent="0.35">
      <c r="B139" s="5">
        <v>125</v>
      </c>
      <c r="C139" s="60" t="s">
        <v>517</v>
      </c>
      <c r="D139" s="60" t="s">
        <v>549</v>
      </c>
      <c r="E139" s="60" t="s">
        <v>231</v>
      </c>
      <c r="F139" s="66" t="s">
        <v>215</v>
      </c>
      <c r="G139" s="82" t="s">
        <v>551</v>
      </c>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v>249622.12</v>
      </c>
    </row>
    <row r="140" spans="2:37" ht="12.75" customHeight="1" x14ac:dyDescent="0.35">
      <c r="B140" s="5">
        <v>126</v>
      </c>
      <c r="C140" s="60" t="s">
        <v>292</v>
      </c>
      <c r="D140" s="60" t="s">
        <v>549</v>
      </c>
      <c r="E140" s="60" t="s">
        <v>237</v>
      </c>
      <c r="F140" s="66" t="s">
        <v>215</v>
      </c>
      <c r="G140" s="82" t="s">
        <v>551</v>
      </c>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v>249622.12</v>
      </c>
    </row>
    <row r="141" spans="2:37" ht="12.75" customHeight="1" x14ac:dyDescent="0.35">
      <c r="B141" s="5">
        <v>127</v>
      </c>
      <c r="C141" s="60" t="s">
        <v>329</v>
      </c>
      <c r="D141" s="60" t="s">
        <v>550</v>
      </c>
      <c r="E141" s="60" t="s">
        <v>283</v>
      </c>
      <c r="F141" s="66" t="s">
        <v>215</v>
      </c>
      <c r="G141" s="82" t="s">
        <v>120</v>
      </c>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v>99851.6</v>
      </c>
    </row>
    <row r="142" spans="2:37" ht="12.75" customHeight="1" x14ac:dyDescent="0.35">
      <c r="B142" s="5">
        <v>128</v>
      </c>
      <c r="C142" s="60" t="s">
        <v>458</v>
      </c>
      <c r="D142" s="60" t="s">
        <v>550</v>
      </c>
      <c r="E142" s="60" t="s">
        <v>283</v>
      </c>
      <c r="F142" s="66" t="s">
        <v>215</v>
      </c>
      <c r="G142" s="82" t="s">
        <v>120</v>
      </c>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v>91263.64</v>
      </c>
    </row>
    <row r="143" spans="2:37" ht="12.75" customHeight="1" x14ac:dyDescent="0.35">
      <c r="B143" s="5">
        <v>129</v>
      </c>
      <c r="C143" s="60" t="s">
        <v>471</v>
      </c>
      <c r="D143" s="60" t="s">
        <v>550</v>
      </c>
      <c r="E143" s="60" t="s">
        <v>283</v>
      </c>
      <c r="F143" s="66" t="s">
        <v>215</v>
      </c>
      <c r="G143" s="82" t="s">
        <v>120</v>
      </c>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v>95789.84</v>
      </c>
    </row>
    <row r="144" spans="2:37" ht="12.75" customHeight="1" x14ac:dyDescent="0.35">
      <c r="B144" s="5">
        <v>130</v>
      </c>
      <c r="C144" s="60" t="s">
        <v>478</v>
      </c>
      <c r="D144" s="60" t="s">
        <v>550</v>
      </c>
      <c r="E144" s="60" t="s">
        <v>283</v>
      </c>
      <c r="F144" s="66" t="s">
        <v>215</v>
      </c>
      <c r="G144" s="82" t="s">
        <v>120</v>
      </c>
      <c r="H144" s="65"/>
      <c r="I144" s="65"/>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v>88825.88</v>
      </c>
    </row>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sheetData>
  <sheetProtection formatColumns="0" formatRows="0" sort="0" autoFilter="0"/>
  <autoFilter ref="C14:AK14" xr:uid="{A400C9C8-F245-4AA9-98D1-250F67795111}">
    <sortState ref="C15:AK142">
      <sortCondition ref="D14"/>
    </sortState>
  </autoFilter>
  <dataValidations count="3">
    <dataValidation type="list" allowBlank="1" showInputMessage="1" showErrorMessage="1" sqref="C12" xr:uid="{00000000-0002-0000-0000-000000000000}">
      <formula1>"Level I, Level II and III"</formula1>
    </dataValidation>
    <dataValidation type="list" allowBlank="1" showInputMessage="1" showErrorMessage="1" sqref="G15:G144" xr:uid="{00000000-0002-0000-0000-000001000000}">
      <formula1>"Permament, Contractual, JO"</formula1>
    </dataValidation>
    <dataValidation operator="greaterThanOrEqual" allowBlank="1" showInputMessage="1" showErrorMessage="1" sqref="E15:E340" xr:uid="{00000000-0002-0000-0000-000002000000}"/>
  </dataValidations>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_Personen" altText="Add Drug / Medication / Supply">
                <anchor moveWithCells="1">
                  <from>
                    <xdr:col>1</xdr:col>
                    <xdr:colOff>69850</xdr:colOff>
                    <xdr:row>14</xdr:row>
                    <xdr:rowOff>19050</xdr:rowOff>
                  </from>
                  <to>
                    <xdr:col>1</xdr:col>
                    <xdr:colOff>793750</xdr:colOff>
                    <xdr:row>15</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Delete_Personen" altText="Delete Drug / Medication / Supply">
                <anchor moveWithCells="1">
                  <from>
                    <xdr:col>1</xdr:col>
                    <xdr:colOff>838200</xdr:colOff>
                    <xdr:row>14</xdr:row>
                    <xdr:rowOff>19050</xdr:rowOff>
                  </from>
                  <to>
                    <xdr:col>1</xdr:col>
                    <xdr:colOff>1568450</xdr:colOff>
                    <xdr:row>15</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A1:DQ1004"/>
  <sheetViews>
    <sheetView workbookViewId="0">
      <selection activeCell="C127" sqref="C127"/>
    </sheetView>
  </sheetViews>
  <sheetFormatPr defaultColWidth="14.453125" defaultRowHeight="15" customHeight="1" x14ac:dyDescent="0.3"/>
  <cols>
    <col min="1" max="1" width="3.7265625" style="3" customWidth="1"/>
    <col min="2" max="2" width="55.26953125" style="3" customWidth="1"/>
    <col min="3" max="3" width="38.81640625" style="3" customWidth="1"/>
    <col min="4" max="5" width="8.7265625" style="3" customWidth="1"/>
    <col min="6" max="6" width="58" style="3" customWidth="1"/>
    <col min="7" max="13" width="8.7265625" style="3" customWidth="1"/>
    <col min="14" max="16384" width="14.453125" style="3"/>
  </cols>
  <sheetData>
    <row r="1" spans="1:121" ht="12.75" customHeight="1" x14ac:dyDescent="0.3">
      <c r="A1" s="1"/>
      <c r="B1" s="1"/>
      <c r="C1" s="1"/>
      <c r="D1" s="1"/>
      <c r="E1" s="1"/>
      <c r="F1" s="1"/>
      <c r="G1" s="1"/>
      <c r="H1" s="1"/>
      <c r="I1" s="1"/>
      <c r="J1" s="1"/>
      <c r="K1" s="1"/>
      <c r="L1" s="1"/>
      <c r="M1" s="1"/>
    </row>
    <row r="2" spans="1:121" s="61" customFormat="1" ht="14"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4" t="s">
        <v>115</v>
      </c>
      <c r="C4" s="85"/>
      <c r="D4" s="1"/>
      <c r="E4" s="1"/>
      <c r="F4" s="1"/>
      <c r="G4" s="1"/>
      <c r="H4" s="1"/>
      <c r="I4" s="1"/>
      <c r="J4" s="1"/>
      <c r="K4" s="1"/>
      <c r="L4" s="1"/>
      <c r="M4" s="1"/>
    </row>
    <row r="5" spans="1:121" ht="28.15" customHeight="1" x14ac:dyDescent="0.3">
      <c r="A5" s="1"/>
      <c r="B5" s="86" t="s">
        <v>117</v>
      </c>
      <c r="C5" s="87"/>
      <c r="D5" s="1"/>
      <c r="E5" s="1"/>
      <c r="F5" s="1"/>
      <c r="G5" s="1"/>
      <c r="H5" s="1"/>
      <c r="I5" s="1"/>
      <c r="J5" s="1"/>
      <c r="K5" s="1"/>
      <c r="L5" s="1"/>
      <c r="M5" s="1"/>
    </row>
    <row r="6" spans="1:121" ht="12.75" customHeight="1" x14ac:dyDescent="0.3">
      <c r="A6" s="1"/>
      <c r="B6" s="86" t="s">
        <v>116</v>
      </c>
      <c r="C6" s="87"/>
      <c r="D6" s="1"/>
      <c r="E6" s="1"/>
      <c r="F6" s="1"/>
      <c r="G6" s="1"/>
      <c r="H6" s="1"/>
      <c r="I6" s="1"/>
      <c r="J6" s="1"/>
      <c r="K6" s="1"/>
      <c r="L6" s="1"/>
      <c r="M6" s="1"/>
    </row>
    <row r="7" spans="1:121" ht="29.75" customHeight="1" x14ac:dyDescent="0.3">
      <c r="A7" s="1"/>
      <c r="B7" s="88" t="s">
        <v>207</v>
      </c>
      <c r="C7" s="89"/>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v>776612.75</v>
      </c>
      <c r="D11" s="1"/>
      <c r="E11" s="1"/>
      <c r="F11" s="1"/>
      <c r="G11" s="1"/>
      <c r="H11" s="1"/>
      <c r="I11" s="1"/>
      <c r="J11" s="1"/>
      <c r="K11" s="1"/>
      <c r="L11" s="1"/>
      <c r="M11" s="1"/>
    </row>
    <row r="12" spans="1:121" ht="12.75" customHeight="1" x14ac:dyDescent="0.3">
      <c r="A12" s="1"/>
      <c r="B12" s="5" t="s">
        <v>8</v>
      </c>
      <c r="C12" s="65">
        <v>20561566</v>
      </c>
      <c r="D12" s="1"/>
      <c r="E12" s="1"/>
      <c r="F12" s="1"/>
      <c r="G12" s="1"/>
      <c r="H12" s="1"/>
      <c r="I12" s="1"/>
      <c r="J12" s="1"/>
      <c r="K12" s="1"/>
      <c r="L12" s="1"/>
      <c r="M12" s="1"/>
    </row>
    <row r="13" spans="1:121" ht="12.75" customHeight="1" x14ac:dyDescent="0.3">
      <c r="A13" s="1"/>
      <c r="B13" s="5" t="s">
        <v>9</v>
      </c>
      <c r="C13" s="65">
        <v>0</v>
      </c>
      <c r="D13" s="1"/>
      <c r="E13" s="1"/>
      <c r="F13" s="1"/>
      <c r="G13" s="1"/>
      <c r="H13" s="1"/>
      <c r="I13" s="1"/>
      <c r="J13" s="1"/>
      <c r="K13" s="1"/>
      <c r="L13" s="1"/>
      <c r="M13" s="1"/>
    </row>
    <row r="14" spans="1:121" ht="12.75" customHeight="1" x14ac:dyDescent="0.3">
      <c r="A14" s="1"/>
      <c r="B14" s="5" t="s">
        <v>10</v>
      </c>
      <c r="C14" s="65">
        <v>0</v>
      </c>
      <c r="D14" s="1"/>
      <c r="E14" s="1"/>
      <c r="F14" s="1"/>
      <c r="G14" s="1"/>
      <c r="H14" s="1"/>
      <c r="I14" s="1"/>
      <c r="J14" s="1"/>
      <c r="K14" s="1"/>
      <c r="L14" s="1"/>
      <c r="M14" s="1"/>
    </row>
    <row r="15" spans="1:121" ht="12.75" customHeight="1" x14ac:dyDescent="0.3">
      <c r="A15" s="1"/>
      <c r="B15" s="6" t="s">
        <v>11</v>
      </c>
      <c r="C15" s="65">
        <v>160255</v>
      </c>
      <c r="D15" s="1"/>
      <c r="E15" s="1"/>
      <c r="F15" s="1"/>
      <c r="G15" s="1"/>
      <c r="H15" s="1"/>
      <c r="I15" s="1"/>
      <c r="J15" s="1"/>
      <c r="K15" s="1"/>
      <c r="L15" s="1"/>
      <c r="M15" s="1"/>
    </row>
    <row r="16" spans="1:121" ht="12.75" customHeight="1" x14ac:dyDescent="0.3">
      <c r="A16" s="1"/>
      <c r="B16" s="6" t="s">
        <v>35</v>
      </c>
      <c r="C16" s="65">
        <v>2825303.4</v>
      </c>
      <c r="D16" s="1"/>
      <c r="E16" s="1"/>
      <c r="F16" s="1"/>
      <c r="G16" s="1"/>
      <c r="H16" s="1"/>
      <c r="I16" s="1"/>
      <c r="J16" s="1"/>
      <c r="K16" s="1"/>
      <c r="L16" s="1"/>
      <c r="M16" s="1"/>
    </row>
    <row r="17" spans="1:13" ht="12.75" customHeight="1" x14ac:dyDescent="0.3">
      <c r="A17" s="1"/>
      <c r="B17" s="6" t="s">
        <v>41</v>
      </c>
      <c r="C17" s="65">
        <v>396320.2</v>
      </c>
      <c r="D17" s="1"/>
      <c r="E17" s="1"/>
      <c r="F17" s="1"/>
      <c r="G17" s="1"/>
      <c r="H17" s="1"/>
      <c r="I17" s="1"/>
      <c r="J17" s="1"/>
      <c r="K17" s="1"/>
      <c r="L17" s="1"/>
      <c r="M17" s="1"/>
    </row>
    <row r="18" spans="1:13" ht="12.75" customHeight="1" x14ac:dyDescent="0.3">
      <c r="A18" s="1"/>
      <c r="B18" s="6" t="s">
        <v>46</v>
      </c>
      <c r="C18" s="65">
        <v>0</v>
      </c>
      <c r="D18" s="1"/>
      <c r="E18" s="1"/>
      <c r="F18" s="1"/>
      <c r="G18" s="1"/>
      <c r="H18" s="1"/>
      <c r="I18" s="1"/>
      <c r="J18" s="1"/>
      <c r="K18" s="1"/>
      <c r="L18" s="1"/>
      <c r="M18" s="1"/>
    </row>
    <row r="19" spans="1:13" ht="12.75" customHeight="1" x14ac:dyDescent="0.3">
      <c r="A19" s="1"/>
      <c r="B19" s="5" t="s">
        <v>47</v>
      </c>
      <c r="C19" s="65">
        <v>536807</v>
      </c>
      <c r="D19" s="1"/>
      <c r="E19" s="1"/>
      <c r="F19" s="1"/>
      <c r="G19" s="1"/>
      <c r="H19" s="1"/>
      <c r="I19" s="1"/>
      <c r="J19" s="1"/>
      <c r="K19" s="1"/>
      <c r="L19" s="1"/>
      <c r="M19" s="1"/>
    </row>
    <row r="20" spans="1:13" ht="12.75" customHeight="1" x14ac:dyDescent="0.3">
      <c r="A20" s="1"/>
      <c r="B20" s="5" t="s">
        <v>48</v>
      </c>
      <c r="C20" s="65">
        <v>0</v>
      </c>
      <c r="D20" s="1"/>
      <c r="E20" s="1"/>
      <c r="F20" s="1"/>
      <c r="G20" s="1"/>
      <c r="H20" s="1"/>
      <c r="I20" s="1"/>
      <c r="J20" s="1"/>
      <c r="K20" s="1"/>
      <c r="L20" s="1"/>
      <c r="M20" s="1"/>
    </row>
    <row r="21" spans="1:13" ht="12.75" customHeight="1" x14ac:dyDescent="0.3">
      <c r="A21" s="1"/>
      <c r="B21" s="5" t="s">
        <v>49</v>
      </c>
      <c r="C21" s="65">
        <v>0</v>
      </c>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v>3222942.45</v>
      </c>
      <c r="D23" s="1"/>
      <c r="E23" s="1"/>
      <c r="F23" s="1"/>
      <c r="G23" s="1"/>
      <c r="H23" s="1"/>
      <c r="I23" s="1"/>
      <c r="J23" s="1"/>
      <c r="K23" s="1"/>
      <c r="L23" s="1"/>
      <c r="M23" s="1"/>
    </row>
    <row r="24" spans="1:13" ht="12.75" customHeight="1" x14ac:dyDescent="0.3">
      <c r="A24" s="1"/>
      <c r="B24" s="5" t="s">
        <v>52</v>
      </c>
      <c r="C24" s="65">
        <v>0</v>
      </c>
      <c r="D24" s="1"/>
      <c r="E24" s="1"/>
      <c r="F24" s="1"/>
      <c r="G24" s="1"/>
      <c r="H24" s="1"/>
      <c r="I24" s="1"/>
      <c r="J24" s="1"/>
      <c r="K24" s="1"/>
      <c r="L24" s="1"/>
      <c r="M24" s="1"/>
    </row>
    <row r="25" spans="1:13" ht="12.75" customHeight="1" x14ac:dyDescent="0.3">
      <c r="A25" s="1"/>
      <c r="B25" s="5" t="s">
        <v>53</v>
      </c>
      <c r="C25" s="65">
        <v>0</v>
      </c>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v>0</v>
      </c>
      <c r="D27" s="1"/>
      <c r="E27" s="1"/>
      <c r="F27" s="1"/>
      <c r="G27" s="1"/>
      <c r="H27" s="1"/>
      <c r="I27" s="1"/>
      <c r="J27" s="1"/>
      <c r="K27" s="1"/>
      <c r="L27" s="1"/>
      <c r="M27" s="1"/>
    </row>
    <row r="28" spans="1:13" ht="12.75" customHeight="1" x14ac:dyDescent="0.3">
      <c r="A28" s="1"/>
      <c r="B28" s="5" t="s">
        <v>56</v>
      </c>
      <c r="C28" s="65">
        <v>0</v>
      </c>
      <c r="D28" s="1"/>
      <c r="E28" s="1"/>
      <c r="F28" s="1"/>
      <c r="G28" s="1"/>
      <c r="H28" s="1"/>
      <c r="I28" s="1"/>
      <c r="J28" s="1"/>
      <c r="K28" s="1"/>
      <c r="L28" s="1"/>
      <c r="M28" s="1"/>
    </row>
    <row r="29" spans="1:13" ht="12.75" customHeight="1" x14ac:dyDescent="0.3">
      <c r="A29" s="1"/>
      <c r="B29" s="5" t="s">
        <v>57</v>
      </c>
      <c r="C29" s="65">
        <v>100530</v>
      </c>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SUM(C11:C29)</f>
        <v>28580336.799999997</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v>12888373.789999999</v>
      </c>
      <c r="D40" s="1"/>
      <c r="E40" s="1"/>
      <c r="F40" s="1"/>
      <c r="G40" s="1"/>
      <c r="H40" s="1"/>
      <c r="I40" s="1"/>
      <c r="J40" s="1"/>
      <c r="K40" s="1"/>
      <c r="L40" s="1"/>
      <c r="M40" s="1"/>
    </row>
    <row r="41" spans="1:13" ht="12.75" customHeight="1" x14ac:dyDescent="0.3">
      <c r="A41" s="1"/>
      <c r="B41" s="5" t="s">
        <v>61</v>
      </c>
      <c r="C41" s="65">
        <v>7263464.3799999999</v>
      </c>
      <c r="D41" s="1"/>
      <c r="E41" s="1"/>
      <c r="F41" s="1"/>
      <c r="G41" s="1"/>
      <c r="H41" s="1"/>
      <c r="I41" s="1"/>
      <c r="J41" s="1"/>
      <c r="K41" s="1"/>
      <c r="L41" s="1"/>
      <c r="M41" s="1"/>
    </row>
    <row r="42" spans="1:13" ht="12.75" customHeight="1" x14ac:dyDescent="0.3">
      <c r="A42" s="1"/>
      <c r="B42" s="5" t="s">
        <v>18</v>
      </c>
      <c r="C42" s="65">
        <v>1149090.9099999999</v>
      </c>
      <c r="D42" s="1"/>
      <c r="E42" s="1"/>
      <c r="F42" s="1"/>
      <c r="G42" s="1"/>
      <c r="H42" s="1"/>
      <c r="I42" s="1"/>
      <c r="J42" s="1"/>
      <c r="K42" s="1"/>
      <c r="L42" s="1"/>
      <c r="M42" s="1"/>
    </row>
    <row r="43" spans="1:13" ht="12.75" customHeight="1" x14ac:dyDescent="0.3">
      <c r="A43" s="1"/>
      <c r="B43" s="5" t="s">
        <v>19</v>
      </c>
      <c r="C43" s="65">
        <v>60000</v>
      </c>
      <c r="D43" s="1"/>
      <c r="E43" s="1"/>
      <c r="F43" s="1"/>
      <c r="G43" s="1"/>
      <c r="H43" s="1"/>
      <c r="I43" s="1"/>
      <c r="J43" s="1"/>
      <c r="K43" s="1"/>
      <c r="L43" s="1"/>
      <c r="M43" s="1"/>
    </row>
    <row r="44" spans="1:13" ht="12.75" customHeight="1" x14ac:dyDescent="0.3">
      <c r="A44" s="1"/>
      <c r="B44" s="5" t="s">
        <v>20</v>
      </c>
      <c r="C44" s="65">
        <v>60000</v>
      </c>
      <c r="D44" s="1"/>
      <c r="E44" s="1"/>
      <c r="F44" s="1"/>
      <c r="G44" s="1"/>
      <c r="H44" s="1"/>
      <c r="I44" s="1"/>
      <c r="J44" s="1"/>
      <c r="K44" s="1"/>
      <c r="L44" s="1"/>
      <c r="M44" s="1"/>
    </row>
    <row r="45" spans="1:13" ht="12.75" customHeight="1" x14ac:dyDescent="0.3">
      <c r="A45" s="1"/>
      <c r="B45" s="5" t="s">
        <v>21</v>
      </c>
      <c r="C45" s="65">
        <v>230000</v>
      </c>
      <c r="D45" s="1"/>
      <c r="E45" s="1"/>
      <c r="F45" s="1"/>
      <c r="G45" s="1"/>
      <c r="H45" s="1"/>
      <c r="I45" s="1"/>
      <c r="J45" s="1"/>
      <c r="K45" s="1"/>
      <c r="L45" s="1"/>
      <c r="M45" s="1"/>
    </row>
    <row r="46" spans="1:13" ht="12.75" customHeight="1" x14ac:dyDescent="0.3">
      <c r="A46" s="1"/>
      <c r="B46" s="5" t="s">
        <v>22</v>
      </c>
      <c r="C46" s="65">
        <v>831000</v>
      </c>
      <c r="D46" s="1"/>
      <c r="E46" s="1"/>
      <c r="F46" s="1"/>
      <c r="G46" s="1"/>
      <c r="H46" s="1"/>
      <c r="I46" s="1"/>
      <c r="J46" s="1"/>
      <c r="K46" s="1"/>
      <c r="L46" s="1"/>
      <c r="M46" s="1"/>
    </row>
    <row r="47" spans="1:13" ht="12.75" customHeight="1" x14ac:dyDescent="0.3">
      <c r="A47" s="1"/>
      <c r="B47" s="5" t="s">
        <v>23</v>
      </c>
      <c r="C47" s="65">
        <v>86198.71</v>
      </c>
      <c r="D47" s="1"/>
      <c r="E47" s="1"/>
      <c r="F47" s="1"/>
      <c r="G47" s="1"/>
      <c r="H47" s="1"/>
      <c r="I47" s="1"/>
      <c r="J47" s="1"/>
      <c r="K47" s="1"/>
      <c r="L47" s="1"/>
      <c r="M47" s="1"/>
    </row>
    <row r="48" spans="1:13" ht="12.75" customHeight="1" x14ac:dyDescent="0.3">
      <c r="A48" s="1"/>
      <c r="B48" s="5" t="s">
        <v>24</v>
      </c>
      <c r="C48" s="65">
        <v>0</v>
      </c>
      <c r="D48" s="1"/>
      <c r="E48" s="1"/>
      <c r="F48" s="1"/>
      <c r="G48" s="1"/>
      <c r="H48" s="1"/>
      <c r="I48" s="1"/>
      <c r="J48" s="1"/>
      <c r="K48" s="1"/>
      <c r="L48" s="1"/>
      <c r="M48" s="1"/>
    </row>
    <row r="49" spans="1:13" ht="12.75" customHeight="1" x14ac:dyDescent="0.3">
      <c r="A49" s="1"/>
      <c r="B49" s="5" t="s">
        <v>62</v>
      </c>
      <c r="C49" s="65">
        <v>0</v>
      </c>
      <c r="D49" s="1"/>
      <c r="E49" s="1"/>
      <c r="F49" s="1"/>
      <c r="G49" s="1"/>
      <c r="H49" s="1"/>
      <c r="I49" s="1"/>
      <c r="J49" s="1"/>
      <c r="K49" s="1"/>
      <c r="L49" s="1"/>
      <c r="M49" s="1"/>
    </row>
    <row r="50" spans="1:13" ht="12.75" customHeight="1" x14ac:dyDescent="0.3">
      <c r="A50" s="1"/>
      <c r="B50" s="5" t="s">
        <v>26</v>
      </c>
      <c r="C50" s="65">
        <v>0</v>
      </c>
      <c r="D50" s="1"/>
      <c r="E50" s="1"/>
      <c r="F50" s="1"/>
      <c r="G50" s="1"/>
      <c r="H50" s="1"/>
      <c r="I50" s="1"/>
      <c r="J50" s="1"/>
      <c r="K50" s="1"/>
      <c r="L50" s="1"/>
      <c r="M50" s="1"/>
    </row>
    <row r="51" spans="1:13" ht="12.75" customHeight="1" x14ac:dyDescent="0.3">
      <c r="A51" s="1"/>
      <c r="B51" s="5" t="s">
        <v>27</v>
      </c>
      <c r="C51" s="65">
        <v>0</v>
      </c>
      <c r="D51" s="1"/>
      <c r="E51" s="1"/>
      <c r="F51" s="1"/>
      <c r="G51" s="1"/>
      <c r="H51" s="1"/>
      <c r="I51" s="1"/>
      <c r="J51" s="1"/>
      <c r="K51" s="1"/>
      <c r="L51" s="1"/>
      <c r="M51" s="1"/>
    </row>
    <row r="52" spans="1:13" ht="12.75" customHeight="1" x14ac:dyDescent="0.3">
      <c r="A52" s="1"/>
      <c r="B52" s="5" t="s">
        <v>28</v>
      </c>
      <c r="C52" s="65">
        <v>890112.08</v>
      </c>
      <c r="D52" s="1"/>
      <c r="E52" s="1"/>
      <c r="F52" s="1"/>
      <c r="G52" s="1"/>
      <c r="H52" s="1"/>
      <c r="I52" s="1"/>
      <c r="J52" s="1"/>
      <c r="K52" s="1"/>
      <c r="L52" s="1"/>
      <c r="M52" s="1"/>
    </row>
    <row r="53" spans="1:13" ht="12.75" customHeight="1" x14ac:dyDescent="0.3">
      <c r="A53" s="1"/>
      <c r="B53" s="5" t="s">
        <v>29</v>
      </c>
      <c r="C53" s="65">
        <v>0</v>
      </c>
      <c r="D53" s="1"/>
      <c r="E53" s="1"/>
      <c r="F53" s="1"/>
      <c r="G53" s="1"/>
      <c r="H53" s="1"/>
      <c r="I53" s="1"/>
      <c r="J53" s="1"/>
      <c r="K53" s="1"/>
      <c r="L53" s="1"/>
      <c r="M53" s="1"/>
    </row>
    <row r="54" spans="1:13" ht="12.75" customHeight="1" x14ac:dyDescent="0.3">
      <c r="A54" s="1"/>
      <c r="B54" s="5" t="s">
        <v>30</v>
      </c>
      <c r="C54" s="65">
        <v>0</v>
      </c>
      <c r="D54" s="1"/>
      <c r="E54" s="1"/>
      <c r="F54" s="1"/>
      <c r="G54" s="1"/>
      <c r="H54" s="1"/>
      <c r="I54" s="1"/>
      <c r="J54" s="1"/>
      <c r="K54" s="1"/>
      <c r="L54" s="1"/>
      <c r="M54" s="1"/>
    </row>
    <row r="55" spans="1:13" ht="12.75" customHeight="1" x14ac:dyDescent="0.3">
      <c r="A55" s="1"/>
      <c r="B55" s="5" t="s">
        <v>31</v>
      </c>
      <c r="C55" s="65">
        <v>1040402</v>
      </c>
      <c r="D55" s="1"/>
      <c r="E55" s="1"/>
      <c r="F55" s="1"/>
      <c r="G55" s="1"/>
      <c r="H55" s="1"/>
      <c r="I55" s="1"/>
      <c r="J55" s="1"/>
      <c r="K55" s="1"/>
      <c r="L55" s="1"/>
      <c r="M55" s="1"/>
    </row>
    <row r="56" spans="1:13" ht="12.75" customHeight="1" x14ac:dyDescent="0.3">
      <c r="A56" s="1"/>
      <c r="B56" s="5" t="s">
        <v>32</v>
      </c>
      <c r="C56" s="65">
        <v>229000</v>
      </c>
      <c r="D56" s="1"/>
      <c r="E56" s="1"/>
      <c r="F56" s="1"/>
      <c r="G56" s="1"/>
      <c r="H56" s="1"/>
      <c r="I56" s="1"/>
      <c r="J56" s="1"/>
      <c r="K56" s="1"/>
      <c r="L56" s="1"/>
      <c r="M56" s="1"/>
    </row>
    <row r="57" spans="1:13" ht="12.75" customHeight="1" x14ac:dyDescent="0.3">
      <c r="A57" s="1"/>
      <c r="B57" s="5" t="s">
        <v>33</v>
      </c>
      <c r="C57" s="65">
        <v>1040548</v>
      </c>
      <c r="D57" s="1"/>
      <c r="E57" s="1"/>
      <c r="F57" s="1"/>
      <c r="G57" s="1"/>
      <c r="H57" s="1"/>
      <c r="I57" s="1"/>
      <c r="J57" s="1"/>
      <c r="K57" s="1"/>
      <c r="L57" s="1"/>
      <c r="M57" s="1"/>
    </row>
    <row r="58" spans="1:13" ht="12.75" customHeight="1" x14ac:dyDescent="0.3">
      <c r="A58" s="1"/>
      <c r="B58" s="5" t="s">
        <v>34</v>
      </c>
      <c r="C58" s="65">
        <v>1545492.69</v>
      </c>
      <c r="D58" s="1"/>
      <c r="E58" s="1"/>
      <c r="F58" s="1"/>
      <c r="G58" s="1"/>
      <c r="H58" s="1"/>
      <c r="I58" s="1"/>
      <c r="J58" s="1"/>
      <c r="K58" s="1"/>
      <c r="L58" s="1"/>
      <c r="M58" s="1"/>
    </row>
    <row r="59" spans="1:13" ht="12.75" customHeight="1" x14ac:dyDescent="0.3">
      <c r="A59" s="1"/>
      <c r="B59" s="5" t="s">
        <v>36</v>
      </c>
      <c r="C59" s="65">
        <v>57400</v>
      </c>
      <c r="D59" s="1"/>
      <c r="E59" s="1"/>
      <c r="F59" s="1"/>
      <c r="G59" s="1"/>
      <c r="H59" s="1"/>
      <c r="I59" s="1"/>
      <c r="J59" s="1"/>
      <c r="K59" s="1"/>
      <c r="L59" s="1"/>
      <c r="M59" s="1"/>
    </row>
    <row r="60" spans="1:13" ht="12.75" customHeight="1" x14ac:dyDescent="0.3">
      <c r="A60" s="1"/>
      <c r="B60" s="5" t="s">
        <v>37</v>
      </c>
      <c r="C60" s="65">
        <v>141200</v>
      </c>
      <c r="D60" s="1"/>
      <c r="E60" s="1"/>
      <c r="F60" s="1"/>
      <c r="G60" s="1"/>
      <c r="H60" s="1"/>
      <c r="I60" s="1"/>
      <c r="J60" s="1"/>
      <c r="K60" s="1"/>
      <c r="L60" s="1"/>
      <c r="M60" s="1"/>
    </row>
    <row r="61" spans="1:13" ht="12.75" customHeight="1" x14ac:dyDescent="0.3">
      <c r="A61" s="1"/>
      <c r="B61" s="5" t="s">
        <v>38</v>
      </c>
      <c r="C61" s="65">
        <v>57388.63</v>
      </c>
      <c r="D61" s="1"/>
      <c r="E61" s="1"/>
      <c r="F61" s="1"/>
      <c r="G61" s="1"/>
      <c r="H61" s="1"/>
      <c r="I61" s="1"/>
      <c r="J61" s="1"/>
      <c r="K61" s="1"/>
      <c r="L61" s="1"/>
      <c r="M61" s="1"/>
    </row>
    <row r="62" spans="1:13" ht="12.75" customHeight="1" x14ac:dyDescent="0.3">
      <c r="A62" s="1"/>
      <c r="B62" s="5" t="s">
        <v>39</v>
      </c>
      <c r="C62" s="65">
        <v>0</v>
      </c>
      <c r="D62" s="1"/>
      <c r="E62" s="1"/>
      <c r="F62" s="1"/>
      <c r="G62" s="1"/>
      <c r="H62" s="1"/>
      <c r="I62" s="1"/>
      <c r="J62" s="1"/>
      <c r="K62" s="1"/>
      <c r="L62" s="1"/>
      <c r="M62" s="1"/>
    </row>
    <row r="63" spans="1:13" ht="12.75" customHeight="1" x14ac:dyDescent="0.3">
      <c r="A63" s="1"/>
      <c r="B63" s="5" t="s">
        <v>40</v>
      </c>
      <c r="C63" s="65">
        <v>0</v>
      </c>
      <c r="D63" s="1"/>
      <c r="E63" s="1"/>
      <c r="F63" s="1"/>
      <c r="G63" s="1"/>
      <c r="H63" s="1"/>
      <c r="I63" s="1"/>
      <c r="J63" s="1"/>
      <c r="K63" s="1"/>
      <c r="L63" s="1"/>
      <c r="M63" s="1"/>
    </row>
    <row r="64" spans="1:13" ht="12.75" customHeight="1" x14ac:dyDescent="0.3">
      <c r="A64" s="1"/>
      <c r="B64" s="5" t="s">
        <v>42</v>
      </c>
      <c r="C64" s="65">
        <v>0</v>
      </c>
      <c r="D64" s="1"/>
      <c r="E64" s="1"/>
      <c r="F64" s="1"/>
      <c r="G64" s="1"/>
      <c r="H64" s="1"/>
      <c r="I64" s="1"/>
      <c r="J64" s="1"/>
      <c r="K64" s="1"/>
      <c r="L64" s="1"/>
      <c r="M64" s="1"/>
    </row>
    <row r="65" spans="1:13" ht="12.75" customHeight="1" x14ac:dyDescent="0.3">
      <c r="A65" s="1"/>
      <c r="B65" s="5" t="s">
        <v>43</v>
      </c>
      <c r="C65" s="65">
        <v>936019.82</v>
      </c>
      <c r="D65" s="1"/>
      <c r="E65" s="1"/>
      <c r="F65" s="1"/>
      <c r="G65" s="1"/>
      <c r="H65" s="1"/>
      <c r="I65" s="1"/>
      <c r="J65" s="1"/>
      <c r="K65" s="1"/>
      <c r="L65" s="1"/>
      <c r="M65" s="1"/>
    </row>
    <row r="66" spans="1:13" ht="12.75" customHeight="1" x14ac:dyDescent="0.3">
      <c r="A66" s="1"/>
      <c r="B66" s="5" t="s">
        <v>44</v>
      </c>
      <c r="C66" s="65">
        <v>0</v>
      </c>
      <c r="D66" s="1"/>
      <c r="E66" s="1"/>
      <c r="F66" s="1"/>
      <c r="G66" s="1"/>
      <c r="H66" s="1"/>
      <c r="I66" s="1"/>
      <c r="J66" s="1"/>
      <c r="K66" s="1"/>
      <c r="L66" s="1"/>
      <c r="M66" s="1"/>
    </row>
    <row r="67" spans="1:13" ht="12.75" customHeight="1" x14ac:dyDescent="0.3">
      <c r="A67" s="1"/>
      <c r="B67" s="83" t="s">
        <v>211</v>
      </c>
      <c r="C67" s="65">
        <v>40000</v>
      </c>
      <c r="D67" s="1"/>
      <c r="E67" s="1"/>
      <c r="F67" s="1"/>
      <c r="G67" s="1"/>
      <c r="H67" s="1"/>
      <c r="I67" s="1"/>
      <c r="J67" s="1"/>
      <c r="K67" s="1"/>
      <c r="L67" s="1"/>
      <c r="M67" s="1"/>
    </row>
    <row r="68" spans="1:13" ht="12.75" customHeight="1" x14ac:dyDescent="0.3">
      <c r="A68" s="1"/>
      <c r="B68" s="83" t="s">
        <v>212</v>
      </c>
      <c r="C68" s="65">
        <v>661530.23</v>
      </c>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89552.3</v>
      </c>
      <c r="D72" s="1"/>
      <c r="E72" s="1"/>
      <c r="F72" s="1"/>
      <c r="G72" s="1"/>
      <c r="H72" s="1"/>
      <c r="I72" s="1"/>
      <c r="J72" s="1"/>
      <c r="K72" s="1"/>
      <c r="L72" s="1"/>
      <c r="M72" s="1"/>
    </row>
    <row r="73" spans="1:13" ht="12.75" customHeight="1" x14ac:dyDescent="0.3">
      <c r="A73" s="1"/>
      <c r="B73" s="10" t="s">
        <v>65</v>
      </c>
      <c r="C73" s="65">
        <v>0</v>
      </c>
      <c r="D73" s="1"/>
      <c r="E73" s="1"/>
      <c r="F73" s="1"/>
      <c r="G73" s="1"/>
      <c r="H73" s="1"/>
      <c r="I73" s="1"/>
      <c r="J73" s="1"/>
      <c r="K73" s="1"/>
      <c r="L73" s="1"/>
      <c r="M73" s="1"/>
    </row>
    <row r="74" spans="1:13" ht="12.75" customHeight="1" x14ac:dyDescent="0.3">
      <c r="A74" s="1"/>
      <c r="B74" s="10" t="s">
        <v>66</v>
      </c>
      <c r="C74" s="65">
        <v>45480</v>
      </c>
      <c r="D74" s="1"/>
      <c r="E74" s="1"/>
      <c r="F74" s="1"/>
      <c r="G74" s="1"/>
      <c r="H74" s="1"/>
      <c r="I74" s="1"/>
      <c r="J74" s="1"/>
      <c r="K74" s="1"/>
      <c r="L74" s="1"/>
      <c r="M74" s="1"/>
    </row>
    <row r="75" spans="1:13" ht="12.75" customHeight="1" x14ac:dyDescent="0.3">
      <c r="A75" s="1"/>
      <c r="B75" s="10" t="s">
        <v>67</v>
      </c>
      <c r="C75" s="65">
        <v>0</v>
      </c>
      <c r="D75" s="1"/>
      <c r="E75" s="1"/>
      <c r="F75" s="1"/>
      <c r="G75" s="1"/>
      <c r="H75" s="1"/>
      <c r="I75" s="1"/>
      <c r="J75" s="1"/>
      <c r="K75" s="1"/>
      <c r="L75" s="1"/>
      <c r="M75" s="1"/>
    </row>
    <row r="76" spans="1:13" ht="12.75" customHeight="1" x14ac:dyDescent="0.3">
      <c r="A76" s="1"/>
      <c r="B76" s="10" t="s">
        <v>68</v>
      </c>
      <c r="C76" s="65">
        <v>340921.93</v>
      </c>
      <c r="D76" s="1"/>
      <c r="E76" s="1"/>
      <c r="F76" s="1"/>
      <c r="G76" s="1"/>
      <c r="H76" s="1"/>
      <c r="I76" s="1"/>
      <c r="J76" s="1"/>
      <c r="K76" s="1"/>
      <c r="L76" s="1"/>
      <c r="M76" s="1"/>
    </row>
    <row r="77" spans="1:13" ht="12.75" customHeight="1" x14ac:dyDescent="0.3">
      <c r="A77" s="1"/>
      <c r="B77" s="10" t="s">
        <v>69</v>
      </c>
      <c r="C77" s="65">
        <v>880</v>
      </c>
      <c r="D77" s="1"/>
      <c r="E77" s="1"/>
      <c r="F77" s="1"/>
      <c r="G77" s="1"/>
      <c r="H77" s="1"/>
      <c r="I77" s="1"/>
      <c r="J77" s="1"/>
      <c r="K77" s="1"/>
      <c r="L77" s="1"/>
      <c r="M77" s="1"/>
    </row>
    <row r="78" spans="1:13" ht="12.75" customHeight="1" x14ac:dyDescent="0.3">
      <c r="A78" s="1"/>
      <c r="B78" s="10" t="s">
        <v>70</v>
      </c>
      <c r="C78" s="65">
        <v>140651</v>
      </c>
      <c r="D78" s="1"/>
      <c r="E78" s="1"/>
      <c r="F78" s="1"/>
      <c r="G78" s="1"/>
      <c r="H78" s="1"/>
      <c r="I78" s="1"/>
      <c r="J78" s="1"/>
      <c r="K78" s="1"/>
      <c r="L78" s="1"/>
      <c r="M78" s="1"/>
    </row>
    <row r="79" spans="1:13" ht="12.75" customHeight="1" x14ac:dyDescent="0.3">
      <c r="A79" s="1"/>
      <c r="B79" s="10" t="s">
        <v>71</v>
      </c>
      <c r="C79" s="65">
        <v>0</v>
      </c>
      <c r="D79" s="1"/>
      <c r="E79" s="1"/>
      <c r="F79" s="1"/>
      <c r="G79" s="1"/>
      <c r="H79" s="1"/>
      <c r="I79" s="1"/>
      <c r="J79" s="1"/>
      <c r="K79" s="1"/>
      <c r="L79" s="1"/>
      <c r="M79" s="1"/>
    </row>
    <row r="80" spans="1:13" ht="12.75" customHeight="1" x14ac:dyDescent="0.3">
      <c r="A80" s="1"/>
      <c r="B80" s="10" t="s">
        <v>72</v>
      </c>
      <c r="C80" s="65">
        <v>960915</v>
      </c>
      <c r="D80" s="1"/>
      <c r="E80" s="1"/>
      <c r="F80" s="1"/>
      <c r="G80" s="1"/>
      <c r="H80" s="1"/>
      <c r="I80" s="1"/>
      <c r="J80" s="1"/>
      <c r="K80" s="1"/>
      <c r="L80" s="1"/>
      <c r="M80" s="1"/>
    </row>
    <row r="81" spans="1:13" ht="12.75" customHeight="1" x14ac:dyDescent="0.3">
      <c r="A81" s="1"/>
      <c r="B81" s="10" t="s">
        <v>73</v>
      </c>
      <c r="C81" s="65">
        <v>0</v>
      </c>
      <c r="D81" s="1"/>
      <c r="E81" s="1"/>
      <c r="F81" s="1"/>
      <c r="G81" s="1"/>
      <c r="H81" s="1"/>
      <c r="I81" s="1"/>
      <c r="J81" s="1"/>
      <c r="K81" s="1"/>
      <c r="L81" s="1"/>
      <c r="M81" s="1"/>
    </row>
    <row r="82" spans="1:13" ht="12.75" customHeight="1" x14ac:dyDescent="0.3">
      <c r="A82" s="1"/>
      <c r="B82" s="10" t="s">
        <v>74</v>
      </c>
      <c r="C82" s="65">
        <v>8631947.2300000004</v>
      </c>
      <c r="D82" s="1"/>
      <c r="E82" s="1"/>
      <c r="F82" s="1"/>
      <c r="G82" s="1"/>
      <c r="H82" s="1"/>
      <c r="I82" s="1"/>
      <c r="J82" s="1"/>
      <c r="K82" s="1"/>
      <c r="L82" s="1"/>
      <c r="M82" s="1"/>
    </row>
    <row r="83" spans="1:13" ht="12.75" customHeight="1" x14ac:dyDescent="0.3">
      <c r="A83" s="1"/>
      <c r="B83" s="10" t="s">
        <v>75</v>
      </c>
      <c r="C83" s="65"/>
      <c r="D83" s="1"/>
      <c r="E83" s="1"/>
      <c r="F83" s="1"/>
      <c r="G83" s="1"/>
      <c r="H83" s="1"/>
      <c r="I83" s="1"/>
      <c r="J83" s="1"/>
      <c r="K83" s="1"/>
      <c r="L83" s="1"/>
      <c r="M83" s="1"/>
    </row>
    <row r="84" spans="1:13" ht="12.75" customHeight="1" x14ac:dyDescent="0.3">
      <c r="A84" s="1"/>
      <c r="B84" s="10" t="s">
        <v>76</v>
      </c>
      <c r="C84" s="65">
        <v>7435733.9699999997</v>
      </c>
      <c r="D84" s="1"/>
      <c r="E84" s="1"/>
      <c r="F84" s="1"/>
      <c r="G84" s="1"/>
      <c r="H84" s="1"/>
      <c r="I84" s="1"/>
      <c r="J84" s="1"/>
      <c r="K84" s="1"/>
      <c r="L84" s="1"/>
      <c r="M84" s="1"/>
    </row>
    <row r="85" spans="1:13" ht="12.75" customHeight="1" x14ac:dyDescent="0.3">
      <c r="A85" s="1"/>
      <c r="B85" s="10" t="s">
        <v>77</v>
      </c>
      <c r="C85" s="65">
        <v>0</v>
      </c>
      <c r="D85" s="1"/>
      <c r="E85" s="1"/>
      <c r="F85" s="1"/>
      <c r="G85" s="1"/>
      <c r="H85" s="1"/>
      <c r="I85" s="1"/>
      <c r="J85" s="1"/>
      <c r="K85" s="1"/>
      <c r="L85" s="1"/>
      <c r="M85" s="1"/>
    </row>
    <row r="86" spans="1:13" ht="12.75" customHeight="1" x14ac:dyDescent="0.3">
      <c r="A86" s="1"/>
      <c r="B86" s="10" t="s">
        <v>78</v>
      </c>
      <c r="C86" s="65">
        <v>147902</v>
      </c>
      <c r="D86" s="1"/>
      <c r="E86" s="1"/>
      <c r="F86" s="1"/>
      <c r="G86" s="1"/>
      <c r="H86" s="1"/>
      <c r="I86" s="1"/>
      <c r="J86" s="1"/>
      <c r="K86" s="1"/>
      <c r="L86" s="1"/>
      <c r="M86" s="1"/>
    </row>
    <row r="87" spans="1:13" ht="12.75" customHeight="1" x14ac:dyDescent="0.3">
      <c r="A87" s="1"/>
      <c r="B87" s="10" t="s">
        <v>79</v>
      </c>
      <c r="C87" s="65">
        <v>217699.49</v>
      </c>
      <c r="D87" s="1"/>
      <c r="E87" s="1"/>
      <c r="F87" s="1"/>
      <c r="G87" s="1"/>
      <c r="H87" s="1"/>
      <c r="I87" s="1"/>
      <c r="J87" s="1"/>
      <c r="K87" s="1"/>
      <c r="L87" s="1"/>
      <c r="M87" s="1"/>
    </row>
    <row r="88" spans="1:13" ht="12.75" customHeight="1" x14ac:dyDescent="0.3">
      <c r="A88" s="1"/>
      <c r="B88" s="10" t="s">
        <v>80</v>
      </c>
      <c r="C88" s="65">
        <v>0</v>
      </c>
      <c r="D88" s="1"/>
      <c r="E88" s="1"/>
      <c r="F88" s="1"/>
      <c r="G88" s="1"/>
      <c r="H88" s="1"/>
      <c r="I88" s="1"/>
      <c r="J88" s="1"/>
      <c r="K88" s="1"/>
      <c r="L88" s="1"/>
      <c r="M88" s="1"/>
    </row>
    <row r="89" spans="1:13" ht="12.75" customHeight="1" x14ac:dyDescent="0.3">
      <c r="A89" s="1"/>
      <c r="B89" s="10" t="s">
        <v>81</v>
      </c>
      <c r="C89" s="65">
        <v>0</v>
      </c>
      <c r="D89" s="1"/>
      <c r="E89" s="1"/>
      <c r="F89" s="1"/>
      <c r="G89" s="1"/>
      <c r="H89" s="1"/>
      <c r="I89" s="1"/>
      <c r="J89" s="1"/>
      <c r="K89" s="1"/>
      <c r="L89" s="1"/>
      <c r="M89" s="1"/>
    </row>
    <row r="90" spans="1:13" ht="12.75" customHeight="1" x14ac:dyDescent="0.3">
      <c r="A90" s="1"/>
      <c r="B90" s="11" t="s">
        <v>82</v>
      </c>
      <c r="C90" s="65">
        <v>0</v>
      </c>
      <c r="D90" s="1"/>
      <c r="E90" s="1"/>
      <c r="F90" s="1"/>
      <c r="G90" s="1"/>
      <c r="H90" s="1"/>
      <c r="I90" s="1"/>
      <c r="J90" s="1"/>
      <c r="K90" s="1"/>
      <c r="L90" s="1"/>
      <c r="M90" s="1"/>
    </row>
    <row r="91" spans="1:13" ht="12.75" customHeight="1" x14ac:dyDescent="0.3">
      <c r="A91" s="1"/>
      <c r="B91" s="10" t="s">
        <v>83</v>
      </c>
      <c r="C91" s="65">
        <v>2350</v>
      </c>
      <c r="D91" s="1"/>
      <c r="E91" s="1"/>
      <c r="F91" s="1"/>
      <c r="G91" s="1"/>
      <c r="H91" s="1"/>
      <c r="I91" s="1"/>
      <c r="J91" s="1"/>
      <c r="K91" s="1"/>
      <c r="L91" s="1"/>
      <c r="M91" s="1"/>
    </row>
    <row r="92" spans="1:13" ht="12.75" customHeight="1" x14ac:dyDescent="0.3">
      <c r="A92" s="1"/>
      <c r="B92" s="10" t="s">
        <v>84</v>
      </c>
      <c r="C92" s="65">
        <v>33465.53</v>
      </c>
      <c r="D92" s="1"/>
      <c r="E92" s="1"/>
      <c r="F92" s="1"/>
      <c r="G92" s="1"/>
      <c r="H92" s="1"/>
      <c r="I92" s="1"/>
      <c r="J92" s="1"/>
      <c r="K92" s="1"/>
      <c r="L92" s="1"/>
      <c r="M92" s="1"/>
    </row>
    <row r="93" spans="1:13" ht="12.75" customHeight="1" x14ac:dyDescent="0.3">
      <c r="A93" s="1"/>
      <c r="B93" s="10" t="s">
        <v>85</v>
      </c>
      <c r="C93" s="65">
        <v>24669.040000000001</v>
      </c>
      <c r="D93" s="1"/>
      <c r="E93" s="1"/>
      <c r="F93" s="1"/>
      <c r="G93" s="1"/>
      <c r="H93" s="1"/>
      <c r="I93" s="1"/>
      <c r="J93" s="1"/>
      <c r="K93" s="1"/>
      <c r="L93" s="1"/>
      <c r="M93" s="1"/>
    </row>
    <row r="94" spans="1:13" ht="12.75" customHeight="1" x14ac:dyDescent="0.3">
      <c r="A94" s="1"/>
      <c r="B94" s="10" t="s">
        <v>86</v>
      </c>
      <c r="C94" s="65">
        <v>0</v>
      </c>
      <c r="D94" s="1"/>
      <c r="E94" s="1"/>
      <c r="F94" s="1"/>
      <c r="G94" s="1"/>
      <c r="H94" s="1"/>
      <c r="I94" s="1"/>
      <c r="J94" s="1"/>
      <c r="K94" s="1"/>
      <c r="L94" s="1"/>
      <c r="M94" s="1"/>
    </row>
    <row r="95" spans="1:13" ht="12.75" customHeight="1" x14ac:dyDescent="0.3">
      <c r="A95" s="1"/>
      <c r="B95" s="10" t="s">
        <v>87</v>
      </c>
      <c r="C95" s="65">
        <v>0</v>
      </c>
      <c r="D95" s="1"/>
      <c r="E95" s="1"/>
      <c r="F95" s="1"/>
      <c r="G95" s="1"/>
      <c r="H95" s="1"/>
      <c r="I95" s="1"/>
      <c r="J95" s="1"/>
      <c r="K95" s="1"/>
      <c r="L95" s="1"/>
      <c r="M95" s="1"/>
    </row>
    <row r="96" spans="1:13" ht="12.75" customHeight="1" x14ac:dyDescent="0.3">
      <c r="A96" s="1"/>
      <c r="B96" s="10" t="s">
        <v>88</v>
      </c>
      <c r="C96" s="65">
        <v>0</v>
      </c>
      <c r="D96" s="1"/>
      <c r="E96" s="1"/>
      <c r="F96" s="1"/>
      <c r="G96" s="1"/>
      <c r="H96" s="1"/>
      <c r="I96" s="1"/>
      <c r="J96" s="1"/>
      <c r="K96" s="1"/>
      <c r="L96" s="1"/>
      <c r="M96" s="1"/>
    </row>
    <row r="97" spans="1:13" ht="12.75" customHeight="1" x14ac:dyDescent="0.3">
      <c r="A97" s="1"/>
      <c r="B97" s="10" t="s">
        <v>89</v>
      </c>
      <c r="C97" s="65">
        <v>0</v>
      </c>
      <c r="D97" s="1"/>
      <c r="E97" s="1"/>
      <c r="F97" s="1"/>
      <c r="G97" s="1"/>
      <c r="H97" s="1"/>
      <c r="I97" s="1"/>
      <c r="J97" s="1"/>
      <c r="K97" s="1"/>
      <c r="L97" s="1"/>
      <c r="M97" s="1"/>
    </row>
    <row r="98" spans="1:13" ht="12.75" customHeight="1" x14ac:dyDescent="0.3">
      <c r="A98" s="1"/>
      <c r="B98" s="10" t="s">
        <v>90</v>
      </c>
      <c r="C98" s="65">
        <v>0</v>
      </c>
      <c r="D98" s="1"/>
      <c r="E98" s="1"/>
      <c r="F98" s="1"/>
      <c r="G98" s="1"/>
      <c r="H98" s="1"/>
      <c r="I98" s="1"/>
      <c r="J98" s="1"/>
      <c r="K98" s="1"/>
      <c r="L98" s="1"/>
      <c r="M98" s="1"/>
    </row>
    <row r="99" spans="1:13" ht="12.75" customHeight="1" x14ac:dyDescent="0.3">
      <c r="A99" s="1"/>
      <c r="B99" s="10" t="s">
        <v>91</v>
      </c>
      <c r="C99" s="65">
        <v>0</v>
      </c>
      <c r="D99" s="1"/>
      <c r="E99" s="1"/>
      <c r="F99" s="1"/>
      <c r="G99" s="1"/>
      <c r="H99" s="1"/>
      <c r="I99" s="1"/>
      <c r="J99" s="1"/>
      <c r="K99" s="1"/>
      <c r="L99" s="1"/>
      <c r="M99" s="1"/>
    </row>
    <row r="100" spans="1:13" ht="12.75" customHeight="1" x14ac:dyDescent="0.3">
      <c r="A100" s="1"/>
      <c r="B100" s="10" t="s">
        <v>92</v>
      </c>
      <c r="C100" s="65">
        <v>0</v>
      </c>
      <c r="D100" s="1"/>
      <c r="E100" s="1"/>
      <c r="F100" s="1"/>
      <c r="G100" s="1"/>
      <c r="H100" s="1"/>
      <c r="I100" s="1"/>
      <c r="J100" s="1"/>
      <c r="K100" s="1"/>
      <c r="L100" s="1"/>
      <c r="M100" s="1"/>
    </row>
    <row r="101" spans="1:13" ht="12.75" customHeight="1" x14ac:dyDescent="0.3">
      <c r="A101" s="1"/>
      <c r="B101" s="10" t="s">
        <v>93</v>
      </c>
      <c r="C101" s="65">
        <v>0</v>
      </c>
      <c r="D101" s="1"/>
      <c r="E101" s="1"/>
      <c r="F101" s="1"/>
      <c r="G101" s="1"/>
      <c r="H101" s="1"/>
      <c r="I101" s="1"/>
      <c r="J101" s="1"/>
      <c r="K101" s="1"/>
      <c r="L101" s="1"/>
      <c r="M101" s="1"/>
    </row>
    <row r="102" spans="1:13" ht="12.75" customHeight="1" x14ac:dyDescent="0.3">
      <c r="A102" s="1"/>
      <c r="B102" s="10" t="s">
        <v>94</v>
      </c>
      <c r="C102" s="65">
        <v>0</v>
      </c>
      <c r="D102" s="1"/>
      <c r="E102" s="1"/>
      <c r="F102" s="1"/>
      <c r="G102" s="1"/>
      <c r="H102" s="1"/>
      <c r="I102" s="1"/>
      <c r="J102" s="1"/>
      <c r="K102" s="1"/>
      <c r="L102" s="1"/>
      <c r="M102" s="1"/>
    </row>
    <row r="103" spans="1:13" ht="12.75" customHeight="1" x14ac:dyDescent="0.3">
      <c r="A103" s="1"/>
      <c r="B103" s="10" t="s">
        <v>95</v>
      </c>
      <c r="C103" s="65">
        <v>0</v>
      </c>
      <c r="D103" s="1"/>
      <c r="E103" s="1"/>
      <c r="F103" s="1"/>
      <c r="G103" s="1"/>
      <c r="H103" s="1"/>
      <c r="I103" s="1"/>
      <c r="J103" s="1"/>
      <c r="K103" s="1"/>
      <c r="L103" s="1"/>
      <c r="M103" s="1"/>
    </row>
    <row r="104" spans="1:13" ht="12.75" customHeight="1" x14ac:dyDescent="0.3">
      <c r="A104" s="1"/>
      <c r="B104" s="10" t="s">
        <v>96</v>
      </c>
      <c r="C104" s="65">
        <v>0</v>
      </c>
      <c r="D104" s="1"/>
      <c r="E104" s="1"/>
      <c r="F104" s="1"/>
      <c r="G104" s="1"/>
      <c r="H104" s="1"/>
      <c r="I104" s="1"/>
      <c r="J104" s="1"/>
      <c r="K104" s="1"/>
      <c r="L104" s="1"/>
      <c r="M104" s="1"/>
    </row>
    <row r="105" spans="1:13" ht="12.75" customHeight="1" x14ac:dyDescent="0.3">
      <c r="A105" s="1"/>
      <c r="B105" s="10" t="s">
        <v>97</v>
      </c>
      <c r="C105" s="65">
        <v>0</v>
      </c>
      <c r="D105" s="1"/>
      <c r="E105" s="1"/>
      <c r="F105" s="1"/>
      <c r="G105" s="1"/>
      <c r="H105" s="1"/>
      <c r="I105" s="1"/>
      <c r="J105" s="1"/>
      <c r="K105" s="1"/>
      <c r="L105" s="1"/>
      <c r="M105" s="1"/>
    </row>
    <row r="106" spans="1:13" ht="12.75" customHeight="1" x14ac:dyDescent="0.3">
      <c r="A106" s="1"/>
      <c r="B106" s="10" t="s">
        <v>98</v>
      </c>
      <c r="C106" s="65">
        <v>0</v>
      </c>
      <c r="D106" s="1"/>
      <c r="E106" s="1"/>
      <c r="F106" s="1"/>
      <c r="G106" s="1"/>
      <c r="H106" s="1"/>
      <c r="I106" s="1"/>
      <c r="J106" s="1"/>
      <c r="K106" s="1"/>
      <c r="L106" s="1"/>
      <c r="M106" s="1"/>
    </row>
    <row r="107" spans="1:13" ht="12.75" customHeight="1" x14ac:dyDescent="0.3">
      <c r="A107" s="1"/>
      <c r="B107" s="10" t="s">
        <v>99</v>
      </c>
      <c r="C107" s="65">
        <v>23210</v>
      </c>
      <c r="D107" s="1"/>
      <c r="E107" s="1"/>
      <c r="F107" s="1"/>
      <c r="G107" s="1"/>
      <c r="H107" s="1"/>
      <c r="I107" s="1"/>
      <c r="J107" s="1"/>
      <c r="K107" s="1"/>
      <c r="L107" s="1"/>
      <c r="M107" s="1"/>
    </row>
    <row r="108" spans="1:13" ht="12.75" customHeight="1" x14ac:dyDescent="0.3">
      <c r="A108" s="1"/>
      <c r="B108" s="10" t="s">
        <v>100</v>
      </c>
      <c r="C108" s="65">
        <v>32604.01</v>
      </c>
      <c r="D108" s="1"/>
      <c r="E108" s="1"/>
      <c r="F108" s="1"/>
      <c r="G108" s="1"/>
      <c r="H108" s="1"/>
      <c r="I108" s="1"/>
      <c r="J108" s="1"/>
      <c r="K108" s="1"/>
      <c r="L108" s="1"/>
      <c r="M108" s="1"/>
    </row>
    <row r="109" spans="1:13" ht="12.75" customHeight="1" x14ac:dyDescent="0.3">
      <c r="A109" s="1"/>
      <c r="B109" s="10" t="s">
        <v>101</v>
      </c>
      <c r="C109" s="65">
        <v>0</v>
      </c>
      <c r="D109" s="1"/>
      <c r="E109" s="1"/>
      <c r="F109" s="1"/>
      <c r="G109" s="1"/>
      <c r="H109" s="1"/>
      <c r="I109" s="1"/>
      <c r="J109" s="1"/>
      <c r="K109" s="1"/>
      <c r="L109" s="1"/>
      <c r="M109" s="1"/>
    </row>
    <row r="110" spans="1:13" ht="12.75" customHeight="1" x14ac:dyDescent="0.3">
      <c r="A110" s="1"/>
      <c r="B110" s="10" t="s">
        <v>102</v>
      </c>
      <c r="C110" s="65">
        <v>42425</v>
      </c>
      <c r="D110" s="1"/>
      <c r="E110" s="1"/>
      <c r="F110" s="1"/>
      <c r="G110" s="1"/>
      <c r="H110" s="1"/>
      <c r="I110" s="1"/>
      <c r="J110" s="1"/>
      <c r="K110" s="1"/>
      <c r="L110" s="1"/>
      <c r="M110" s="1"/>
    </row>
    <row r="111" spans="1:13" ht="12.75" customHeight="1" x14ac:dyDescent="0.3">
      <c r="A111" s="1"/>
      <c r="B111" s="10" t="s">
        <v>103</v>
      </c>
      <c r="C111" s="65">
        <v>10125</v>
      </c>
      <c r="D111" s="1"/>
      <c r="E111" s="1"/>
      <c r="F111" s="1"/>
      <c r="G111" s="1"/>
      <c r="H111" s="1"/>
      <c r="I111" s="1"/>
      <c r="J111" s="1"/>
      <c r="K111" s="1"/>
      <c r="L111" s="1"/>
      <c r="M111" s="1"/>
    </row>
    <row r="112" spans="1:13" ht="12.75" customHeight="1" x14ac:dyDescent="0.3">
      <c r="A112" s="1"/>
      <c r="B112" s="10" t="s">
        <v>104</v>
      </c>
      <c r="C112" s="65">
        <v>0</v>
      </c>
      <c r="D112" s="1"/>
      <c r="E112" s="1"/>
      <c r="F112" s="1"/>
      <c r="G112" s="1"/>
      <c r="H112" s="1"/>
      <c r="I112" s="1"/>
      <c r="J112" s="1"/>
      <c r="K112" s="1"/>
      <c r="L112" s="1"/>
      <c r="M112" s="1"/>
    </row>
    <row r="113" spans="1:13" ht="12.75" customHeight="1" x14ac:dyDescent="0.3">
      <c r="A113" s="1"/>
      <c r="B113" s="10" t="s">
        <v>105</v>
      </c>
      <c r="C113" s="65">
        <v>0</v>
      </c>
      <c r="D113" s="1"/>
      <c r="E113" s="1"/>
      <c r="F113" s="1"/>
      <c r="G113" s="1"/>
      <c r="H113" s="1"/>
      <c r="I113" s="1"/>
      <c r="J113" s="1"/>
      <c r="K113" s="1"/>
      <c r="L113" s="1"/>
      <c r="M113" s="1"/>
    </row>
    <row r="114" spans="1:13" ht="12.75" customHeight="1" x14ac:dyDescent="0.3">
      <c r="A114" s="1"/>
      <c r="B114" s="10" t="s">
        <v>106</v>
      </c>
      <c r="C114" s="65">
        <v>0</v>
      </c>
      <c r="D114" s="1"/>
      <c r="E114" s="1"/>
      <c r="F114" s="1"/>
      <c r="G114" s="1"/>
      <c r="H114" s="1"/>
      <c r="I114" s="1"/>
      <c r="J114" s="1"/>
      <c r="K114" s="1"/>
      <c r="L114" s="1"/>
      <c r="M114" s="1"/>
    </row>
    <row r="115" spans="1:13" ht="12.75" customHeight="1" x14ac:dyDescent="0.3">
      <c r="A115" s="1"/>
      <c r="B115" s="10" t="s">
        <v>107</v>
      </c>
      <c r="C115" s="65">
        <v>3740</v>
      </c>
      <c r="D115" s="1"/>
      <c r="E115" s="1"/>
      <c r="F115" s="1"/>
      <c r="G115" s="1"/>
      <c r="H115" s="1"/>
      <c r="I115" s="1"/>
      <c r="J115" s="1"/>
      <c r="K115" s="1"/>
      <c r="L115" s="1"/>
      <c r="M115" s="1"/>
    </row>
    <row r="116" spans="1:13" ht="12.75" customHeight="1" x14ac:dyDescent="0.3">
      <c r="A116" s="1"/>
      <c r="B116" s="10" t="s">
        <v>108</v>
      </c>
      <c r="C116" s="65">
        <v>5000</v>
      </c>
      <c r="D116" s="1"/>
      <c r="E116" s="1"/>
      <c r="F116" s="1"/>
      <c r="G116" s="1"/>
      <c r="H116" s="1"/>
      <c r="I116" s="1"/>
      <c r="J116" s="1"/>
      <c r="K116" s="1"/>
      <c r="L116" s="1"/>
      <c r="M116" s="1"/>
    </row>
    <row r="117" spans="1:13" ht="12.75" customHeight="1" x14ac:dyDescent="0.3">
      <c r="A117" s="1"/>
      <c r="B117" s="10" t="s">
        <v>109</v>
      </c>
      <c r="C117" s="65">
        <v>0</v>
      </c>
      <c r="D117" s="1"/>
      <c r="E117" s="1"/>
      <c r="F117" s="1"/>
      <c r="G117" s="1"/>
      <c r="H117" s="1"/>
      <c r="I117" s="1"/>
      <c r="J117" s="1"/>
      <c r="K117" s="1"/>
      <c r="L117" s="1"/>
      <c r="M117" s="1"/>
    </row>
    <row r="118" spans="1:13" ht="12.75" customHeight="1" x14ac:dyDescent="0.3">
      <c r="A118" s="1"/>
      <c r="B118" s="12" t="s">
        <v>110</v>
      </c>
      <c r="C118" s="65">
        <v>0</v>
      </c>
      <c r="D118" s="1"/>
      <c r="E118" s="1"/>
      <c r="F118" s="1"/>
      <c r="G118" s="1"/>
      <c r="H118" s="1"/>
      <c r="I118" s="1"/>
      <c r="J118" s="1"/>
      <c r="K118" s="1"/>
      <c r="L118" s="1"/>
      <c r="M118" s="1"/>
    </row>
    <row r="119" spans="1:13" ht="12.75" customHeight="1" x14ac:dyDescent="0.3">
      <c r="A119" s="1"/>
      <c r="B119" s="18" t="s">
        <v>111</v>
      </c>
      <c r="C119" s="65">
        <v>0</v>
      </c>
      <c r="D119" s="1"/>
      <c r="E119" s="1"/>
      <c r="F119" s="1"/>
      <c r="G119" s="1"/>
      <c r="H119" s="1"/>
      <c r="I119" s="1"/>
      <c r="J119" s="1"/>
      <c r="K119" s="1"/>
      <c r="L119" s="1"/>
      <c r="M119" s="1"/>
    </row>
    <row r="120" spans="1:13" ht="12.75" customHeight="1" x14ac:dyDescent="0.3">
      <c r="A120" s="1"/>
      <c r="B120" s="18" t="s">
        <v>112</v>
      </c>
      <c r="C120" s="65">
        <v>32712.1</v>
      </c>
      <c r="D120" s="1"/>
      <c r="E120" s="1"/>
      <c r="F120" s="1"/>
      <c r="G120" s="1"/>
      <c r="H120" s="1"/>
      <c r="I120" s="1"/>
      <c r="J120" s="1"/>
      <c r="K120" s="1"/>
      <c r="L120" s="1"/>
      <c r="M120" s="1"/>
    </row>
    <row r="121" spans="1:13" ht="12.75" customHeight="1" x14ac:dyDescent="0.3">
      <c r="A121" s="1"/>
      <c r="B121" s="17"/>
      <c r="C121" s="65">
        <v>2820</v>
      </c>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3"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v>0</v>
      </c>
      <c r="D126" s="1"/>
      <c r="E126" s="1"/>
      <c r="F126" s="1"/>
      <c r="G126" s="1"/>
      <c r="H126" s="1"/>
      <c r="I126" s="1"/>
      <c r="J126" s="1"/>
      <c r="K126" s="1"/>
      <c r="L126" s="1"/>
      <c r="M126" s="1"/>
    </row>
    <row r="127" spans="1:13" ht="12.75" customHeight="1" x14ac:dyDescent="0.3">
      <c r="A127" s="1"/>
      <c r="B127" s="20" t="s">
        <v>125</v>
      </c>
      <c r="C127" s="65">
        <v>0</v>
      </c>
      <c r="D127" s="1"/>
      <c r="E127" s="1"/>
      <c r="F127" s="1"/>
      <c r="G127" s="1"/>
      <c r="H127" s="1"/>
      <c r="I127" s="1"/>
      <c r="J127" s="1"/>
      <c r="K127" s="1"/>
      <c r="L127" s="1"/>
      <c r="M127" s="1"/>
    </row>
    <row r="128" spans="1:13" ht="12.75" customHeight="1" x14ac:dyDescent="0.3">
      <c r="A128" s="1"/>
      <c r="B128" s="20" t="s">
        <v>126</v>
      </c>
      <c r="C128" s="65">
        <v>96050</v>
      </c>
      <c r="D128" s="1"/>
      <c r="E128" s="1"/>
      <c r="F128" s="1"/>
      <c r="G128" s="1"/>
      <c r="H128" s="1"/>
      <c r="I128" s="1"/>
      <c r="J128" s="1"/>
      <c r="K128" s="1"/>
      <c r="L128" s="1"/>
      <c r="M128" s="1"/>
    </row>
    <row r="129" spans="1:13" ht="12.75" customHeight="1" x14ac:dyDescent="0.3">
      <c r="A129" s="1"/>
      <c r="B129" s="20" t="s">
        <v>127</v>
      </c>
      <c r="C129" s="65">
        <v>0</v>
      </c>
      <c r="D129" s="1"/>
      <c r="E129" s="1"/>
      <c r="F129" s="1"/>
      <c r="G129" s="1"/>
      <c r="H129" s="1"/>
      <c r="I129" s="1"/>
      <c r="J129" s="1"/>
      <c r="K129" s="1"/>
      <c r="L129" s="1"/>
      <c r="M129" s="1"/>
    </row>
    <row r="130" spans="1:13" ht="12.75" customHeight="1" x14ac:dyDescent="0.3">
      <c r="A130" s="1"/>
      <c r="B130" s="17" t="s">
        <v>128</v>
      </c>
      <c r="C130" s="65">
        <v>330175</v>
      </c>
      <c r="D130" s="1"/>
      <c r="E130" s="1"/>
      <c r="F130" s="1"/>
      <c r="G130" s="1"/>
      <c r="H130" s="1"/>
      <c r="I130" s="1"/>
      <c r="J130" s="1"/>
      <c r="K130" s="1"/>
      <c r="L130" s="1"/>
      <c r="M130" s="1"/>
    </row>
    <row r="131" spans="1:13" ht="27.75" customHeight="1" x14ac:dyDescent="0.3">
      <c r="A131" s="1"/>
      <c r="B131" s="13" t="s">
        <v>113</v>
      </c>
      <c r="C131" s="65">
        <v>47858249.840000004</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xr:uid="{00000000-0002-0000-0100-000000000000}">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67"/>
  <sheetViews>
    <sheetView workbookViewId="0">
      <selection activeCell="B2" sqref="B2:B67"/>
    </sheetView>
  </sheetViews>
  <sheetFormatPr defaultColWidth="9.08984375" defaultRowHeight="14.5" x14ac:dyDescent="0.35"/>
  <cols>
    <col min="1" max="1" width="9.08984375" style="27"/>
    <col min="2" max="2" width="58.08984375" style="27" bestFit="1" customWidth="1"/>
    <col min="3" max="16384" width="9.08984375" style="27"/>
  </cols>
  <sheetData>
    <row r="1" spans="1:2" x14ac:dyDescent="0.35">
      <c r="B1" s="28" t="s">
        <v>131</v>
      </c>
    </row>
    <row r="2" spans="1:2" x14ac:dyDescent="0.35">
      <c r="A2" s="27">
        <v>1</v>
      </c>
      <c r="B2" s="27" t="str">
        <f>IF('10.1 Payroll'!$C$12="Level I",'Level I_Departments'!C4,'Level IIandIII_Departments'!C4)</f>
        <v>Administrative/Overhead services -&gt; Office of the Medical Center Chief</v>
      </c>
    </row>
    <row r="3" spans="1:2" x14ac:dyDescent="0.35">
      <c r="A3" s="27">
        <f t="shared" ref="A3:A34" si="0">A2+1</f>
        <v>2</v>
      </c>
      <c r="B3" s="27" t="str">
        <f>IF('10.1 Payroll'!$C$12="Level I",'Level I_Departments'!C5,'Level IIandIII_Departments'!C5)</f>
        <v>Administrative/Overhead services -&gt; IT Departments</v>
      </c>
    </row>
    <row r="4" spans="1:2" x14ac:dyDescent="0.35">
      <c r="A4" s="27">
        <f t="shared" si="0"/>
        <v>3</v>
      </c>
      <c r="B4" s="27" t="str">
        <f>IF('10.1 Payroll'!$C$12="Level I",'Level I_Departments'!C6,'Level IIandIII_Departments'!C6)</f>
        <v>Administrative/Overhead services -&gt; Office of the Administrative Officer</v>
      </c>
    </row>
    <row r="5" spans="1:2" x14ac:dyDescent="0.35">
      <c r="A5" s="27">
        <f t="shared" si="0"/>
        <v>4</v>
      </c>
      <c r="B5" s="27" t="str">
        <f>IF('10.1 Payroll'!$C$12="Level I",'Level I_Departments'!C7,'Level IIandIII_Departments'!C7)</f>
        <v>Administrative/Overhead services -&gt; Human Resource Management</v>
      </c>
    </row>
    <row r="6" spans="1:2" x14ac:dyDescent="0.35">
      <c r="A6" s="27">
        <f t="shared" si="0"/>
        <v>5</v>
      </c>
      <c r="B6" s="27" t="str">
        <f>IF('10.1 Payroll'!$C$12="Level I",'Level I_Departments'!C8,'Level IIandIII_Departments'!C8)</f>
        <v>Administrative/Overhead services -&gt; Procurement</v>
      </c>
    </row>
    <row r="7" spans="1:2" x14ac:dyDescent="0.35">
      <c r="A7" s="27">
        <f t="shared" si="0"/>
        <v>6</v>
      </c>
      <c r="B7" s="27" t="str">
        <f>IF('10.1 Payroll'!$C$12="Level I",'Level I_Departments'!C9,'Level IIandIII_Departments'!C9)</f>
        <v>Administrative/Overhead services -&gt; Materials Management</v>
      </c>
    </row>
    <row r="8" spans="1:2" x14ac:dyDescent="0.35">
      <c r="A8" s="27">
        <f t="shared" si="0"/>
        <v>7</v>
      </c>
      <c r="B8" s="27" t="str">
        <f>IF('10.1 Payroll'!$C$12="Level I",'Level I_Departments'!C10,'Level IIandIII_Departments'!C10)</f>
        <v>Administrative/Overhead services -&gt; Engineering and Facilities Management</v>
      </c>
    </row>
    <row r="9" spans="1:2" x14ac:dyDescent="0.35">
      <c r="A9" s="27">
        <f t="shared" si="0"/>
        <v>8</v>
      </c>
      <c r="B9" s="27" t="str">
        <f>IF('10.1 Payroll'!$C$12="Level I",'Level I_Departments'!C11,'Level IIandIII_Departments'!C11)</f>
        <v>Administrative/Overhead services -&gt; Housekeeping</v>
      </c>
    </row>
    <row r="10" spans="1:2" x14ac:dyDescent="0.35">
      <c r="A10" s="27">
        <f t="shared" si="0"/>
        <v>9</v>
      </c>
      <c r="B10" s="27" t="str">
        <f>IF('10.1 Payroll'!$C$12="Level I",'Level I_Departments'!C12,'Level IIandIII_Departments'!C12)</f>
        <v>Administrative/Overhead services -&gt; Budget and Accounting</v>
      </c>
    </row>
    <row r="11" spans="1:2" x14ac:dyDescent="0.35">
      <c r="A11" s="27">
        <f t="shared" si="0"/>
        <v>10</v>
      </c>
      <c r="B11" s="27" t="str">
        <f>IF('10.1 Payroll'!$C$12="Level I",'Level I_Departments'!C13,'Level IIandIII_Departments'!C13)</f>
        <v>Administrative/Overhead services -&gt; Medical Social Work</v>
      </c>
    </row>
    <row r="12" spans="1:2" x14ac:dyDescent="0.35">
      <c r="A12" s="27">
        <f t="shared" si="0"/>
        <v>11</v>
      </c>
      <c r="B12" s="27" t="str">
        <f>IF('10.1 Payroll'!$C$12="Level I",'Level I_Departments'!C14,'Level IIandIII_Departments'!C14)</f>
        <v>Administrative/Overhead services -&gt; Office of the Chief Nurse</v>
      </c>
    </row>
    <row r="13" spans="1:2" x14ac:dyDescent="0.35">
      <c r="A13" s="27">
        <f t="shared" si="0"/>
        <v>12</v>
      </c>
      <c r="B13" s="27" t="str">
        <f>IF('10.1 Payroll'!$C$12="Level I",'Level I_Departments'!C15,'Level IIandIII_Departments'!C15)</f>
        <v>Administrative/Overhead services -&gt; Health Info Mgt (Admitting)</v>
      </c>
    </row>
    <row r="14" spans="1:2" x14ac:dyDescent="0.35">
      <c r="A14" s="27">
        <f t="shared" si="0"/>
        <v>13</v>
      </c>
      <c r="B14" s="27" t="str">
        <f>IF('10.1 Payroll'!$C$12="Level I",'Level I_Departments'!C16,'Level IIandIII_Departments'!C16)</f>
        <v>Administrative/Overhead services -&gt; Central Supply Office</v>
      </c>
    </row>
    <row r="15" spans="1:2" x14ac:dyDescent="0.35">
      <c r="A15" s="27">
        <f t="shared" si="0"/>
        <v>14</v>
      </c>
      <c r="B15" s="27" t="str">
        <f>IF('10.1 Payroll'!$C$12="Level I",'Level I_Departments'!C17,'Level IIandIII_Departments'!C17)</f>
        <v>Administrative/Overhead services -&gt; Billing and Claims</v>
      </c>
    </row>
    <row r="16" spans="1:2" x14ac:dyDescent="0.35">
      <c r="A16" s="27">
        <f t="shared" si="0"/>
        <v>15</v>
      </c>
      <c r="B16" s="27" t="str">
        <f>IF('10.1 Payroll'!$C$12="Level I",'Level I_Departments'!C18,'Level IIandIII_Departments'!C18)</f>
        <v>Administrative/Overhead services -&gt; Cash Operations</v>
      </c>
    </row>
    <row r="17" spans="1:2" x14ac:dyDescent="0.35">
      <c r="A17" s="27">
        <f t="shared" si="0"/>
        <v>16</v>
      </c>
      <c r="B17" s="27" t="str">
        <f>IF('10.1 Payroll'!$C$12="Level I",'Level I_Departments'!C19,'Level IIandIII_Departments'!C19)</f>
        <v>Administrative/Overhead services -&gt; Security</v>
      </c>
    </row>
    <row r="18" spans="1:2" x14ac:dyDescent="0.35">
      <c r="A18" s="27">
        <f t="shared" si="0"/>
        <v>17</v>
      </c>
      <c r="B18" s="27" t="str">
        <f>IF('10.1 Payroll'!$C$12="Level I",'Level I_Departments'!C20,'Level IIandIII_Departments'!C20)</f>
        <v>Administrative/Overhead services -&gt; Office of the Chief of Medical Professional Staff</v>
      </c>
    </row>
    <row r="19" spans="1:2" x14ac:dyDescent="0.35">
      <c r="A19" s="27">
        <f t="shared" si="0"/>
        <v>18</v>
      </c>
      <c r="B19" s="27" t="str">
        <f>IF('10.1 Payroll'!$C$12="Level I",'Level I_Departments'!C21,'Level IIandIII_Departments'!C21)</f>
        <v>Administrative/Overhead services -&gt; Others</v>
      </c>
    </row>
    <row r="20" spans="1:2" x14ac:dyDescent="0.35">
      <c r="A20" s="27">
        <f t="shared" si="0"/>
        <v>19</v>
      </c>
      <c r="B20" s="27" t="str">
        <f>IF('10.1 Payroll'!$C$12="Level I",'Level I_Departments'!C22,'Level IIandIII_Departments'!C22)</f>
        <v>Ancillary services/Support services -&gt; Laundry</v>
      </c>
    </row>
    <row r="21" spans="1:2" x14ac:dyDescent="0.35">
      <c r="A21" s="27">
        <f t="shared" si="0"/>
        <v>20</v>
      </c>
      <c r="B21" s="27" t="str">
        <f>IF('10.1 Payroll'!$C$12="Level I",'Level I_Departments'!C23,'Level IIandIII_Departments'!C23)</f>
        <v>Ancillary services/Support services -&gt; Nutrition and Dietetics</v>
      </c>
    </row>
    <row r="22" spans="1:2" x14ac:dyDescent="0.35">
      <c r="A22" s="27">
        <f t="shared" si="0"/>
        <v>21</v>
      </c>
      <c r="B22" s="27" t="str">
        <f>IF('10.1 Payroll'!$C$12="Level I",'Level I_Departments'!C24,'Level IIandIII_Departments'!C24)</f>
        <v>Ancillary services/Support services -&gt; Sterilization</v>
      </c>
    </row>
    <row r="23" spans="1:2" x14ac:dyDescent="0.35">
      <c r="A23" s="27">
        <f t="shared" si="0"/>
        <v>22</v>
      </c>
      <c r="B23" s="27" t="str">
        <f>IF('10.1 Payroll'!$C$12="Level I",'Level I_Departments'!C25,'Level IIandIII_Departments'!C25)</f>
        <v>Ancillary services/Support services -&gt; Pharmacy</v>
      </c>
    </row>
    <row r="24" spans="1:2" x14ac:dyDescent="0.35">
      <c r="A24" s="27">
        <f t="shared" si="0"/>
        <v>23</v>
      </c>
      <c r="B24" s="27" t="str">
        <f>IF('10.1 Payroll'!$C$12="Level I",'Level I_Departments'!C26,'Level IIandIII_Departments'!C26)</f>
        <v>Ancillary services/Support services -&gt; Blood Bank</v>
      </c>
    </row>
    <row r="25" spans="1:2" x14ac:dyDescent="0.35">
      <c r="A25" s="27">
        <f t="shared" si="0"/>
        <v>24</v>
      </c>
      <c r="B25" s="27" t="str">
        <f>IF('10.1 Payroll'!$C$12="Level I",'Level I_Departments'!C27,'Level IIandIII_Departments'!C27)</f>
        <v>Ancillary services/Support services -&gt; Laboratory</v>
      </c>
    </row>
    <row r="26" spans="1:2" x14ac:dyDescent="0.35">
      <c r="A26" s="27">
        <f t="shared" si="0"/>
        <v>25</v>
      </c>
      <c r="B26" s="27" t="str">
        <f>IF('10.1 Payroll'!$C$12="Level I",'Level I_Departments'!C28,'Level IIandIII_Departments'!C28)</f>
        <v>Ancillary services/Support services -&gt; Radiology / Diagnostic Imaging (CT Scan, MRI, ECG, Mammography, Endoscopy)</v>
      </c>
    </row>
    <row r="27" spans="1:2" x14ac:dyDescent="0.35">
      <c r="A27" s="27">
        <f t="shared" si="0"/>
        <v>26</v>
      </c>
      <c r="B27" s="27" t="str">
        <f>IF('10.1 Payroll'!$C$12="Level I",'Level I_Departments'!C29,'Level IIandIII_Departments'!C29)</f>
        <v>Ancillary services/Support services -&gt; Physiotherapy / Rehabilitation</v>
      </c>
    </row>
    <row r="28" spans="1:2" x14ac:dyDescent="0.35">
      <c r="A28" s="27">
        <f t="shared" si="0"/>
        <v>27</v>
      </c>
      <c r="B28" s="27" t="str">
        <f>IF('10.1 Payroll'!$C$12="Level I",'Level I_Departments'!C30,'Level IIandIII_Departments'!C30)</f>
        <v>Ancillary services/Support services -&gt; Delivery Room</v>
      </c>
    </row>
    <row r="29" spans="1:2" x14ac:dyDescent="0.35">
      <c r="A29" s="27">
        <f t="shared" si="0"/>
        <v>28</v>
      </c>
      <c r="B29" s="27" t="str">
        <f>IF('10.1 Payroll'!$C$12="Level I",'Level I_Departments'!C31,'Level IIandIII_Departments'!C31)</f>
        <v>Ancillary services/Support services -&gt; Operating Room / Aneasthesiology / PACU / Recovery Room</v>
      </c>
    </row>
    <row r="30" spans="1:2" x14ac:dyDescent="0.35">
      <c r="A30" s="27">
        <f t="shared" si="0"/>
        <v>29</v>
      </c>
      <c r="B30" s="27" t="str">
        <f>IF('10.1 Payroll'!$C$12="Level I",'Level I_Departments'!C32,'Level IIandIII_Departments'!C32)</f>
        <v>Ancillary services/Support services -&gt; Respiratory Unit</v>
      </c>
    </row>
    <row r="31" spans="1:2" x14ac:dyDescent="0.35">
      <c r="A31" s="27">
        <f t="shared" si="0"/>
        <v>30</v>
      </c>
      <c r="B31" s="27" t="str">
        <f>IF('10.1 Payroll'!$C$12="Level I",'Level I_Departments'!C33,'Level IIandIII_Departments'!C33)</f>
        <v>Ancillary services/Support services -&gt; Medical ICU</v>
      </c>
    </row>
    <row r="32" spans="1:2" x14ac:dyDescent="0.35">
      <c r="A32" s="27">
        <f t="shared" si="0"/>
        <v>31</v>
      </c>
      <c r="B32" s="27" t="str">
        <f>IF('10.1 Payroll'!$C$12="Level I",'Level I_Departments'!C34,'Level IIandIII_Departments'!C34)</f>
        <v>Ancillary services/Support services -&gt; Neonatal ICU*</v>
      </c>
    </row>
    <row r="33" spans="1:2" x14ac:dyDescent="0.35">
      <c r="A33" s="27">
        <f t="shared" si="0"/>
        <v>32</v>
      </c>
      <c r="B33" s="27" t="str">
        <f>IF('10.1 Payroll'!$C$12="Level I",'Level I_Departments'!C35,'Level IIandIII_Departments'!C35)</f>
        <v>Ancillary services/Support services -&gt; Surgical ICU*</v>
      </c>
    </row>
    <row r="34" spans="1:2" x14ac:dyDescent="0.35">
      <c r="A34" s="27">
        <f t="shared" si="0"/>
        <v>33</v>
      </c>
      <c r="B34" s="27" t="str">
        <f>IF('10.1 Payroll'!$C$12="Level I",'Level I_Departments'!C36,'Level IIandIII_Departments'!C36)</f>
        <v>Ancillary services/Support services -&gt; Pediatric ICU*</v>
      </c>
    </row>
    <row r="35" spans="1:2" x14ac:dyDescent="0.35">
      <c r="A35" s="27">
        <f t="shared" ref="A35:A67" si="1">A34+1</f>
        <v>34</v>
      </c>
      <c r="B35" s="27" t="str">
        <f>IF('10.1 Payroll'!$C$12="Level I",'Level I_Departments'!C37,'Level IIandIII_Departments'!C37)</f>
        <v>Ancillary services/Support services -&gt; Burn Unit</v>
      </c>
    </row>
    <row r="36" spans="1:2" x14ac:dyDescent="0.35">
      <c r="A36" s="27">
        <f t="shared" si="1"/>
        <v>35</v>
      </c>
      <c r="B36" s="27" t="str">
        <f>IF('10.1 Payroll'!$C$12="Level I",'Level I_Departments'!C38,'Level IIandIII_Departments'!C38)</f>
        <v>Ancillary services/Support services -&gt; Morgue</v>
      </c>
    </row>
    <row r="37" spans="1:2" x14ac:dyDescent="0.35">
      <c r="A37" s="27">
        <f t="shared" si="1"/>
        <v>36</v>
      </c>
      <c r="B37" s="27" t="str">
        <f>IF('10.1 Payroll'!$C$12="Level I",'Level I_Departments'!C39,'Level IIandIII_Departments'!C39)</f>
        <v>Ancillary services/Support services -&gt; Others</v>
      </c>
    </row>
    <row r="38" spans="1:2" x14ac:dyDescent="0.35">
      <c r="A38" s="27">
        <f t="shared" si="1"/>
        <v>37</v>
      </c>
      <c r="B38" s="27" t="str">
        <f>IF('10.1 Payroll'!$C$12="Level I",'Level I_Departments'!C40,'Level IIandIII_Departments'!C40)</f>
        <v>Clinical/Medical services -&gt; Outpatient Department (general)</v>
      </c>
    </row>
    <row r="39" spans="1:2" x14ac:dyDescent="0.35">
      <c r="A39" s="27">
        <f t="shared" si="1"/>
        <v>38</v>
      </c>
      <c r="B39" s="27" t="str">
        <f>IF('10.1 Payroll'!$C$12="Level I",'Level I_Departments'!C41,'Level IIandIII_Departments'!C41)</f>
        <v>Clinical/Medical services -&gt; Animal Bite Center</v>
      </c>
    </row>
    <row r="40" spans="1:2" x14ac:dyDescent="0.35">
      <c r="A40" s="27">
        <f t="shared" si="1"/>
        <v>39</v>
      </c>
      <c r="B40" s="27" t="str">
        <f>IF('10.1 Payroll'!$C$12="Level I",'Level I_Departments'!C42,'Level IIandIII_Departments'!C42)</f>
        <v>Clinical/Medical services -&gt; TB Dots</v>
      </c>
    </row>
    <row r="41" spans="1:2" x14ac:dyDescent="0.35">
      <c r="A41" s="27">
        <f t="shared" si="1"/>
        <v>40</v>
      </c>
      <c r="B41" s="27" t="str">
        <f>IF('10.1 Payroll'!$C$12="Level I",'Level I_Departments'!C43,'Level IIandIII_Departments'!C43)</f>
        <v>Clinical/Medical services -&gt; HIV Aids</v>
      </c>
    </row>
    <row r="42" spans="1:2" x14ac:dyDescent="0.35">
      <c r="A42" s="27">
        <f t="shared" si="1"/>
        <v>41</v>
      </c>
      <c r="B42" s="27" t="str">
        <f>IF('10.1 Payroll'!$C$12="Level I",'Level I_Departments'!C44,'Level IIandIII_Departments'!C44)</f>
        <v>Clinical/Medical services -&gt; Family Planning Unit</v>
      </c>
    </row>
    <row r="43" spans="1:2" x14ac:dyDescent="0.35">
      <c r="A43" s="27">
        <f t="shared" si="1"/>
        <v>42</v>
      </c>
      <c r="B43" s="27" t="str">
        <f>IF('10.1 Payroll'!$C$12="Level I",'Level I_Departments'!C45,'Level IIandIII_Departments'!C45)</f>
        <v>Clinical/Medical services -&gt; Smoking Cessation</v>
      </c>
    </row>
    <row r="44" spans="1:2" x14ac:dyDescent="0.35">
      <c r="A44" s="27">
        <f t="shared" si="1"/>
        <v>43</v>
      </c>
      <c r="B44" s="27" t="str">
        <f>IF('10.1 Payroll'!$C$12="Level I",'Level I_Departments'!C46,'Level IIandIII_Departments'!C46)</f>
        <v>Clinical/Medical services -&gt; Malaria</v>
      </c>
    </row>
    <row r="45" spans="1:2" x14ac:dyDescent="0.35">
      <c r="A45" s="27">
        <f t="shared" si="1"/>
        <v>44</v>
      </c>
      <c r="B45" s="27" t="str">
        <f>IF('10.1 Payroll'!$C$12="Level I",'Level I_Departments'!C47,'Level IIandIII_Departments'!C47)</f>
        <v xml:space="preserve">Clinical/Medical services -&gt; Diabetes </v>
      </c>
    </row>
    <row r="46" spans="1:2" x14ac:dyDescent="0.35">
      <c r="A46" s="27">
        <f t="shared" si="1"/>
        <v>45</v>
      </c>
      <c r="B46" s="27" t="str">
        <f>IF('10.1 Payroll'!$C$12="Level I",'Level I_Departments'!C48,'Level IIandIII_Departments'!C48)</f>
        <v>Clinical/Medical services -&gt; Hypertension</v>
      </c>
    </row>
    <row r="47" spans="1:2" x14ac:dyDescent="0.35">
      <c r="A47" s="27">
        <f t="shared" si="1"/>
        <v>46</v>
      </c>
      <c r="B47" s="27" t="str">
        <f>IF('10.1 Payroll'!$C$12="Level I",'Level I_Departments'!C49,'Level IIandIII_Departments'!C49)</f>
        <v>Clinical/Medical services -&gt; Emergency Medicine Department</v>
      </c>
    </row>
    <row r="48" spans="1:2" x14ac:dyDescent="0.35">
      <c r="A48" s="27">
        <f t="shared" si="1"/>
        <v>47</v>
      </c>
      <c r="B48" s="27" t="str">
        <f>IF('10.1 Payroll'!$C$12="Level I",'Level I_Departments'!C50,'Level IIandIII_Departments'!C50)</f>
        <v>Clinical/Medical services -&gt; Dialysis Unit</v>
      </c>
    </row>
    <row r="49" spans="1:2" x14ac:dyDescent="0.35">
      <c r="A49" s="27">
        <f t="shared" si="1"/>
        <v>48</v>
      </c>
      <c r="B49" s="27" t="str">
        <f>IF('10.1 Payroll'!$C$12="Level I",'Level I_Departments'!C51,'Level IIandIII_Departments'!C51)</f>
        <v>Clinical/Medical services -&gt; Radiation Oncology Unit*</v>
      </c>
    </row>
    <row r="50" spans="1:2" x14ac:dyDescent="0.35">
      <c r="A50" s="27">
        <f t="shared" si="1"/>
        <v>49</v>
      </c>
      <c r="B50" s="27" t="str">
        <f>IF('10.1 Payroll'!$C$12="Level I",'Level I_Departments'!C52,'Level IIandIII_Departments'!C52)</f>
        <v>Clinical/Medical services -&gt; Dental</v>
      </c>
    </row>
    <row r="51" spans="1:2" x14ac:dyDescent="0.35">
      <c r="A51" s="27">
        <f t="shared" si="1"/>
        <v>50</v>
      </c>
      <c r="B51" s="27" t="str">
        <f>IF('10.1 Payroll'!$C$12="Level I",'Level I_Departments'!C53,'Level IIandIII_Departments'!C53)</f>
        <v>Clinical/Medical services -&gt; Internal Medicine Ward</v>
      </c>
    </row>
    <row r="52" spans="1:2" x14ac:dyDescent="0.35">
      <c r="A52" s="27">
        <f t="shared" si="1"/>
        <v>51</v>
      </c>
      <c r="B52" s="27" t="str">
        <f>IF('10.1 Payroll'!$C$12="Level I",'Level I_Departments'!C54,'Level IIandIII_Departments'!C54)</f>
        <v>Clinical/Medical services -&gt; Pediatric Ward</v>
      </c>
    </row>
    <row r="53" spans="1:2" x14ac:dyDescent="0.35">
      <c r="A53" s="27">
        <f t="shared" si="1"/>
        <v>52</v>
      </c>
      <c r="B53" s="27" t="str">
        <f>IF('10.1 Payroll'!$C$12="Level I",'Level I_Departments'!C55,'Level IIandIII_Departments'!C55)</f>
        <v>Clinical/Medical services -&gt; Surgical Ward</v>
      </c>
    </row>
    <row r="54" spans="1:2" x14ac:dyDescent="0.35">
      <c r="A54" s="27">
        <f t="shared" si="1"/>
        <v>53</v>
      </c>
      <c r="B54" s="27" t="str">
        <f>IF('10.1 Payroll'!$C$12="Level I",'Level I_Departments'!C56,'Level IIandIII_Departments'!C56)</f>
        <v>Clinical/Medical services -&gt; Ob/Gyne Ward</v>
      </c>
    </row>
    <row r="55" spans="1:2" x14ac:dyDescent="0.35">
      <c r="A55" s="27">
        <f t="shared" si="1"/>
        <v>54</v>
      </c>
      <c r="B55" s="27" t="str">
        <f>IF('10.1 Payroll'!$C$12="Level I",'Level I_Departments'!C57,'Level IIandIII_Departments'!C57)</f>
        <v>Clinical/Medical services -&gt; Private Ward</v>
      </c>
    </row>
    <row r="56" spans="1:2" x14ac:dyDescent="0.35">
      <c r="A56" s="27">
        <f t="shared" si="1"/>
        <v>55</v>
      </c>
      <c r="B56" s="27">
        <f>IF('10.1 Payroll'!$C$12="Level I",'Level I_Departments'!C58,'Level IIandIII_Departments'!C58)</f>
        <v>0</v>
      </c>
    </row>
    <row r="57" spans="1:2" x14ac:dyDescent="0.35">
      <c r="A57" s="27">
        <f t="shared" si="1"/>
        <v>56</v>
      </c>
      <c r="B57" s="27">
        <f>IF('10.1 Payroll'!$C$12="Level I",'Level I_Departments'!C59,'Level IIandIII_Departments'!C59)</f>
        <v>0</v>
      </c>
    </row>
    <row r="58" spans="1:2" x14ac:dyDescent="0.35">
      <c r="A58" s="27">
        <f t="shared" si="1"/>
        <v>57</v>
      </c>
      <c r="B58" s="27">
        <f>IF('10.1 Payroll'!$C$12="Level I",'Level I_Departments'!C60,'Level IIandIII_Departments'!C60)</f>
        <v>0</v>
      </c>
    </row>
    <row r="59" spans="1:2" x14ac:dyDescent="0.35">
      <c r="A59" s="27">
        <f t="shared" si="1"/>
        <v>58</v>
      </c>
      <c r="B59" s="27">
        <f>IF('10.1 Payroll'!$C$12="Level I",'Level I_Departments'!C61,'Level IIandIII_Departments'!C61)</f>
        <v>0</v>
      </c>
    </row>
    <row r="60" spans="1:2" x14ac:dyDescent="0.35">
      <c r="A60" s="27">
        <f t="shared" si="1"/>
        <v>59</v>
      </c>
      <c r="B60" s="27">
        <f>IF('10.1 Payroll'!$C$12="Level I",'Level I_Departments'!C62,'Level IIandIII_Departments'!C62)</f>
        <v>0</v>
      </c>
    </row>
    <row r="61" spans="1:2" x14ac:dyDescent="0.35">
      <c r="A61" s="27">
        <f t="shared" si="1"/>
        <v>60</v>
      </c>
      <c r="B61" s="27">
        <f>IF('10.1 Payroll'!$C$12="Level I",'Level I_Departments'!C63,'Level IIandIII_Departments'!C63)</f>
        <v>0</v>
      </c>
    </row>
    <row r="62" spans="1:2" x14ac:dyDescent="0.35">
      <c r="A62" s="27">
        <f t="shared" si="1"/>
        <v>61</v>
      </c>
      <c r="B62" s="27">
        <f>IF('10.1 Payroll'!$C$12="Level I",'Level I_Departments'!C64,'Level IIandIII_Departments'!C64)</f>
        <v>0</v>
      </c>
    </row>
    <row r="63" spans="1:2" x14ac:dyDescent="0.35">
      <c r="A63" s="27">
        <f t="shared" si="1"/>
        <v>62</v>
      </c>
      <c r="B63" s="27">
        <f>IF('10.1 Payroll'!$C$12="Level I",'Level I_Departments'!C65,'Level IIandIII_Departments'!C65)</f>
        <v>0</v>
      </c>
    </row>
    <row r="64" spans="1:2" x14ac:dyDescent="0.35">
      <c r="A64" s="27">
        <f t="shared" si="1"/>
        <v>63</v>
      </c>
      <c r="B64" s="27">
        <f>IF('10.1 Payroll'!$C$12="Level I",'Level I_Departments'!C66,'Level IIandIII_Departments'!C66)</f>
        <v>0</v>
      </c>
    </row>
    <row r="65" spans="1:2" x14ac:dyDescent="0.35">
      <c r="A65" s="27">
        <f t="shared" si="1"/>
        <v>64</v>
      </c>
      <c r="B65" s="27">
        <f>IF('10.1 Payroll'!$C$12="Level I",'Level I_Departments'!C67,'Level IIandIII_Departments'!C67)</f>
        <v>0</v>
      </c>
    </row>
    <row r="66" spans="1:2" x14ac:dyDescent="0.35">
      <c r="A66" s="27">
        <f t="shared" si="1"/>
        <v>65</v>
      </c>
      <c r="B66" s="27">
        <f>IF('10.1 Payroll'!$C$12="Level I",'Level I_Departments'!C68,'Level IIandIII_Departments'!C68)</f>
        <v>0</v>
      </c>
    </row>
    <row r="67" spans="1:2" x14ac:dyDescent="0.3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summaryRight="0"/>
  </sheetPr>
  <dimension ref="A1:C1004"/>
  <sheetViews>
    <sheetView topLeftCell="A2" workbookViewId="0">
      <selection activeCell="B22" sqref="B22"/>
    </sheetView>
  </sheetViews>
  <sheetFormatPr defaultColWidth="14.453125" defaultRowHeight="15" customHeight="1" x14ac:dyDescent="0.35"/>
  <cols>
    <col min="1" max="1" width="39.54296875" style="29" customWidth="1"/>
    <col min="2" max="2" width="65.7265625" style="29" customWidth="1"/>
    <col min="3" max="3" width="86.54296875" style="29" bestFit="1" customWidth="1"/>
    <col min="4" max="16384" width="14.453125" style="29"/>
  </cols>
  <sheetData>
    <row r="1" spans="1:3" ht="15" customHeight="1" x14ac:dyDescent="0.35">
      <c r="A1" s="43" t="s">
        <v>193</v>
      </c>
      <c r="B1" s="32"/>
    </row>
    <row r="2" spans="1:3" ht="15" customHeight="1" x14ac:dyDescent="0.35">
      <c r="A2" s="32"/>
      <c r="B2" s="32"/>
    </row>
    <row r="3" spans="1:3" ht="15" customHeight="1" x14ac:dyDescent="0.35">
      <c r="A3" s="42" t="s">
        <v>192</v>
      </c>
      <c r="B3" s="41" t="s">
        <v>191</v>
      </c>
    </row>
    <row r="4" spans="1:3" ht="15" customHeight="1" x14ac:dyDescent="0.35">
      <c r="A4" s="37" t="s">
        <v>173</v>
      </c>
      <c r="B4" s="41" t="s">
        <v>190</v>
      </c>
      <c r="C4" s="33" t="str">
        <f t="shared" ref="C4:C35" si="0">CONCATENATE(A4, " -&gt; ",B4)</f>
        <v>Administrative/Overhead services -&gt; Office of the Medical Center Chief</v>
      </c>
    </row>
    <row r="5" spans="1:3" ht="15" customHeight="1" x14ac:dyDescent="0.35">
      <c r="A5" s="37" t="s">
        <v>173</v>
      </c>
      <c r="B5" s="40" t="s">
        <v>189</v>
      </c>
      <c r="C5" s="33" t="str">
        <f t="shared" si="0"/>
        <v>Administrative/Overhead services -&gt; IT Departments</v>
      </c>
    </row>
    <row r="6" spans="1:3" ht="15" customHeight="1" x14ac:dyDescent="0.35">
      <c r="A6" s="37" t="s">
        <v>173</v>
      </c>
      <c r="B6" s="40" t="s">
        <v>188</v>
      </c>
      <c r="C6" s="33" t="str">
        <f t="shared" si="0"/>
        <v>Administrative/Overhead services -&gt; Office of the Administrative Officer</v>
      </c>
    </row>
    <row r="7" spans="1:3" ht="15" customHeight="1" x14ac:dyDescent="0.35">
      <c r="A7" s="37" t="s">
        <v>173</v>
      </c>
      <c r="B7" s="40" t="s">
        <v>187</v>
      </c>
      <c r="C7" s="33" t="str">
        <f t="shared" si="0"/>
        <v>Administrative/Overhead services -&gt; Human Resource Management</v>
      </c>
    </row>
    <row r="8" spans="1:3" ht="15" customHeight="1" x14ac:dyDescent="0.35">
      <c r="A8" s="37" t="s">
        <v>173</v>
      </c>
      <c r="B8" s="40" t="s">
        <v>186</v>
      </c>
      <c r="C8" s="33" t="str">
        <f t="shared" si="0"/>
        <v>Administrative/Overhead services -&gt; Procurement</v>
      </c>
    </row>
    <row r="9" spans="1:3" ht="15" customHeight="1" x14ac:dyDescent="0.35">
      <c r="A9" s="37" t="s">
        <v>173</v>
      </c>
      <c r="B9" s="40" t="s">
        <v>185</v>
      </c>
      <c r="C9" s="33" t="str">
        <f t="shared" si="0"/>
        <v>Administrative/Overhead services -&gt; Materials Management</v>
      </c>
    </row>
    <row r="10" spans="1:3" ht="15" customHeight="1" x14ac:dyDescent="0.35">
      <c r="A10" s="37" t="s">
        <v>173</v>
      </c>
      <c r="B10" s="40" t="s">
        <v>184</v>
      </c>
      <c r="C10" s="33" t="str">
        <f t="shared" si="0"/>
        <v>Administrative/Overhead services -&gt; Engineering and Facilities Management</v>
      </c>
    </row>
    <row r="11" spans="1:3" ht="15" customHeight="1" x14ac:dyDescent="0.35">
      <c r="A11" s="37" t="s">
        <v>173</v>
      </c>
      <c r="B11" s="40" t="s">
        <v>183</v>
      </c>
      <c r="C11" s="33" t="str">
        <f t="shared" si="0"/>
        <v>Administrative/Overhead services -&gt; Housekeeping</v>
      </c>
    </row>
    <row r="12" spans="1:3" ht="15" customHeight="1" x14ac:dyDescent="0.35">
      <c r="A12" s="37" t="s">
        <v>173</v>
      </c>
      <c r="B12" s="40" t="s">
        <v>182</v>
      </c>
      <c r="C12" s="33" t="str">
        <f t="shared" si="0"/>
        <v>Administrative/Overhead services -&gt; Budget and Accounting</v>
      </c>
    </row>
    <row r="13" spans="1:3" ht="15" customHeight="1" x14ac:dyDescent="0.35">
      <c r="A13" s="37" t="s">
        <v>173</v>
      </c>
      <c r="B13" s="40" t="s">
        <v>181</v>
      </c>
      <c r="C13" s="33" t="str">
        <f t="shared" si="0"/>
        <v>Administrative/Overhead services -&gt; Medical Social Work</v>
      </c>
    </row>
    <row r="14" spans="1:3" ht="15" customHeight="1" x14ac:dyDescent="0.35">
      <c r="A14" s="37" t="s">
        <v>173</v>
      </c>
      <c r="B14" s="40" t="s">
        <v>180</v>
      </c>
      <c r="C14" s="33" t="str">
        <f t="shared" si="0"/>
        <v>Administrative/Overhead services -&gt; Office of the Chief Nurse</v>
      </c>
    </row>
    <row r="15" spans="1:3" ht="15" customHeight="1" x14ac:dyDescent="0.35">
      <c r="A15" s="37" t="s">
        <v>173</v>
      </c>
      <c r="B15" s="40" t="s">
        <v>179</v>
      </c>
      <c r="C15" s="33" t="str">
        <f t="shared" si="0"/>
        <v>Administrative/Overhead services -&gt; Health Info Mgt (Admitting)</v>
      </c>
    </row>
    <row r="16" spans="1:3" ht="15" customHeight="1" x14ac:dyDescent="0.35">
      <c r="A16" s="37" t="s">
        <v>173</v>
      </c>
      <c r="B16" s="40" t="s">
        <v>178</v>
      </c>
      <c r="C16" s="33" t="str">
        <f t="shared" si="0"/>
        <v>Administrative/Overhead services -&gt; Central Supply Office</v>
      </c>
    </row>
    <row r="17" spans="1:3" ht="15" customHeight="1" x14ac:dyDescent="0.35">
      <c r="A17" s="37" t="s">
        <v>173</v>
      </c>
      <c r="B17" s="40" t="s">
        <v>177</v>
      </c>
      <c r="C17" s="33" t="str">
        <f t="shared" si="0"/>
        <v>Administrative/Overhead services -&gt; Billing and Claims</v>
      </c>
    </row>
    <row r="18" spans="1:3" ht="15" customHeight="1" x14ac:dyDescent="0.35">
      <c r="A18" s="37" t="s">
        <v>173</v>
      </c>
      <c r="B18" s="40" t="s">
        <v>176</v>
      </c>
      <c r="C18" s="33" t="str">
        <f t="shared" si="0"/>
        <v>Administrative/Overhead services -&gt; Cash Operations</v>
      </c>
    </row>
    <row r="19" spans="1:3" ht="15" customHeight="1" x14ac:dyDescent="0.35">
      <c r="A19" s="37" t="s">
        <v>173</v>
      </c>
      <c r="B19" s="40" t="s">
        <v>175</v>
      </c>
      <c r="C19" s="33" t="str">
        <f t="shared" si="0"/>
        <v>Administrative/Overhead services -&gt; Security</v>
      </c>
    </row>
    <row r="20" spans="1:3" ht="15" customHeight="1" x14ac:dyDescent="0.35">
      <c r="A20" s="37" t="s">
        <v>173</v>
      </c>
      <c r="B20" s="40" t="s">
        <v>174</v>
      </c>
      <c r="C20" s="33" t="str">
        <f t="shared" si="0"/>
        <v>Administrative/Overhead services -&gt; Office of the Chief of Medical Professional Staff</v>
      </c>
    </row>
    <row r="21" spans="1:3" ht="15" customHeight="1" x14ac:dyDescent="0.35">
      <c r="A21" s="37" t="s">
        <v>173</v>
      </c>
      <c r="B21" s="37" t="s">
        <v>154</v>
      </c>
      <c r="C21" s="33" t="str">
        <f t="shared" si="0"/>
        <v>Administrative/Overhead services -&gt; Others</v>
      </c>
    </row>
    <row r="22" spans="1:3" ht="15" customHeight="1" x14ac:dyDescent="0.35">
      <c r="A22" s="34" t="s">
        <v>155</v>
      </c>
      <c r="B22" s="34" t="s">
        <v>172</v>
      </c>
      <c r="C22" s="33" t="str">
        <f t="shared" si="0"/>
        <v>Ancillary services/Support services -&gt; Laundry</v>
      </c>
    </row>
    <row r="23" spans="1:3" ht="15" customHeight="1" x14ac:dyDescent="0.35">
      <c r="A23" s="34" t="s">
        <v>155</v>
      </c>
      <c r="B23" s="34" t="s">
        <v>171</v>
      </c>
      <c r="C23" s="33" t="str">
        <f t="shared" si="0"/>
        <v>Ancillary services/Support services -&gt; Nutrition and Dietetics</v>
      </c>
    </row>
    <row r="24" spans="1:3" ht="15" customHeight="1" x14ac:dyDescent="0.35">
      <c r="A24" s="34" t="s">
        <v>155</v>
      </c>
      <c r="B24" s="36" t="s">
        <v>170</v>
      </c>
      <c r="C24" s="33" t="str">
        <f t="shared" si="0"/>
        <v>Ancillary services/Support services -&gt; Sterilization</v>
      </c>
    </row>
    <row r="25" spans="1:3" ht="15" customHeight="1" x14ac:dyDescent="0.35">
      <c r="A25" s="34" t="s">
        <v>155</v>
      </c>
      <c r="B25" s="34" t="s">
        <v>169</v>
      </c>
      <c r="C25" s="33" t="str">
        <f t="shared" si="0"/>
        <v>Ancillary services/Support services -&gt; Pharmacy</v>
      </c>
    </row>
    <row r="26" spans="1:3" ht="14.5" x14ac:dyDescent="0.35">
      <c r="A26" s="34" t="s">
        <v>155</v>
      </c>
      <c r="B26" s="36" t="s">
        <v>168</v>
      </c>
      <c r="C26" s="33" t="str">
        <f t="shared" si="0"/>
        <v>Ancillary services/Support services -&gt; Blood Bank</v>
      </c>
    </row>
    <row r="27" spans="1:3" ht="14.5" x14ac:dyDescent="0.35">
      <c r="A27" s="34" t="s">
        <v>155</v>
      </c>
      <c r="B27" s="34" t="s">
        <v>167</v>
      </c>
      <c r="C27" s="33" t="str">
        <f t="shared" si="0"/>
        <v>Ancillary services/Support services -&gt; Laboratory</v>
      </c>
    </row>
    <row r="28" spans="1:3" ht="14.5" x14ac:dyDescent="0.35">
      <c r="A28" s="34" t="s">
        <v>155</v>
      </c>
      <c r="B28" s="34" t="s">
        <v>166</v>
      </c>
      <c r="C28" s="33" t="str">
        <f t="shared" si="0"/>
        <v>Ancillary services/Support services -&gt; Radiology / Diagnostic Imaging (CT Scan, MRI, ECG, Mammography, Endoscopy)</v>
      </c>
    </row>
    <row r="29" spans="1:3" ht="14.5" x14ac:dyDescent="0.35">
      <c r="A29" s="34" t="s">
        <v>155</v>
      </c>
      <c r="B29" s="34" t="s">
        <v>165</v>
      </c>
      <c r="C29" s="33" t="str">
        <f t="shared" si="0"/>
        <v>Ancillary services/Support services -&gt; Physiotherapy / Rehabilitation</v>
      </c>
    </row>
    <row r="30" spans="1:3" ht="14.5" x14ac:dyDescent="0.35">
      <c r="A30" s="34" t="s">
        <v>155</v>
      </c>
      <c r="B30" s="34" t="s">
        <v>164</v>
      </c>
      <c r="C30" s="33" t="str">
        <f t="shared" si="0"/>
        <v>Ancillary services/Support services -&gt; Delivery Room</v>
      </c>
    </row>
    <row r="31" spans="1:3" ht="14.5" x14ac:dyDescent="0.35">
      <c r="A31" s="34" t="s">
        <v>155</v>
      </c>
      <c r="B31" s="39" t="s">
        <v>163</v>
      </c>
      <c r="C31" s="33" t="str">
        <f t="shared" si="0"/>
        <v>Ancillary services/Support services -&gt; Operating Room / Aneasthesiology / PACU / Recovery Room</v>
      </c>
    </row>
    <row r="32" spans="1:3" ht="14.5" x14ac:dyDescent="0.35">
      <c r="A32" s="34" t="s">
        <v>155</v>
      </c>
      <c r="B32" s="34" t="s">
        <v>162</v>
      </c>
      <c r="C32" s="33" t="str">
        <f t="shared" si="0"/>
        <v>Ancillary services/Support services -&gt; Respiratory Unit</v>
      </c>
    </row>
    <row r="33" spans="1:3" ht="14.5" x14ac:dyDescent="0.35">
      <c r="A33" s="34" t="s">
        <v>155</v>
      </c>
      <c r="B33" s="39" t="s">
        <v>161</v>
      </c>
      <c r="C33" s="33" t="str">
        <f t="shared" si="0"/>
        <v>Ancillary services/Support services -&gt; Medical ICU</v>
      </c>
    </row>
    <row r="34" spans="1:3" ht="14.5" x14ac:dyDescent="0.35">
      <c r="A34" s="34" t="s">
        <v>155</v>
      </c>
      <c r="B34" s="39" t="s">
        <v>160</v>
      </c>
      <c r="C34" s="33" t="str">
        <f t="shared" si="0"/>
        <v>Ancillary services/Support services -&gt; Neonatal ICU*</v>
      </c>
    </row>
    <row r="35" spans="1:3" ht="14.5" x14ac:dyDescent="0.35">
      <c r="A35" s="34" t="s">
        <v>155</v>
      </c>
      <c r="B35" s="39" t="s">
        <v>159</v>
      </c>
      <c r="C35" s="33" t="str">
        <f t="shared" si="0"/>
        <v>Ancillary services/Support services -&gt; Surgical ICU*</v>
      </c>
    </row>
    <row r="36" spans="1:3" ht="14.5" x14ac:dyDescent="0.35">
      <c r="A36" s="34" t="s">
        <v>155</v>
      </c>
      <c r="B36" s="39" t="s">
        <v>158</v>
      </c>
      <c r="C36" s="33" t="str">
        <f t="shared" ref="C36:C57" si="1">CONCATENATE(A36, " -&gt; ",B36)</f>
        <v>Ancillary services/Support services -&gt; Pediatric ICU*</v>
      </c>
    </row>
    <row r="37" spans="1:3" ht="14.5" x14ac:dyDescent="0.35">
      <c r="A37" s="34" t="s">
        <v>155</v>
      </c>
      <c r="B37" s="36" t="s">
        <v>157</v>
      </c>
      <c r="C37" s="33" t="str">
        <f t="shared" si="1"/>
        <v>Ancillary services/Support services -&gt; Burn Unit</v>
      </c>
    </row>
    <row r="38" spans="1:3" ht="14.5" x14ac:dyDescent="0.35">
      <c r="A38" s="34" t="s">
        <v>155</v>
      </c>
      <c r="B38" s="36" t="s">
        <v>156</v>
      </c>
      <c r="C38" s="33" t="str">
        <f t="shared" si="1"/>
        <v>Ancillary services/Support services -&gt; Morgue</v>
      </c>
    </row>
    <row r="39" spans="1:3" ht="14.5" x14ac:dyDescent="0.35">
      <c r="A39" s="34" t="s">
        <v>155</v>
      </c>
      <c r="B39" s="38" t="s">
        <v>154</v>
      </c>
      <c r="C39" s="33" t="str">
        <f t="shared" si="1"/>
        <v>Ancillary services/Support services -&gt; Others</v>
      </c>
    </row>
    <row r="40" spans="1:3" ht="14.5" x14ac:dyDescent="0.35">
      <c r="A40" s="35" t="s">
        <v>136</v>
      </c>
      <c r="B40" s="37" t="s">
        <v>153</v>
      </c>
      <c r="C40" s="33" t="str">
        <f t="shared" si="1"/>
        <v>Clinical/Medical services -&gt; Outpatient Department (general)</v>
      </c>
    </row>
    <row r="41" spans="1:3" ht="14.5" x14ac:dyDescent="0.35">
      <c r="A41" s="35" t="s">
        <v>136</v>
      </c>
      <c r="B41" s="34" t="s">
        <v>152</v>
      </c>
      <c r="C41" s="33" t="str">
        <f t="shared" si="1"/>
        <v>Clinical/Medical services -&gt; Animal Bite Center</v>
      </c>
    </row>
    <row r="42" spans="1:3" ht="14.5" x14ac:dyDescent="0.35">
      <c r="A42" s="35" t="s">
        <v>136</v>
      </c>
      <c r="B42" s="34" t="s">
        <v>151</v>
      </c>
      <c r="C42" s="33" t="str">
        <f t="shared" si="1"/>
        <v>Clinical/Medical services -&gt; TB Dots</v>
      </c>
    </row>
    <row r="43" spans="1:3" ht="14.5" x14ac:dyDescent="0.35">
      <c r="A43" s="35" t="s">
        <v>136</v>
      </c>
      <c r="B43" s="34" t="s">
        <v>150</v>
      </c>
      <c r="C43" s="33" t="str">
        <f t="shared" si="1"/>
        <v>Clinical/Medical services -&gt; HIV Aids</v>
      </c>
    </row>
    <row r="44" spans="1:3" ht="14.5" x14ac:dyDescent="0.35">
      <c r="A44" s="35" t="s">
        <v>136</v>
      </c>
      <c r="B44" s="34" t="s">
        <v>149</v>
      </c>
      <c r="C44" s="33" t="str">
        <f t="shared" si="1"/>
        <v>Clinical/Medical services -&gt; Family Planning Unit</v>
      </c>
    </row>
    <row r="45" spans="1:3" ht="14.5" x14ac:dyDescent="0.35">
      <c r="A45" s="35" t="s">
        <v>136</v>
      </c>
      <c r="B45" s="34" t="s">
        <v>148</v>
      </c>
      <c r="C45" s="33" t="str">
        <f t="shared" si="1"/>
        <v>Clinical/Medical services -&gt; Smoking Cessation</v>
      </c>
    </row>
    <row r="46" spans="1:3" ht="14.5" x14ac:dyDescent="0.35">
      <c r="A46" s="35" t="s">
        <v>136</v>
      </c>
      <c r="B46" s="34" t="s">
        <v>147</v>
      </c>
      <c r="C46" s="33" t="str">
        <f t="shared" si="1"/>
        <v>Clinical/Medical services -&gt; Malaria</v>
      </c>
    </row>
    <row r="47" spans="1:3" ht="14.5" x14ac:dyDescent="0.35">
      <c r="A47" s="35" t="s">
        <v>136</v>
      </c>
      <c r="B47" s="36" t="s">
        <v>146</v>
      </c>
      <c r="C47" s="33" t="str">
        <f t="shared" si="1"/>
        <v xml:space="preserve">Clinical/Medical services -&gt; Diabetes </v>
      </c>
    </row>
    <row r="48" spans="1:3" ht="14.5" x14ac:dyDescent="0.35">
      <c r="A48" s="35" t="s">
        <v>136</v>
      </c>
      <c r="B48" s="34" t="s">
        <v>145</v>
      </c>
      <c r="C48" s="33" t="str">
        <f t="shared" si="1"/>
        <v>Clinical/Medical services -&gt; Hypertension</v>
      </c>
    </row>
    <row r="49" spans="1:3" ht="14.5" x14ac:dyDescent="0.35">
      <c r="A49" s="35" t="s">
        <v>136</v>
      </c>
      <c r="B49" s="34" t="s">
        <v>144</v>
      </c>
      <c r="C49" s="33" t="str">
        <f t="shared" si="1"/>
        <v>Clinical/Medical services -&gt; Emergency Medicine Department</v>
      </c>
    </row>
    <row r="50" spans="1:3" ht="14.5" x14ac:dyDescent="0.35">
      <c r="A50" s="35" t="s">
        <v>136</v>
      </c>
      <c r="B50" s="34" t="s">
        <v>143</v>
      </c>
      <c r="C50" s="33" t="str">
        <f t="shared" si="1"/>
        <v>Clinical/Medical services -&gt; Dialysis Unit</v>
      </c>
    </row>
    <row r="51" spans="1:3" ht="14.5" x14ac:dyDescent="0.35">
      <c r="A51" s="35" t="s">
        <v>136</v>
      </c>
      <c r="B51" s="34" t="s">
        <v>142</v>
      </c>
      <c r="C51" s="33" t="str">
        <f t="shared" si="1"/>
        <v>Clinical/Medical services -&gt; Radiation Oncology Unit*</v>
      </c>
    </row>
    <row r="52" spans="1:3" ht="14.5" x14ac:dyDescent="0.35">
      <c r="A52" s="35" t="s">
        <v>136</v>
      </c>
      <c r="B52" s="34" t="s">
        <v>141</v>
      </c>
      <c r="C52" s="33" t="str">
        <f t="shared" si="1"/>
        <v>Clinical/Medical services -&gt; Dental</v>
      </c>
    </row>
    <row r="53" spans="1:3" ht="14.5" x14ac:dyDescent="0.35">
      <c r="A53" s="35" t="s">
        <v>136</v>
      </c>
      <c r="B53" s="34" t="s">
        <v>140</v>
      </c>
      <c r="C53" s="33" t="str">
        <f t="shared" si="1"/>
        <v>Clinical/Medical services -&gt; Internal Medicine Ward</v>
      </c>
    </row>
    <row r="54" spans="1:3" ht="14.5" x14ac:dyDescent="0.35">
      <c r="A54" s="35" t="s">
        <v>136</v>
      </c>
      <c r="B54" s="34" t="s">
        <v>139</v>
      </c>
      <c r="C54" s="33" t="str">
        <f t="shared" si="1"/>
        <v>Clinical/Medical services -&gt; Pediatric Ward</v>
      </c>
    </row>
    <row r="55" spans="1:3" ht="14.5" x14ac:dyDescent="0.35">
      <c r="A55" s="35" t="s">
        <v>136</v>
      </c>
      <c r="B55" s="34" t="s">
        <v>138</v>
      </c>
      <c r="C55" s="33" t="str">
        <f t="shared" si="1"/>
        <v>Clinical/Medical services -&gt; Surgical Ward</v>
      </c>
    </row>
    <row r="56" spans="1:3" ht="14.5" x14ac:dyDescent="0.35">
      <c r="A56" s="35" t="s">
        <v>136</v>
      </c>
      <c r="B56" s="34" t="s">
        <v>137</v>
      </c>
      <c r="C56" s="33" t="str">
        <f t="shared" si="1"/>
        <v>Clinical/Medical services -&gt; Ob/Gyne Ward</v>
      </c>
    </row>
    <row r="57" spans="1:3" ht="14.5" x14ac:dyDescent="0.35">
      <c r="A57" s="35" t="s">
        <v>136</v>
      </c>
      <c r="B57" s="34" t="s">
        <v>135</v>
      </c>
      <c r="C57" s="33" t="str">
        <f t="shared" si="1"/>
        <v>Clinical/Medical services -&gt; Private Ward</v>
      </c>
    </row>
    <row r="58" spans="1:3" ht="14.5" x14ac:dyDescent="0.35">
      <c r="A58" s="32"/>
      <c r="B58" s="32"/>
    </row>
    <row r="59" spans="1:3" ht="14.5" x14ac:dyDescent="0.35">
      <c r="A59" s="32"/>
      <c r="B59" s="32"/>
    </row>
    <row r="60" spans="1:3" ht="14.5" x14ac:dyDescent="0.35">
      <c r="A60" s="32"/>
      <c r="B60" s="32"/>
    </row>
    <row r="61" spans="1:3" ht="14.5" x14ac:dyDescent="0.35">
      <c r="A61" s="32"/>
      <c r="B61" s="32"/>
    </row>
    <row r="62" spans="1:3" ht="14.5" x14ac:dyDescent="0.35">
      <c r="A62" s="32" t="s">
        <v>134</v>
      </c>
      <c r="B62" s="31" t="s">
        <v>133</v>
      </c>
    </row>
    <row r="63" spans="1:3" ht="14.5" x14ac:dyDescent="0.35">
      <c r="A63" s="32"/>
      <c r="B63" s="31" t="s">
        <v>132</v>
      </c>
    </row>
    <row r="64" spans="1:3" ht="14.5" x14ac:dyDescent="0.35">
      <c r="A64" s="30"/>
      <c r="B64" s="30"/>
    </row>
    <row r="65" spans="1:2" ht="14.5" x14ac:dyDescent="0.35">
      <c r="A65" s="30"/>
      <c r="B65" s="30"/>
    </row>
    <row r="66" spans="1:2" ht="14.5" x14ac:dyDescent="0.35">
      <c r="A66" s="30"/>
      <c r="B66" s="30"/>
    </row>
    <row r="67" spans="1:2" ht="14.5" x14ac:dyDescent="0.35">
      <c r="A67" s="30"/>
      <c r="B67" s="30"/>
    </row>
    <row r="68" spans="1:2" ht="14.5" x14ac:dyDescent="0.35">
      <c r="A68" s="30"/>
      <c r="B68" s="30"/>
    </row>
    <row r="69" spans="1:2" ht="14.5" x14ac:dyDescent="0.35">
      <c r="A69" s="30"/>
      <c r="B69" s="30"/>
    </row>
    <row r="70" spans="1:2" ht="14.5" x14ac:dyDescent="0.35">
      <c r="A70" s="30"/>
      <c r="B70" s="30"/>
    </row>
    <row r="71" spans="1:2" ht="14.5" x14ac:dyDescent="0.35">
      <c r="A71" s="30"/>
      <c r="B71" s="30"/>
    </row>
    <row r="72" spans="1:2" ht="14.5" x14ac:dyDescent="0.35">
      <c r="A72" s="30"/>
      <c r="B72" s="30"/>
    </row>
    <row r="73" spans="1:2" ht="14.5" x14ac:dyDescent="0.35">
      <c r="A73" s="30"/>
      <c r="B73" s="30"/>
    </row>
    <row r="74" spans="1:2" ht="14.5" x14ac:dyDescent="0.35">
      <c r="A74" s="30"/>
      <c r="B74" s="30"/>
    </row>
    <row r="75" spans="1:2" ht="14.5" x14ac:dyDescent="0.35">
      <c r="A75" s="30"/>
      <c r="B75" s="30"/>
    </row>
    <row r="76" spans="1:2" ht="14.5" x14ac:dyDescent="0.35">
      <c r="A76" s="30"/>
      <c r="B76" s="30"/>
    </row>
    <row r="77" spans="1:2" ht="14.5" x14ac:dyDescent="0.35">
      <c r="A77" s="30"/>
      <c r="B77" s="30"/>
    </row>
    <row r="78" spans="1:2" ht="14.5" x14ac:dyDescent="0.35">
      <c r="A78" s="30"/>
      <c r="B78" s="30"/>
    </row>
    <row r="79" spans="1:2" ht="14.5" x14ac:dyDescent="0.35">
      <c r="A79" s="30"/>
      <c r="B79" s="30"/>
    </row>
    <row r="80" spans="1:2" ht="14.5" x14ac:dyDescent="0.35">
      <c r="A80" s="30"/>
      <c r="B80" s="30"/>
    </row>
    <row r="81" spans="1:2" ht="14.5" x14ac:dyDescent="0.35">
      <c r="A81" s="30"/>
      <c r="B81" s="30"/>
    </row>
    <row r="82" spans="1:2" ht="14.5" x14ac:dyDescent="0.35">
      <c r="A82" s="30"/>
      <c r="B82" s="30"/>
    </row>
    <row r="83" spans="1:2" ht="14.5" x14ac:dyDescent="0.35">
      <c r="A83" s="30"/>
      <c r="B83" s="30"/>
    </row>
    <row r="84" spans="1:2" ht="14.5" x14ac:dyDescent="0.35">
      <c r="A84" s="30"/>
      <c r="B84" s="30"/>
    </row>
    <row r="85" spans="1:2" ht="14.5" x14ac:dyDescent="0.35">
      <c r="A85" s="30"/>
      <c r="B85" s="30"/>
    </row>
    <row r="86" spans="1:2" ht="14.5" x14ac:dyDescent="0.35">
      <c r="A86" s="30"/>
      <c r="B86" s="30"/>
    </row>
    <row r="87" spans="1:2" ht="14.5" x14ac:dyDescent="0.35">
      <c r="A87" s="30"/>
      <c r="B87" s="30"/>
    </row>
    <row r="88" spans="1:2" ht="14.5" x14ac:dyDescent="0.35">
      <c r="A88" s="30"/>
      <c r="B88" s="30"/>
    </row>
    <row r="89" spans="1:2" ht="14.5" x14ac:dyDescent="0.35">
      <c r="A89" s="30"/>
      <c r="B89" s="30"/>
    </row>
    <row r="90" spans="1:2" ht="14.5" x14ac:dyDescent="0.35">
      <c r="A90" s="30"/>
      <c r="B90" s="30"/>
    </row>
    <row r="91" spans="1:2" ht="14.5" x14ac:dyDescent="0.35">
      <c r="A91" s="30"/>
      <c r="B91" s="30"/>
    </row>
    <row r="92" spans="1:2" ht="14.5" x14ac:dyDescent="0.35">
      <c r="A92" s="30"/>
      <c r="B92" s="30"/>
    </row>
    <row r="93" spans="1:2" ht="14.5" x14ac:dyDescent="0.35">
      <c r="A93" s="30"/>
      <c r="B93" s="30"/>
    </row>
    <row r="94" spans="1:2" ht="14.5" x14ac:dyDescent="0.35">
      <c r="A94" s="30"/>
      <c r="B94" s="30"/>
    </row>
    <row r="95" spans="1:2" ht="14.5" x14ac:dyDescent="0.35">
      <c r="A95" s="30"/>
      <c r="B95" s="30"/>
    </row>
    <row r="96" spans="1:2" ht="14.5" x14ac:dyDescent="0.35">
      <c r="A96" s="30"/>
      <c r="B96" s="30"/>
    </row>
    <row r="97" spans="1:2" ht="14.5" x14ac:dyDescent="0.35">
      <c r="A97" s="30"/>
      <c r="B97" s="30"/>
    </row>
    <row r="98" spans="1:2" ht="14.5" x14ac:dyDescent="0.35">
      <c r="A98" s="30"/>
      <c r="B98" s="30"/>
    </row>
    <row r="99" spans="1:2" ht="14.5" x14ac:dyDescent="0.35">
      <c r="A99" s="30"/>
      <c r="B99" s="30"/>
    </row>
    <row r="100" spans="1:2" ht="14.5" x14ac:dyDescent="0.35">
      <c r="A100" s="30"/>
      <c r="B100" s="30"/>
    </row>
    <row r="101" spans="1:2" ht="14.5" x14ac:dyDescent="0.35">
      <c r="A101" s="30"/>
      <c r="B101" s="30"/>
    </row>
    <row r="102" spans="1:2" ht="14.5" x14ac:dyDescent="0.35">
      <c r="A102" s="30"/>
      <c r="B102" s="30"/>
    </row>
    <row r="103" spans="1:2" ht="14.5" x14ac:dyDescent="0.35">
      <c r="A103" s="30"/>
      <c r="B103" s="30"/>
    </row>
    <row r="104" spans="1:2" ht="14.5" x14ac:dyDescent="0.35">
      <c r="A104" s="30"/>
      <c r="B104" s="30"/>
    </row>
    <row r="105" spans="1:2" ht="14.5" x14ac:dyDescent="0.35">
      <c r="A105" s="30"/>
      <c r="B105" s="30"/>
    </row>
    <row r="106" spans="1:2" ht="14.5" x14ac:dyDescent="0.35">
      <c r="A106" s="30"/>
      <c r="B106" s="30"/>
    </row>
    <row r="107" spans="1:2" ht="14.5" x14ac:dyDescent="0.35">
      <c r="A107" s="30"/>
      <c r="B107" s="30"/>
    </row>
    <row r="108" spans="1:2" ht="14.5" x14ac:dyDescent="0.35">
      <c r="A108" s="30"/>
      <c r="B108" s="30"/>
    </row>
    <row r="109" spans="1:2" ht="14.5" x14ac:dyDescent="0.35">
      <c r="A109" s="30"/>
      <c r="B109" s="30"/>
    </row>
    <row r="110" spans="1:2" ht="14.5" x14ac:dyDescent="0.35">
      <c r="A110" s="30"/>
      <c r="B110" s="30"/>
    </row>
    <row r="111" spans="1:2" ht="14.5" x14ac:dyDescent="0.35">
      <c r="A111" s="30"/>
      <c r="B111" s="30"/>
    </row>
    <row r="112" spans="1:2" ht="14.5" x14ac:dyDescent="0.35">
      <c r="A112" s="30"/>
      <c r="B112" s="30"/>
    </row>
    <row r="113" spans="1:2" ht="14.5" x14ac:dyDescent="0.35">
      <c r="A113" s="30"/>
      <c r="B113" s="30"/>
    </row>
    <row r="114" spans="1:2" ht="14.5" x14ac:dyDescent="0.35">
      <c r="A114" s="30"/>
      <c r="B114" s="30"/>
    </row>
    <row r="115" spans="1:2" ht="14.5" x14ac:dyDescent="0.35">
      <c r="A115" s="30"/>
      <c r="B115" s="30"/>
    </row>
    <row r="116" spans="1:2" ht="14.5" x14ac:dyDescent="0.35">
      <c r="A116" s="30"/>
      <c r="B116" s="30"/>
    </row>
    <row r="117" spans="1:2" ht="14.5" x14ac:dyDescent="0.35">
      <c r="A117" s="30"/>
      <c r="B117" s="30"/>
    </row>
    <row r="118" spans="1:2" ht="14.5" x14ac:dyDescent="0.35">
      <c r="A118" s="30"/>
      <c r="B118" s="30"/>
    </row>
    <row r="119" spans="1:2" ht="14.5" x14ac:dyDescent="0.35">
      <c r="A119" s="30"/>
      <c r="B119" s="30"/>
    </row>
    <row r="120" spans="1:2" ht="14.5" x14ac:dyDescent="0.35">
      <c r="A120" s="30"/>
      <c r="B120" s="30"/>
    </row>
    <row r="121" spans="1:2" ht="14.5" x14ac:dyDescent="0.35">
      <c r="A121" s="30"/>
      <c r="B121" s="30"/>
    </row>
    <row r="122" spans="1:2" ht="14.5" x14ac:dyDescent="0.35">
      <c r="A122" s="30"/>
      <c r="B122" s="30"/>
    </row>
    <row r="123" spans="1:2" ht="14.5" x14ac:dyDescent="0.35">
      <c r="A123" s="30"/>
      <c r="B123" s="30"/>
    </row>
    <row r="124" spans="1:2" ht="14.5" x14ac:dyDescent="0.35">
      <c r="A124" s="30"/>
      <c r="B124" s="30"/>
    </row>
    <row r="125" spans="1:2" ht="14.5" x14ac:dyDescent="0.35">
      <c r="A125" s="30"/>
      <c r="B125" s="30"/>
    </row>
    <row r="126" spans="1:2" ht="14.5" x14ac:dyDescent="0.35">
      <c r="A126" s="30"/>
      <c r="B126" s="30"/>
    </row>
    <row r="127" spans="1:2" ht="14.5" x14ac:dyDescent="0.35">
      <c r="A127" s="30"/>
      <c r="B127" s="30"/>
    </row>
    <row r="128" spans="1:2" ht="14.5" x14ac:dyDescent="0.35">
      <c r="A128" s="30"/>
      <c r="B128" s="30"/>
    </row>
    <row r="129" spans="1:2" ht="14.5" x14ac:dyDescent="0.35">
      <c r="A129" s="30"/>
      <c r="B129" s="30"/>
    </row>
    <row r="130" spans="1:2" ht="14.5" x14ac:dyDescent="0.35">
      <c r="A130" s="30"/>
      <c r="B130" s="30"/>
    </row>
    <row r="131" spans="1:2" ht="14.5" x14ac:dyDescent="0.35">
      <c r="A131" s="30"/>
      <c r="B131" s="30"/>
    </row>
    <row r="132" spans="1:2" ht="14.5" x14ac:dyDescent="0.35">
      <c r="A132" s="30"/>
      <c r="B132" s="30"/>
    </row>
    <row r="133" spans="1:2" ht="14.5" x14ac:dyDescent="0.35">
      <c r="A133" s="30"/>
      <c r="B133" s="30"/>
    </row>
    <row r="134" spans="1:2" ht="14.5" x14ac:dyDescent="0.35">
      <c r="A134" s="30"/>
      <c r="B134" s="30"/>
    </row>
    <row r="135" spans="1:2" ht="14.5" x14ac:dyDescent="0.35">
      <c r="A135" s="30"/>
      <c r="B135" s="30"/>
    </row>
    <row r="136" spans="1:2" ht="14.5" x14ac:dyDescent="0.35">
      <c r="A136" s="30"/>
      <c r="B136" s="30"/>
    </row>
    <row r="137" spans="1:2" ht="14.5" x14ac:dyDescent="0.35">
      <c r="A137" s="30"/>
      <c r="B137" s="30"/>
    </row>
    <row r="138" spans="1:2" ht="14.5" x14ac:dyDescent="0.35">
      <c r="A138" s="30"/>
      <c r="B138" s="30"/>
    </row>
    <row r="139" spans="1:2" ht="14.5" x14ac:dyDescent="0.35">
      <c r="A139" s="30"/>
      <c r="B139" s="30"/>
    </row>
    <row r="140" spans="1:2" ht="14.5" x14ac:dyDescent="0.35">
      <c r="A140" s="30"/>
      <c r="B140" s="30"/>
    </row>
    <row r="141" spans="1:2" ht="14.5" x14ac:dyDescent="0.35">
      <c r="A141" s="30"/>
      <c r="B141" s="30"/>
    </row>
    <row r="142" spans="1:2" ht="14.5" x14ac:dyDescent="0.35">
      <c r="A142" s="30"/>
      <c r="B142" s="30"/>
    </row>
    <row r="143" spans="1:2" ht="14.5" x14ac:dyDescent="0.35">
      <c r="A143" s="30"/>
      <c r="B143" s="30"/>
    </row>
    <row r="144" spans="1:2" ht="14.5" x14ac:dyDescent="0.35">
      <c r="A144" s="30"/>
      <c r="B144" s="30"/>
    </row>
    <row r="145" spans="1:2" ht="14.5" x14ac:dyDescent="0.35">
      <c r="A145" s="30"/>
      <c r="B145" s="30"/>
    </row>
    <row r="146" spans="1:2" ht="14.5" x14ac:dyDescent="0.35">
      <c r="A146" s="30"/>
      <c r="B146" s="30"/>
    </row>
    <row r="147" spans="1:2" ht="14.5" x14ac:dyDescent="0.35">
      <c r="A147" s="30"/>
      <c r="B147" s="30"/>
    </row>
    <row r="148" spans="1:2" ht="14.5" x14ac:dyDescent="0.35">
      <c r="A148" s="30"/>
      <c r="B148" s="30"/>
    </row>
    <row r="149" spans="1:2" ht="14.5" x14ac:dyDescent="0.35">
      <c r="A149" s="30"/>
      <c r="B149" s="30"/>
    </row>
    <row r="150" spans="1:2" ht="14.5" x14ac:dyDescent="0.35">
      <c r="A150" s="30"/>
      <c r="B150" s="30"/>
    </row>
    <row r="151" spans="1:2" ht="14.5" x14ac:dyDescent="0.35">
      <c r="A151" s="30"/>
      <c r="B151" s="30"/>
    </row>
    <row r="152" spans="1:2" ht="14.5" x14ac:dyDescent="0.35">
      <c r="A152" s="30"/>
      <c r="B152" s="30"/>
    </row>
    <row r="153" spans="1:2" ht="14.5" x14ac:dyDescent="0.35">
      <c r="A153" s="30"/>
      <c r="B153" s="30"/>
    </row>
    <row r="154" spans="1:2" ht="14.5" x14ac:dyDescent="0.35">
      <c r="A154" s="30"/>
      <c r="B154" s="30"/>
    </row>
    <row r="155" spans="1:2" ht="14.5" x14ac:dyDescent="0.35">
      <c r="A155" s="30"/>
      <c r="B155" s="30"/>
    </row>
    <row r="156" spans="1:2" ht="14.5" x14ac:dyDescent="0.35">
      <c r="A156" s="30"/>
      <c r="B156" s="30"/>
    </row>
    <row r="157" spans="1:2" ht="14.5" x14ac:dyDescent="0.35">
      <c r="A157" s="30"/>
      <c r="B157" s="30"/>
    </row>
    <row r="158" spans="1:2" ht="14.5" x14ac:dyDescent="0.35">
      <c r="A158" s="30"/>
      <c r="B158" s="30"/>
    </row>
    <row r="159" spans="1:2" ht="14.5" x14ac:dyDescent="0.35">
      <c r="A159" s="30"/>
      <c r="B159" s="30"/>
    </row>
    <row r="160" spans="1:2" ht="14.5" x14ac:dyDescent="0.35">
      <c r="A160" s="30"/>
      <c r="B160" s="30"/>
    </row>
    <row r="161" spans="1:2" ht="14.5" x14ac:dyDescent="0.35">
      <c r="A161" s="30"/>
      <c r="B161" s="30"/>
    </row>
    <row r="162" spans="1:2" ht="14.5" x14ac:dyDescent="0.35">
      <c r="A162" s="30"/>
      <c r="B162" s="30"/>
    </row>
    <row r="163" spans="1:2" ht="14.5" x14ac:dyDescent="0.35">
      <c r="A163" s="30"/>
      <c r="B163" s="30"/>
    </row>
    <row r="164" spans="1:2" ht="14.5" x14ac:dyDescent="0.35">
      <c r="A164" s="30"/>
      <c r="B164" s="30"/>
    </row>
    <row r="165" spans="1:2" ht="14.5" x14ac:dyDescent="0.35">
      <c r="A165" s="30"/>
      <c r="B165" s="30"/>
    </row>
    <row r="166" spans="1:2" ht="14.5" x14ac:dyDescent="0.35">
      <c r="A166" s="30"/>
      <c r="B166" s="30"/>
    </row>
    <row r="167" spans="1:2" ht="14.5" x14ac:dyDescent="0.35">
      <c r="A167" s="30"/>
      <c r="B167" s="30"/>
    </row>
    <row r="168" spans="1:2" ht="14.5" x14ac:dyDescent="0.35">
      <c r="A168" s="30"/>
      <c r="B168" s="30"/>
    </row>
    <row r="169" spans="1:2" ht="14.5" x14ac:dyDescent="0.35">
      <c r="A169" s="30"/>
      <c r="B169" s="30"/>
    </row>
    <row r="170" spans="1:2" ht="14.5" x14ac:dyDescent="0.35">
      <c r="A170" s="30"/>
      <c r="B170" s="30"/>
    </row>
    <row r="171" spans="1:2" ht="14.5" x14ac:dyDescent="0.35">
      <c r="A171" s="30"/>
      <c r="B171" s="30"/>
    </row>
    <row r="172" spans="1:2" ht="14.5" x14ac:dyDescent="0.35">
      <c r="A172" s="30"/>
      <c r="B172" s="30"/>
    </row>
    <row r="173" spans="1:2" ht="14.5" x14ac:dyDescent="0.35">
      <c r="A173" s="30"/>
      <c r="B173" s="30"/>
    </row>
    <row r="174" spans="1:2" ht="14.5" x14ac:dyDescent="0.35">
      <c r="A174" s="30"/>
      <c r="B174" s="30"/>
    </row>
    <row r="175" spans="1:2" ht="14.5" x14ac:dyDescent="0.35">
      <c r="A175" s="30"/>
      <c r="B175" s="30"/>
    </row>
    <row r="176" spans="1:2" ht="14.5" x14ac:dyDescent="0.35">
      <c r="A176" s="30"/>
      <c r="B176" s="30"/>
    </row>
    <row r="177" spans="1:2" ht="14.5" x14ac:dyDescent="0.35">
      <c r="A177" s="30"/>
      <c r="B177" s="30"/>
    </row>
    <row r="178" spans="1:2" ht="14.5" x14ac:dyDescent="0.35">
      <c r="A178" s="30"/>
      <c r="B178" s="30"/>
    </row>
    <row r="179" spans="1:2" ht="14.5" x14ac:dyDescent="0.35">
      <c r="A179" s="30"/>
      <c r="B179" s="30"/>
    </row>
    <row r="180" spans="1:2" ht="14.5" x14ac:dyDescent="0.35">
      <c r="A180" s="30"/>
      <c r="B180" s="30"/>
    </row>
    <row r="181" spans="1:2" ht="14.5" x14ac:dyDescent="0.35">
      <c r="A181" s="30"/>
      <c r="B181" s="30"/>
    </row>
    <row r="182" spans="1:2" ht="14.5" x14ac:dyDescent="0.35">
      <c r="A182" s="30"/>
      <c r="B182" s="30"/>
    </row>
    <row r="183" spans="1:2" ht="14.5" x14ac:dyDescent="0.35">
      <c r="A183" s="30"/>
      <c r="B183" s="30"/>
    </row>
    <row r="184" spans="1:2" ht="14.5" x14ac:dyDescent="0.35">
      <c r="A184" s="30"/>
      <c r="B184" s="30"/>
    </row>
    <row r="185" spans="1:2" ht="14.5" x14ac:dyDescent="0.35">
      <c r="A185" s="30"/>
      <c r="B185" s="30"/>
    </row>
    <row r="186" spans="1:2" ht="14.5" x14ac:dyDescent="0.35">
      <c r="A186" s="30"/>
      <c r="B186" s="30"/>
    </row>
    <row r="187" spans="1:2" ht="14.5" x14ac:dyDescent="0.35">
      <c r="A187" s="30"/>
      <c r="B187" s="30"/>
    </row>
    <row r="188" spans="1:2" ht="14.5" x14ac:dyDescent="0.35">
      <c r="A188" s="30"/>
      <c r="B188" s="30"/>
    </row>
    <row r="189" spans="1:2" ht="14.5" x14ac:dyDescent="0.35">
      <c r="A189" s="30"/>
      <c r="B189" s="30"/>
    </row>
    <row r="190" spans="1:2" ht="14.5" x14ac:dyDescent="0.35">
      <c r="A190" s="30"/>
      <c r="B190" s="30"/>
    </row>
    <row r="191" spans="1:2" ht="14.5" x14ac:dyDescent="0.35">
      <c r="A191" s="30"/>
      <c r="B191" s="30"/>
    </row>
    <row r="192" spans="1:2" ht="14.5" x14ac:dyDescent="0.35">
      <c r="A192" s="30"/>
      <c r="B192" s="30"/>
    </row>
    <row r="193" spans="1:2" ht="14.5" x14ac:dyDescent="0.35">
      <c r="A193" s="30"/>
      <c r="B193" s="30"/>
    </row>
    <row r="194" spans="1:2" ht="14.5" x14ac:dyDescent="0.35">
      <c r="A194" s="30"/>
      <c r="B194" s="30"/>
    </row>
    <row r="195" spans="1:2" ht="14.5" x14ac:dyDescent="0.35">
      <c r="A195" s="30"/>
      <c r="B195" s="30"/>
    </row>
    <row r="196" spans="1:2" ht="14.5" x14ac:dyDescent="0.35">
      <c r="A196" s="30"/>
      <c r="B196" s="30"/>
    </row>
    <row r="197" spans="1:2" ht="14.5" x14ac:dyDescent="0.35">
      <c r="A197" s="30"/>
      <c r="B197" s="30"/>
    </row>
    <row r="198" spans="1:2" ht="14.5" x14ac:dyDescent="0.35">
      <c r="A198" s="30"/>
      <c r="B198" s="30"/>
    </row>
    <row r="199" spans="1:2" ht="14.5" x14ac:dyDescent="0.35">
      <c r="A199" s="30"/>
      <c r="B199" s="30"/>
    </row>
    <row r="200" spans="1:2" ht="14.5" x14ac:dyDescent="0.35">
      <c r="A200" s="30"/>
      <c r="B200" s="30"/>
    </row>
    <row r="201" spans="1:2" ht="14.5" x14ac:dyDescent="0.35">
      <c r="A201" s="30"/>
      <c r="B201" s="30"/>
    </row>
    <row r="202" spans="1:2" ht="14.5" x14ac:dyDescent="0.35">
      <c r="A202" s="30"/>
      <c r="B202" s="30"/>
    </row>
    <row r="203" spans="1:2" ht="14.5" x14ac:dyDescent="0.35">
      <c r="A203" s="30"/>
      <c r="B203" s="30"/>
    </row>
    <row r="204" spans="1:2" ht="14.5" x14ac:dyDescent="0.35">
      <c r="A204" s="30"/>
      <c r="B204" s="30"/>
    </row>
    <row r="205" spans="1:2" ht="14.5" x14ac:dyDescent="0.35">
      <c r="A205" s="30"/>
      <c r="B205" s="30"/>
    </row>
    <row r="206" spans="1:2" ht="14.5" x14ac:dyDescent="0.35">
      <c r="A206" s="30"/>
      <c r="B206" s="30"/>
    </row>
    <row r="207" spans="1:2" ht="14.5" x14ac:dyDescent="0.35">
      <c r="A207" s="30"/>
      <c r="B207" s="30"/>
    </row>
    <row r="208" spans="1:2" ht="14.5" x14ac:dyDescent="0.35">
      <c r="A208" s="30"/>
      <c r="B208" s="30"/>
    </row>
    <row r="209" spans="1:2" ht="14.5" x14ac:dyDescent="0.35">
      <c r="A209" s="30"/>
      <c r="B209" s="30"/>
    </row>
    <row r="210" spans="1:2" ht="14.5" x14ac:dyDescent="0.35">
      <c r="A210" s="30"/>
      <c r="B210" s="30"/>
    </row>
    <row r="211" spans="1:2" ht="14.5" x14ac:dyDescent="0.35">
      <c r="A211" s="30"/>
      <c r="B211" s="30"/>
    </row>
    <row r="212" spans="1:2" ht="14.5" x14ac:dyDescent="0.35">
      <c r="A212" s="30"/>
      <c r="B212" s="30"/>
    </row>
    <row r="213" spans="1:2" ht="14.5" x14ac:dyDescent="0.35">
      <c r="A213" s="30"/>
      <c r="B213" s="30"/>
    </row>
    <row r="214" spans="1:2" ht="14.5" x14ac:dyDescent="0.35">
      <c r="A214" s="30"/>
      <c r="B214" s="30"/>
    </row>
    <row r="215" spans="1:2" ht="14.5" x14ac:dyDescent="0.35">
      <c r="A215" s="30"/>
      <c r="B215" s="30"/>
    </row>
    <row r="216" spans="1:2" ht="14.5" x14ac:dyDescent="0.35">
      <c r="A216" s="30"/>
      <c r="B216" s="30"/>
    </row>
    <row r="217" spans="1:2" ht="14.5" x14ac:dyDescent="0.35">
      <c r="A217" s="30"/>
      <c r="B217" s="30"/>
    </row>
    <row r="218" spans="1:2" ht="14.5" x14ac:dyDescent="0.35">
      <c r="A218" s="30"/>
      <c r="B218" s="30"/>
    </row>
    <row r="219" spans="1:2" ht="14.5" x14ac:dyDescent="0.35">
      <c r="A219" s="30"/>
      <c r="B219" s="30"/>
    </row>
    <row r="220" spans="1:2" ht="14.5" x14ac:dyDescent="0.35">
      <c r="A220" s="30"/>
      <c r="B220" s="30"/>
    </row>
    <row r="221" spans="1:2" ht="14.5" x14ac:dyDescent="0.35">
      <c r="A221" s="30"/>
      <c r="B221" s="30"/>
    </row>
    <row r="222" spans="1:2" ht="14.5" x14ac:dyDescent="0.35">
      <c r="A222" s="30"/>
      <c r="B222" s="30"/>
    </row>
    <row r="223" spans="1:2" ht="14.5" x14ac:dyDescent="0.35">
      <c r="A223" s="30"/>
      <c r="B223" s="30"/>
    </row>
    <row r="224" spans="1:2" ht="14.5" x14ac:dyDescent="0.35">
      <c r="A224" s="30"/>
      <c r="B224" s="30"/>
    </row>
    <row r="225" spans="1:2" ht="14.5" x14ac:dyDescent="0.35">
      <c r="A225" s="30"/>
      <c r="B225" s="30"/>
    </row>
    <row r="226" spans="1:2" ht="14.5" x14ac:dyDescent="0.35">
      <c r="A226" s="30"/>
      <c r="B226" s="30"/>
    </row>
    <row r="227" spans="1:2" ht="14.5" x14ac:dyDescent="0.35">
      <c r="A227" s="30"/>
      <c r="B227" s="30"/>
    </row>
    <row r="228" spans="1:2" ht="14.5" x14ac:dyDescent="0.35">
      <c r="A228" s="30"/>
      <c r="B228" s="30"/>
    </row>
    <row r="229" spans="1:2" ht="14.5" x14ac:dyDescent="0.35">
      <c r="A229" s="30"/>
      <c r="B229" s="30"/>
    </row>
    <row r="230" spans="1:2" ht="14.5" x14ac:dyDescent="0.35">
      <c r="A230" s="30"/>
      <c r="B230" s="30"/>
    </row>
    <row r="231" spans="1:2" ht="14.5" x14ac:dyDescent="0.35">
      <c r="A231" s="30"/>
      <c r="B231" s="30"/>
    </row>
    <row r="232" spans="1:2" ht="14.5" x14ac:dyDescent="0.35">
      <c r="A232" s="30"/>
      <c r="B232" s="30"/>
    </row>
    <row r="233" spans="1:2" ht="14.5" x14ac:dyDescent="0.35">
      <c r="A233" s="30"/>
      <c r="B233" s="30"/>
    </row>
    <row r="234" spans="1:2" ht="14.5" x14ac:dyDescent="0.35">
      <c r="A234" s="30"/>
      <c r="B234" s="30"/>
    </row>
    <row r="235" spans="1:2" ht="14.5" x14ac:dyDescent="0.35">
      <c r="A235" s="30"/>
      <c r="B235" s="30"/>
    </row>
    <row r="236" spans="1:2" ht="14.5" x14ac:dyDescent="0.35">
      <c r="A236" s="30"/>
      <c r="B236" s="30"/>
    </row>
    <row r="237" spans="1:2" ht="14.5" x14ac:dyDescent="0.35">
      <c r="A237" s="30"/>
      <c r="B237" s="30"/>
    </row>
    <row r="238" spans="1:2" ht="14.5" x14ac:dyDescent="0.35">
      <c r="A238" s="30"/>
      <c r="B238" s="30"/>
    </row>
    <row r="239" spans="1:2" ht="14.5" x14ac:dyDescent="0.35">
      <c r="A239" s="30"/>
      <c r="B239" s="30"/>
    </row>
    <row r="240" spans="1:2" ht="14.5" x14ac:dyDescent="0.35">
      <c r="A240" s="30"/>
      <c r="B240" s="30"/>
    </row>
    <row r="241" spans="1:2" ht="14.5" x14ac:dyDescent="0.35">
      <c r="A241" s="30"/>
      <c r="B241" s="30"/>
    </row>
    <row r="242" spans="1:2" ht="14.5" x14ac:dyDescent="0.35">
      <c r="A242" s="30"/>
      <c r="B242" s="30"/>
    </row>
    <row r="243" spans="1:2" ht="14.5" x14ac:dyDescent="0.35">
      <c r="A243" s="30"/>
      <c r="B243" s="30"/>
    </row>
    <row r="244" spans="1:2" ht="14.5" x14ac:dyDescent="0.35">
      <c r="A244" s="30"/>
      <c r="B244" s="30"/>
    </row>
    <row r="245" spans="1:2" ht="14.5" x14ac:dyDescent="0.35">
      <c r="A245" s="30"/>
      <c r="B245" s="30"/>
    </row>
    <row r="246" spans="1:2" ht="14.5" x14ac:dyDescent="0.35">
      <c r="A246" s="30"/>
      <c r="B246" s="30"/>
    </row>
    <row r="247" spans="1:2" ht="14.5" x14ac:dyDescent="0.35">
      <c r="A247" s="30"/>
      <c r="B247" s="30"/>
    </row>
    <row r="248" spans="1:2" ht="14.5" x14ac:dyDescent="0.35">
      <c r="A248" s="30"/>
      <c r="B248" s="30"/>
    </row>
    <row r="249" spans="1:2" ht="14.5" x14ac:dyDescent="0.35">
      <c r="A249" s="30"/>
      <c r="B249" s="30"/>
    </row>
    <row r="250" spans="1:2" ht="14.5" x14ac:dyDescent="0.35">
      <c r="A250" s="30"/>
      <c r="B250" s="30"/>
    </row>
    <row r="251" spans="1:2" ht="14.5" x14ac:dyDescent="0.35">
      <c r="A251" s="30"/>
      <c r="B251" s="30"/>
    </row>
    <row r="252" spans="1:2" ht="14.5" x14ac:dyDescent="0.35">
      <c r="A252" s="30"/>
      <c r="B252" s="30"/>
    </row>
    <row r="253" spans="1:2" ht="14.5" x14ac:dyDescent="0.35">
      <c r="A253" s="30"/>
      <c r="B253" s="30"/>
    </row>
    <row r="254" spans="1:2" ht="14.5" x14ac:dyDescent="0.35">
      <c r="A254" s="30"/>
      <c r="B254" s="30"/>
    </row>
    <row r="255" spans="1:2" ht="14.5" x14ac:dyDescent="0.35">
      <c r="A255" s="30"/>
      <c r="B255" s="30"/>
    </row>
    <row r="256" spans="1:2" ht="14.5" x14ac:dyDescent="0.35">
      <c r="A256" s="30"/>
      <c r="B256" s="30"/>
    </row>
    <row r="257" spans="1:2" ht="14.5" x14ac:dyDescent="0.35">
      <c r="A257" s="30"/>
      <c r="B257" s="30"/>
    </row>
    <row r="258" spans="1:2" ht="14.5" x14ac:dyDescent="0.35">
      <c r="A258" s="30"/>
      <c r="B258" s="30"/>
    </row>
    <row r="259" spans="1:2" ht="14.5" x14ac:dyDescent="0.35">
      <c r="A259" s="30"/>
      <c r="B259" s="30"/>
    </row>
    <row r="260" spans="1:2" ht="14.5" x14ac:dyDescent="0.35">
      <c r="A260" s="30"/>
      <c r="B260" s="30"/>
    </row>
    <row r="261" spans="1:2" ht="14.5" x14ac:dyDescent="0.35">
      <c r="A261" s="30"/>
      <c r="B261" s="30"/>
    </row>
    <row r="262" spans="1:2" ht="14.5" x14ac:dyDescent="0.35">
      <c r="A262" s="30"/>
      <c r="B262" s="30"/>
    </row>
    <row r="263" spans="1:2" ht="14.5" x14ac:dyDescent="0.35">
      <c r="A263" s="30"/>
      <c r="B263" s="30"/>
    </row>
    <row r="264" spans="1:2" ht="14.5" x14ac:dyDescent="0.35">
      <c r="A264" s="30"/>
      <c r="B264" s="30"/>
    </row>
    <row r="265" spans="1:2" ht="14.5" x14ac:dyDescent="0.35">
      <c r="A265" s="30"/>
      <c r="B265" s="30"/>
    </row>
    <row r="266" spans="1:2" ht="14.5" x14ac:dyDescent="0.35">
      <c r="A266" s="30"/>
      <c r="B266" s="30"/>
    </row>
    <row r="267" spans="1:2" ht="14.5" x14ac:dyDescent="0.35">
      <c r="A267" s="30"/>
      <c r="B267" s="30"/>
    </row>
    <row r="268" spans="1:2" ht="14.5" x14ac:dyDescent="0.35">
      <c r="A268" s="30"/>
      <c r="B268" s="30"/>
    </row>
    <row r="269" spans="1:2" ht="14.5" x14ac:dyDescent="0.35">
      <c r="A269" s="30"/>
      <c r="B269" s="30"/>
    </row>
    <row r="270" spans="1:2" ht="14.5" x14ac:dyDescent="0.35">
      <c r="A270" s="30"/>
      <c r="B270" s="30"/>
    </row>
    <row r="271" spans="1:2" ht="14.5" x14ac:dyDescent="0.35">
      <c r="A271" s="30"/>
      <c r="B271" s="30"/>
    </row>
    <row r="272" spans="1:2" ht="14.5" x14ac:dyDescent="0.35">
      <c r="A272" s="30"/>
      <c r="B272" s="30"/>
    </row>
    <row r="273" spans="1:2" ht="14.5" x14ac:dyDescent="0.35">
      <c r="A273" s="30"/>
      <c r="B273" s="30"/>
    </row>
    <row r="274" spans="1:2" ht="14.5" x14ac:dyDescent="0.35">
      <c r="A274" s="30"/>
      <c r="B274" s="30"/>
    </row>
    <row r="275" spans="1:2" ht="14.5" x14ac:dyDescent="0.35">
      <c r="A275" s="30"/>
      <c r="B275" s="30"/>
    </row>
    <row r="276" spans="1:2" ht="14.5" x14ac:dyDescent="0.35">
      <c r="A276" s="30"/>
      <c r="B276" s="30"/>
    </row>
    <row r="277" spans="1:2" ht="14.5" x14ac:dyDescent="0.35">
      <c r="A277" s="30"/>
      <c r="B277" s="30"/>
    </row>
    <row r="278" spans="1:2" ht="14.5" x14ac:dyDescent="0.35">
      <c r="A278" s="30"/>
      <c r="B278" s="30"/>
    </row>
    <row r="279" spans="1:2" ht="14.5" x14ac:dyDescent="0.35">
      <c r="A279" s="30"/>
      <c r="B279" s="30"/>
    </row>
    <row r="280" spans="1:2" ht="14.5" x14ac:dyDescent="0.35">
      <c r="A280" s="30"/>
      <c r="B280" s="30"/>
    </row>
    <row r="281" spans="1:2" ht="14.5" x14ac:dyDescent="0.35">
      <c r="A281" s="30"/>
      <c r="B281" s="30"/>
    </row>
    <row r="282" spans="1:2" ht="14.5" x14ac:dyDescent="0.35">
      <c r="A282" s="30"/>
      <c r="B282" s="30"/>
    </row>
    <row r="283" spans="1:2" ht="14.5" x14ac:dyDescent="0.35">
      <c r="A283" s="30"/>
      <c r="B283" s="30"/>
    </row>
    <row r="284" spans="1:2" ht="14.5" x14ac:dyDescent="0.35">
      <c r="A284" s="30"/>
      <c r="B284" s="30"/>
    </row>
    <row r="285" spans="1:2" ht="14.5" x14ac:dyDescent="0.35">
      <c r="A285" s="30"/>
      <c r="B285" s="30"/>
    </row>
    <row r="286" spans="1:2" ht="14.5" x14ac:dyDescent="0.35">
      <c r="A286" s="30"/>
      <c r="B286" s="30"/>
    </row>
    <row r="287" spans="1:2" ht="14.5" x14ac:dyDescent="0.35">
      <c r="A287" s="30"/>
      <c r="B287" s="30"/>
    </row>
    <row r="288" spans="1:2" ht="14.5" x14ac:dyDescent="0.35">
      <c r="A288" s="30"/>
      <c r="B288" s="30"/>
    </row>
    <row r="289" spans="1:2" ht="14.5" x14ac:dyDescent="0.35">
      <c r="A289" s="30"/>
      <c r="B289" s="30"/>
    </row>
    <row r="290" spans="1:2" ht="14.5" x14ac:dyDescent="0.35">
      <c r="A290" s="30"/>
      <c r="B290" s="30"/>
    </row>
    <row r="291" spans="1:2" ht="14.5" x14ac:dyDescent="0.35">
      <c r="A291" s="30"/>
      <c r="B291" s="30"/>
    </row>
    <row r="292" spans="1:2" ht="14.5" x14ac:dyDescent="0.35">
      <c r="A292" s="30"/>
      <c r="B292" s="30"/>
    </row>
    <row r="293" spans="1:2" ht="14.5" x14ac:dyDescent="0.35">
      <c r="A293" s="30"/>
      <c r="B293" s="30"/>
    </row>
    <row r="294" spans="1:2" ht="14.5" x14ac:dyDescent="0.35">
      <c r="A294" s="30"/>
      <c r="B294" s="30"/>
    </row>
    <row r="295" spans="1:2" ht="14.5" x14ac:dyDescent="0.35">
      <c r="A295" s="30"/>
      <c r="B295" s="30"/>
    </row>
    <row r="296" spans="1:2" ht="14.5" x14ac:dyDescent="0.35">
      <c r="A296" s="30"/>
      <c r="B296" s="30"/>
    </row>
    <row r="297" spans="1:2" ht="14.5" x14ac:dyDescent="0.35">
      <c r="A297" s="30"/>
      <c r="B297" s="30"/>
    </row>
    <row r="298" spans="1:2" ht="14.5" x14ac:dyDescent="0.35">
      <c r="A298" s="30"/>
      <c r="B298" s="30"/>
    </row>
    <row r="299" spans="1:2" ht="14.5" x14ac:dyDescent="0.35">
      <c r="A299" s="30"/>
      <c r="B299" s="30"/>
    </row>
    <row r="300" spans="1:2" ht="14.5" x14ac:dyDescent="0.35">
      <c r="A300" s="30"/>
      <c r="B300" s="30"/>
    </row>
    <row r="301" spans="1:2" ht="14.5" x14ac:dyDescent="0.35">
      <c r="A301" s="30"/>
      <c r="B301" s="30"/>
    </row>
    <row r="302" spans="1:2" ht="14.5" x14ac:dyDescent="0.35">
      <c r="A302" s="30"/>
      <c r="B302" s="30"/>
    </row>
    <row r="303" spans="1:2" ht="14.5" x14ac:dyDescent="0.35">
      <c r="A303" s="30"/>
      <c r="B303" s="30"/>
    </row>
    <row r="304" spans="1:2" ht="14.5" x14ac:dyDescent="0.35">
      <c r="A304" s="30"/>
      <c r="B304" s="30"/>
    </row>
    <row r="305" spans="1:2" ht="14.5" x14ac:dyDescent="0.35">
      <c r="A305" s="30"/>
      <c r="B305" s="30"/>
    </row>
    <row r="306" spans="1:2" ht="14.5" x14ac:dyDescent="0.35">
      <c r="A306" s="30"/>
      <c r="B306" s="30"/>
    </row>
    <row r="307" spans="1:2" ht="14.5" x14ac:dyDescent="0.35">
      <c r="A307" s="30"/>
      <c r="B307" s="30"/>
    </row>
    <row r="308" spans="1:2" ht="14.5" x14ac:dyDescent="0.35">
      <c r="A308" s="30"/>
      <c r="B308" s="30"/>
    </row>
    <row r="309" spans="1:2" ht="14.5" x14ac:dyDescent="0.35">
      <c r="A309" s="30"/>
      <c r="B309" s="30"/>
    </row>
    <row r="310" spans="1:2" ht="14.5" x14ac:dyDescent="0.35">
      <c r="A310" s="30"/>
      <c r="B310" s="30"/>
    </row>
    <row r="311" spans="1:2" ht="14.5" x14ac:dyDescent="0.35">
      <c r="A311" s="30"/>
      <c r="B311" s="30"/>
    </row>
    <row r="312" spans="1:2" ht="14.5" x14ac:dyDescent="0.35">
      <c r="A312" s="30"/>
      <c r="B312" s="30"/>
    </row>
    <row r="313" spans="1:2" ht="14.5" x14ac:dyDescent="0.35">
      <c r="A313" s="30"/>
      <c r="B313" s="30"/>
    </row>
    <row r="314" spans="1:2" ht="14.5" x14ac:dyDescent="0.35">
      <c r="A314" s="30"/>
      <c r="B314" s="30"/>
    </row>
    <row r="315" spans="1:2" ht="14.5" x14ac:dyDescent="0.35">
      <c r="A315" s="30"/>
      <c r="B315" s="30"/>
    </row>
    <row r="316" spans="1:2" ht="14.5" x14ac:dyDescent="0.35">
      <c r="A316" s="30"/>
      <c r="B316" s="30"/>
    </row>
    <row r="317" spans="1:2" ht="14.5" x14ac:dyDescent="0.35">
      <c r="A317" s="30"/>
      <c r="B317" s="30"/>
    </row>
    <row r="318" spans="1:2" ht="14.5" x14ac:dyDescent="0.35">
      <c r="A318" s="30"/>
      <c r="B318" s="30"/>
    </row>
    <row r="319" spans="1:2" ht="14.5" x14ac:dyDescent="0.35">
      <c r="A319" s="30"/>
      <c r="B319" s="30"/>
    </row>
    <row r="320" spans="1:2" ht="14.5" x14ac:dyDescent="0.35">
      <c r="A320" s="30"/>
      <c r="B320" s="30"/>
    </row>
    <row r="321" spans="1:2" ht="14.5" x14ac:dyDescent="0.35">
      <c r="A321" s="30"/>
      <c r="B321" s="30"/>
    </row>
    <row r="322" spans="1:2" ht="14.5" x14ac:dyDescent="0.35">
      <c r="A322" s="30"/>
      <c r="B322" s="30"/>
    </row>
    <row r="323" spans="1:2" ht="14.5" x14ac:dyDescent="0.35">
      <c r="A323" s="30"/>
      <c r="B323" s="30"/>
    </row>
    <row r="324" spans="1:2" ht="14.5" x14ac:dyDescent="0.35">
      <c r="A324" s="30"/>
      <c r="B324" s="30"/>
    </row>
    <row r="325" spans="1:2" ht="14.5" x14ac:dyDescent="0.35">
      <c r="A325" s="30"/>
      <c r="B325" s="30"/>
    </row>
    <row r="326" spans="1:2" ht="14.5" x14ac:dyDescent="0.35">
      <c r="A326" s="30"/>
      <c r="B326" s="30"/>
    </row>
    <row r="327" spans="1:2" ht="14.5" x14ac:dyDescent="0.35">
      <c r="A327" s="30"/>
      <c r="B327" s="30"/>
    </row>
    <row r="328" spans="1:2" ht="14.5" x14ac:dyDescent="0.35">
      <c r="A328" s="30"/>
      <c r="B328" s="30"/>
    </row>
    <row r="329" spans="1:2" ht="14.5" x14ac:dyDescent="0.35">
      <c r="A329" s="30"/>
      <c r="B329" s="30"/>
    </row>
    <row r="330" spans="1:2" ht="14.5" x14ac:dyDescent="0.35">
      <c r="A330" s="30"/>
      <c r="B330" s="30"/>
    </row>
    <row r="331" spans="1:2" ht="14.5" x14ac:dyDescent="0.35">
      <c r="A331" s="30"/>
      <c r="B331" s="30"/>
    </row>
    <row r="332" spans="1:2" ht="14.5" x14ac:dyDescent="0.35">
      <c r="A332" s="30"/>
      <c r="B332" s="30"/>
    </row>
    <row r="333" spans="1:2" ht="14.5" x14ac:dyDescent="0.35">
      <c r="A333" s="30"/>
      <c r="B333" s="30"/>
    </row>
    <row r="334" spans="1:2" ht="14.5" x14ac:dyDescent="0.35">
      <c r="A334" s="30"/>
      <c r="B334" s="30"/>
    </row>
    <row r="335" spans="1:2" ht="14.5" x14ac:dyDescent="0.35">
      <c r="A335" s="30"/>
      <c r="B335" s="30"/>
    </row>
    <row r="336" spans="1:2" ht="14.5" x14ac:dyDescent="0.35">
      <c r="A336" s="30"/>
      <c r="B336" s="30"/>
    </row>
    <row r="337" spans="1:2" ht="14.5" x14ac:dyDescent="0.35">
      <c r="A337" s="30"/>
      <c r="B337" s="30"/>
    </row>
    <row r="338" spans="1:2" ht="14.5" x14ac:dyDescent="0.35">
      <c r="A338" s="30"/>
      <c r="B338" s="30"/>
    </row>
    <row r="339" spans="1:2" ht="14.5" x14ac:dyDescent="0.35">
      <c r="A339" s="30"/>
      <c r="B339" s="30"/>
    </row>
    <row r="340" spans="1:2" ht="14.5" x14ac:dyDescent="0.35">
      <c r="A340" s="30"/>
      <c r="B340" s="30"/>
    </row>
    <row r="341" spans="1:2" ht="14.5" x14ac:dyDescent="0.35">
      <c r="A341" s="30"/>
      <c r="B341" s="30"/>
    </row>
    <row r="342" spans="1:2" ht="14.5" x14ac:dyDescent="0.35">
      <c r="A342" s="30"/>
      <c r="B342" s="30"/>
    </row>
    <row r="343" spans="1:2" ht="14.5" x14ac:dyDescent="0.35">
      <c r="A343" s="30"/>
      <c r="B343" s="30"/>
    </row>
    <row r="344" spans="1:2" ht="14.5" x14ac:dyDescent="0.35">
      <c r="A344" s="30"/>
      <c r="B344" s="30"/>
    </row>
    <row r="345" spans="1:2" ht="14.5" x14ac:dyDescent="0.35">
      <c r="A345" s="30"/>
      <c r="B345" s="30"/>
    </row>
    <row r="346" spans="1:2" ht="14.5" x14ac:dyDescent="0.35">
      <c r="A346" s="30"/>
      <c r="B346" s="30"/>
    </row>
    <row r="347" spans="1:2" ht="14.5" x14ac:dyDescent="0.35">
      <c r="A347" s="30"/>
      <c r="B347" s="30"/>
    </row>
    <row r="348" spans="1:2" ht="14.5" x14ac:dyDescent="0.35">
      <c r="A348" s="30"/>
      <c r="B348" s="30"/>
    </row>
    <row r="349" spans="1:2" ht="14.5" x14ac:dyDescent="0.35">
      <c r="A349" s="30"/>
      <c r="B349" s="30"/>
    </row>
    <row r="350" spans="1:2" ht="14.5" x14ac:dyDescent="0.35">
      <c r="A350" s="30"/>
      <c r="B350" s="30"/>
    </row>
    <row r="351" spans="1:2" ht="14.5" x14ac:dyDescent="0.35">
      <c r="A351" s="30"/>
      <c r="B351" s="30"/>
    </row>
    <row r="352" spans="1:2" ht="14.5" x14ac:dyDescent="0.35">
      <c r="A352" s="30"/>
      <c r="B352" s="30"/>
    </row>
    <row r="353" spans="1:2" ht="14.5" x14ac:dyDescent="0.35">
      <c r="A353" s="30"/>
      <c r="B353" s="30"/>
    </row>
    <row r="354" spans="1:2" ht="14.5" x14ac:dyDescent="0.35">
      <c r="A354" s="30"/>
      <c r="B354" s="30"/>
    </row>
    <row r="355" spans="1:2" ht="14.5" x14ac:dyDescent="0.35">
      <c r="A355" s="30"/>
      <c r="B355" s="30"/>
    </row>
    <row r="356" spans="1:2" ht="14.5" x14ac:dyDescent="0.35">
      <c r="A356" s="30"/>
      <c r="B356" s="30"/>
    </row>
    <row r="357" spans="1:2" ht="14.5" x14ac:dyDescent="0.35">
      <c r="A357" s="30"/>
      <c r="B357" s="30"/>
    </row>
    <row r="358" spans="1:2" ht="14.5" x14ac:dyDescent="0.35">
      <c r="A358" s="30"/>
      <c r="B358" s="30"/>
    </row>
    <row r="359" spans="1:2" ht="14.5" x14ac:dyDescent="0.35">
      <c r="A359" s="30"/>
      <c r="B359" s="30"/>
    </row>
    <row r="360" spans="1:2" ht="14.5" x14ac:dyDescent="0.35">
      <c r="A360" s="30"/>
      <c r="B360" s="30"/>
    </row>
    <row r="361" spans="1:2" ht="14.5" x14ac:dyDescent="0.35">
      <c r="A361" s="30"/>
      <c r="B361" s="30"/>
    </row>
    <row r="362" spans="1:2" ht="14.5" x14ac:dyDescent="0.35">
      <c r="A362" s="30"/>
      <c r="B362" s="30"/>
    </row>
    <row r="363" spans="1:2" ht="14.5" x14ac:dyDescent="0.35">
      <c r="A363" s="30"/>
      <c r="B363" s="30"/>
    </row>
    <row r="364" spans="1:2" ht="14.5" x14ac:dyDescent="0.35">
      <c r="A364" s="30"/>
      <c r="B364" s="30"/>
    </row>
    <row r="365" spans="1:2" ht="14.5" x14ac:dyDescent="0.35">
      <c r="A365" s="30"/>
      <c r="B365" s="30"/>
    </row>
    <row r="366" spans="1:2" ht="14.5" x14ac:dyDescent="0.35">
      <c r="A366" s="30"/>
      <c r="B366" s="30"/>
    </row>
    <row r="367" spans="1:2" ht="14.5" x14ac:dyDescent="0.35">
      <c r="A367" s="30"/>
      <c r="B367" s="30"/>
    </row>
    <row r="368" spans="1:2" ht="14.5" x14ac:dyDescent="0.35">
      <c r="A368" s="30"/>
      <c r="B368" s="30"/>
    </row>
    <row r="369" spans="1:2" ht="14.5" x14ac:dyDescent="0.35">
      <c r="A369" s="30"/>
      <c r="B369" s="30"/>
    </row>
    <row r="370" spans="1:2" ht="14.5" x14ac:dyDescent="0.35">
      <c r="A370" s="30"/>
      <c r="B370" s="30"/>
    </row>
    <row r="371" spans="1:2" ht="14.5" x14ac:dyDescent="0.35">
      <c r="A371" s="30"/>
      <c r="B371" s="30"/>
    </row>
    <row r="372" spans="1:2" ht="14.5" x14ac:dyDescent="0.35">
      <c r="A372" s="30"/>
      <c r="B372" s="30"/>
    </row>
    <row r="373" spans="1:2" ht="14.5" x14ac:dyDescent="0.35">
      <c r="A373" s="30"/>
      <c r="B373" s="30"/>
    </row>
    <row r="374" spans="1:2" ht="14.5" x14ac:dyDescent="0.35">
      <c r="A374" s="30"/>
      <c r="B374" s="30"/>
    </row>
    <row r="375" spans="1:2" ht="14.5" x14ac:dyDescent="0.35">
      <c r="A375" s="30"/>
      <c r="B375" s="30"/>
    </row>
    <row r="376" spans="1:2" ht="14.5" x14ac:dyDescent="0.35">
      <c r="A376" s="30"/>
      <c r="B376" s="30"/>
    </row>
    <row r="377" spans="1:2" ht="14.5" x14ac:dyDescent="0.35">
      <c r="A377" s="30"/>
      <c r="B377" s="30"/>
    </row>
    <row r="378" spans="1:2" ht="14.5" x14ac:dyDescent="0.35">
      <c r="A378" s="30"/>
      <c r="B378" s="30"/>
    </row>
    <row r="379" spans="1:2" ht="14.5" x14ac:dyDescent="0.35">
      <c r="A379" s="30"/>
      <c r="B379" s="30"/>
    </row>
    <row r="380" spans="1:2" ht="14.5" x14ac:dyDescent="0.35">
      <c r="A380" s="30"/>
      <c r="B380" s="30"/>
    </row>
    <row r="381" spans="1:2" ht="14.5" x14ac:dyDescent="0.35">
      <c r="A381" s="30"/>
      <c r="B381" s="30"/>
    </row>
    <row r="382" spans="1:2" ht="14.5" x14ac:dyDescent="0.35">
      <c r="A382" s="30"/>
      <c r="B382" s="30"/>
    </row>
    <row r="383" spans="1:2" ht="14.5" x14ac:dyDescent="0.35">
      <c r="A383" s="30"/>
      <c r="B383" s="30"/>
    </row>
    <row r="384" spans="1:2" ht="14.5" x14ac:dyDescent="0.35">
      <c r="A384" s="30"/>
      <c r="B384" s="30"/>
    </row>
    <row r="385" spans="1:2" ht="14.5" x14ac:dyDescent="0.35">
      <c r="A385" s="30"/>
      <c r="B385" s="30"/>
    </row>
    <row r="386" spans="1:2" ht="14.5" x14ac:dyDescent="0.35">
      <c r="A386" s="30"/>
      <c r="B386" s="30"/>
    </row>
    <row r="387" spans="1:2" ht="14.5" x14ac:dyDescent="0.35">
      <c r="A387" s="30"/>
      <c r="B387" s="30"/>
    </row>
    <row r="388" spans="1:2" ht="14.5" x14ac:dyDescent="0.35">
      <c r="A388" s="30"/>
      <c r="B388" s="30"/>
    </row>
    <row r="389" spans="1:2" ht="14.5" x14ac:dyDescent="0.35">
      <c r="A389" s="30"/>
      <c r="B389" s="30"/>
    </row>
    <row r="390" spans="1:2" ht="14.5" x14ac:dyDescent="0.35">
      <c r="A390" s="30"/>
      <c r="B390" s="30"/>
    </row>
    <row r="391" spans="1:2" ht="14.5" x14ac:dyDescent="0.35">
      <c r="A391" s="30"/>
      <c r="B391" s="30"/>
    </row>
    <row r="392" spans="1:2" ht="14.5" x14ac:dyDescent="0.35">
      <c r="A392" s="30"/>
      <c r="B392" s="30"/>
    </row>
    <row r="393" spans="1:2" ht="14.5" x14ac:dyDescent="0.35">
      <c r="A393" s="30"/>
      <c r="B393" s="30"/>
    </row>
    <row r="394" spans="1:2" ht="14.5" x14ac:dyDescent="0.35">
      <c r="A394" s="30"/>
      <c r="B394" s="30"/>
    </row>
    <row r="395" spans="1:2" ht="14.5" x14ac:dyDescent="0.35">
      <c r="A395" s="30"/>
      <c r="B395" s="30"/>
    </row>
    <row r="396" spans="1:2" ht="14.5" x14ac:dyDescent="0.35">
      <c r="A396" s="30"/>
      <c r="B396" s="30"/>
    </row>
    <row r="397" spans="1:2" ht="14.5" x14ac:dyDescent="0.35">
      <c r="A397" s="30"/>
      <c r="B397" s="30"/>
    </row>
    <row r="398" spans="1:2" ht="14.5" x14ac:dyDescent="0.35">
      <c r="A398" s="30"/>
      <c r="B398" s="30"/>
    </row>
    <row r="399" spans="1:2" ht="14.5" x14ac:dyDescent="0.35">
      <c r="A399" s="30"/>
      <c r="B399" s="30"/>
    </row>
    <row r="400" spans="1:2" ht="14.5" x14ac:dyDescent="0.35">
      <c r="A400" s="30"/>
      <c r="B400" s="30"/>
    </row>
    <row r="401" spans="1:2" ht="14.5" x14ac:dyDescent="0.35">
      <c r="A401" s="30"/>
      <c r="B401" s="30"/>
    </row>
    <row r="402" spans="1:2" ht="14.5" x14ac:dyDescent="0.35">
      <c r="A402" s="30"/>
      <c r="B402" s="30"/>
    </row>
    <row r="403" spans="1:2" ht="14.5" x14ac:dyDescent="0.35">
      <c r="A403" s="30"/>
      <c r="B403" s="30"/>
    </row>
    <row r="404" spans="1:2" ht="14.5" x14ac:dyDescent="0.35">
      <c r="A404" s="30"/>
      <c r="B404" s="30"/>
    </row>
    <row r="405" spans="1:2" ht="14.5" x14ac:dyDescent="0.35">
      <c r="A405" s="30"/>
      <c r="B405" s="30"/>
    </row>
    <row r="406" spans="1:2" ht="14.5" x14ac:dyDescent="0.35">
      <c r="A406" s="30"/>
      <c r="B406" s="30"/>
    </row>
    <row r="407" spans="1:2" ht="14.5" x14ac:dyDescent="0.35">
      <c r="A407" s="30"/>
      <c r="B407" s="30"/>
    </row>
    <row r="408" spans="1:2" ht="14.5" x14ac:dyDescent="0.35">
      <c r="A408" s="30"/>
      <c r="B408" s="30"/>
    </row>
    <row r="409" spans="1:2" ht="14.5" x14ac:dyDescent="0.35">
      <c r="A409" s="30"/>
      <c r="B409" s="30"/>
    </row>
    <row r="410" spans="1:2" ht="14.5" x14ac:dyDescent="0.35">
      <c r="A410" s="30"/>
      <c r="B410" s="30"/>
    </row>
    <row r="411" spans="1:2" ht="14.5" x14ac:dyDescent="0.35">
      <c r="A411" s="30"/>
      <c r="B411" s="30"/>
    </row>
    <row r="412" spans="1:2" ht="14.5" x14ac:dyDescent="0.35">
      <c r="A412" s="30"/>
      <c r="B412" s="30"/>
    </row>
    <row r="413" spans="1:2" ht="14.5" x14ac:dyDescent="0.35">
      <c r="A413" s="30"/>
      <c r="B413" s="30"/>
    </row>
    <row r="414" spans="1:2" ht="14.5" x14ac:dyDescent="0.35">
      <c r="A414" s="30"/>
      <c r="B414" s="30"/>
    </row>
    <row r="415" spans="1:2" ht="14.5" x14ac:dyDescent="0.35">
      <c r="A415" s="30"/>
      <c r="B415" s="30"/>
    </row>
    <row r="416" spans="1:2" ht="14.5" x14ac:dyDescent="0.35">
      <c r="A416" s="30"/>
      <c r="B416" s="30"/>
    </row>
    <row r="417" spans="1:2" ht="14.5" x14ac:dyDescent="0.35">
      <c r="A417" s="30"/>
      <c r="B417" s="30"/>
    </row>
    <row r="418" spans="1:2" ht="14.5" x14ac:dyDescent="0.35">
      <c r="A418" s="30"/>
      <c r="B418" s="30"/>
    </row>
    <row r="419" spans="1:2" ht="14.5" x14ac:dyDescent="0.35">
      <c r="A419" s="30"/>
      <c r="B419" s="30"/>
    </row>
    <row r="420" spans="1:2" ht="14.5" x14ac:dyDescent="0.35">
      <c r="A420" s="30"/>
      <c r="B420" s="30"/>
    </row>
    <row r="421" spans="1:2" ht="14.5" x14ac:dyDescent="0.35">
      <c r="A421" s="30"/>
      <c r="B421" s="30"/>
    </row>
    <row r="422" spans="1:2" ht="14.5" x14ac:dyDescent="0.35">
      <c r="A422" s="30"/>
      <c r="B422" s="30"/>
    </row>
    <row r="423" spans="1:2" ht="14.5" x14ac:dyDescent="0.35">
      <c r="A423" s="30"/>
      <c r="B423" s="30"/>
    </row>
    <row r="424" spans="1:2" ht="14.5" x14ac:dyDescent="0.35">
      <c r="A424" s="30"/>
      <c r="B424" s="30"/>
    </row>
    <row r="425" spans="1:2" ht="14.5" x14ac:dyDescent="0.35">
      <c r="A425" s="30"/>
      <c r="B425" s="30"/>
    </row>
    <row r="426" spans="1:2" ht="14.5" x14ac:dyDescent="0.35">
      <c r="A426" s="30"/>
      <c r="B426" s="30"/>
    </row>
    <row r="427" spans="1:2" ht="14.5" x14ac:dyDescent="0.35">
      <c r="A427" s="30"/>
      <c r="B427" s="30"/>
    </row>
    <row r="428" spans="1:2" ht="14.5" x14ac:dyDescent="0.35">
      <c r="A428" s="30"/>
      <c r="B428" s="30"/>
    </row>
    <row r="429" spans="1:2" ht="14.5" x14ac:dyDescent="0.35">
      <c r="A429" s="30"/>
      <c r="B429" s="30"/>
    </row>
    <row r="430" spans="1:2" ht="14.5" x14ac:dyDescent="0.35">
      <c r="A430" s="30"/>
      <c r="B430" s="30"/>
    </row>
    <row r="431" spans="1:2" ht="14.5" x14ac:dyDescent="0.35">
      <c r="A431" s="30"/>
      <c r="B431" s="30"/>
    </row>
    <row r="432" spans="1:2" ht="14.5" x14ac:dyDescent="0.35">
      <c r="A432" s="30"/>
      <c r="B432" s="30"/>
    </row>
    <row r="433" spans="1:2" ht="14.5" x14ac:dyDescent="0.35">
      <c r="A433" s="30"/>
      <c r="B433" s="30"/>
    </row>
    <row r="434" spans="1:2" ht="14.5" x14ac:dyDescent="0.35">
      <c r="A434" s="30"/>
      <c r="B434" s="30"/>
    </row>
    <row r="435" spans="1:2" ht="14.5" x14ac:dyDescent="0.35">
      <c r="A435" s="30"/>
      <c r="B435" s="30"/>
    </row>
    <row r="436" spans="1:2" ht="14.5" x14ac:dyDescent="0.35">
      <c r="A436" s="30"/>
      <c r="B436" s="30"/>
    </row>
    <row r="437" spans="1:2" ht="14.5" x14ac:dyDescent="0.35">
      <c r="A437" s="30"/>
      <c r="B437" s="30"/>
    </row>
    <row r="438" spans="1:2" ht="14.5" x14ac:dyDescent="0.35">
      <c r="A438" s="30"/>
      <c r="B438" s="30"/>
    </row>
    <row r="439" spans="1:2" ht="14.5" x14ac:dyDescent="0.35">
      <c r="A439" s="30"/>
      <c r="B439" s="30"/>
    </row>
    <row r="440" spans="1:2" ht="14.5" x14ac:dyDescent="0.35">
      <c r="A440" s="30"/>
      <c r="B440" s="30"/>
    </row>
    <row r="441" spans="1:2" ht="14.5" x14ac:dyDescent="0.35">
      <c r="A441" s="30"/>
      <c r="B441" s="30"/>
    </row>
    <row r="442" spans="1:2" ht="14.5" x14ac:dyDescent="0.35">
      <c r="A442" s="30"/>
      <c r="B442" s="30"/>
    </row>
    <row r="443" spans="1:2" ht="14.5" x14ac:dyDescent="0.35">
      <c r="A443" s="30"/>
      <c r="B443" s="30"/>
    </row>
    <row r="444" spans="1:2" ht="14.5" x14ac:dyDescent="0.35">
      <c r="A444" s="30"/>
      <c r="B444" s="30"/>
    </row>
    <row r="445" spans="1:2" ht="14.5" x14ac:dyDescent="0.35">
      <c r="A445" s="30"/>
      <c r="B445" s="30"/>
    </row>
    <row r="446" spans="1:2" ht="14.5" x14ac:dyDescent="0.35">
      <c r="A446" s="30"/>
      <c r="B446" s="30"/>
    </row>
    <row r="447" spans="1:2" ht="14.5" x14ac:dyDescent="0.35">
      <c r="A447" s="30"/>
      <c r="B447" s="30"/>
    </row>
    <row r="448" spans="1:2" ht="14.5" x14ac:dyDescent="0.35">
      <c r="A448" s="30"/>
      <c r="B448" s="30"/>
    </row>
    <row r="449" spans="1:2" ht="14.5" x14ac:dyDescent="0.35">
      <c r="A449" s="30"/>
      <c r="B449" s="30"/>
    </row>
    <row r="450" spans="1:2" ht="14.5" x14ac:dyDescent="0.35">
      <c r="A450" s="30"/>
      <c r="B450" s="30"/>
    </row>
    <row r="451" spans="1:2" ht="14.5" x14ac:dyDescent="0.35">
      <c r="A451" s="30"/>
      <c r="B451" s="30"/>
    </row>
    <row r="452" spans="1:2" ht="14.5" x14ac:dyDescent="0.35">
      <c r="A452" s="30"/>
      <c r="B452" s="30"/>
    </row>
    <row r="453" spans="1:2" ht="14.5" x14ac:dyDescent="0.35">
      <c r="A453" s="30"/>
      <c r="B453" s="30"/>
    </row>
    <row r="454" spans="1:2" ht="14.5" x14ac:dyDescent="0.35">
      <c r="A454" s="30"/>
      <c r="B454" s="30"/>
    </row>
    <row r="455" spans="1:2" ht="14.5" x14ac:dyDescent="0.35">
      <c r="A455" s="30"/>
      <c r="B455" s="30"/>
    </row>
    <row r="456" spans="1:2" ht="14.5" x14ac:dyDescent="0.35">
      <c r="A456" s="30"/>
      <c r="B456" s="30"/>
    </row>
    <row r="457" spans="1:2" ht="14.5" x14ac:dyDescent="0.35">
      <c r="A457" s="30"/>
      <c r="B457" s="30"/>
    </row>
    <row r="458" spans="1:2" ht="14.5" x14ac:dyDescent="0.35">
      <c r="A458" s="30"/>
      <c r="B458" s="30"/>
    </row>
    <row r="459" spans="1:2" ht="14.5" x14ac:dyDescent="0.35">
      <c r="A459" s="30"/>
      <c r="B459" s="30"/>
    </row>
    <row r="460" spans="1:2" ht="14.5" x14ac:dyDescent="0.35">
      <c r="A460" s="30"/>
      <c r="B460" s="30"/>
    </row>
    <row r="461" spans="1:2" ht="14.5" x14ac:dyDescent="0.35">
      <c r="A461" s="30"/>
      <c r="B461" s="30"/>
    </row>
    <row r="462" spans="1:2" ht="14.5" x14ac:dyDescent="0.35">
      <c r="A462" s="30"/>
      <c r="B462" s="30"/>
    </row>
    <row r="463" spans="1:2" ht="14.5" x14ac:dyDescent="0.35">
      <c r="A463" s="30"/>
      <c r="B463" s="30"/>
    </row>
    <row r="464" spans="1:2" ht="14.5" x14ac:dyDescent="0.35">
      <c r="A464" s="30"/>
      <c r="B464" s="30"/>
    </row>
    <row r="465" spans="1:2" ht="14.5" x14ac:dyDescent="0.35">
      <c r="A465" s="30"/>
      <c r="B465" s="30"/>
    </row>
    <row r="466" spans="1:2" ht="14.5" x14ac:dyDescent="0.35">
      <c r="A466" s="30"/>
      <c r="B466" s="30"/>
    </row>
    <row r="467" spans="1:2" ht="14.5" x14ac:dyDescent="0.35">
      <c r="A467" s="30"/>
      <c r="B467" s="30"/>
    </row>
    <row r="468" spans="1:2" ht="14.5" x14ac:dyDescent="0.35">
      <c r="A468" s="30"/>
      <c r="B468" s="30"/>
    </row>
    <row r="469" spans="1:2" ht="14.5" x14ac:dyDescent="0.35">
      <c r="A469" s="30"/>
      <c r="B469" s="30"/>
    </row>
    <row r="470" spans="1:2" ht="14.5" x14ac:dyDescent="0.35">
      <c r="A470" s="30"/>
      <c r="B470" s="30"/>
    </row>
    <row r="471" spans="1:2" ht="14.5" x14ac:dyDescent="0.35">
      <c r="A471" s="30"/>
      <c r="B471" s="30"/>
    </row>
    <row r="472" spans="1:2" ht="14.5" x14ac:dyDescent="0.35">
      <c r="A472" s="30"/>
      <c r="B472" s="30"/>
    </row>
    <row r="473" spans="1:2" ht="14.5" x14ac:dyDescent="0.35">
      <c r="A473" s="30"/>
      <c r="B473" s="30"/>
    </row>
    <row r="474" spans="1:2" ht="14.5" x14ac:dyDescent="0.35">
      <c r="A474" s="30"/>
      <c r="B474" s="30"/>
    </row>
    <row r="475" spans="1:2" ht="14.5" x14ac:dyDescent="0.35">
      <c r="A475" s="30"/>
      <c r="B475" s="30"/>
    </row>
    <row r="476" spans="1:2" ht="14.5" x14ac:dyDescent="0.35">
      <c r="A476" s="30"/>
      <c r="B476" s="30"/>
    </row>
    <row r="477" spans="1:2" ht="14.5" x14ac:dyDescent="0.35">
      <c r="A477" s="30"/>
      <c r="B477" s="30"/>
    </row>
    <row r="478" spans="1:2" ht="14.5" x14ac:dyDescent="0.35">
      <c r="A478" s="30"/>
      <c r="B478" s="30"/>
    </row>
    <row r="479" spans="1:2" ht="14.5" x14ac:dyDescent="0.35">
      <c r="A479" s="30"/>
      <c r="B479" s="30"/>
    </row>
    <row r="480" spans="1:2" ht="14.5" x14ac:dyDescent="0.35">
      <c r="A480" s="30"/>
      <c r="B480" s="30"/>
    </row>
    <row r="481" spans="1:2" ht="14.5" x14ac:dyDescent="0.35">
      <c r="A481" s="30"/>
      <c r="B481" s="30"/>
    </row>
    <row r="482" spans="1:2" ht="14.5" x14ac:dyDescent="0.35">
      <c r="A482" s="30"/>
      <c r="B482" s="30"/>
    </row>
    <row r="483" spans="1:2" ht="14.5" x14ac:dyDescent="0.35">
      <c r="A483" s="30"/>
      <c r="B483" s="30"/>
    </row>
    <row r="484" spans="1:2" ht="14.5" x14ac:dyDescent="0.35">
      <c r="A484" s="30"/>
      <c r="B484" s="30"/>
    </row>
    <row r="485" spans="1:2" ht="14.5" x14ac:dyDescent="0.35">
      <c r="A485" s="30"/>
      <c r="B485" s="30"/>
    </row>
    <row r="486" spans="1:2" ht="14.5" x14ac:dyDescent="0.35">
      <c r="A486" s="30"/>
      <c r="B486" s="30"/>
    </row>
    <row r="487" spans="1:2" ht="14.5" x14ac:dyDescent="0.35">
      <c r="A487" s="30"/>
      <c r="B487" s="30"/>
    </row>
    <row r="488" spans="1:2" ht="14.5" x14ac:dyDescent="0.35">
      <c r="A488" s="30"/>
      <c r="B488" s="30"/>
    </row>
    <row r="489" spans="1:2" ht="14.5" x14ac:dyDescent="0.35">
      <c r="A489" s="30"/>
      <c r="B489" s="30"/>
    </row>
    <row r="490" spans="1:2" ht="14.5" x14ac:dyDescent="0.35">
      <c r="A490" s="30"/>
      <c r="B490" s="30"/>
    </row>
    <row r="491" spans="1:2" ht="14.5" x14ac:dyDescent="0.35">
      <c r="A491" s="30"/>
      <c r="B491" s="30"/>
    </row>
    <row r="492" spans="1:2" ht="14.5" x14ac:dyDescent="0.35">
      <c r="A492" s="30"/>
      <c r="B492" s="30"/>
    </row>
    <row r="493" spans="1:2" ht="14.5" x14ac:dyDescent="0.35">
      <c r="A493" s="30"/>
      <c r="B493" s="30"/>
    </row>
    <row r="494" spans="1:2" ht="14.5" x14ac:dyDescent="0.35">
      <c r="A494" s="30"/>
      <c r="B494" s="30"/>
    </row>
    <row r="495" spans="1:2" ht="14.5" x14ac:dyDescent="0.35">
      <c r="A495" s="30"/>
      <c r="B495" s="30"/>
    </row>
    <row r="496" spans="1:2" ht="14.5" x14ac:dyDescent="0.35">
      <c r="A496" s="30"/>
      <c r="B496" s="30"/>
    </row>
    <row r="497" spans="1:2" ht="14.5" x14ac:dyDescent="0.35">
      <c r="A497" s="30"/>
      <c r="B497" s="30"/>
    </row>
    <row r="498" spans="1:2" ht="14.5" x14ac:dyDescent="0.35">
      <c r="A498" s="30"/>
      <c r="B498" s="30"/>
    </row>
    <row r="499" spans="1:2" ht="14.5" x14ac:dyDescent="0.35">
      <c r="A499" s="30"/>
      <c r="B499" s="30"/>
    </row>
    <row r="500" spans="1:2" ht="14.5" x14ac:dyDescent="0.35">
      <c r="A500" s="30"/>
      <c r="B500" s="30"/>
    </row>
    <row r="501" spans="1:2" ht="14.5" x14ac:dyDescent="0.35">
      <c r="A501" s="30"/>
      <c r="B501" s="30"/>
    </row>
    <row r="502" spans="1:2" ht="14.5" x14ac:dyDescent="0.35">
      <c r="A502" s="30"/>
      <c r="B502" s="30"/>
    </row>
    <row r="503" spans="1:2" ht="14.5" x14ac:dyDescent="0.35">
      <c r="A503" s="30"/>
      <c r="B503" s="30"/>
    </row>
    <row r="504" spans="1:2" ht="14.5" x14ac:dyDescent="0.35">
      <c r="A504" s="30"/>
      <c r="B504" s="30"/>
    </row>
    <row r="505" spans="1:2" ht="14.5" x14ac:dyDescent="0.35">
      <c r="A505" s="30"/>
      <c r="B505" s="30"/>
    </row>
    <row r="506" spans="1:2" ht="14.5" x14ac:dyDescent="0.35">
      <c r="A506" s="30"/>
      <c r="B506" s="30"/>
    </row>
    <row r="507" spans="1:2" ht="14.5" x14ac:dyDescent="0.35">
      <c r="A507" s="30"/>
      <c r="B507" s="30"/>
    </row>
    <row r="508" spans="1:2" ht="14.5" x14ac:dyDescent="0.35">
      <c r="A508" s="30"/>
      <c r="B508" s="30"/>
    </row>
    <row r="509" spans="1:2" ht="14.5" x14ac:dyDescent="0.35">
      <c r="A509" s="30"/>
      <c r="B509" s="30"/>
    </row>
    <row r="510" spans="1:2" ht="14.5" x14ac:dyDescent="0.35">
      <c r="A510" s="30"/>
      <c r="B510" s="30"/>
    </row>
    <row r="511" spans="1:2" ht="14.5" x14ac:dyDescent="0.35">
      <c r="A511" s="30"/>
      <c r="B511" s="30"/>
    </row>
    <row r="512" spans="1:2" ht="14.5" x14ac:dyDescent="0.35">
      <c r="A512" s="30"/>
      <c r="B512" s="30"/>
    </row>
    <row r="513" spans="1:2" ht="14.5" x14ac:dyDescent="0.35">
      <c r="A513" s="30"/>
      <c r="B513" s="30"/>
    </row>
    <row r="514" spans="1:2" ht="14.5" x14ac:dyDescent="0.35">
      <c r="A514" s="30"/>
      <c r="B514" s="30"/>
    </row>
    <row r="515" spans="1:2" ht="14.5" x14ac:dyDescent="0.35">
      <c r="A515" s="30"/>
      <c r="B515" s="30"/>
    </row>
    <row r="516" spans="1:2" ht="14.5" x14ac:dyDescent="0.35">
      <c r="A516" s="30"/>
      <c r="B516" s="30"/>
    </row>
    <row r="517" spans="1:2" ht="14.5" x14ac:dyDescent="0.35">
      <c r="A517" s="30"/>
      <c r="B517" s="30"/>
    </row>
    <row r="518" spans="1:2" ht="14.5" x14ac:dyDescent="0.35">
      <c r="A518" s="30"/>
      <c r="B518" s="30"/>
    </row>
    <row r="519" spans="1:2" ht="14.5" x14ac:dyDescent="0.35">
      <c r="A519" s="30"/>
      <c r="B519" s="30"/>
    </row>
    <row r="520" spans="1:2" ht="14.5" x14ac:dyDescent="0.35">
      <c r="A520" s="30"/>
      <c r="B520" s="30"/>
    </row>
    <row r="521" spans="1:2" ht="14.5" x14ac:dyDescent="0.35">
      <c r="A521" s="30"/>
      <c r="B521" s="30"/>
    </row>
    <row r="522" spans="1:2" ht="14.5" x14ac:dyDescent="0.35">
      <c r="A522" s="30"/>
      <c r="B522" s="30"/>
    </row>
    <row r="523" spans="1:2" ht="14.5" x14ac:dyDescent="0.35">
      <c r="A523" s="30"/>
      <c r="B523" s="30"/>
    </row>
    <row r="524" spans="1:2" ht="14.5" x14ac:dyDescent="0.35">
      <c r="A524" s="30"/>
      <c r="B524" s="30"/>
    </row>
    <row r="525" spans="1:2" ht="14.5" x14ac:dyDescent="0.35">
      <c r="A525" s="30"/>
      <c r="B525" s="30"/>
    </row>
    <row r="526" spans="1:2" ht="14.5" x14ac:dyDescent="0.35">
      <c r="A526" s="30"/>
      <c r="B526" s="30"/>
    </row>
    <row r="527" spans="1:2" ht="14.5" x14ac:dyDescent="0.35">
      <c r="A527" s="30"/>
      <c r="B527" s="30"/>
    </row>
    <row r="528" spans="1:2" ht="14.5" x14ac:dyDescent="0.35">
      <c r="A528" s="30"/>
      <c r="B528" s="30"/>
    </row>
    <row r="529" spans="1:2" ht="14.5" x14ac:dyDescent="0.35">
      <c r="A529" s="30"/>
      <c r="B529" s="30"/>
    </row>
    <row r="530" spans="1:2" ht="14.5" x14ac:dyDescent="0.35">
      <c r="A530" s="30"/>
      <c r="B530" s="30"/>
    </row>
    <row r="531" spans="1:2" ht="14.5" x14ac:dyDescent="0.35">
      <c r="A531" s="30"/>
      <c r="B531" s="30"/>
    </row>
    <row r="532" spans="1:2" ht="14.5" x14ac:dyDescent="0.35">
      <c r="A532" s="30"/>
      <c r="B532" s="30"/>
    </row>
    <row r="533" spans="1:2" ht="14.5" x14ac:dyDescent="0.35">
      <c r="A533" s="30"/>
      <c r="B533" s="30"/>
    </row>
    <row r="534" spans="1:2" ht="14.5" x14ac:dyDescent="0.35">
      <c r="A534" s="30"/>
      <c r="B534" s="30"/>
    </row>
    <row r="535" spans="1:2" ht="14.5" x14ac:dyDescent="0.35">
      <c r="A535" s="30"/>
      <c r="B535" s="30"/>
    </row>
    <row r="536" spans="1:2" ht="14.5" x14ac:dyDescent="0.35">
      <c r="A536" s="30"/>
      <c r="B536" s="30"/>
    </row>
    <row r="537" spans="1:2" ht="14.5" x14ac:dyDescent="0.35">
      <c r="A537" s="30"/>
      <c r="B537" s="30"/>
    </row>
    <row r="538" spans="1:2" ht="14.5" x14ac:dyDescent="0.35">
      <c r="A538" s="30"/>
      <c r="B538" s="30"/>
    </row>
    <row r="539" spans="1:2" ht="14.5" x14ac:dyDescent="0.35">
      <c r="A539" s="30"/>
      <c r="B539" s="30"/>
    </row>
    <row r="540" spans="1:2" ht="14.5" x14ac:dyDescent="0.35">
      <c r="A540" s="30"/>
      <c r="B540" s="30"/>
    </row>
    <row r="541" spans="1:2" ht="14.5" x14ac:dyDescent="0.35">
      <c r="A541" s="30"/>
      <c r="B541" s="30"/>
    </row>
    <row r="542" spans="1:2" ht="14.5" x14ac:dyDescent="0.35">
      <c r="A542" s="30"/>
      <c r="B542" s="30"/>
    </row>
    <row r="543" spans="1:2" ht="14.5" x14ac:dyDescent="0.35">
      <c r="A543" s="30"/>
      <c r="B543" s="30"/>
    </row>
    <row r="544" spans="1:2" ht="14.5" x14ac:dyDescent="0.35">
      <c r="A544" s="30"/>
      <c r="B544" s="30"/>
    </row>
    <row r="545" spans="1:2" ht="14.5" x14ac:dyDescent="0.35">
      <c r="A545" s="30"/>
      <c r="B545" s="30"/>
    </row>
    <row r="546" spans="1:2" ht="14.5" x14ac:dyDescent="0.35">
      <c r="A546" s="30"/>
      <c r="B546" s="30"/>
    </row>
    <row r="547" spans="1:2" ht="14.5" x14ac:dyDescent="0.35">
      <c r="A547" s="30"/>
      <c r="B547" s="30"/>
    </row>
    <row r="548" spans="1:2" ht="14.5" x14ac:dyDescent="0.35">
      <c r="A548" s="30"/>
      <c r="B548" s="30"/>
    </row>
    <row r="549" spans="1:2" ht="14.5" x14ac:dyDescent="0.35">
      <c r="A549" s="30"/>
      <c r="B549" s="30"/>
    </row>
    <row r="550" spans="1:2" ht="14.5" x14ac:dyDescent="0.35">
      <c r="A550" s="30"/>
      <c r="B550" s="30"/>
    </row>
    <row r="551" spans="1:2" ht="14.5" x14ac:dyDescent="0.35">
      <c r="A551" s="30"/>
      <c r="B551" s="30"/>
    </row>
    <row r="552" spans="1:2" ht="14.5" x14ac:dyDescent="0.35">
      <c r="A552" s="30"/>
      <c r="B552" s="30"/>
    </row>
    <row r="553" spans="1:2" ht="14.5" x14ac:dyDescent="0.35">
      <c r="A553" s="30"/>
      <c r="B553" s="30"/>
    </row>
    <row r="554" spans="1:2" ht="14.5" x14ac:dyDescent="0.35">
      <c r="A554" s="30"/>
      <c r="B554" s="30"/>
    </row>
    <row r="555" spans="1:2" ht="14.5" x14ac:dyDescent="0.35">
      <c r="A555" s="30"/>
      <c r="B555" s="30"/>
    </row>
    <row r="556" spans="1:2" ht="14.5" x14ac:dyDescent="0.35">
      <c r="A556" s="30"/>
      <c r="B556" s="30"/>
    </row>
    <row r="557" spans="1:2" ht="14.5" x14ac:dyDescent="0.35">
      <c r="A557" s="30"/>
      <c r="B557" s="30"/>
    </row>
    <row r="558" spans="1:2" ht="14.5" x14ac:dyDescent="0.35">
      <c r="A558" s="30"/>
      <c r="B558" s="30"/>
    </row>
    <row r="559" spans="1:2" ht="14.5" x14ac:dyDescent="0.35">
      <c r="A559" s="30"/>
      <c r="B559" s="30"/>
    </row>
    <row r="560" spans="1:2" ht="14.5" x14ac:dyDescent="0.35">
      <c r="A560" s="30"/>
      <c r="B560" s="30"/>
    </row>
    <row r="561" spans="1:2" ht="14.5" x14ac:dyDescent="0.35">
      <c r="A561" s="30"/>
      <c r="B561" s="30"/>
    </row>
    <row r="562" spans="1:2" ht="14.5" x14ac:dyDescent="0.35">
      <c r="A562" s="30"/>
      <c r="B562" s="30"/>
    </row>
    <row r="563" spans="1:2" ht="14.5" x14ac:dyDescent="0.35">
      <c r="A563" s="30"/>
      <c r="B563" s="30"/>
    </row>
    <row r="564" spans="1:2" ht="14.5" x14ac:dyDescent="0.35">
      <c r="A564" s="30"/>
      <c r="B564" s="30"/>
    </row>
    <row r="565" spans="1:2" ht="14.5" x14ac:dyDescent="0.35">
      <c r="A565" s="30"/>
      <c r="B565" s="30"/>
    </row>
    <row r="566" spans="1:2" ht="14.5" x14ac:dyDescent="0.35">
      <c r="A566" s="30"/>
      <c r="B566" s="30"/>
    </row>
    <row r="567" spans="1:2" ht="14.5" x14ac:dyDescent="0.35">
      <c r="A567" s="30"/>
      <c r="B567" s="30"/>
    </row>
    <row r="568" spans="1:2" ht="14.5" x14ac:dyDescent="0.35">
      <c r="A568" s="30"/>
      <c r="B568" s="30"/>
    </row>
    <row r="569" spans="1:2" ht="14.5" x14ac:dyDescent="0.35">
      <c r="A569" s="30"/>
      <c r="B569" s="30"/>
    </row>
    <row r="570" spans="1:2" ht="14.5" x14ac:dyDescent="0.35">
      <c r="A570" s="30"/>
      <c r="B570" s="30"/>
    </row>
    <row r="571" spans="1:2" ht="14.5" x14ac:dyDescent="0.35">
      <c r="A571" s="30"/>
      <c r="B571" s="30"/>
    </row>
    <row r="572" spans="1:2" ht="14.5" x14ac:dyDescent="0.35">
      <c r="A572" s="30"/>
      <c r="B572" s="30"/>
    </row>
    <row r="573" spans="1:2" ht="14.5" x14ac:dyDescent="0.35">
      <c r="A573" s="30"/>
      <c r="B573" s="30"/>
    </row>
    <row r="574" spans="1:2" ht="14.5" x14ac:dyDescent="0.35">
      <c r="A574" s="30"/>
      <c r="B574" s="30"/>
    </row>
    <row r="575" spans="1:2" ht="14.5" x14ac:dyDescent="0.35">
      <c r="A575" s="30"/>
      <c r="B575" s="30"/>
    </row>
    <row r="576" spans="1:2" ht="14.5" x14ac:dyDescent="0.35">
      <c r="A576" s="30"/>
      <c r="B576" s="30"/>
    </row>
    <row r="577" spans="1:2" ht="14.5" x14ac:dyDescent="0.35">
      <c r="A577" s="30"/>
      <c r="B577" s="30"/>
    </row>
    <row r="578" spans="1:2" ht="14.5" x14ac:dyDescent="0.35">
      <c r="A578" s="30"/>
      <c r="B578" s="30"/>
    </row>
    <row r="579" spans="1:2" ht="14.5" x14ac:dyDescent="0.35">
      <c r="A579" s="30"/>
      <c r="B579" s="30"/>
    </row>
    <row r="580" spans="1:2" ht="14.5" x14ac:dyDescent="0.35">
      <c r="A580" s="30"/>
      <c r="B580" s="30"/>
    </row>
    <row r="581" spans="1:2" ht="14.5" x14ac:dyDescent="0.35">
      <c r="A581" s="30"/>
      <c r="B581" s="30"/>
    </row>
    <row r="582" spans="1:2" ht="14.5" x14ac:dyDescent="0.35">
      <c r="A582" s="30"/>
      <c r="B582" s="30"/>
    </row>
    <row r="583" spans="1:2" ht="14.5" x14ac:dyDescent="0.35">
      <c r="A583" s="30"/>
      <c r="B583" s="30"/>
    </row>
    <row r="584" spans="1:2" ht="14.5" x14ac:dyDescent="0.35">
      <c r="A584" s="30"/>
      <c r="B584" s="30"/>
    </row>
    <row r="585" spans="1:2" ht="14.5" x14ac:dyDescent="0.35">
      <c r="A585" s="30"/>
      <c r="B585" s="30"/>
    </row>
    <row r="586" spans="1:2" ht="14.5" x14ac:dyDescent="0.35">
      <c r="A586" s="30"/>
      <c r="B586" s="30"/>
    </row>
    <row r="587" spans="1:2" ht="14.5" x14ac:dyDescent="0.35">
      <c r="A587" s="30"/>
      <c r="B587" s="30"/>
    </row>
    <row r="588" spans="1:2" ht="14.5" x14ac:dyDescent="0.35">
      <c r="A588" s="30"/>
      <c r="B588" s="30"/>
    </row>
    <row r="589" spans="1:2" ht="14.5" x14ac:dyDescent="0.35">
      <c r="A589" s="30"/>
      <c r="B589" s="30"/>
    </row>
    <row r="590" spans="1:2" ht="14.5" x14ac:dyDescent="0.35">
      <c r="A590" s="30"/>
      <c r="B590" s="30"/>
    </row>
    <row r="591" spans="1:2" ht="14.5" x14ac:dyDescent="0.35">
      <c r="A591" s="30"/>
      <c r="B591" s="30"/>
    </row>
    <row r="592" spans="1:2" ht="14.5" x14ac:dyDescent="0.35">
      <c r="A592" s="30"/>
      <c r="B592" s="30"/>
    </row>
    <row r="593" spans="1:2" ht="14.5" x14ac:dyDescent="0.35">
      <c r="A593" s="30"/>
      <c r="B593" s="30"/>
    </row>
    <row r="594" spans="1:2" ht="14.5" x14ac:dyDescent="0.35">
      <c r="A594" s="30"/>
      <c r="B594" s="30"/>
    </row>
    <row r="595" spans="1:2" ht="14.5" x14ac:dyDescent="0.35">
      <c r="A595" s="30"/>
      <c r="B595" s="30"/>
    </row>
    <row r="596" spans="1:2" ht="14.5" x14ac:dyDescent="0.35">
      <c r="A596" s="30"/>
      <c r="B596" s="30"/>
    </row>
    <row r="597" spans="1:2" ht="14.5" x14ac:dyDescent="0.35">
      <c r="A597" s="30"/>
      <c r="B597" s="30"/>
    </row>
    <row r="598" spans="1:2" ht="14.5" x14ac:dyDescent="0.35">
      <c r="A598" s="30"/>
      <c r="B598" s="30"/>
    </row>
    <row r="599" spans="1:2" ht="14.5" x14ac:dyDescent="0.35">
      <c r="A599" s="30"/>
      <c r="B599" s="30"/>
    </row>
    <row r="600" spans="1:2" ht="14.5" x14ac:dyDescent="0.35">
      <c r="A600" s="30"/>
      <c r="B600" s="30"/>
    </row>
    <row r="601" spans="1:2" ht="14.5" x14ac:dyDescent="0.35">
      <c r="A601" s="30"/>
      <c r="B601" s="30"/>
    </row>
    <row r="602" spans="1:2" ht="14.5" x14ac:dyDescent="0.35">
      <c r="A602" s="30"/>
      <c r="B602" s="30"/>
    </row>
    <row r="603" spans="1:2" ht="14.5" x14ac:dyDescent="0.35">
      <c r="A603" s="30"/>
      <c r="B603" s="30"/>
    </row>
    <row r="604" spans="1:2" ht="14.5" x14ac:dyDescent="0.35">
      <c r="A604" s="30"/>
      <c r="B604" s="30"/>
    </row>
    <row r="605" spans="1:2" ht="14.5" x14ac:dyDescent="0.35">
      <c r="A605" s="30"/>
      <c r="B605" s="30"/>
    </row>
    <row r="606" spans="1:2" ht="14.5" x14ac:dyDescent="0.35">
      <c r="A606" s="30"/>
      <c r="B606" s="30"/>
    </row>
    <row r="607" spans="1:2" ht="14.5" x14ac:dyDescent="0.35">
      <c r="A607" s="30"/>
      <c r="B607" s="30"/>
    </row>
    <row r="608" spans="1:2" ht="14.5" x14ac:dyDescent="0.35">
      <c r="A608" s="30"/>
      <c r="B608" s="30"/>
    </row>
    <row r="609" spans="1:2" ht="14.5" x14ac:dyDescent="0.35">
      <c r="A609" s="30"/>
      <c r="B609" s="30"/>
    </row>
    <row r="610" spans="1:2" ht="14.5" x14ac:dyDescent="0.35">
      <c r="A610" s="30"/>
      <c r="B610" s="30"/>
    </row>
    <row r="611" spans="1:2" ht="14.5" x14ac:dyDescent="0.35">
      <c r="A611" s="30"/>
      <c r="B611" s="30"/>
    </row>
    <row r="612" spans="1:2" ht="14.5" x14ac:dyDescent="0.35">
      <c r="A612" s="30"/>
      <c r="B612" s="30"/>
    </row>
    <row r="613" spans="1:2" ht="14.5" x14ac:dyDescent="0.35">
      <c r="A613" s="30"/>
      <c r="B613" s="30"/>
    </row>
    <row r="614" spans="1:2" ht="14.5" x14ac:dyDescent="0.35">
      <c r="A614" s="30"/>
      <c r="B614" s="30"/>
    </row>
    <row r="615" spans="1:2" ht="14.5" x14ac:dyDescent="0.35">
      <c r="A615" s="30"/>
      <c r="B615" s="30"/>
    </row>
    <row r="616" spans="1:2" ht="14.5" x14ac:dyDescent="0.35">
      <c r="A616" s="30"/>
      <c r="B616" s="30"/>
    </row>
    <row r="617" spans="1:2" ht="14.5" x14ac:dyDescent="0.35">
      <c r="A617" s="30"/>
      <c r="B617" s="30"/>
    </row>
    <row r="618" spans="1:2" ht="14.5" x14ac:dyDescent="0.35">
      <c r="A618" s="30"/>
      <c r="B618" s="30"/>
    </row>
    <row r="619" spans="1:2" ht="14.5" x14ac:dyDescent="0.35">
      <c r="A619" s="30"/>
      <c r="B619" s="30"/>
    </row>
    <row r="620" spans="1:2" ht="14.5" x14ac:dyDescent="0.35">
      <c r="A620" s="30"/>
      <c r="B620" s="30"/>
    </row>
    <row r="621" spans="1:2" ht="14.5" x14ac:dyDescent="0.35">
      <c r="A621" s="30"/>
      <c r="B621" s="30"/>
    </row>
    <row r="622" spans="1:2" ht="14.5" x14ac:dyDescent="0.35">
      <c r="A622" s="30"/>
      <c r="B622" s="30"/>
    </row>
    <row r="623" spans="1:2" ht="14.5" x14ac:dyDescent="0.35">
      <c r="A623" s="30"/>
      <c r="B623" s="30"/>
    </row>
    <row r="624" spans="1:2" ht="14.5" x14ac:dyDescent="0.35">
      <c r="A624" s="30"/>
      <c r="B624" s="30"/>
    </row>
    <row r="625" spans="1:2" ht="14.5" x14ac:dyDescent="0.35">
      <c r="A625" s="30"/>
      <c r="B625" s="30"/>
    </row>
    <row r="626" spans="1:2" ht="14.5" x14ac:dyDescent="0.35">
      <c r="A626" s="30"/>
      <c r="B626" s="30"/>
    </row>
    <row r="627" spans="1:2" ht="14.5" x14ac:dyDescent="0.35">
      <c r="A627" s="30"/>
      <c r="B627" s="30"/>
    </row>
    <row r="628" spans="1:2" ht="14.5" x14ac:dyDescent="0.35">
      <c r="A628" s="30"/>
      <c r="B628" s="30"/>
    </row>
    <row r="629" spans="1:2" ht="14.5" x14ac:dyDescent="0.35">
      <c r="A629" s="30"/>
      <c r="B629" s="30"/>
    </row>
    <row r="630" spans="1:2" ht="14.5" x14ac:dyDescent="0.35">
      <c r="A630" s="30"/>
      <c r="B630" s="30"/>
    </row>
    <row r="631" spans="1:2" ht="14.5" x14ac:dyDescent="0.35">
      <c r="A631" s="30"/>
      <c r="B631" s="30"/>
    </row>
    <row r="632" spans="1:2" ht="14.5" x14ac:dyDescent="0.35">
      <c r="A632" s="30"/>
      <c r="B632" s="30"/>
    </row>
    <row r="633" spans="1:2" ht="14.5" x14ac:dyDescent="0.35">
      <c r="A633" s="30"/>
      <c r="B633" s="30"/>
    </row>
    <row r="634" spans="1:2" ht="14.5" x14ac:dyDescent="0.35">
      <c r="A634" s="30"/>
      <c r="B634" s="30"/>
    </row>
    <row r="635" spans="1:2" ht="14.5" x14ac:dyDescent="0.35">
      <c r="A635" s="30"/>
      <c r="B635" s="30"/>
    </row>
    <row r="636" spans="1:2" ht="14.5" x14ac:dyDescent="0.35">
      <c r="A636" s="30"/>
      <c r="B636" s="30"/>
    </row>
    <row r="637" spans="1:2" ht="14.5" x14ac:dyDescent="0.35">
      <c r="A637" s="30"/>
      <c r="B637" s="30"/>
    </row>
    <row r="638" spans="1:2" ht="14.5" x14ac:dyDescent="0.35">
      <c r="A638" s="30"/>
      <c r="B638" s="30"/>
    </row>
    <row r="639" spans="1:2" ht="14.5" x14ac:dyDescent="0.35">
      <c r="A639" s="30"/>
      <c r="B639" s="30"/>
    </row>
    <row r="640" spans="1:2" ht="14.5" x14ac:dyDescent="0.35">
      <c r="A640" s="30"/>
      <c r="B640" s="30"/>
    </row>
    <row r="641" spans="1:2" ht="14.5" x14ac:dyDescent="0.35">
      <c r="A641" s="30"/>
      <c r="B641" s="30"/>
    </row>
    <row r="642" spans="1:2" ht="14.5" x14ac:dyDescent="0.35">
      <c r="A642" s="30"/>
      <c r="B642" s="30"/>
    </row>
    <row r="643" spans="1:2" ht="14.5" x14ac:dyDescent="0.35">
      <c r="A643" s="30"/>
      <c r="B643" s="30"/>
    </row>
    <row r="644" spans="1:2" ht="14.5" x14ac:dyDescent="0.35">
      <c r="A644" s="30"/>
      <c r="B644" s="30"/>
    </row>
    <row r="645" spans="1:2" ht="14.5" x14ac:dyDescent="0.35">
      <c r="A645" s="30"/>
      <c r="B645" s="30"/>
    </row>
    <row r="646" spans="1:2" ht="14.5" x14ac:dyDescent="0.35">
      <c r="A646" s="30"/>
      <c r="B646" s="30"/>
    </row>
    <row r="647" spans="1:2" ht="14.5" x14ac:dyDescent="0.35">
      <c r="A647" s="30"/>
      <c r="B647" s="30"/>
    </row>
    <row r="648" spans="1:2" ht="14.5" x14ac:dyDescent="0.35">
      <c r="A648" s="30"/>
      <c r="B648" s="30"/>
    </row>
    <row r="649" spans="1:2" ht="14.5" x14ac:dyDescent="0.35">
      <c r="A649" s="30"/>
      <c r="B649" s="30"/>
    </row>
    <row r="650" spans="1:2" ht="14.5" x14ac:dyDescent="0.35">
      <c r="A650" s="30"/>
      <c r="B650" s="30"/>
    </row>
    <row r="651" spans="1:2" ht="14.5" x14ac:dyDescent="0.35">
      <c r="A651" s="30"/>
      <c r="B651" s="30"/>
    </row>
    <row r="652" spans="1:2" ht="14.5" x14ac:dyDescent="0.35">
      <c r="A652" s="30"/>
      <c r="B652" s="30"/>
    </row>
    <row r="653" spans="1:2" ht="14.5" x14ac:dyDescent="0.35">
      <c r="A653" s="30"/>
      <c r="B653" s="30"/>
    </row>
    <row r="654" spans="1:2" ht="14.5" x14ac:dyDescent="0.35">
      <c r="A654" s="30"/>
      <c r="B654" s="30"/>
    </row>
    <row r="655" spans="1:2" ht="14.5" x14ac:dyDescent="0.35">
      <c r="A655" s="30"/>
      <c r="B655" s="30"/>
    </row>
    <row r="656" spans="1:2" ht="14.5" x14ac:dyDescent="0.35">
      <c r="A656" s="30"/>
      <c r="B656" s="30"/>
    </row>
    <row r="657" spans="1:2" ht="14.5" x14ac:dyDescent="0.35">
      <c r="A657" s="30"/>
      <c r="B657" s="30"/>
    </row>
    <row r="658" spans="1:2" ht="14.5" x14ac:dyDescent="0.35">
      <c r="A658" s="30"/>
      <c r="B658" s="30"/>
    </row>
    <row r="659" spans="1:2" ht="14.5" x14ac:dyDescent="0.35">
      <c r="A659" s="30"/>
      <c r="B659" s="30"/>
    </row>
    <row r="660" spans="1:2" ht="14.5" x14ac:dyDescent="0.35">
      <c r="A660" s="30"/>
      <c r="B660" s="30"/>
    </row>
    <row r="661" spans="1:2" ht="14.5" x14ac:dyDescent="0.35">
      <c r="A661" s="30"/>
      <c r="B661" s="30"/>
    </row>
    <row r="662" spans="1:2" ht="14.5" x14ac:dyDescent="0.35">
      <c r="A662" s="30"/>
      <c r="B662" s="30"/>
    </row>
    <row r="663" spans="1:2" ht="14.5" x14ac:dyDescent="0.35">
      <c r="A663" s="30"/>
      <c r="B663" s="30"/>
    </row>
    <row r="664" spans="1:2" ht="14.5" x14ac:dyDescent="0.35">
      <c r="A664" s="30"/>
      <c r="B664" s="30"/>
    </row>
    <row r="665" spans="1:2" ht="14.5" x14ac:dyDescent="0.35">
      <c r="A665" s="30"/>
      <c r="B665" s="30"/>
    </row>
    <row r="666" spans="1:2" ht="14.5" x14ac:dyDescent="0.35">
      <c r="A666" s="30"/>
      <c r="B666" s="30"/>
    </row>
    <row r="667" spans="1:2" ht="14.5" x14ac:dyDescent="0.35">
      <c r="A667" s="30"/>
      <c r="B667" s="30"/>
    </row>
    <row r="668" spans="1:2" ht="14.5" x14ac:dyDescent="0.35">
      <c r="A668" s="30"/>
      <c r="B668" s="30"/>
    </row>
    <row r="669" spans="1:2" ht="14.5" x14ac:dyDescent="0.35">
      <c r="A669" s="30"/>
      <c r="B669" s="30"/>
    </row>
    <row r="670" spans="1:2" ht="14.5" x14ac:dyDescent="0.35">
      <c r="A670" s="30"/>
      <c r="B670" s="30"/>
    </row>
    <row r="671" spans="1:2" ht="14.5" x14ac:dyDescent="0.35">
      <c r="A671" s="30"/>
      <c r="B671" s="30"/>
    </row>
    <row r="672" spans="1:2" ht="14.5" x14ac:dyDescent="0.35">
      <c r="A672" s="30"/>
      <c r="B672" s="30"/>
    </row>
    <row r="673" spans="1:2" ht="14.5" x14ac:dyDescent="0.35">
      <c r="A673" s="30"/>
      <c r="B673" s="30"/>
    </row>
    <row r="674" spans="1:2" ht="14.5" x14ac:dyDescent="0.35">
      <c r="A674" s="30"/>
      <c r="B674" s="30"/>
    </row>
    <row r="675" spans="1:2" ht="14.5" x14ac:dyDescent="0.35">
      <c r="A675" s="30"/>
      <c r="B675" s="30"/>
    </row>
    <row r="676" spans="1:2" ht="14.5" x14ac:dyDescent="0.35">
      <c r="A676" s="30"/>
      <c r="B676" s="30"/>
    </row>
    <row r="677" spans="1:2" ht="14.5" x14ac:dyDescent="0.35">
      <c r="A677" s="30"/>
      <c r="B677" s="30"/>
    </row>
    <row r="678" spans="1:2" ht="14.5" x14ac:dyDescent="0.35">
      <c r="A678" s="30"/>
      <c r="B678" s="30"/>
    </row>
    <row r="679" spans="1:2" ht="14.5" x14ac:dyDescent="0.35">
      <c r="A679" s="30"/>
      <c r="B679" s="30"/>
    </row>
    <row r="680" spans="1:2" ht="14.5" x14ac:dyDescent="0.35">
      <c r="A680" s="30"/>
      <c r="B680" s="30"/>
    </row>
    <row r="681" spans="1:2" ht="14.5" x14ac:dyDescent="0.35">
      <c r="A681" s="30"/>
      <c r="B681" s="30"/>
    </row>
    <row r="682" spans="1:2" ht="14.5" x14ac:dyDescent="0.35">
      <c r="A682" s="30"/>
      <c r="B682" s="30"/>
    </row>
    <row r="683" spans="1:2" ht="14.5" x14ac:dyDescent="0.35">
      <c r="A683" s="30"/>
      <c r="B683" s="30"/>
    </row>
    <row r="684" spans="1:2" ht="14.5" x14ac:dyDescent="0.35">
      <c r="A684" s="30"/>
      <c r="B684" s="30"/>
    </row>
    <row r="685" spans="1:2" ht="14.5" x14ac:dyDescent="0.35">
      <c r="A685" s="30"/>
      <c r="B685" s="30"/>
    </row>
    <row r="686" spans="1:2" ht="14.5" x14ac:dyDescent="0.35">
      <c r="A686" s="30"/>
      <c r="B686" s="30"/>
    </row>
    <row r="687" spans="1:2" ht="14.5" x14ac:dyDescent="0.35">
      <c r="A687" s="30"/>
      <c r="B687" s="30"/>
    </row>
    <row r="688" spans="1:2" ht="14.5" x14ac:dyDescent="0.35">
      <c r="A688" s="30"/>
      <c r="B688" s="30"/>
    </row>
    <row r="689" spans="1:2" ht="14.5" x14ac:dyDescent="0.35">
      <c r="A689" s="30"/>
      <c r="B689" s="30"/>
    </row>
    <row r="690" spans="1:2" ht="14.5" x14ac:dyDescent="0.35">
      <c r="A690" s="30"/>
      <c r="B690" s="30"/>
    </row>
    <row r="691" spans="1:2" ht="14.5" x14ac:dyDescent="0.35">
      <c r="A691" s="30"/>
      <c r="B691" s="30"/>
    </row>
    <row r="692" spans="1:2" ht="14.5" x14ac:dyDescent="0.35">
      <c r="A692" s="30"/>
      <c r="B692" s="30"/>
    </row>
    <row r="693" spans="1:2" ht="14.5" x14ac:dyDescent="0.35">
      <c r="A693" s="30"/>
      <c r="B693" s="30"/>
    </row>
    <row r="694" spans="1:2" ht="14.5" x14ac:dyDescent="0.35">
      <c r="A694" s="30"/>
      <c r="B694" s="30"/>
    </row>
    <row r="695" spans="1:2" ht="14.5" x14ac:dyDescent="0.35">
      <c r="A695" s="30"/>
      <c r="B695" s="30"/>
    </row>
    <row r="696" spans="1:2" ht="14.5" x14ac:dyDescent="0.35">
      <c r="A696" s="30"/>
      <c r="B696" s="30"/>
    </row>
    <row r="697" spans="1:2" ht="14.5" x14ac:dyDescent="0.35">
      <c r="A697" s="30"/>
      <c r="B697" s="30"/>
    </row>
    <row r="698" spans="1:2" ht="14.5" x14ac:dyDescent="0.35">
      <c r="A698" s="30"/>
      <c r="B698" s="30"/>
    </row>
    <row r="699" spans="1:2" ht="14.5" x14ac:dyDescent="0.35">
      <c r="A699" s="30"/>
      <c r="B699" s="30"/>
    </row>
    <row r="700" spans="1:2" ht="14.5" x14ac:dyDescent="0.35">
      <c r="A700" s="30"/>
      <c r="B700" s="30"/>
    </row>
    <row r="701" spans="1:2" ht="14.5" x14ac:dyDescent="0.35">
      <c r="A701" s="30"/>
      <c r="B701" s="30"/>
    </row>
    <row r="702" spans="1:2" ht="14.5" x14ac:dyDescent="0.35">
      <c r="A702" s="30"/>
      <c r="B702" s="30"/>
    </row>
    <row r="703" spans="1:2" ht="14.5" x14ac:dyDescent="0.35">
      <c r="A703" s="30"/>
      <c r="B703" s="30"/>
    </row>
    <row r="704" spans="1:2" ht="14.5" x14ac:dyDescent="0.35">
      <c r="A704" s="30"/>
      <c r="B704" s="30"/>
    </row>
    <row r="705" spans="1:2" ht="14.5" x14ac:dyDescent="0.35">
      <c r="A705" s="30"/>
      <c r="B705" s="30"/>
    </row>
    <row r="706" spans="1:2" ht="14.5" x14ac:dyDescent="0.35">
      <c r="A706" s="30"/>
      <c r="B706" s="30"/>
    </row>
    <row r="707" spans="1:2" ht="14.5" x14ac:dyDescent="0.35">
      <c r="A707" s="30"/>
      <c r="B707" s="30"/>
    </row>
    <row r="708" spans="1:2" ht="14.5" x14ac:dyDescent="0.35">
      <c r="A708" s="30"/>
      <c r="B708" s="30"/>
    </row>
    <row r="709" spans="1:2" ht="14.5" x14ac:dyDescent="0.35">
      <c r="A709" s="30"/>
      <c r="B709" s="30"/>
    </row>
    <row r="710" spans="1:2" ht="14.5" x14ac:dyDescent="0.35">
      <c r="A710" s="30"/>
      <c r="B710" s="30"/>
    </row>
    <row r="711" spans="1:2" ht="14.5" x14ac:dyDescent="0.35">
      <c r="A711" s="30"/>
      <c r="B711" s="30"/>
    </row>
    <row r="712" spans="1:2" ht="14.5" x14ac:dyDescent="0.35">
      <c r="A712" s="30"/>
      <c r="B712" s="30"/>
    </row>
    <row r="713" spans="1:2" ht="14.5" x14ac:dyDescent="0.35">
      <c r="A713" s="30"/>
      <c r="B713" s="30"/>
    </row>
    <row r="714" spans="1:2" ht="14.5" x14ac:dyDescent="0.35">
      <c r="A714" s="30"/>
      <c r="B714" s="30"/>
    </row>
    <row r="715" spans="1:2" ht="14.5" x14ac:dyDescent="0.35">
      <c r="A715" s="30"/>
      <c r="B715" s="30"/>
    </row>
    <row r="716" spans="1:2" ht="14.5" x14ac:dyDescent="0.35">
      <c r="A716" s="30"/>
      <c r="B716" s="30"/>
    </row>
    <row r="717" spans="1:2" ht="14.5" x14ac:dyDescent="0.35">
      <c r="A717" s="30"/>
      <c r="B717" s="30"/>
    </row>
    <row r="718" spans="1:2" ht="14.5" x14ac:dyDescent="0.35">
      <c r="A718" s="30"/>
      <c r="B718" s="30"/>
    </row>
    <row r="719" spans="1:2" ht="14.5" x14ac:dyDescent="0.35">
      <c r="A719" s="30"/>
      <c r="B719" s="30"/>
    </row>
    <row r="720" spans="1:2" ht="14.5" x14ac:dyDescent="0.35">
      <c r="A720" s="30"/>
      <c r="B720" s="30"/>
    </row>
    <row r="721" spans="1:2" ht="14.5" x14ac:dyDescent="0.35">
      <c r="A721" s="30"/>
      <c r="B721" s="30"/>
    </row>
    <row r="722" spans="1:2" ht="14.5" x14ac:dyDescent="0.35">
      <c r="A722" s="30"/>
      <c r="B722" s="30"/>
    </row>
    <row r="723" spans="1:2" ht="14.5" x14ac:dyDescent="0.35">
      <c r="A723" s="30"/>
      <c r="B723" s="30"/>
    </row>
    <row r="724" spans="1:2" ht="14.5" x14ac:dyDescent="0.35">
      <c r="A724" s="30"/>
      <c r="B724" s="30"/>
    </row>
    <row r="725" spans="1:2" ht="14.5" x14ac:dyDescent="0.35">
      <c r="A725" s="30"/>
      <c r="B725" s="30"/>
    </row>
    <row r="726" spans="1:2" ht="14.5" x14ac:dyDescent="0.35">
      <c r="A726" s="30"/>
      <c r="B726" s="30"/>
    </row>
    <row r="727" spans="1:2" ht="14.5" x14ac:dyDescent="0.35">
      <c r="A727" s="30"/>
      <c r="B727" s="30"/>
    </row>
    <row r="728" spans="1:2" ht="14.5" x14ac:dyDescent="0.35">
      <c r="A728" s="30"/>
      <c r="B728" s="30"/>
    </row>
    <row r="729" spans="1:2" ht="14.5" x14ac:dyDescent="0.35">
      <c r="A729" s="30"/>
      <c r="B729" s="30"/>
    </row>
    <row r="730" spans="1:2" ht="14.5" x14ac:dyDescent="0.35">
      <c r="A730" s="30"/>
      <c r="B730" s="30"/>
    </row>
    <row r="731" spans="1:2" ht="14.5" x14ac:dyDescent="0.35">
      <c r="A731" s="30"/>
      <c r="B731" s="30"/>
    </row>
    <row r="732" spans="1:2" ht="14.5" x14ac:dyDescent="0.35">
      <c r="A732" s="30"/>
      <c r="B732" s="30"/>
    </row>
    <row r="733" spans="1:2" ht="14.5" x14ac:dyDescent="0.35">
      <c r="A733" s="30"/>
      <c r="B733" s="30"/>
    </row>
    <row r="734" spans="1:2" ht="14.5" x14ac:dyDescent="0.35">
      <c r="A734" s="30"/>
      <c r="B734" s="30"/>
    </row>
    <row r="735" spans="1:2" ht="14.5" x14ac:dyDescent="0.35">
      <c r="A735" s="30"/>
      <c r="B735" s="30"/>
    </row>
    <row r="736" spans="1:2" ht="14.5" x14ac:dyDescent="0.35">
      <c r="A736" s="30"/>
      <c r="B736" s="30"/>
    </row>
    <row r="737" spans="1:2" ht="14.5" x14ac:dyDescent="0.35">
      <c r="A737" s="30"/>
      <c r="B737" s="30"/>
    </row>
    <row r="738" spans="1:2" ht="14.5" x14ac:dyDescent="0.35">
      <c r="A738" s="30"/>
      <c r="B738" s="30"/>
    </row>
    <row r="739" spans="1:2" ht="14.5" x14ac:dyDescent="0.35">
      <c r="A739" s="30"/>
      <c r="B739" s="30"/>
    </row>
    <row r="740" spans="1:2" ht="14.5" x14ac:dyDescent="0.35">
      <c r="A740" s="30"/>
      <c r="B740" s="30"/>
    </row>
    <row r="741" spans="1:2" ht="14.5" x14ac:dyDescent="0.35">
      <c r="A741" s="30"/>
      <c r="B741" s="30"/>
    </row>
    <row r="742" spans="1:2" ht="14.5" x14ac:dyDescent="0.35">
      <c r="A742" s="30"/>
      <c r="B742" s="30"/>
    </row>
    <row r="743" spans="1:2" ht="14.5" x14ac:dyDescent="0.35">
      <c r="A743" s="30"/>
      <c r="B743" s="30"/>
    </row>
    <row r="744" spans="1:2" ht="14.5" x14ac:dyDescent="0.35">
      <c r="A744" s="30"/>
      <c r="B744" s="30"/>
    </row>
    <row r="745" spans="1:2" ht="14.5" x14ac:dyDescent="0.35">
      <c r="A745" s="30"/>
      <c r="B745" s="30"/>
    </row>
    <row r="746" spans="1:2" ht="14.5" x14ac:dyDescent="0.35">
      <c r="A746" s="30"/>
      <c r="B746" s="30"/>
    </row>
    <row r="747" spans="1:2" ht="14.5" x14ac:dyDescent="0.35">
      <c r="A747" s="30"/>
      <c r="B747" s="30"/>
    </row>
    <row r="748" spans="1:2" ht="14.5" x14ac:dyDescent="0.35">
      <c r="A748" s="30"/>
      <c r="B748" s="30"/>
    </row>
    <row r="749" spans="1:2" ht="14.5" x14ac:dyDescent="0.35">
      <c r="A749" s="30"/>
      <c r="B749" s="30"/>
    </row>
    <row r="750" spans="1:2" ht="14.5" x14ac:dyDescent="0.35">
      <c r="A750" s="30"/>
      <c r="B750" s="30"/>
    </row>
    <row r="751" spans="1:2" ht="14.5" x14ac:dyDescent="0.35">
      <c r="A751" s="30"/>
      <c r="B751" s="30"/>
    </row>
    <row r="752" spans="1:2" ht="14.5" x14ac:dyDescent="0.35">
      <c r="A752" s="30"/>
      <c r="B752" s="30"/>
    </row>
    <row r="753" spans="1:2" ht="14.5" x14ac:dyDescent="0.35">
      <c r="A753" s="30"/>
      <c r="B753" s="30"/>
    </row>
    <row r="754" spans="1:2" ht="14.5" x14ac:dyDescent="0.35">
      <c r="A754" s="30"/>
      <c r="B754" s="30"/>
    </row>
    <row r="755" spans="1:2" ht="14.5" x14ac:dyDescent="0.35">
      <c r="A755" s="30"/>
      <c r="B755" s="30"/>
    </row>
    <row r="756" spans="1:2" ht="14.5" x14ac:dyDescent="0.35">
      <c r="A756" s="30"/>
      <c r="B756" s="30"/>
    </row>
    <row r="757" spans="1:2" ht="14.5" x14ac:dyDescent="0.35">
      <c r="A757" s="30"/>
      <c r="B757" s="30"/>
    </row>
    <row r="758" spans="1:2" ht="14.5" x14ac:dyDescent="0.35">
      <c r="A758" s="30"/>
      <c r="B758" s="30"/>
    </row>
    <row r="759" spans="1:2" ht="14.5" x14ac:dyDescent="0.35">
      <c r="A759" s="30"/>
      <c r="B759" s="30"/>
    </row>
    <row r="760" spans="1:2" ht="14.5" x14ac:dyDescent="0.35">
      <c r="A760" s="30"/>
      <c r="B760" s="30"/>
    </row>
    <row r="761" spans="1:2" ht="14.5" x14ac:dyDescent="0.35">
      <c r="A761" s="30"/>
      <c r="B761" s="30"/>
    </row>
    <row r="762" spans="1:2" ht="14.5" x14ac:dyDescent="0.35">
      <c r="A762" s="30"/>
      <c r="B762" s="30"/>
    </row>
    <row r="763" spans="1:2" ht="14.5" x14ac:dyDescent="0.35">
      <c r="A763" s="30"/>
      <c r="B763" s="30"/>
    </row>
    <row r="764" spans="1:2" ht="14.5" x14ac:dyDescent="0.35">
      <c r="A764" s="30"/>
      <c r="B764" s="30"/>
    </row>
    <row r="765" spans="1:2" ht="14.5" x14ac:dyDescent="0.35">
      <c r="A765" s="30"/>
      <c r="B765" s="30"/>
    </row>
    <row r="766" spans="1:2" ht="14.5" x14ac:dyDescent="0.35">
      <c r="A766" s="30"/>
      <c r="B766" s="30"/>
    </row>
    <row r="767" spans="1:2" ht="14.5" x14ac:dyDescent="0.35">
      <c r="A767" s="30"/>
      <c r="B767" s="30"/>
    </row>
    <row r="768" spans="1:2" ht="14.5" x14ac:dyDescent="0.35">
      <c r="A768" s="30"/>
      <c r="B768" s="30"/>
    </row>
    <row r="769" spans="1:2" ht="14.5" x14ac:dyDescent="0.35">
      <c r="A769" s="30"/>
      <c r="B769" s="30"/>
    </row>
    <row r="770" spans="1:2" ht="14.5" x14ac:dyDescent="0.35">
      <c r="A770" s="30"/>
      <c r="B770" s="30"/>
    </row>
    <row r="771" spans="1:2" ht="14.5" x14ac:dyDescent="0.35">
      <c r="A771" s="30"/>
      <c r="B771" s="30"/>
    </row>
    <row r="772" spans="1:2" ht="14.5" x14ac:dyDescent="0.35">
      <c r="A772" s="30"/>
      <c r="B772" s="30"/>
    </row>
    <row r="773" spans="1:2" ht="14.5" x14ac:dyDescent="0.35">
      <c r="A773" s="30"/>
      <c r="B773" s="30"/>
    </row>
    <row r="774" spans="1:2" ht="14.5" x14ac:dyDescent="0.35">
      <c r="A774" s="30"/>
      <c r="B774" s="30"/>
    </row>
    <row r="775" spans="1:2" ht="14.5" x14ac:dyDescent="0.35">
      <c r="A775" s="30"/>
      <c r="B775" s="30"/>
    </row>
    <row r="776" spans="1:2" ht="14.5" x14ac:dyDescent="0.35">
      <c r="A776" s="30"/>
      <c r="B776" s="30"/>
    </row>
    <row r="777" spans="1:2" ht="14.5" x14ac:dyDescent="0.35">
      <c r="A777" s="30"/>
      <c r="B777" s="30"/>
    </row>
    <row r="778" spans="1:2" ht="14.5" x14ac:dyDescent="0.35">
      <c r="A778" s="30"/>
      <c r="B778" s="30"/>
    </row>
    <row r="779" spans="1:2" ht="14.5" x14ac:dyDescent="0.35">
      <c r="A779" s="30"/>
      <c r="B779" s="30"/>
    </row>
    <row r="780" spans="1:2" ht="14.5" x14ac:dyDescent="0.35">
      <c r="A780" s="30"/>
      <c r="B780" s="30"/>
    </row>
    <row r="781" spans="1:2" ht="14.5" x14ac:dyDescent="0.35">
      <c r="A781" s="30"/>
      <c r="B781" s="30"/>
    </row>
    <row r="782" spans="1:2" ht="14.5" x14ac:dyDescent="0.35">
      <c r="A782" s="30"/>
      <c r="B782" s="30"/>
    </row>
    <row r="783" spans="1:2" ht="14.5" x14ac:dyDescent="0.35">
      <c r="A783" s="30"/>
      <c r="B783" s="30"/>
    </row>
    <row r="784" spans="1:2" ht="14.5" x14ac:dyDescent="0.35">
      <c r="A784" s="30"/>
      <c r="B784" s="30"/>
    </row>
    <row r="785" spans="1:2" ht="14.5" x14ac:dyDescent="0.35">
      <c r="A785" s="30"/>
      <c r="B785" s="30"/>
    </row>
    <row r="786" spans="1:2" ht="14.5" x14ac:dyDescent="0.35">
      <c r="A786" s="30"/>
      <c r="B786" s="30"/>
    </row>
    <row r="787" spans="1:2" ht="14.5" x14ac:dyDescent="0.35">
      <c r="A787" s="30"/>
      <c r="B787" s="30"/>
    </row>
    <row r="788" spans="1:2" ht="14.5" x14ac:dyDescent="0.35">
      <c r="A788" s="30"/>
      <c r="B788" s="30"/>
    </row>
    <row r="789" spans="1:2" ht="14.5" x14ac:dyDescent="0.35">
      <c r="A789" s="30"/>
      <c r="B789" s="30"/>
    </row>
    <row r="790" spans="1:2" ht="14.5" x14ac:dyDescent="0.35">
      <c r="A790" s="30"/>
      <c r="B790" s="30"/>
    </row>
    <row r="791" spans="1:2" ht="14.5" x14ac:dyDescent="0.35">
      <c r="A791" s="30"/>
      <c r="B791" s="30"/>
    </row>
    <row r="792" spans="1:2" ht="14.5" x14ac:dyDescent="0.35">
      <c r="A792" s="30"/>
      <c r="B792" s="30"/>
    </row>
    <row r="793" spans="1:2" ht="14.5" x14ac:dyDescent="0.35">
      <c r="A793" s="30"/>
      <c r="B793" s="30"/>
    </row>
    <row r="794" spans="1:2" ht="14.5" x14ac:dyDescent="0.35">
      <c r="A794" s="30"/>
      <c r="B794" s="30"/>
    </row>
    <row r="795" spans="1:2" ht="14.5" x14ac:dyDescent="0.35">
      <c r="A795" s="30"/>
      <c r="B795" s="30"/>
    </row>
    <row r="796" spans="1:2" ht="14.5" x14ac:dyDescent="0.35">
      <c r="A796" s="30"/>
      <c r="B796" s="30"/>
    </row>
    <row r="797" spans="1:2" ht="14.5" x14ac:dyDescent="0.35">
      <c r="A797" s="30"/>
      <c r="B797" s="30"/>
    </row>
    <row r="798" spans="1:2" ht="14.5" x14ac:dyDescent="0.35">
      <c r="A798" s="30"/>
      <c r="B798" s="30"/>
    </row>
    <row r="799" spans="1:2" ht="14.5" x14ac:dyDescent="0.35">
      <c r="A799" s="30"/>
      <c r="B799" s="30"/>
    </row>
    <row r="800" spans="1:2" ht="14.5" x14ac:dyDescent="0.35">
      <c r="A800" s="30"/>
      <c r="B800" s="30"/>
    </row>
    <row r="801" spans="1:2" ht="14.5" x14ac:dyDescent="0.35">
      <c r="A801" s="30"/>
      <c r="B801" s="30"/>
    </row>
    <row r="802" spans="1:2" ht="14.5" x14ac:dyDescent="0.35">
      <c r="A802" s="30"/>
      <c r="B802" s="30"/>
    </row>
    <row r="803" spans="1:2" ht="14.5" x14ac:dyDescent="0.35">
      <c r="A803" s="30"/>
      <c r="B803" s="30"/>
    </row>
    <row r="804" spans="1:2" ht="14.5" x14ac:dyDescent="0.35">
      <c r="A804" s="30"/>
      <c r="B804" s="30"/>
    </row>
    <row r="805" spans="1:2" ht="14.5" x14ac:dyDescent="0.35">
      <c r="A805" s="30"/>
      <c r="B805" s="30"/>
    </row>
    <row r="806" spans="1:2" ht="14.5" x14ac:dyDescent="0.35">
      <c r="A806" s="30"/>
      <c r="B806" s="30"/>
    </row>
    <row r="807" spans="1:2" ht="14.5" x14ac:dyDescent="0.35">
      <c r="A807" s="30"/>
      <c r="B807" s="30"/>
    </row>
    <row r="808" spans="1:2" ht="14.5" x14ac:dyDescent="0.35">
      <c r="A808" s="30"/>
      <c r="B808" s="30"/>
    </row>
    <row r="809" spans="1:2" ht="14.5" x14ac:dyDescent="0.35">
      <c r="A809" s="30"/>
      <c r="B809" s="30"/>
    </row>
    <row r="810" spans="1:2" ht="14.5" x14ac:dyDescent="0.35">
      <c r="A810" s="30"/>
      <c r="B810" s="30"/>
    </row>
    <row r="811" spans="1:2" ht="14.5" x14ac:dyDescent="0.35">
      <c r="A811" s="30"/>
      <c r="B811" s="30"/>
    </row>
    <row r="812" spans="1:2" ht="14.5" x14ac:dyDescent="0.35">
      <c r="A812" s="30"/>
      <c r="B812" s="30"/>
    </row>
    <row r="813" spans="1:2" ht="14.5" x14ac:dyDescent="0.35">
      <c r="A813" s="30"/>
      <c r="B813" s="30"/>
    </row>
    <row r="814" spans="1:2" ht="14.5" x14ac:dyDescent="0.35">
      <c r="A814" s="30"/>
      <c r="B814" s="30"/>
    </row>
    <row r="815" spans="1:2" ht="14.5" x14ac:dyDescent="0.35">
      <c r="A815" s="30"/>
      <c r="B815" s="30"/>
    </row>
    <row r="816" spans="1:2" ht="14.5" x14ac:dyDescent="0.35">
      <c r="A816" s="30"/>
      <c r="B816" s="30"/>
    </row>
    <row r="817" spans="1:2" ht="14.5" x14ac:dyDescent="0.35">
      <c r="A817" s="30"/>
      <c r="B817" s="30"/>
    </row>
    <row r="818" spans="1:2" ht="14.5" x14ac:dyDescent="0.35">
      <c r="A818" s="30"/>
      <c r="B818" s="30"/>
    </row>
    <row r="819" spans="1:2" ht="14.5" x14ac:dyDescent="0.35">
      <c r="A819" s="30"/>
      <c r="B819" s="30"/>
    </row>
    <row r="820" spans="1:2" ht="14.5" x14ac:dyDescent="0.35">
      <c r="A820" s="30"/>
      <c r="B820" s="30"/>
    </row>
    <row r="821" spans="1:2" ht="14.5" x14ac:dyDescent="0.35">
      <c r="A821" s="30"/>
      <c r="B821" s="30"/>
    </row>
    <row r="822" spans="1:2" ht="14.5" x14ac:dyDescent="0.35">
      <c r="A822" s="30"/>
      <c r="B822" s="30"/>
    </row>
    <row r="823" spans="1:2" ht="14.5" x14ac:dyDescent="0.35">
      <c r="A823" s="30"/>
      <c r="B823" s="30"/>
    </row>
    <row r="824" spans="1:2" ht="14.5" x14ac:dyDescent="0.35">
      <c r="A824" s="30"/>
      <c r="B824" s="30"/>
    </row>
    <row r="825" spans="1:2" ht="14.5" x14ac:dyDescent="0.35">
      <c r="A825" s="30"/>
      <c r="B825" s="30"/>
    </row>
    <row r="826" spans="1:2" ht="14.5" x14ac:dyDescent="0.35">
      <c r="A826" s="30"/>
      <c r="B826" s="30"/>
    </row>
    <row r="827" spans="1:2" ht="14.5" x14ac:dyDescent="0.35">
      <c r="A827" s="30"/>
      <c r="B827" s="30"/>
    </row>
    <row r="828" spans="1:2" ht="14.5" x14ac:dyDescent="0.35">
      <c r="A828" s="30"/>
      <c r="B828" s="30"/>
    </row>
    <row r="829" spans="1:2" ht="14.5" x14ac:dyDescent="0.35">
      <c r="A829" s="30"/>
      <c r="B829" s="30"/>
    </row>
    <row r="830" spans="1:2" ht="14.5" x14ac:dyDescent="0.35">
      <c r="A830" s="30"/>
      <c r="B830" s="30"/>
    </row>
    <row r="831" spans="1:2" ht="14.5" x14ac:dyDescent="0.35">
      <c r="A831" s="30"/>
      <c r="B831" s="30"/>
    </row>
    <row r="832" spans="1:2" ht="14.5" x14ac:dyDescent="0.35">
      <c r="A832" s="30"/>
      <c r="B832" s="30"/>
    </row>
    <row r="833" spans="1:2" ht="14.5" x14ac:dyDescent="0.35">
      <c r="A833" s="30"/>
      <c r="B833" s="30"/>
    </row>
    <row r="834" spans="1:2" ht="14.5" x14ac:dyDescent="0.35">
      <c r="A834" s="30"/>
      <c r="B834" s="30"/>
    </row>
    <row r="835" spans="1:2" ht="14.5" x14ac:dyDescent="0.35">
      <c r="A835" s="30"/>
      <c r="B835" s="30"/>
    </row>
    <row r="836" spans="1:2" ht="14.5" x14ac:dyDescent="0.35">
      <c r="A836" s="30"/>
      <c r="B836" s="30"/>
    </row>
    <row r="837" spans="1:2" ht="14.5" x14ac:dyDescent="0.35">
      <c r="A837" s="30"/>
      <c r="B837" s="30"/>
    </row>
    <row r="838" spans="1:2" ht="14.5" x14ac:dyDescent="0.35">
      <c r="A838" s="30"/>
      <c r="B838" s="30"/>
    </row>
    <row r="839" spans="1:2" ht="14.5" x14ac:dyDescent="0.35">
      <c r="A839" s="30"/>
      <c r="B839" s="30"/>
    </row>
    <row r="840" spans="1:2" ht="14.5" x14ac:dyDescent="0.35">
      <c r="A840" s="30"/>
      <c r="B840" s="30"/>
    </row>
    <row r="841" spans="1:2" ht="14.5" x14ac:dyDescent="0.35">
      <c r="A841" s="30"/>
      <c r="B841" s="30"/>
    </row>
    <row r="842" spans="1:2" ht="14.5" x14ac:dyDescent="0.35">
      <c r="A842" s="30"/>
      <c r="B842" s="30"/>
    </row>
    <row r="843" spans="1:2" ht="14.5" x14ac:dyDescent="0.35">
      <c r="A843" s="30"/>
      <c r="B843" s="30"/>
    </row>
    <row r="844" spans="1:2" ht="14.5" x14ac:dyDescent="0.35">
      <c r="A844" s="30"/>
      <c r="B844" s="30"/>
    </row>
    <row r="845" spans="1:2" ht="14.5" x14ac:dyDescent="0.35">
      <c r="A845" s="30"/>
      <c r="B845" s="30"/>
    </row>
    <row r="846" spans="1:2" ht="14.5" x14ac:dyDescent="0.35">
      <c r="A846" s="30"/>
      <c r="B846" s="30"/>
    </row>
    <row r="847" spans="1:2" ht="14.5" x14ac:dyDescent="0.35">
      <c r="A847" s="30"/>
      <c r="B847" s="30"/>
    </row>
    <row r="848" spans="1:2" ht="14.5" x14ac:dyDescent="0.35">
      <c r="A848" s="30"/>
      <c r="B848" s="30"/>
    </row>
    <row r="849" spans="1:2" ht="14.5" x14ac:dyDescent="0.35">
      <c r="A849" s="30"/>
      <c r="B849" s="30"/>
    </row>
    <row r="850" spans="1:2" ht="14.5" x14ac:dyDescent="0.35">
      <c r="A850" s="30"/>
      <c r="B850" s="30"/>
    </row>
    <row r="851" spans="1:2" ht="14.5" x14ac:dyDescent="0.35">
      <c r="A851" s="30"/>
      <c r="B851" s="30"/>
    </row>
    <row r="852" spans="1:2" ht="14.5" x14ac:dyDescent="0.35">
      <c r="A852" s="30"/>
      <c r="B852" s="30"/>
    </row>
    <row r="853" spans="1:2" ht="14.5" x14ac:dyDescent="0.35">
      <c r="A853" s="30"/>
      <c r="B853" s="30"/>
    </row>
    <row r="854" spans="1:2" ht="14.5" x14ac:dyDescent="0.35">
      <c r="A854" s="30"/>
      <c r="B854" s="30"/>
    </row>
    <row r="855" spans="1:2" ht="14.5" x14ac:dyDescent="0.35">
      <c r="A855" s="30"/>
      <c r="B855" s="30"/>
    </row>
    <row r="856" spans="1:2" ht="14.5" x14ac:dyDescent="0.35">
      <c r="A856" s="30"/>
      <c r="B856" s="30"/>
    </row>
    <row r="857" spans="1:2" ht="14.5" x14ac:dyDescent="0.35">
      <c r="A857" s="30"/>
      <c r="B857" s="30"/>
    </row>
    <row r="858" spans="1:2" ht="14.5" x14ac:dyDescent="0.35">
      <c r="A858" s="30"/>
      <c r="B858" s="30"/>
    </row>
    <row r="859" spans="1:2" ht="14.5" x14ac:dyDescent="0.35">
      <c r="A859" s="30"/>
      <c r="B859" s="30"/>
    </row>
    <row r="860" spans="1:2" ht="14.5" x14ac:dyDescent="0.35">
      <c r="A860" s="30"/>
      <c r="B860" s="30"/>
    </row>
    <row r="861" spans="1:2" ht="14.5" x14ac:dyDescent="0.35">
      <c r="A861" s="30"/>
      <c r="B861" s="30"/>
    </row>
    <row r="862" spans="1:2" ht="14.5" x14ac:dyDescent="0.35">
      <c r="A862" s="30"/>
      <c r="B862" s="30"/>
    </row>
    <row r="863" spans="1:2" ht="14.5" x14ac:dyDescent="0.35">
      <c r="A863" s="30"/>
      <c r="B863" s="30"/>
    </row>
    <row r="864" spans="1:2" ht="14.5" x14ac:dyDescent="0.35">
      <c r="A864" s="30"/>
      <c r="B864" s="30"/>
    </row>
    <row r="865" spans="1:2" ht="14.5" x14ac:dyDescent="0.35">
      <c r="A865" s="30"/>
      <c r="B865" s="30"/>
    </row>
    <row r="866" spans="1:2" ht="14.5" x14ac:dyDescent="0.35">
      <c r="A866" s="30"/>
      <c r="B866" s="30"/>
    </row>
    <row r="867" spans="1:2" ht="14.5" x14ac:dyDescent="0.35">
      <c r="A867" s="30"/>
      <c r="B867" s="30"/>
    </row>
    <row r="868" spans="1:2" ht="14.5" x14ac:dyDescent="0.35">
      <c r="A868" s="30"/>
      <c r="B868" s="30"/>
    </row>
    <row r="869" spans="1:2" ht="14.5" x14ac:dyDescent="0.35">
      <c r="A869" s="30"/>
      <c r="B869" s="30"/>
    </row>
    <row r="870" spans="1:2" ht="14.5" x14ac:dyDescent="0.35">
      <c r="A870" s="30"/>
      <c r="B870" s="30"/>
    </row>
    <row r="871" spans="1:2" ht="14.5" x14ac:dyDescent="0.35">
      <c r="A871" s="30"/>
      <c r="B871" s="30"/>
    </row>
    <row r="872" spans="1:2" ht="14.5" x14ac:dyDescent="0.35">
      <c r="A872" s="30"/>
      <c r="B872" s="30"/>
    </row>
    <row r="873" spans="1:2" ht="14.5" x14ac:dyDescent="0.35">
      <c r="A873" s="30"/>
      <c r="B873" s="30"/>
    </row>
    <row r="874" spans="1:2" ht="14.5" x14ac:dyDescent="0.35">
      <c r="A874" s="30"/>
      <c r="B874" s="30"/>
    </row>
    <row r="875" spans="1:2" ht="14.5" x14ac:dyDescent="0.35">
      <c r="A875" s="30"/>
      <c r="B875" s="30"/>
    </row>
    <row r="876" spans="1:2" ht="14.5" x14ac:dyDescent="0.35">
      <c r="A876" s="30"/>
      <c r="B876" s="30"/>
    </row>
    <row r="877" spans="1:2" ht="14.5" x14ac:dyDescent="0.35">
      <c r="A877" s="30"/>
      <c r="B877" s="30"/>
    </row>
    <row r="878" spans="1:2" ht="14.5" x14ac:dyDescent="0.35">
      <c r="A878" s="30"/>
      <c r="B878" s="30"/>
    </row>
    <row r="879" spans="1:2" ht="14.5" x14ac:dyDescent="0.35">
      <c r="A879" s="30"/>
      <c r="B879" s="30"/>
    </row>
    <row r="880" spans="1:2" ht="14.5" x14ac:dyDescent="0.35">
      <c r="A880" s="30"/>
      <c r="B880" s="30"/>
    </row>
    <row r="881" spans="1:2" ht="14.5" x14ac:dyDescent="0.35">
      <c r="A881" s="30"/>
      <c r="B881" s="30"/>
    </row>
    <row r="882" spans="1:2" ht="14.5" x14ac:dyDescent="0.35">
      <c r="A882" s="30"/>
      <c r="B882" s="30"/>
    </row>
    <row r="883" spans="1:2" ht="14.5" x14ac:dyDescent="0.35">
      <c r="A883" s="30"/>
      <c r="B883" s="30"/>
    </row>
    <row r="884" spans="1:2" ht="14.5" x14ac:dyDescent="0.35">
      <c r="A884" s="30"/>
      <c r="B884" s="30"/>
    </row>
    <row r="885" spans="1:2" ht="14.5" x14ac:dyDescent="0.35">
      <c r="A885" s="30"/>
      <c r="B885" s="30"/>
    </row>
    <row r="886" spans="1:2" ht="14.5" x14ac:dyDescent="0.35">
      <c r="A886" s="30"/>
      <c r="B886" s="30"/>
    </row>
    <row r="887" spans="1:2" ht="14.5" x14ac:dyDescent="0.35">
      <c r="A887" s="30"/>
      <c r="B887" s="30"/>
    </row>
    <row r="888" spans="1:2" ht="14.5" x14ac:dyDescent="0.35">
      <c r="A888" s="30"/>
      <c r="B888" s="30"/>
    </row>
    <row r="889" spans="1:2" ht="14.5" x14ac:dyDescent="0.35">
      <c r="A889" s="30"/>
      <c r="B889" s="30"/>
    </row>
    <row r="890" spans="1:2" ht="14.5" x14ac:dyDescent="0.35">
      <c r="A890" s="30"/>
      <c r="B890" s="30"/>
    </row>
    <row r="891" spans="1:2" ht="14.5" x14ac:dyDescent="0.35">
      <c r="A891" s="30"/>
      <c r="B891" s="30"/>
    </row>
    <row r="892" spans="1:2" ht="14.5" x14ac:dyDescent="0.35">
      <c r="A892" s="30"/>
      <c r="B892" s="30"/>
    </row>
    <row r="893" spans="1:2" ht="14.5" x14ac:dyDescent="0.35">
      <c r="A893" s="30"/>
      <c r="B893" s="30"/>
    </row>
    <row r="894" spans="1:2" ht="14.5" x14ac:dyDescent="0.35">
      <c r="A894" s="30"/>
      <c r="B894" s="30"/>
    </row>
    <row r="895" spans="1:2" ht="14.5" x14ac:dyDescent="0.35">
      <c r="A895" s="30"/>
      <c r="B895" s="30"/>
    </row>
    <row r="896" spans="1:2" ht="14.5" x14ac:dyDescent="0.35">
      <c r="A896" s="30"/>
      <c r="B896" s="30"/>
    </row>
    <row r="897" spans="1:2" ht="14.5" x14ac:dyDescent="0.35">
      <c r="A897" s="30"/>
      <c r="B897" s="30"/>
    </row>
    <row r="898" spans="1:2" ht="14.5" x14ac:dyDescent="0.35">
      <c r="A898" s="30"/>
      <c r="B898" s="30"/>
    </row>
    <row r="899" spans="1:2" ht="14.5" x14ac:dyDescent="0.35">
      <c r="A899" s="30"/>
      <c r="B899" s="30"/>
    </row>
    <row r="900" spans="1:2" ht="14.5" x14ac:dyDescent="0.35">
      <c r="A900" s="30"/>
      <c r="B900" s="30"/>
    </row>
    <row r="901" spans="1:2" ht="14.5" x14ac:dyDescent="0.35">
      <c r="A901" s="30"/>
      <c r="B901" s="30"/>
    </row>
    <row r="902" spans="1:2" ht="14.5" x14ac:dyDescent="0.35">
      <c r="A902" s="30"/>
      <c r="B902" s="30"/>
    </row>
    <row r="903" spans="1:2" ht="14.5" x14ac:dyDescent="0.35">
      <c r="A903" s="30"/>
      <c r="B903" s="30"/>
    </row>
    <row r="904" spans="1:2" ht="14.5" x14ac:dyDescent="0.35">
      <c r="A904" s="30"/>
      <c r="B904" s="30"/>
    </row>
    <row r="905" spans="1:2" ht="14.5" x14ac:dyDescent="0.35">
      <c r="A905" s="30"/>
      <c r="B905" s="30"/>
    </row>
    <row r="906" spans="1:2" ht="14.5" x14ac:dyDescent="0.35">
      <c r="A906" s="30"/>
      <c r="B906" s="30"/>
    </row>
    <row r="907" spans="1:2" ht="14.5" x14ac:dyDescent="0.35">
      <c r="A907" s="30"/>
      <c r="B907" s="30"/>
    </row>
    <row r="908" spans="1:2" ht="14.5" x14ac:dyDescent="0.35">
      <c r="A908" s="30"/>
      <c r="B908" s="30"/>
    </row>
    <row r="909" spans="1:2" ht="14.5" x14ac:dyDescent="0.35">
      <c r="A909" s="30"/>
      <c r="B909" s="30"/>
    </row>
    <row r="910" spans="1:2" ht="14.5" x14ac:dyDescent="0.35">
      <c r="A910" s="30"/>
      <c r="B910" s="30"/>
    </row>
    <row r="911" spans="1:2" ht="14.5" x14ac:dyDescent="0.35">
      <c r="A911" s="30"/>
      <c r="B911" s="30"/>
    </row>
    <row r="912" spans="1:2" ht="14.5" x14ac:dyDescent="0.35">
      <c r="A912" s="30"/>
      <c r="B912" s="30"/>
    </row>
    <row r="913" spans="1:2" ht="14.5" x14ac:dyDescent="0.35">
      <c r="A913" s="30"/>
      <c r="B913" s="30"/>
    </row>
    <row r="914" spans="1:2" ht="14.5" x14ac:dyDescent="0.35">
      <c r="A914" s="30"/>
      <c r="B914" s="30"/>
    </row>
    <row r="915" spans="1:2" ht="14.5" x14ac:dyDescent="0.35">
      <c r="A915" s="30"/>
      <c r="B915" s="30"/>
    </row>
    <row r="916" spans="1:2" ht="14.5" x14ac:dyDescent="0.35">
      <c r="A916" s="30"/>
      <c r="B916" s="30"/>
    </row>
    <row r="917" spans="1:2" ht="14.5" x14ac:dyDescent="0.35">
      <c r="A917" s="30"/>
      <c r="B917" s="30"/>
    </row>
    <row r="918" spans="1:2" ht="14.5" x14ac:dyDescent="0.35">
      <c r="A918" s="30"/>
      <c r="B918" s="30"/>
    </row>
    <row r="919" spans="1:2" ht="14.5" x14ac:dyDescent="0.35">
      <c r="A919" s="30"/>
      <c r="B919" s="30"/>
    </row>
    <row r="920" spans="1:2" ht="14.5" x14ac:dyDescent="0.35">
      <c r="A920" s="30"/>
      <c r="B920" s="30"/>
    </row>
    <row r="921" spans="1:2" ht="14.5" x14ac:dyDescent="0.35">
      <c r="A921" s="30"/>
      <c r="B921" s="30"/>
    </row>
    <row r="922" spans="1:2" ht="14.5" x14ac:dyDescent="0.35">
      <c r="A922" s="30"/>
      <c r="B922" s="30"/>
    </row>
    <row r="923" spans="1:2" ht="14.5" x14ac:dyDescent="0.35">
      <c r="A923" s="30"/>
      <c r="B923" s="30"/>
    </row>
    <row r="924" spans="1:2" ht="14.5" x14ac:dyDescent="0.35">
      <c r="A924" s="30"/>
      <c r="B924" s="30"/>
    </row>
    <row r="925" spans="1:2" ht="14.5" x14ac:dyDescent="0.35">
      <c r="A925" s="30"/>
      <c r="B925" s="30"/>
    </row>
    <row r="926" spans="1:2" ht="14.5" x14ac:dyDescent="0.35">
      <c r="A926" s="30"/>
      <c r="B926" s="30"/>
    </row>
    <row r="927" spans="1:2" ht="14.5" x14ac:dyDescent="0.35">
      <c r="A927" s="30"/>
      <c r="B927" s="30"/>
    </row>
    <row r="928" spans="1:2" ht="14.5" x14ac:dyDescent="0.35">
      <c r="A928" s="30"/>
      <c r="B928" s="30"/>
    </row>
    <row r="929" spans="1:2" ht="14.5" x14ac:dyDescent="0.35">
      <c r="A929" s="30"/>
      <c r="B929" s="30"/>
    </row>
    <row r="930" spans="1:2" ht="14.5" x14ac:dyDescent="0.35">
      <c r="A930" s="30"/>
      <c r="B930" s="30"/>
    </row>
    <row r="931" spans="1:2" ht="14.5" x14ac:dyDescent="0.35">
      <c r="A931" s="30"/>
      <c r="B931" s="30"/>
    </row>
    <row r="932" spans="1:2" ht="14.5" x14ac:dyDescent="0.35">
      <c r="A932" s="30"/>
      <c r="B932" s="30"/>
    </row>
    <row r="933" spans="1:2" ht="14.5" x14ac:dyDescent="0.35">
      <c r="A933" s="30"/>
      <c r="B933" s="30"/>
    </row>
    <row r="934" spans="1:2" ht="14.5" x14ac:dyDescent="0.35">
      <c r="A934" s="30"/>
      <c r="B934" s="30"/>
    </row>
    <row r="935" spans="1:2" ht="14.5" x14ac:dyDescent="0.35">
      <c r="A935" s="30"/>
      <c r="B935" s="30"/>
    </row>
    <row r="936" spans="1:2" ht="14.5" x14ac:dyDescent="0.35">
      <c r="A936" s="30"/>
      <c r="B936" s="30"/>
    </row>
    <row r="937" spans="1:2" ht="14.5" x14ac:dyDescent="0.35">
      <c r="A937" s="30"/>
      <c r="B937" s="30"/>
    </row>
    <row r="938" spans="1:2" ht="14.5" x14ac:dyDescent="0.35">
      <c r="A938" s="30"/>
      <c r="B938" s="30"/>
    </row>
    <row r="939" spans="1:2" ht="14.5" x14ac:dyDescent="0.35">
      <c r="A939" s="30"/>
      <c r="B939" s="30"/>
    </row>
    <row r="940" spans="1:2" ht="14.5" x14ac:dyDescent="0.35">
      <c r="A940" s="30"/>
      <c r="B940" s="30"/>
    </row>
    <row r="941" spans="1:2" ht="14.5" x14ac:dyDescent="0.35">
      <c r="A941" s="30"/>
      <c r="B941" s="30"/>
    </row>
    <row r="942" spans="1:2" ht="14.5" x14ac:dyDescent="0.35">
      <c r="A942" s="30"/>
      <c r="B942" s="30"/>
    </row>
    <row r="943" spans="1:2" ht="14.5" x14ac:dyDescent="0.35">
      <c r="A943" s="30"/>
      <c r="B943" s="30"/>
    </row>
    <row r="944" spans="1:2" ht="14.5" x14ac:dyDescent="0.35">
      <c r="A944" s="30"/>
      <c r="B944" s="30"/>
    </row>
    <row r="945" spans="1:2" ht="14.5" x14ac:dyDescent="0.35">
      <c r="A945" s="30"/>
      <c r="B945" s="30"/>
    </row>
    <row r="946" spans="1:2" ht="14.5" x14ac:dyDescent="0.35">
      <c r="A946" s="30"/>
      <c r="B946" s="30"/>
    </row>
    <row r="947" spans="1:2" ht="14.5" x14ac:dyDescent="0.35">
      <c r="A947" s="30"/>
      <c r="B947" s="30"/>
    </row>
    <row r="948" spans="1:2" ht="14.5" x14ac:dyDescent="0.35">
      <c r="A948" s="30"/>
      <c r="B948" s="30"/>
    </row>
    <row r="949" spans="1:2" ht="14.5" x14ac:dyDescent="0.35">
      <c r="A949" s="30"/>
      <c r="B949" s="30"/>
    </row>
    <row r="950" spans="1:2" ht="14.5" x14ac:dyDescent="0.35">
      <c r="A950" s="30"/>
      <c r="B950" s="30"/>
    </row>
    <row r="951" spans="1:2" ht="14.5" x14ac:dyDescent="0.35">
      <c r="A951" s="30"/>
      <c r="B951" s="30"/>
    </row>
    <row r="952" spans="1:2" ht="14.5" x14ac:dyDescent="0.35">
      <c r="A952" s="30"/>
      <c r="B952" s="30"/>
    </row>
    <row r="953" spans="1:2" ht="14.5" x14ac:dyDescent="0.35">
      <c r="A953" s="30"/>
      <c r="B953" s="30"/>
    </row>
    <row r="954" spans="1:2" ht="14.5" x14ac:dyDescent="0.35">
      <c r="A954" s="30"/>
      <c r="B954" s="30"/>
    </row>
    <row r="955" spans="1:2" ht="14.5" x14ac:dyDescent="0.35">
      <c r="A955" s="30"/>
      <c r="B955" s="30"/>
    </row>
    <row r="956" spans="1:2" ht="14.5" x14ac:dyDescent="0.35">
      <c r="A956" s="30"/>
      <c r="B956" s="30"/>
    </row>
    <row r="957" spans="1:2" ht="14.5" x14ac:dyDescent="0.35">
      <c r="A957" s="30"/>
      <c r="B957" s="30"/>
    </row>
    <row r="958" spans="1:2" ht="14.5" x14ac:dyDescent="0.35">
      <c r="A958" s="30"/>
      <c r="B958" s="30"/>
    </row>
    <row r="959" spans="1:2" ht="14.5" x14ac:dyDescent="0.35">
      <c r="A959" s="30"/>
      <c r="B959" s="30"/>
    </row>
    <row r="960" spans="1:2" ht="14.5" x14ac:dyDescent="0.35">
      <c r="A960" s="30"/>
      <c r="B960" s="30"/>
    </row>
    <row r="961" spans="1:2" ht="14.5" x14ac:dyDescent="0.35">
      <c r="A961" s="30"/>
      <c r="B961" s="30"/>
    </row>
    <row r="962" spans="1:2" ht="14.5" x14ac:dyDescent="0.35">
      <c r="A962" s="30"/>
      <c r="B962" s="30"/>
    </row>
    <row r="963" spans="1:2" ht="14.5" x14ac:dyDescent="0.35">
      <c r="A963" s="30"/>
      <c r="B963" s="30"/>
    </row>
    <row r="964" spans="1:2" ht="14.5" x14ac:dyDescent="0.35">
      <c r="A964" s="30"/>
      <c r="B964" s="30"/>
    </row>
    <row r="965" spans="1:2" ht="14.5" x14ac:dyDescent="0.35">
      <c r="A965" s="30"/>
      <c r="B965" s="30"/>
    </row>
    <row r="966" spans="1:2" ht="14.5" x14ac:dyDescent="0.35">
      <c r="A966" s="30"/>
      <c r="B966" s="30"/>
    </row>
    <row r="967" spans="1:2" ht="14.5" x14ac:dyDescent="0.35">
      <c r="A967" s="30"/>
      <c r="B967" s="30"/>
    </row>
    <row r="968" spans="1:2" ht="14.5" x14ac:dyDescent="0.35">
      <c r="A968" s="30"/>
      <c r="B968" s="30"/>
    </row>
    <row r="969" spans="1:2" ht="14.5" x14ac:dyDescent="0.35">
      <c r="A969" s="30"/>
      <c r="B969" s="30"/>
    </row>
    <row r="970" spans="1:2" ht="14.5" x14ac:dyDescent="0.35">
      <c r="A970" s="30"/>
      <c r="B970" s="30"/>
    </row>
    <row r="971" spans="1:2" ht="14.5" x14ac:dyDescent="0.35">
      <c r="A971" s="30"/>
      <c r="B971" s="30"/>
    </row>
    <row r="972" spans="1:2" ht="14.5" x14ac:dyDescent="0.35">
      <c r="A972" s="30"/>
      <c r="B972" s="30"/>
    </row>
    <row r="973" spans="1:2" ht="14.5" x14ac:dyDescent="0.35">
      <c r="A973" s="30"/>
      <c r="B973" s="30"/>
    </row>
    <row r="974" spans="1:2" ht="14.5" x14ac:dyDescent="0.35">
      <c r="A974" s="30"/>
      <c r="B974" s="30"/>
    </row>
    <row r="975" spans="1:2" ht="14.5" x14ac:dyDescent="0.35">
      <c r="A975" s="30"/>
      <c r="B975" s="30"/>
    </row>
    <row r="976" spans="1:2" ht="14.5" x14ac:dyDescent="0.35">
      <c r="A976" s="30"/>
      <c r="B976" s="30"/>
    </row>
    <row r="977" spans="1:2" ht="14.5" x14ac:dyDescent="0.35">
      <c r="A977" s="30"/>
      <c r="B977" s="30"/>
    </row>
    <row r="978" spans="1:2" ht="14.5" x14ac:dyDescent="0.35">
      <c r="A978" s="30"/>
      <c r="B978" s="30"/>
    </row>
    <row r="979" spans="1:2" ht="14.5" x14ac:dyDescent="0.35">
      <c r="A979" s="30"/>
      <c r="B979" s="30"/>
    </row>
    <row r="980" spans="1:2" ht="14.5" x14ac:dyDescent="0.35">
      <c r="A980" s="30"/>
      <c r="B980" s="30"/>
    </row>
    <row r="981" spans="1:2" ht="14.5" x14ac:dyDescent="0.35">
      <c r="A981" s="30"/>
      <c r="B981" s="30"/>
    </row>
    <row r="982" spans="1:2" ht="14.5" x14ac:dyDescent="0.35">
      <c r="A982" s="30"/>
      <c r="B982" s="30"/>
    </row>
    <row r="983" spans="1:2" ht="14.5" x14ac:dyDescent="0.35">
      <c r="A983" s="30"/>
      <c r="B983" s="30"/>
    </row>
    <row r="984" spans="1:2" ht="14.5" x14ac:dyDescent="0.35">
      <c r="A984" s="30"/>
      <c r="B984" s="30"/>
    </row>
    <row r="985" spans="1:2" ht="14.5" x14ac:dyDescent="0.35">
      <c r="A985" s="30"/>
      <c r="B985" s="30"/>
    </row>
    <row r="986" spans="1:2" ht="14.5" x14ac:dyDescent="0.35">
      <c r="A986" s="30"/>
      <c r="B986" s="30"/>
    </row>
    <row r="987" spans="1:2" ht="14.5" x14ac:dyDescent="0.35">
      <c r="A987" s="30"/>
      <c r="B987" s="30"/>
    </row>
    <row r="988" spans="1:2" ht="14.5" x14ac:dyDescent="0.35">
      <c r="A988" s="30"/>
      <c r="B988" s="30"/>
    </row>
    <row r="989" spans="1:2" ht="14.5" x14ac:dyDescent="0.35">
      <c r="A989" s="30"/>
      <c r="B989" s="30"/>
    </row>
    <row r="990" spans="1:2" ht="14.5" x14ac:dyDescent="0.35">
      <c r="A990" s="30"/>
      <c r="B990" s="30"/>
    </row>
    <row r="991" spans="1:2" ht="14.5" x14ac:dyDescent="0.35">
      <c r="A991" s="30"/>
      <c r="B991" s="30"/>
    </row>
    <row r="992" spans="1:2" ht="14.5" x14ac:dyDescent="0.35">
      <c r="A992" s="30"/>
      <c r="B992" s="30"/>
    </row>
    <row r="993" spans="1:2" ht="14.5" x14ac:dyDescent="0.35">
      <c r="A993" s="30"/>
      <c r="B993" s="30"/>
    </row>
    <row r="994" spans="1:2" ht="14.5" x14ac:dyDescent="0.35">
      <c r="A994" s="30"/>
      <c r="B994" s="30"/>
    </row>
    <row r="995" spans="1:2" ht="14.5" x14ac:dyDescent="0.35">
      <c r="A995" s="30"/>
      <c r="B995" s="30"/>
    </row>
    <row r="996" spans="1:2" ht="14.5" x14ac:dyDescent="0.35">
      <c r="A996" s="30"/>
      <c r="B996" s="30"/>
    </row>
    <row r="997" spans="1:2" ht="14.5" x14ac:dyDescent="0.35">
      <c r="A997" s="30"/>
      <c r="B997" s="30"/>
    </row>
    <row r="998" spans="1:2" ht="14.5" x14ac:dyDescent="0.35">
      <c r="A998" s="30"/>
      <c r="B998" s="30"/>
    </row>
    <row r="999" spans="1:2" ht="14.5" x14ac:dyDescent="0.35">
      <c r="A999" s="30"/>
      <c r="B999" s="30"/>
    </row>
    <row r="1000" spans="1:2" ht="14.5" x14ac:dyDescent="0.35">
      <c r="A1000" s="30"/>
      <c r="B1000" s="30"/>
    </row>
    <row r="1001" spans="1:2" ht="14.5" x14ac:dyDescent="0.35">
      <c r="A1001" s="30"/>
      <c r="B1001" s="30"/>
    </row>
    <row r="1002" spans="1:2" ht="14.5" x14ac:dyDescent="0.35">
      <c r="A1002" s="30"/>
      <c r="B1002" s="30"/>
    </row>
    <row r="1003" spans="1:2" ht="14.5" x14ac:dyDescent="0.35">
      <c r="A1003" s="30"/>
      <c r="B1003" s="30"/>
    </row>
    <row r="1004" spans="1:2" ht="14.5" x14ac:dyDescent="0.35">
      <c r="A1004" s="30"/>
      <c r="B1004" s="30"/>
    </row>
  </sheetData>
  <hyperlinks>
    <hyperlink ref="B62" r:id="rId1" xr:uid="{00000000-0004-0000-0300-000000000000}"/>
    <hyperlink ref="B63" r:id="rId2" xr:uid="{00000000-0004-0000-0300-000001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Z1012"/>
  <sheetViews>
    <sheetView topLeftCell="B2" workbookViewId="0">
      <selection activeCell="C19" sqref="C19"/>
    </sheetView>
  </sheetViews>
  <sheetFormatPr defaultColWidth="14.453125" defaultRowHeight="15" customHeight="1" x14ac:dyDescent="0.35"/>
  <cols>
    <col min="1" max="1" width="41.453125" style="29" customWidth="1"/>
    <col min="2" max="2" width="62" style="29" customWidth="1"/>
    <col min="3" max="3" width="78" style="29" customWidth="1"/>
    <col min="4" max="26" width="8.7265625" style="29" customWidth="1"/>
    <col min="27" max="16384" width="14.453125" style="29"/>
  </cols>
  <sheetData>
    <row r="1" spans="1:26" ht="13.5" customHeight="1" x14ac:dyDescent="0.35">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4">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4">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4">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4">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4">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4">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4">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4">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4">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4">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4">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4">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4">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4">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4">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4">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4">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4">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4">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4">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4">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4">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4">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4">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4">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4">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4">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4">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4">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4">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4">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4">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4">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4">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4">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4">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4">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thickBot="1" x14ac:dyDescent="0.4">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thickBot="1" x14ac:dyDescent="0.4">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4">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4">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4">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4">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4">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4">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4">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4">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4">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4">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4">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4">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4">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4">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4">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4">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4">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4">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4">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4">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4">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4">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thickBot="1" x14ac:dyDescent="0.4">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4">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5">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5">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5">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5">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5">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5">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5">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5">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5">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5">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5">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5">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5">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5">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5">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5">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5">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5">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5">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5">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5">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5">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5">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5">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5">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5">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5">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5">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5">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5">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5">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5">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5">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5">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5">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5">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5">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5">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5">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5">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5">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5">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5">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5">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5">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5">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5">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5">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5">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5">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5">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5">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5">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5">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5">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5">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5">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5">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5">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5">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5">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5">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5">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5">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5">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5">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5">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5">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5">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5">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5">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5">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5">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5">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5">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5">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5">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5">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5">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5">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5">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5">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5">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5">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5">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5">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5">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5">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5">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5">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5">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5">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5">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5">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5">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5">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5">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5">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5">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5">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5">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5">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5">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5">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5">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5">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5">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5">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5">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5">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5">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5">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5">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5">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5">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5">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5">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5">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5">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5">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5">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5">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5">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5">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5">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5">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5">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5">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5">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5">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5">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5">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5">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5">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5">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5">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5">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5">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5">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5">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5">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5">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5">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5">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5">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5">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5">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5">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5">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5">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5">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5">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5">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5">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5">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5">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5">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5">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5">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5">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5">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5">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5">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5">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5">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5">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5">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5">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5">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5">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5">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5">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5">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5">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5">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5">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5">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5">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5">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5">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5">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5">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5">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5">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5">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5">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5">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5">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5">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5">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5">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5">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5">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5">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5">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5">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5">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5">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5">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5">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5">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5">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5">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5">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5">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5">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5">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5">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5">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5">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5">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5">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5">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5">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5">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5">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5">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5">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5">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5">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5">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5">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5">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5">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5">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5">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5">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5">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5">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5">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5">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5">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5">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5">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5">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5">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5">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5">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5">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5">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5">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5">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5">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5">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5">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5">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5">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5">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5">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5">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5">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5">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5">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5">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5">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5">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5">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5">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5">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5">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5">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5">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5">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5">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5">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5">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5">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5">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5">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5">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5">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5">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5">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5">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5">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5">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5">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5">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5">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5">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5">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5">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5">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5">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5">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5">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5">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5">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5">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5">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5">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5">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5">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5">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5">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5">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5">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5">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5">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5">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5">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5">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5">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5">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5">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5">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5">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5">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5">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5">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5">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5">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5">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5">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5">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5">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5">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5">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5">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5">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5">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5">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5">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5">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5">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5">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5">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5">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5">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5">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5">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5">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5">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5">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5">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5">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5">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5">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5">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5">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5">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5">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5">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5">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5">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5">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5">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5">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5">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5">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5">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5">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5">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5">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5">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5">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5">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5">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5">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5">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5">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5">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5">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5">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5">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5">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5">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5">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5">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5">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5">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5">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5">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5">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5">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5">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5">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5">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5">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5">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5">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5">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5">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5">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5">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5">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5">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5">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5">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5">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5">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5">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5">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5">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5">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5">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5">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5">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5">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5">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5">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5">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5">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5">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5">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5">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5">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5">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5">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5">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5">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5">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5">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5">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5">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5">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5">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5">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5">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5">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5">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5">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5">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5">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5">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5">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5">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5">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5">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5">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5">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5">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5">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5">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5">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5">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5">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5">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5">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5">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5">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5">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5">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5">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5">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5">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5">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5">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5">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5">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5">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5">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5">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5">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5">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5">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5">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5">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5">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5">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5">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5">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5">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5">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5">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5">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5">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5">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5">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5">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5">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5">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5">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5">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5">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5">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5">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5">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5">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5">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5">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5">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5">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5">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5">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5">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5">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5">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5">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5">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5">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5">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5">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5">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5">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5">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5">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5">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5">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5">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5">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5">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5">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5">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5">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5">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5">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5">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5">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5">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5">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5">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5">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5">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5">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5">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5">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5">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5">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5">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5">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5">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5">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5">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5">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5">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5">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5">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5">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5">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5">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5">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5">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5">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5">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5">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5">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5">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5">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5">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5">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5">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5">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5">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5">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5">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5">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5">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5">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5">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5">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5">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5">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5">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5">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5">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5">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5">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5">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5">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5">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5">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5">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5">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5">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5">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5">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5">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5">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5">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5">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5">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5">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5">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5">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5">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5">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5">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5">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5">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5">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5">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5">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5">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5">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5">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5">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5">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5">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5">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5">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5">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5">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5">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5">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5">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5">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5">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5">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5">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5">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5">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5">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5">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5">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5">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5">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5">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5">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5">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5">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5">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5">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5">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5">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5">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xr:uid="{00000000-0004-0000-0400-000000000000}"/>
    <hyperlink ref="B71" r:id="rId2" xr:uid="{00000000-0004-0000-0400-000001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julienne</cp:lastModifiedBy>
  <dcterms:created xsi:type="dcterms:W3CDTF">2018-05-11T10:00:25Z</dcterms:created>
  <dcterms:modified xsi:type="dcterms:W3CDTF">2018-06-25T06:08:54Z</dcterms:modified>
</cp:coreProperties>
</file>