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6" i="9" l="1"/>
  <c r="G35" i="9"/>
  <c r="G29" i="9"/>
  <c r="G30" i="9"/>
  <c r="G31" i="9"/>
  <c r="G32" i="9"/>
  <c r="G33" i="9"/>
  <c r="G34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<sst xmlns="http://schemas.openxmlformats.org/spreadsheetml/2006/main" count="500" uniqueCount="203">
  <si>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</si>
  <si>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</si>
  <si>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</si>
  <si>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</si>
  <si>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</si>
  <si>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</si>
  <si>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</si>
  <si>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</si>
  <si>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</si>
  <si>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</si>
  <si>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</si>
  <si>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</si>
  <si>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</si>
  <si>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</si>
  <si>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</si>
  <si>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</si>
  <si>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</si>
  <si>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</si>
  <si>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</si>
  <si>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</si>
  <si>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</si>
  <si>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</si>
  <si>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</si>
  <si>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</si>
  <si>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</si>
  <si>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</si>
  <si>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</si>
  <si>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</si>
  <si>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</si>
  <si>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</si>
  <si>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</si>
  <si>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</si>
  <si>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</si>
  <si>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</si>
  <si>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</si>
  <si>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</si>
  <si>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</si>
  <si>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</si>
  <si>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</si>
  <si>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</si>
  <si>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</si>
  <si>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</si>
  <si>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</si>
  <si>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</si>
  <si>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</si>
  <si>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</si>
  <si>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</si>
  <si>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</si>
  <si>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</si>
  <si>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</si>
  <si>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</si>
  <si>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</si>
  <si>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</si>
  <si>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</si>
  <si>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</si>
  <si>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</si>
  <si>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</si>
  <si>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</si>
  <si>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</si>
  <si>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</si>
  <si>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</si>
  <si>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</si>
  <si>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</si>
  <si>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</si>
  <si>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</si>
  <si>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</si>
  <si>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</si>
  <si>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</si>
  <si>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</si>
  <si>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</si>
  <si>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</si>
  <si>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</si>
  <si>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</si>
  <si>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</si>
  <si>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</si>
  <si>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</si>
  <si>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</si>
  <si>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</si>
  <si>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</si>
  <si>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</si>
  <si>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</si>
  <si>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</si>
  <si>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</si>
  <si>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</si>
  <si>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</si>
  <si>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</si>
  <si>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</si>
  <si>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</si>
  <si>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</si>
  <si>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</si>
  <si>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</si>
  <si>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</si>
  <si>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</si>
  <si>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</si>
  <si>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</si>
  <si>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</si>
  <si>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</si>
  <si>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</si>
  <si>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</si>
  <si>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</si>
  <si>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</si>
  <si>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</si>
  <si>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</si>
  <si>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</si>
  <si>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</si>
  <si>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</si>
  <si>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</si>
  <si>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</si>
  <si>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</si>
  <si>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</si>
  <si>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</si>
  <si>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</si>
  <si>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</si>
  <si>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</si>
  <si>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</si>
  <si>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</si>
  <si>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</si>
  <si>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</si>
  <si>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</si>
  <si>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</si>
  <si>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</si>
  <si>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</si>
  <si>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</si>
  <si>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</si>
  <si>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</si>
  <si>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</si>
  <si>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</si>
  <si>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</si>
  <si>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</si>
  <si>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</si>
  <si>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</si>
  <si>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</si>
  <si>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</si>
  <si>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</si>
  <si>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</si>
  <si>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</si>
  <si>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</si>
  <si>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</si>
  <si>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</si>
  <si>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</si>
  <si>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</si>
  <si>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</si>
  <si>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</si>
  <si>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</si>
  <si>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</si>
  <si>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</si>
  <si>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</si>
  <si>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</si>
  <si>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</si>
  <si>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</si>
  <si>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</si>
  <si>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</si>
  <si>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</si>
  <si>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</si>
  <si>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</si>
  <si>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</si>
  <si>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</si>
  <si>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</si>
  <si>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</si>
  <si>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</si>
  <si>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</si>
  <si>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</si>
  <si>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</si>
  <si>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</si>
  <si>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</si>
  <si>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</si>
  <si>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</si>
  <si>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</si>
  <si>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</si>
  <si>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</si>
  <si>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Z37.0</t>
  </si>
  <si>
    <t>DELIVERY ROOM</t>
  </si>
  <si>
    <t>TABLET</t>
  </si>
  <si>
    <t>125MG</t>
  </si>
  <si>
    <t>CEFALEXIN</t>
  </si>
  <si>
    <t>500MG</t>
  </si>
  <si>
    <t>MEFENAMIC ACID</t>
  </si>
  <si>
    <t>FERROUS SULFATE</t>
  </si>
  <si>
    <t>325MG</t>
  </si>
  <si>
    <t>AMPULE</t>
  </si>
  <si>
    <t>SYRINGE 3CC</t>
  </si>
  <si>
    <t>PC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</si>
  <si>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</si>
  <si>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</si>
  <si>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</si>
  <si>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</si>
  <si>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</si>
  <si>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</si>
  <si>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</si>
  <si>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</si>
  <si>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</si>
  <si>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</si>
  <si>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10ML</t>
  </si>
  <si>
    <t>D5LR</t>
  </si>
  <si>
    <t>O80.90</t>
  </si>
  <si>
    <t xml:space="preserve">CBC PLATELET </t>
  </si>
  <si>
    <t>METHYLERGOMETRINE MALEATE</t>
  </si>
  <si>
    <t>CAPSULE</t>
  </si>
  <si>
    <t>UNDERPADS</t>
  </si>
  <si>
    <t>SYRINGE 5CC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</si>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</sst>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0.15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195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166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1319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100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171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2169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196</v>
      </c>
      <c r="D11" s="27" t="s">
        <v>179</v>
      </c>
      <c r="E11" s="27" t="s">
        <v>192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172</v>
      </c>
      <c r="E12" s="27" t="s">
        <v>173</v>
      </c>
      <c r="F12" s="55">
        <v>3</v>
      </c>
      <c r="G12" s="55">
        <v>2</v>
      </c>
      <c r="H12" s="55">
        <v>12</v>
      </c>
      <c r="I12" s="55">
        <v>5</v>
      </c>
      <c r="J12" s="55">
        <f t="shared" ref="J12:J16" si="0">H12*I12</f>
        <v>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197</v>
      </c>
      <c r="E13" s="27" t="s">
        <v>175</v>
      </c>
      <c r="F13" s="55">
        <v>3</v>
      </c>
      <c r="G13" s="55">
        <v>2</v>
      </c>
      <c r="H13" s="55">
        <v>22</v>
      </c>
      <c r="I13" s="55">
        <v>7</v>
      </c>
      <c r="J13" s="55">
        <f t="shared" si="0"/>
        <v>154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197</v>
      </c>
      <c r="E14" s="27" t="s">
        <v>175</v>
      </c>
      <c r="F14" s="55">
        <v>3</v>
      </c>
      <c r="G14" s="55">
        <v>2</v>
      </c>
      <c r="H14" s="55">
        <v>10</v>
      </c>
      <c r="I14" s="55">
        <v>5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172</v>
      </c>
      <c r="E15" s="27" t="s">
        <v>178</v>
      </c>
      <c r="F15" s="55">
        <v>1</v>
      </c>
      <c r="G15" s="55">
        <v>2</v>
      </c>
      <c r="H15" s="55">
        <v>30</v>
      </c>
      <c r="I15" s="55">
        <v>1</v>
      </c>
      <c r="J15" s="55">
        <f t="shared" si="0"/>
        <v>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182</v>
      </c>
      <c r="E16" s="27" t="s">
        <v>183</v>
      </c>
      <c r="F16" s="55">
        <v>1</v>
      </c>
      <c r="G16" s="55">
        <v>1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9" workbookViewId="0">
      <selection activeCell="A37" sqref="A37:XFD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180</v>
      </c>
      <c r="D28" s="70" t="s">
        <v>181</v>
      </c>
      <c r="E28" s="55">
        <v>2</v>
      </c>
      <c r="F28" s="55">
        <v>10</v>
      </c>
      <c r="G28" s="55">
        <f>E28*F28</f>
        <v>20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181</v>
      </c>
      <c r="E29" s="55">
        <v>1</v>
      </c>
      <c r="F29" s="55">
        <v>100</v>
      </c>
      <c r="G29" s="55">
        <f t="shared" ref="G29:G36" si="0">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181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184</v>
      </c>
      <c r="D31" s="70" t="s">
        <v>181</v>
      </c>
      <c r="E31" s="55">
        <v>5</v>
      </c>
      <c r="F31" s="55">
        <v>25</v>
      </c>
      <c r="G31" s="55">
        <f t="shared" si="0"/>
        <v>125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188</v>
      </c>
      <c r="D32" s="70" t="s">
        <v>181</v>
      </c>
      <c r="E32" s="55">
        <v>2</v>
      </c>
      <c r="F32" s="55">
        <v>40</v>
      </c>
      <c r="G32" s="55">
        <f t="shared" si="0"/>
        <v>80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189</v>
      </c>
      <c r="D33" s="70" t="s">
        <v>190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185</v>
      </c>
      <c r="D34" s="70" t="s">
        <v>181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198</v>
      </c>
      <c r="D35" s="70" t="s">
        <v>181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69" t="s">
        <v>199</v>
      </c>
      <c r="D36" s="70" t="s">
        <v>181</v>
      </c>
      <c r="E36" s="55">
        <v>1</v>
      </c>
      <c r="F36" s="55">
        <v>10</v>
      </c>
      <c r="G36" s="55">
        <f t="shared" si="0"/>
        <v>10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6" t="s">
        <v>29</v>
      </c>
      <c r="C37" s="137"/>
      <c r="D37" s="137"/>
      <c r="E37" s="137"/>
      <c r="F37" s="137"/>
      <c r="G37" s="138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360</v>
      </c>
      <c r="H13" s="55">
        <v>5</v>
      </c>
      <c r="I13" s="55"/>
      <c r="J13" s="55">
        <v>10</v>
      </c>
      <c r="K13" s="55"/>
      <c r="L13" s="55"/>
      <c r="M13" s="55"/>
      <c r="N13" s="55"/>
      <c r="P13" s="88">
        <f>SUM(D13:N13)</f>
        <v>385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</v>
      </c>
      <c r="F14" s="55"/>
      <c r="G14" s="55">
        <v>5</v>
      </c>
      <c r="H14" s="55"/>
      <c r="I14" s="55">
        <v>5</v>
      </c>
      <c r="J14" s="55"/>
      <c r="K14" s="55"/>
      <c r="L14" s="55"/>
      <c r="M14" s="55"/>
      <c r="N14" s="55"/>
      <c r="P14" s="88">
        <f t="shared" ref="P14:P22" si="0">SUM(D14:N14)</f>
        <v>15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191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365</v>
      </c>
      <c r="H30" s="88">
        <f t="shared" si="1"/>
        <v>5</v>
      </c>
      <c r="I30" s="88">
        <f t="shared" si="1"/>
        <v>20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2018-06-02T01:35:13Z</dcterms:modified>
</cp:coreProperties>
</file>