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Drugs&amp;Med'!$C$11:$C$17</definedName>
    <definedName name="_xlnm.Print_Area" localSheetId="0">'1.1 Case data_general'!$B$1:$F$70</definedName>
    <definedName name="_xlnm.Print_Area" localSheetId="1">'1.2 Drugs&amp;Med'!$B$2:$J$18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28" i="9"/>
  <c r="J12" i="2" l="1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<sst xmlns="http://schemas.openxmlformats.org/spreadsheetml/2006/main" count="502" uniqueCount="203">
  <si>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</si>
  <si>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</si>
  <si>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</si>
  <si>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</si>
  <si>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</si>
  <si>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</si>
  <si>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</si>
  <si>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</si>
  <si>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</si>
  <si>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</si>
  <si>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</si>
  <si>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</si>
  <si>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</si>
  <si>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</si>
  <si>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</si>
  <si>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</si>
  <si>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</si>
  <si>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</si>
  <si>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</si>
  <si>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</si>
  <si>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</si>
  <si>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</si>
  <si>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</si>
  <si>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</si>
  <si>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</si>
  <si>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</si>
  <si>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</si>
  <si>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</si>
  <si>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</si>
  <si>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</si>
  <si>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</si>
  <si>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</si>
  <si>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</si>
  <si>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</si>
  <si>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</si>
  <si>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</si>
  <si>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</si>
  <si>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</si>
  <si>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</si>
  <si>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</si>
  <si>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</si>
  <si>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</si>
  <si>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</si>
  <si>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</si>
  <si>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</si>
  <si>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</si>
  <si>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</si>
  <si>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</si>
  <si>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</si>
  <si>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</si>
  <si>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</si>
  <si>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</si>
  <si>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</si>
  <si>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</si>
  <si>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</si>
  <si>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</si>
  <si>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</si>
  <si>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</si>
  <si>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</si>
  <si>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</si>
  <si>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</si>
  <si>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</si>
  <si>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</si>
  <si>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</si>
  <si>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</si>
  <si>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</si>
  <si>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</si>
  <si>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</si>
  <si>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</si>
  <si>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</si>
  <si>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</si>
  <si>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</si>
  <si>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</si>
  <si>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</si>
  <si>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</si>
  <si>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</si>
  <si>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</si>
  <si>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</si>
  <si>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</si>
  <si>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</si>
  <si>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</si>
  <si>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</si>
  <si>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</si>
  <si>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</si>
  <si>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</si>
  <si>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</si>
  <si>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</si>
  <si>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</si>
  <si>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</si>
  <si>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</si>
  <si>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</si>
  <si>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</si>
  <si>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</si>
  <si>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</si>
  <si>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</si>
  <si>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</si>
  <si>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</si>
  <si>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</si>
  <si>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</si>
  <si>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</si>
  <si>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</si>
  <si>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</si>
  <si>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</si>
  <si>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</si>
  <si>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</si>
  <si>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</si>
  <si>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</si>
  <si>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</si>
  <si>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</si>
  <si>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</si>
  <si>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</si>
  <si>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</si>
  <si>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</si>
  <si>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</si>
  <si>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</si>
  <si>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</si>
  <si>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</si>
  <si>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</si>
  <si>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</si>
  <si>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</si>
  <si>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</si>
  <si>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</si>
  <si>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</si>
  <si>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</si>
  <si>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</si>
  <si>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</si>
  <si>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</si>
  <si>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</si>
  <si>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</si>
  <si>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</si>
  <si>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</si>
  <si>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</si>
  <si>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</si>
  <si>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</si>
  <si>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</si>
  <si>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</si>
  <si>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</si>
  <si>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</si>
  <si>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</si>
  <si>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</si>
  <si>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</si>
  <si>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</si>
  <si>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</si>
  <si>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</si>
  <si>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</si>
  <si>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</si>
  <si>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</si>
  <si>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</si>
  <si>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</si>
  <si>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</si>
  <si>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</si>
  <si>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</si>
  <si>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</si>
  <si>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</si>
  <si>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</si>
  <si>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</si>
  <si>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</si>
  <si>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</si>
  <si>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</si>
  <si>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</si>
  <si>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</si>
  <si>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</si>
  <si>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</si>
  <si>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</si>
  <si>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</si>
  <si>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</si>
  <si>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</si>
  <si>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</si>
  <si>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</si>
  <si>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</si>
  <si>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</si>
  <si>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</si>
  <si>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HBsAg</t>
  </si>
  <si>
    <t>DELIVERY ROOM</t>
  </si>
  <si>
    <t>TABLET</t>
  </si>
  <si>
    <t>125MG</t>
  </si>
  <si>
    <t>500MG</t>
  </si>
  <si>
    <t>MEFENAMIC ACID</t>
  </si>
  <si>
    <t>FERROUS SULFATE</t>
  </si>
  <si>
    <t>AMPULE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</si>
  <si>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</si>
  <si>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</si>
  <si>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</si>
  <si>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</si>
  <si>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</si>
  <si>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</si>
  <si>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</si>
  <si>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</si>
  <si>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</si>
  <si>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</si>
  <si>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</si>
  <si>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</si>
  <si>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</si>
  <si>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SYRINGE 5CC</t>
  </si>
  <si>
    <t>1AMP</t>
  </si>
  <si>
    <t>HYOSCINE</t>
  </si>
  <si>
    <t>METHERGINE</t>
  </si>
  <si>
    <t>D5LR</t>
  </si>
  <si>
    <t>CEFALEXIN</t>
  </si>
  <si>
    <t>CAPSULE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</si>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</sst>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1008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173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2118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179</v>
      </c>
      <c r="E11" s="27" t="s">
        <v>194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179</v>
      </c>
      <c r="E12" s="27" t="s">
        <v>194</v>
      </c>
      <c r="F12" s="55">
        <v>1</v>
      </c>
      <c r="G12" s="55">
        <v>1</v>
      </c>
      <c r="H12" s="55">
        <v>1</v>
      </c>
      <c r="I12" s="55">
        <v>75</v>
      </c>
      <c r="J12" s="55">
        <f t="shared" ref="J12:J17" si="0">H12*I12</f>
        <v>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174</v>
      </c>
      <c r="E13" s="27" t="s">
        <v>175</v>
      </c>
      <c r="F13" s="55">
        <v>3</v>
      </c>
      <c r="G13" s="55">
        <v>3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174</v>
      </c>
      <c r="E14" s="27" t="s">
        <v>176</v>
      </c>
      <c r="F14" s="55">
        <v>3</v>
      </c>
      <c r="G14" s="55">
        <v>3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174</v>
      </c>
      <c r="E15" s="27" t="s">
        <v>176</v>
      </c>
      <c r="F15" s="55">
        <v>1</v>
      </c>
      <c r="G15" s="55">
        <v>3</v>
      </c>
      <c r="H15" s="55">
        <v>33</v>
      </c>
      <c r="I15" s="55">
        <v>1</v>
      </c>
      <c r="J15" s="55">
        <f t="shared" si="0"/>
        <v>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182</v>
      </c>
      <c r="E16" s="27" t="s">
        <v>183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199</v>
      </c>
      <c r="E17" s="27" t="s">
        <v>176</v>
      </c>
      <c r="F17" s="55">
        <v>3</v>
      </c>
      <c r="G17" s="55">
        <v>3</v>
      </c>
      <c r="H17" s="55">
        <v>20</v>
      </c>
      <c r="I17" s="55">
        <v>7</v>
      </c>
      <c r="J17" s="55">
        <f t="shared" si="0"/>
        <v>140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6" workbookViewId="0">
      <selection activeCell="C39" sqref="C3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181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181</v>
      </c>
      <c r="E29" s="55">
        <v>1</v>
      </c>
      <c r="F29" s="55">
        <v>40</v>
      </c>
      <c r="G29" s="55">
        <f t="shared" ref="G29:G35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181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180</v>
      </c>
      <c r="D31" s="70" t="s">
        <v>181</v>
      </c>
      <c r="E31" s="55">
        <v>2</v>
      </c>
      <c r="F31" s="55">
        <v>10</v>
      </c>
      <c r="G31" s="55">
        <f t="shared" si="0"/>
        <v>20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181</v>
      </c>
      <c r="E32" s="55">
        <v>2</v>
      </c>
      <c r="F32" s="55">
        <v>10</v>
      </c>
      <c r="G32" s="55">
        <f t="shared" si="0"/>
        <v>20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190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185</v>
      </c>
      <c r="D34" s="70" t="s">
        <v>181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184</v>
      </c>
      <c r="D35" s="70" t="s">
        <v>181</v>
      </c>
      <c r="E35" s="55">
        <v>5</v>
      </c>
      <c r="F35" s="55">
        <v>25</v>
      </c>
      <c r="G35" s="55">
        <f t="shared" si="0"/>
        <v>125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F1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480</v>
      </c>
      <c r="H13" s="55">
        <v>30</v>
      </c>
      <c r="I13" s="55"/>
      <c r="J13" s="55">
        <v>30</v>
      </c>
      <c r="K13" s="55"/>
      <c r="L13" s="55"/>
      <c r="M13" s="55"/>
      <c r="N13" s="55"/>
      <c r="P13" s="88">
        <f>SUM(D13:N13)</f>
        <v>560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</v>
      </c>
      <c r="F14" s="55"/>
      <c r="G14" s="55">
        <v>20</v>
      </c>
      <c r="H14" s="55"/>
      <c r="I14" s="55">
        <v>20</v>
      </c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500</v>
      </c>
      <c r="H30" s="88">
        <f t="shared" si="1"/>
        <v>30</v>
      </c>
      <c r="I30" s="88">
        <f t="shared" si="1"/>
        <v>35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2018-06-02T01:42:39Z</dcterms:modified>
</cp:coreProperties>
</file>