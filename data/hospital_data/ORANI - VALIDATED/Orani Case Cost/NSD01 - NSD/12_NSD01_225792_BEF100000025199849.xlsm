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Drugs&amp;Med'!$C$11:$C$15</definedName>
    <definedName name="_xlnm.Print_Area" localSheetId="0">'1.1 Case data_general'!$B$1:$F$69</definedName>
    <definedName name="_xlnm.Print_Area" localSheetId="1">'1.2 Drugs&amp;Med'!$B$2:$J$16</definedName>
  </definedNames>
  <calcPr calcId="14562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35" i="9"/>
  <c r="G28" i="9"/>
  <c r="J12" i="2"/>
  <c r="J13" i="2"/>
  <c r="J14" i="2"/>
  <c r="J15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<sst xmlns="http://schemas.openxmlformats.org/spreadsheetml/2006/main" count="496" uniqueCount="202">
  <si>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</si>
  <si>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</si>
  <si>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</si>
  <si>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</si>
  <si>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</si>
  <si>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</si>
  <si>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</si>
  <si>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</si>
  <si>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</si>
  <si>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</si>
  <si>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</si>
  <si>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</si>
  <si>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</si>
  <si>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</si>
  <si>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</si>
  <si>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</si>
  <si>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</si>
  <si>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</si>
  <si>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</si>
  <si>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</si>
  <si>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</si>
  <si>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</si>
  <si>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</si>
  <si>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</si>
  <si>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</si>
  <si>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</si>
  <si>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</si>
  <si>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</si>
  <si>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</si>
  <si>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</si>
  <si>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</si>
  <si>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</si>
  <si>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</si>
  <si>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</si>
  <si>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</si>
  <si>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</si>
  <si>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</si>
  <si>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</si>
  <si>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</si>
  <si>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</si>
  <si>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</si>
  <si>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</si>
  <si>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</si>
  <si>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</si>
  <si>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</si>
  <si>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</si>
  <si>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</si>
  <si>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</si>
  <si>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</si>
  <si>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</si>
  <si>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</si>
  <si>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</si>
  <si>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</si>
  <si>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</si>
  <si>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</si>
  <si>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</si>
  <si>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</si>
  <si>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</si>
  <si>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</si>
  <si>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</si>
  <si>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</si>
  <si>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</si>
  <si>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</si>
  <si>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</si>
  <si>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</si>
  <si>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</si>
  <si>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</si>
  <si>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</si>
  <si>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</si>
  <si>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</si>
  <si>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</si>
  <si>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</si>
  <si>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</si>
  <si>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</si>
  <si>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</si>
  <si>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</si>
  <si>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</si>
  <si>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</si>
  <si>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</si>
  <si>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</si>
  <si>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</si>
  <si>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</si>
  <si>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</si>
  <si>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</si>
  <si>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</si>
  <si>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</si>
  <si>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</si>
  <si>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</si>
  <si>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</si>
  <si>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</si>
  <si>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</si>
  <si>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</si>
  <si>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</si>
  <si>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</si>
  <si>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</si>
  <si>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</si>
  <si>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</si>
  <si>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</si>
  <si>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</si>
  <si>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</si>
  <si>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</si>
  <si>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</si>
  <si>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</si>
  <si>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</si>
  <si>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</si>
  <si>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</si>
  <si>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</si>
  <si>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</si>
  <si>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</si>
  <si>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</si>
  <si>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</si>
  <si>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</si>
  <si>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</si>
  <si>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</si>
  <si>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</si>
  <si>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</si>
  <si>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</si>
  <si>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</si>
  <si>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</si>
  <si>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</si>
  <si>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</si>
  <si>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</si>
  <si>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</si>
  <si>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</si>
  <si>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</si>
  <si>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</si>
  <si>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</si>
  <si>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</si>
  <si>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</si>
  <si>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</si>
  <si>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</si>
  <si>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</si>
  <si>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</si>
  <si>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</si>
  <si>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</si>
  <si>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</si>
  <si>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</si>
  <si>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</si>
  <si>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</si>
  <si>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</si>
  <si>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</si>
  <si>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</si>
  <si>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</si>
  <si>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</si>
  <si>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</si>
  <si>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</si>
  <si>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</si>
  <si>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</si>
  <si>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</si>
  <si>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</si>
  <si>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</si>
  <si>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</si>
  <si>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</si>
  <si>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</si>
  <si>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</si>
  <si>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</si>
  <si>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</si>
  <si>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</si>
  <si>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</si>
  <si>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</si>
  <si>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</si>
  <si>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</si>
  <si>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</si>
  <si>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</si>
  <si>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</si>
  <si>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</si>
  <si>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RH TYPING</t>
  </si>
  <si>
    <t>MEDICINES</t>
  </si>
  <si>
    <t>LABORATORY</t>
  </si>
  <si>
    <t>ROOM AND BOARD</t>
  </si>
  <si>
    <t>O80.9</t>
  </si>
  <si>
    <t>HYOSCINE</t>
  </si>
  <si>
    <t>CEFALEXIN</t>
  </si>
  <si>
    <t>CAPSULE</t>
  </si>
  <si>
    <t>MEFENAMIC ACID</t>
  </si>
  <si>
    <t>FERROUS SULFATE</t>
  </si>
  <si>
    <t>TABLET</t>
  </si>
  <si>
    <t>D5LR</t>
  </si>
  <si>
    <t>BOTTLE</t>
  </si>
  <si>
    <t>SYRINGE 3CC</t>
  </si>
  <si>
    <t>PC</t>
  </si>
  <si>
    <t>ABOCATH GAUGE 20</t>
  </si>
  <si>
    <t>MACRO SET</t>
  </si>
  <si>
    <t>SANITEX</t>
  </si>
  <si>
    <t>PLASTER 1/2</t>
  </si>
  <si>
    <t>PACK</t>
  </si>
  <si>
    <t>Z37.0</t>
  </si>
  <si>
    <t>500MG</t>
  </si>
  <si>
    <t xml:space="preserve">325MG </t>
  </si>
  <si>
    <t>Procedure</t>
  </si>
  <si>
    <t>DELIVERY ROOM</t>
  </si>
  <si>
    <t>ROD</t>
  </si>
  <si>
    <t>Perineal Care</t>
  </si>
  <si>
    <t>RAZOR</t>
  </si>
  <si>
    <t>AMPULE</t>
  </si>
  <si>
    <t>10ML</t>
  </si>
  <si>
    <t>GLOVES 7.0</t>
  </si>
  <si>
    <t>1 LITER</t>
  </si>
  <si>
    <t>UNDERPADS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</si>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</sst>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199</v>
      </c>
      <c r="D23" s="29" t="s">
        <v>200</v>
      </c>
      <c r="E23" s="55">
        <v>1</v>
      </c>
      <c r="F23" s="55">
        <v>5.5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1363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/>
      <c r="E60" s="55"/>
      <c r="F60" s="55">
        <v>800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190</v>
      </c>
      <c r="D61" s="55">
        <v>987</v>
      </c>
      <c r="E61" s="55"/>
      <c r="F61" s="55">
        <v>153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191</v>
      </c>
      <c r="D62" s="55">
        <v>2000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0</v>
      </c>
      <c r="F69" s="59">
        <f>SUM(F58:F68)</f>
        <v>953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6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194</v>
      </c>
      <c r="E11" s="27" t="s">
        <v>195</v>
      </c>
      <c r="F11" s="55">
        <v>2</v>
      </c>
      <c r="G11" s="55">
        <v>2</v>
      </c>
      <c r="H11" s="55">
        <v>2</v>
      </c>
      <c r="I11" s="55">
        <v>100</v>
      </c>
      <c r="J11" s="55">
        <f>H11*I11</f>
        <v>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173</v>
      </c>
      <c r="E12" s="27" t="s">
        <v>187</v>
      </c>
      <c r="F12" s="55">
        <v>3</v>
      </c>
      <c r="G12" s="55">
        <v>2</v>
      </c>
      <c r="H12" s="55">
        <v>26</v>
      </c>
      <c r="I12" s="55">
        <v>7</v>
      </c>
      <c r="J12" s="55">
        <f t="shared" ref="J12:J15" si="0">H12*I12</f>
        <v>182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173</v>
      </c>
      <c r="E13" s="27" t="s">
        <v>187</v>
      </c>
      <c r="F13" s="55">
        <v>3</v>
      </c>
      <c r="G13" s="55">
        <v>2</v>
      </c>
      <c r="H13" s="55">
        <v>9</v>
      </c>
      <c r="I13" s="55">
        <v>5</v>
      </c>
      <c r="J13" s="55">
        <f t="shared" si="0"/>
        <v>45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176</v>
      </c>
      <c r="E14" s="27" t="s">
        <v>188</v>
      </c>
      <c r="F14" s="55">
        <v>1</v>
      </c>
      <c r="G14" s="55">
        <v>2</v>
      </c>
      <c r="H14" s="55">
        <v>31</v>
      </c>
      <c r="I14" s="55">
        <v>1</v>
      </c>
      <c r="J14" s="55">
        <f t="shared" si="0"/>
        <v>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177</v>
      </c>
      <c r="D15" s="27" t="s">
        <v>178</v>
      </c>
      <c r="E15" s="27" t="s">
        <v>197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2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E21" sqref="E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179</v>
      </c>
      <c r="D28" s="70" t="s">
        <v>180</v>
      </c>
      <c r="E28" s="55">
        <v>2</v>
      </c>
      <c r="F28" s="55">
        <v>10</v>
      </c>
      <c r="G28" s="55">
        <f>E28*F28</f>
        <v>20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181</v>
      </c>
      <c r="D29" s="70" t="s">
        <v>180</v>
      </c>
      <c r="E29" s="55">
        <v>2</v>
      </c>
      <c r="F29" s="55">
        <v>100</v>
      </c>
      <c r="G29" s="55">
        <f t="shared" ref="G29:G35" si="0">E29*F29</f>
        <v>200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182</v>
      </c>
      <c r="D30" s="70" t="s">
        <v>180</v>
      </c>
      <c r="E30" s="55">
        <v>1</v>
      </c>
      <c r="F30" s="55">
        <v>60</v>
      </c>
      <c r="G30" s="55">
        <f t="shared" si="0"/>
        <v>60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184</v>
      </c>
      <c r="D31" s="70" t="s">
        <v>180</v>
      </c>
      <c r="E31" s="55">
        <v>1</v>
      </c>
      <c r="F31" s="55">
        <v>50</v>
      </c>
      <c r="G31" s="55">
        <f t="shared" si="0"/>
        <v>50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183</v>
      </c>
      <c r="D32" s="70" t="s">
        <v>185</v>
      </c>
      <c r="E32" s="55">
        <v>1</v>
      </c>
      <c r="F32" s="55">
        <v>150</v>
      </c>
      <c r="G32" s="55">
        <f t="shared" si="0"/>
        <v>150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193</v>
      </c>
      <c r="D33" s="70" t="s">
        <v>180</v>
      </c>
      <c r="E33" s="55">
        <v>1</v>
      </c>
      <c r="F33" s="55">
        <v>25</v>
      </c>
      <c r="G33" s="55">
        <f t="shared" si="0"/>
        <v>25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196</v>
      </c>
      <c r="D34" s="70" t="s">
        <v>180</v>
      </c>
      <c r="E34" s="55">
        <v>5</v>
      </c>
      <c r="F34" s="55">
        <v>30</v>
      </c>
      <c r="G34" s="55">
        <f t="shared" si="0"/>
        <v>150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198</v>
      </c>
      <c r="D35" s="70" t="s">
        <v>180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" workbookViewId="0">
      <selection activeCell="C16" sqref="C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63.7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540</v>
      </c>
      <c r="H13" s="55">
        <v>15</v>
      </c>
      <c r="I13" s="55"/>
      <c r="J13" s="55">
        <v>25</v>
      </c>
      <c r="K13" s="55"/>
      <c r="L13" s="55"/>
      <c r="M13" s="55"/>
      <c r="N13" s="55"/>
      <c r="P13" s="88">
        <f>SUM(D13:N13)</f>
        <v>620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189</v>
      </c>
      <c r="D14" s="55"/>
      <c r="E14" s="55">
        <v>163</v>
      </c>
      <c r="F14" s="55"/>
      <c r="G14" s="55">
        <v>163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326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192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203</v>
      </c>
      <c r="F30" s="88">
        <f t="shared" si="1"/>
        <v>0</v>
      </c>
      <c r="G30" s="88">
        <f t="shared" si="1"/>
        <v>703</v>
      </c>
      <c r="H30" s="88">
        <f t="shared" si="1"/>
        <v>15</v>
      </c>
      <c r="I30" s="88">
        <f t="shared" si="1"/>
        <v>15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961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2018-06-02T01:42:02Z</dcterms:modified>
</cp:coreProperties>
</file>