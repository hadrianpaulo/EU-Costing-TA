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Drugs&amp;Med'!$C$11:$C$16</definedName>
    <definedName name="_xlnm.Print_Area" localSheetId="0">'1.1 Case data_general'!$B$1:$F$70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6" i="9" l="1"/>
  <c r="G35" i="9"/>
  <c r="G29" i="9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<sst xmlns="http://schemas.openxmlformats.org/spreadsheetml/2006/main" count="501" uniqueCount="204">
  <si>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</si>
  <si>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</si>
  <si>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</si>
  <si>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</si>
  <si>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</si>
  <si>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</si>
  <si>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</si>
  <si>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</si>
  <si>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</si>
  <si>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</si>
  <si>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</si>
  <si>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</si>
  <si>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</si>
  <si>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</si>
  <si>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</si>
  <si>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</si>
  <si>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</si>
  <si>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</si>
  <si>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</si>
  <si>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</si>
  <si>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</si>
  <si>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</si>
  <si>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</si>
  <si>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</si>
  <si>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</si>
  <si>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</si>
  <si>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</si>
  <si>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</si>
  <si>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</si>
  <si>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</si>
  <si>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</si>
  <si>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</si>
  <si>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</si>
  <si>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</si>
  <si>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</si>
  <si>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</si>
  <si>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</si>
  <si>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</si>
  <si>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</si>
  <si>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</si>
  <si>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</si>
  <si>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</si>
  <si>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</si>
  <si>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</si>
  <si>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</si>
  <si>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</si>
  <si>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</si>
  <si>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</si>
  <si>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</si>
  <si>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</si>
  <si>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</si>
  <si>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</si>
  <si>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</si>
  <si>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</si>
  <si>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</si>
  <si>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</si>
  <si>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</si>
  <si>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</si>
  <si>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</si>
  <si>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</si>
  <si>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</si>
  <si>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</si>
  <si>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</si>
  <si>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</si>
  <si>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</si>
  <si>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</si>
  <si>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</si>
  <si>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</si>
  <si>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</si>
  <si>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</si>
  <si>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</si>
  <si>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</si>
  <si>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</si>
  <si>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</si>
  <si>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</si>
  <si>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</si>
  <si>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</si>
  <si>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</si>
  <si>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</si>
  <si>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</si>
  <si>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</si>
  <si>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</si>
  <si>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</si>
  <si>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</si>
  <si>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</si>
  <si>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</si>
  <si>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</si>
  <si>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</si>
  <si>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</si>
  <si>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</si>
  <si>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</si>
  <si>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</si>
  <si>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</si>
  <si>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</si>
  <si>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</si>
  <si>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</si>
  <si>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</si>
  <si>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</si>
  <si>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</si>
  <si>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</si>
  <si>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</si>
  <si>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</si>
  <si>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</si>
  <si>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</si>
  <si>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</si>
  <si>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</si>
  <si>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</si>
  <si>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</si>
  <si>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</si>
  <si>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</si>
  <si>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</si>
  <si>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</si>
  <si>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</si>
  <si>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</si>
  <si>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</si>
  <si>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</si>
  <si>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</si>
  <si>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</si>
  <si>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</si>
  <si>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</si>
  <si>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</si>
  <si>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</si>
  <si>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</si>
  <si>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</si>
  <si>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</si>
  <si>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</si>
  <si>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</si>
  <si>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</si>
  <si>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</si>
  <si>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</si>
  <si>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</si>
  <si>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</si>
  <si>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</si>
  <si>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</si>
  <si>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</si>
  <si>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</si>
  <si>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</si>
  <si>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</si>
  <si>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</si>
  <si>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</si>
  <si>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</si>
  <si>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</si>
  <si>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</si>
  <si>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</si>
  <si>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</si>
  <si>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</si>
  <si>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</si>
  <si>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</si>
  <si>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</si>
  <si>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</si>
  <si>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</si>
  <si>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</si>
  <si>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</si>
  <si>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</si>
  <si>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</si>
  <si>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</si>
  <si>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</si>
  <si>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</si>
  <si>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</si>
  <si>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</si>
  <si>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</si>
  <si>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</si>
  <si>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</si>
  <si>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</si>
  <si>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</si>
  <si>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</si>
  <si>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</si>
  <si>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</si>
  <si>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</si>
  <si>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</si>
  <si>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</si>
  <si>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</si>
  <si>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HBsAg</t>
  </si>
  <si>
    <t>DELIVERY ROOM</t>
  </si>
  <si>
    <t>METHYLERGOMETRINE MALEATE</t>
  </si>
  <si>
    <t>TABLET</t>
  </si>
  <si>
    <t>125MG</t>
  </si>
  <si>
    <t>CEFALEXIN</t>
  </si>
  <si>
    <t>TALBET</t>
  </si>
  <si>
    <t>500MG</t>
  </si>
  <si>
    <t>MEFENAMIC ACID</t>
  </si>
  <si>
    <t>FERROUS SULFATE</t>
  </si>
  <si>
    <t>325MG</t>
  </si>
  <si>
    <t>AMPULE</t>
  </si>
  <si>
    <t>200ML</t>
  </si>
  <si>
    <t>SYRINGE 3CC</t>
  </si>
  <si>
    <t>PC</t>
  </si>
  <si>
    <t>D5 LR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</si>
  <si>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</si>
  <si>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</si>
  <si>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</si>
  <si>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</si>
  <si>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</si>
  <si>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</si>
  <si>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</si>
  <si>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</si>
  <si>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</si>
  <si>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</si>
  <si>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CBC PLATELET COUNT</t>
  </si>
  <si>
    <t>UNDERPAD</t>
  </si>
  <si>
    <t>SYRINGE 5CC</t>
  </si>
  <si>
    <t>VAGINAL DELIVERY</t>
  </si>
  <si>
    <t>NSD01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</si>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</sst>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202</v>
      </c>
      <c r="D23" s="29" t="s">
        <v>201</v>
      </c>
      <c r="E23" s="55">
        <v>1</v>
      </c>
      <c r="F23" s="55">
        <v>6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198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165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45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46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54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56</v>
      </c>
      <c r="C58" s="17" t="s">
        <v>52</v>
      </c>
      <c r="D58" s="17" t="s">
        <v>57</v>
      </c>
      <c r="E58" s="18" t="s">
        <v>58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167</v>
      </c>
      <c r="D59" s="55">
        <v>1244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168</v>
      </c>
      <c r="D60" s="55">
        <v>810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169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173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2254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2</v>
      </c>
      <c r="G11" s="55">
        <v>1</v>
      </c>
      <c r="H11" s="55">
        <v>15</v>
      </c>
      <c r="I11" s="55">
        <v>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178</v>
      </c>
      <c r="E12" s="27" t="s">
        <v>179</v>
      </c>
      <c r="F12" s="55">
        <v>2</v>
      </c>
      <c r="G12" s="55">
        <v>2</v>
      </c>
      <c r="H12" s="55">
        <v>26</v>
      </c>
      <c r="I12" s="55">
        <v>7</v>
      </c>
      <c r="J12" s="55">
        <f t="shared" ref="J12:J16" si="0">H12*I12</f>
        <v>182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175</v>
      </c>
      <c r="E13" s="27" t="s">
        <v>179</v>
      </c>
      <c r="F13" s="55">
        <v>2</v>
      </c>
      <c r="G13" s="55">
        <v>2</v>
      </c>
      <c r="H13" s="55">
        <v>15</v>
      </c>
      <c r="I13" s="55">
        <v>5</v>
      </c>
      <c r="J13" s="55">
        <f t="shared" si="0"/>
        <v>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175</v>
      </c>
      <c r="E14" s="27" t="s">
        <v>182</v>
      </c>
      <c r="F14" s="55">
        <v>1</v>
      </c>
      <c r="G14" s="55">
        <v>2</v>
      </c>
      <c r="H14" s="55">
        <v>32</v>
      </c>
      <c r="I14" s="55">
        <v>1</v>
      </c>
      <c r="J14" s="55">
        <f t="shared" si="0"/>
        <v>32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174</v>
      </c>
      <c r="D15" s="27" t="s">
        <v>183</v>
      </c>
      <c r="E15" s="27" t="s">
        <v>184</v>
      </c>
      <c r="F15" s="55">
        <v>1</v>
      </c>
      <c r="G15" s="55">
        <v>1</v>
      </c>
      <c r="H15" s="55">
        <v>1</v>
      </c>
      <c r="I15" s="55">
        <v>75</v>
      </c>
      <c r="J15" s="55">
        <f t="shared" si="0"/>
        <v>75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187</v>
      </c>
      <c r="D16" s="27" t="s">
        <v>188</v>
      </c>
      <c r="E16" s="27" t="s">
        <v>189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9" workbookViewId="0">
      <selection activeCell="D36" sqref="D3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185</v>
      </c>
      <c r="D28" s="70" t="s">
        <v>186</v>
      </c>
      <c r="E28" s="55">
        <v>3</v>
      </c>
      <c r="F28" s="55">
        <v>10</v>
      </c>
      <c r="G28" s="55">
        <f>E28*F28</f>
        <v>30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190</v>
      </c>
      <c r="D29" s="70" t="s">
        <v>186</v>
      </c>
      <c r="E29" s="55">
        <v>6</v>
      </c>
      <c r="F29" s="55">
        <v>30</v>
      </c>
      <c r="G29" s="55">
        <f t="shared" ref="G29:G36" si="0">E29*F29</f>
        <v>180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191</v>
      </c>
      <c r="D30" s="70" t="s">
        <v>186</v>
      </c>
      <c r="E30" s="55">
        <v>1</v>
      </c>
      <c r="F30" s="55">
        <v>25</v>
      </c>
      <c r="G30" s="55">
        <f t="shared" si="0"/>
        <v>25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192</v>
      </c>
      <c r="D31" s="70" t="s">
        <v>186</v>
      </c>
      <c r="E31" s="55">
        <v>1</v>
      </c>
      <c r="F31" s="55">
        <v>100</v>
      </c>
      <c r="G31" s="55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193</v>
      </c>
      <c r="D32" s="70" t="s">
        <v>186</v>
      </c>
      <c r="E32" s="55">
        <v>1</v>
      </c>
      <c r="F32" s="55">
        <v>60</v>
      </c>
      <c r="G32" s="55">
        <f t="shared" si="0"/>
        <v>60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194</v>
      </c>
      <c r="D33" s="70" t="s">
        <v>186</v>
      </c>
      <c r="E33" s="55">
        <v>1</v>
      </c>
      <c r="F33" s="55">
        <v>50</v>
      </c>
      <c r="G33" s="55">
        <f t="shared" si="0"/>
        <v>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195</v>
      </c>
      <c r="D34" s="70" t="s">
        <v>196</v>
      </c>
      <c r="E34" s="55">
        <v>1</v>
      </c>
      <c r="F34" s="55">
        <v>100</v>
      </c>
      <c r="G34" s="55">
        <f t="shared" si="0"/>
        <v>100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199</v>
      </c>
      <c r="D35" s="70" t="s">
        <v>186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9</v>
      </c>
      <c r="C36" s="69" t="s">
        <v>200</v>
      </c>
      <c r="D36" s="70" t="s">
        <v>186</v>
      </c>
      <c r="E36" s="55">
        <v>1</v>
      </c>
      <c r="F36" s="55">
        <v>10</v>
      </c>
      <c r="G36" s="55">
        <f t="shared" si="0"/>
        <v>10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6" t="s">
        <v>29</v>
      </c>
      <c r="C37" s="137"/>
      <c r="D37" s="137"/>
      <c r="E37" s="137"/>
      <c r="F37" s="137"/>
      <c r="G37" s="138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F5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10</v>
      </c>
      <c r="F13" s="55"/>
      <c r="G13" s="55">
        <v>480</v>
      </c>
      <c r="H13" s="55"/>
      <c r="I13" s="55"/>
      <c r="J13" s="55">
        <v>10</v>
      </c>
      <c r="K13" s="55"/>
      <c r="L13" s="55"/>
      <c r="M13" s="55"/>
      <c r="N13" s="55"/>
      <c r="P13" s="88">
        <f>SUM(D13:N13)</f>
        <v>500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80</v>
      </c>
      <c r="F14" s="55"/>
      <c r="G14" s="55">
        <v>80</v>
      </c>
      <c r="H14" s="55"/>
      <c r="I14" s="55">
        <v>80</v>
      </c>
      <c r="J14" s="55"/>
      <c r="K14" s="55"/>
      <c r="L14" s="55"/>
      <c r="M14" s="55"/>
      <c r="N14" s="55"/>
      <c r="P14" s="88">
        <f t="shared" ref="P14:P22" si="0">SUM(D14:N14)</f>
        <v>240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197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90</v>
      </c>
      <c r="F30" s="88">
        <f t="shared" si="1"/>
        <v>0</v>
      </c>
      <c r="G30" s="88">
        <f t="shared" si="1"/>
        <v>560</v>
      </c>
      <c r="H30" s="88">
        <f t="shared" si="1"/>
        <v>0</v>
      </c>
      <c r="I30" s="88">
        <f t="shared" si="1"/>
        <v>95</v>
      </c>
      <c r="J30" s="88">
        <f t="shared" si="1"/>
        <v>10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2018-06-02T02:06:09Z</dcterms:modified>
</cp:coreProperties>
</file>