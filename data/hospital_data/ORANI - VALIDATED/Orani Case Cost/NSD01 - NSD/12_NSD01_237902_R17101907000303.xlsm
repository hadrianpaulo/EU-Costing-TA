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6" i="9" l="1"/>
  <c r="G35" i="9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<sst xmlns="http://schemas.openxmlformats.org/spreadsheetml/2006/main" count="500" uniqueCount="203">
  <si>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</si>
  <si>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</si>
  <si>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</si>
  <si>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</si>
  <si>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</si>
  <si>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</si>
  <si>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</si>
  <si>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</si>
  <si>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</si>
  <si>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</si>
  <si>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</si>
  <si>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</si>
  <si>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</si>
  <si>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</si>
  <si>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</si>
  <si>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</si>
  <si>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</si>
  <si>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</si>
  <si>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</si>
  <si>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</si>
  <si>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</si>
  <si>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</si>
  <si>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</si>
  <si>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</si>
  <si>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</si>
  <si>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</si>
  <si>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</si>
  <si>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</si>
  <si>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</si>
  <si>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</si>
  <si>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</si>
  <si>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</si>
  <si>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</si>
  <si>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</si>
  <si>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</si>
  <si>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</si>
  <si>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</si>
  <si>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</si>
  <si>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</si>
  <si>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</si>
  <si>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</si>
  <si>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</si>
  <si>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</si>
  <si>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</si>
  <si>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</si>
  <si>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</si>
  <si>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</si>
  <si>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</si>
  <si>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</si>
  <si>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</si>
  <si>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</si>
  <si>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</si>
  <si>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</si>
  <si>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</si>
  <si>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</si>
  <si>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</si>
  <si>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</si>
  <si>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</si>
  <si>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</si>
  <si>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</si>
  <si>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</si>
  <si>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</si>
  <si>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</si>
  <si>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</si>
  <si>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</si>
  <si>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</si>
  <si>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</si>
  <si>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</si>
  <si>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</si>
  <si>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</si>
  <si>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</si>
  <si>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</si>
  <si>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</si>
  <si>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</si>
  <si>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</si>
  <si>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</si>
  <si>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</si>
  <si>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</si>
  <si>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</si>
  <si>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</si>
  <si>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</si>
  <si>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</si>
  <si>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</si>
  <si>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</si>
  <si>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</si>
  <si>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</si>
  <si>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</si>
  <si>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</si>
  <si>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</si>
  <si>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</si>
  <si>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</si>
  <si>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</si>
  <si>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</si>
  <si>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</si>
  <si>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</si>
  <si>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</si>
  <si>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</si>
  <si>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</si>
  <si>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</si>
  <si>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</si>
  <si>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</si>
  <si>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</si>
  <si>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</si>
  <si>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</si>
  <si>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</si>
  <si>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</si>
  <si>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</si>
  <si>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</si>
  <si>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</si>
  <si>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</si>
  <si>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</si>
  <si>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</si>
  <si>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</si>
  <si>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</si>
  <si>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</si>
  <si>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</si>
  <si>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</si>
  <si>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</si>
  <si>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</si>
  <si>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</si>
  <si>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</si>
  <si>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</si>
  <si>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</si>
  <si>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</si>
  <si>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</si>
  <si>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</si>
  <si>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</si>
  <si>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</si>
  <si>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</si>
  <si>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</si>
  <si>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</si>
  <si>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</si>
  <si>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</si>
  <si>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</si>
  <si>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</si>
  <si>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</si>
  <si>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</si>
  <si>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</si>
  <si>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</si>
  <si>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</si>
  <si>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</si>
  <si>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</si>
  <si>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</si>
  <si>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</si>
  <si>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</si>
  <si>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</si>
  <si>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</si>
  <si>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</si>
  <si>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</si>
  <si>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</si>
  <si>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</si>
  <si>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</si>
  <si>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</si>
  <si>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</si>
  <si>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</si>
  <si>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</si>
  <si>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</si>
  <si>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</si>
  <si>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</si>
  <si>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</si>
  <si>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</si>
  <si>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</si>
  <si>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</si>
  <si>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</si>
  <si>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</si>
  <si>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</si>
  <si>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</si>
  <si>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</si>
  <si>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</si>
  <si>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</si>
  <si>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</si>
  <si>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DELIVERY ROOM</t>
  </si>
  <si>
    <t>TABLET</t>
  </si>
  <si>
    <t>125MG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</si>
  <si>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</si>
  <si>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</si>
  <si>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</si>
  <si>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</si>
  <si>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</si>
  <si>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</si>
  <si>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</si>
  <si>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</si>
  <si>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</si>
  <si>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</si>
  <si>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</si>
  <si>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</si>
  <si>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</si>
  <si>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</si>
  <si>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</si>
  <si>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</si>
  <si>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</si>
  <si>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</si>
  <si>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</si>
  <si>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10ML</t>
  </si>
  <si>
    <t>D5LR</t>
  </si>
  <si>
    <t>CAPSULE</t>
  </si>
  <si>
    <t xml:space="preserve">METHERGINE </t>
  </si>
  <si>
    <t>UNDERPADS</t>
  </si>
  <si>
    <t>DISPOSABLE FACE MASK</t>
  </si>
  <si>
    <t>NSD01</t>
  </si>
  <si>
    <t>VAGINAL DELIVERY</t>
  </si>
  <si>
    <t>Z37.0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</si>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</sst>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201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199</v>
      </c>
      <c r="D23" s="29" t="s">
        <v>200</v>
      </c>
      <c r="E23" s="55">
        <v>1</v>
      </c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166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1120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171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1970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0" sqref="C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195</v>
      </c>
      <c r="E11" s="27" t="s">
        <v>175</v>
      </c>
      <c r="F11" s="55">
        <v>3</v>
      </c>
      <c r="G11" s="55">
        <v>2</v>
      </c>
      <c r="H11" s="55">
        <v>20</v>
      </c>
      <c r="I11" s="55">
        <v>7</v>
      </c>
      <c r="J11" s="55">
        <f>H11*I11</f>
        <v>140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195</v>
      </c>
      <c r="E12" s="27" t="s">
        <v>175</v>
      </c>
      <c r="F12" s="55">
        <v>3</v>
      </c>
      <c r="G12" s="55">
        <v>2</v>
      </c>
      <c r="H12" s="55">
        <v>10</v>
      </c>
      <c r="I12" s="55">
        <v>5</v>
      </c>
      <c r="J12" s="55">
        <f t="shared" ref="J12:J16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172</v>
      </c>
      <c r="E13" s="27" t="s">
        <v>178</v>
      </c>
      <c r="F13" s="55">
        <v>1</v>
      </c>
      <c r="G13" s="55">
        <v>2</v>
      </c>
      <c r="H13" s="55">
        <v>30</v>
      </c>
      <c r="I13" s="55">
        <v>1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179</v>
      </c>
      <c r="E14" s="27" t="s">
        <v>193</v>
      </c>
      <c r="F14" s="55">
        <v>1</v>
      </c>
      <c r="G14" s="55">
        <v>1</v>
      </c>
      <c r="H14" s="55">
        <v>1</v>
      </c>
      <c r="I14" s="55">
        <v>75</v>
      </c>
      <c r="J14" s="55">
        <f t="shared" si="0"/>
        <v>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172</v>
      </c>
      <c r="E15" s="27" t="s">
        <v>173</v>
      </c>
      <c r="F15" s="55">
        <v>3</v>
      </c>
      <c r="G15" s="55">
        <v>2</v>
      </c>
      <c r="H15" s="55">
        <v>10</v>
      </c>
      <c r="I15" s="55">
        <v>5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182</v>
      </c>
      <c r="E16" s="27" t="s">
        <v>183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9" workbookViewId="0">
      <selection activeCell="E36" sqref="E3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180</v>
      </c>
      <c r="D28" s="70" t="s">
        <v>181</v>
      </c>
      <c r="E28" s="55">
        <v>2</v>
      </c>
      <c r="F28" s="55">
        <v>10</v>
      </c>
      <c r="G28" s="55">
        <f>E28*F28</f>
        <v>20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181</v>
      </c>
      <c r="E29" s="55">
        <v>1</v>
      </c>
      <c r="F29" s="55">
        <v>100</v>
      </c>
      <c r="G29" s="55">
        <f t="shared" ref="G29:G36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181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181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184</v>
      </c>
      <c r="D32" s="70" t="s">
        <v>181</v>
      </c>
      <c r="E32" s="55">
        <v>5</v>
      </c>
      <c r="F32" s="55">
        <v>25</v>
      </c>
      <c r="G32" s="55">
        <f t="shared" si="0"/>
        <v>125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189</v>
      </c>
      <c r="D33" s="70" t="s">
        <v>190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185</v>
      </c>
      <c r="D34" s="70" t="s">
        <v>181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197</v>
      </c>
      <c r="D35" s="70" t="s">
        <v>181</v>
      </c>
      <c r="E35" s="55">
        <v>4</v>
      </c>
      <c r="F35" s="55">
        <v>30</v>
      </c>
      <c r="G35" s="55">
        <f t="shared" si="0"/>
        <v>120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69" t="s">
        <v>198</v>
      </c>
      <c r="D36" s="70" t="s">
        <v>181</v>
      </c>
      <c r="E36" s="55">
        <v>1</v>
      </c>
      <c r="F36" s="55">
        <v>5</v>
      </c>
      <c r="G36" s="55">
        <f t="shared" si="0"/>
        <v>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6" t="s">
        <v>29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480</v>
      </c>
      <c r="H13" s="55">
        <v>5</v>
      </c>
      <c r="I13" s="55"/>
      <c r="J13" s="55">
        <v>10</v>
      </c>
      <c r="K13" s="55"/>
      <c r="L13" s="55"/>
      <c r="M13" s="55"/>
      <c r="N13" s="55"/>
      <c r="P13" s="88">
        <f>SUM(D13:N13)</f>
        <v>505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5</v>
      </c>
      <c r="H14" s="55"/>
      <c r="I14" s="55">
        <v>5</v>
      </c>
      <c r="J14" s="55"/>
      <c r="K14" s="55"/>
      <c r="L14" s="55"/>
      <c r="M14" s="55"/>
      <c r="N14" s="55"/>
      <c r="P14" s="88">
        <f t="shared" ref="P14:P22" si="0">SUM(D14:N14)</f>
        <v>15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485</v>
      </c>
      <c r="H30" s="88">
        <f t="shared" si="1"/>
        <v>5</v>
      </c>
      <c r="I30" s="88">
        <f t="shared" si="1"/>
        <v>20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2018-06-02T01:57:40Z</dcterms:modified>
</cp:coreProperties>
</file>