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5" i="9" l="1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<sst xmlns="http://schemas.openxmlformats.org/spreadsheetml/2006/main" count="498" uniqueCount="202">
  <si>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</si>
  <si>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</si>
  <si>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</si>
  <si>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</si>
  <si>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</si>
  <si>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</si>
  <si>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</si>
  <si>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</si>
  <si>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</si>
  <si>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</si>
  <si>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</si>
  <si>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</si>
  <si>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</si>
  <si>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</si>
  <si>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</si>
  <si>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</si>
  <si>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</si>
  <si>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</si>
  <si>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</si>
  <si>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</si>
  <si>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</si>
  <si>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</si>
  <si>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</si>
  <si>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</si>
  <si>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</si>
  <si>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</si>
  <si>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</si>
  <si>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</si>
  <si>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</si>
  <si>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</si>
  <si>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</si>
  <si>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</si>
  <si>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</si>
  <si>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</si>
  <si>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</si>
  <si>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</si>
  <si>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</si>
  <si>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</si>
  <si>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</si>
  <si>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</si>
  <si>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</si>
  <si>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</si>
  <si>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</si>
  <si>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</si>
  <si>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</si>
  <si>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</si>
  <si>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</si>
  <si>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</si>
  <si>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</si>
  <si>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</si>
  <si>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</si>
  <si>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</si>
  <si>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</si>
  <si>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</si>
  <si>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</si>
  <si>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</si>
  <si>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</si>
  <si>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</si>
  <si>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</si>
  <si>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</si>
  <si>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</si>
  <si>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</si>
  <si>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</si>
  <si>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</si>
  <si>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</si>
  <si>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</si>
  <si>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</si>
  <si>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</si>
  <si>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</si>
  <si>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</si>
  <si>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</si>
  <si>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</si>
  <si>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</si>
  <si>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</si>
  <si>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</si>
  <si>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</si>
  <si>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</si>
  <si>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</si>
  <si>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</si>
  <si>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</si>
  <si>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</si>
  <si>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</si>
  <si>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</si>
  <si>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</si>
  <si>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</si>
  <si>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</si>
  <si>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</si>
  <si>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</si>
  <si>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</si>
  <si>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</si>
  <si>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</si>
  <si>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</si>
  <si>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</si>
  <si>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</si>
  <si>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</si>
  <si>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</si>
  <si>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</si>
  <si>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</si>
  <si>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</si>
  <si>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</si>
  <si>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</si>
  <si>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</si>
  <si>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</si>
  <si>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</si>
  <si>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</si>
  <si>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</si>
  <si>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</si>
  <si>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</si>
  <si>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</si>
  <si>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</si>
  <si>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</si>
  <si>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</si>
  <si>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</si>
  <si>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</si>
  <si>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</si>
  <si>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</si>
  <si>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</si>
  <si>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</si>
  <si>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</si>
  <si>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</si>
  <si>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</si>
  <si>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</si>
  <si>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</si>
  <si>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</si>
  <si>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</si>
  <si>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</si>
  <si>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</si>
  <si>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</si>
  <si>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</si>
  <si>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</si>
  <si>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</si>
  <si>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</si>
  <si>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</si>
  <si>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</si>
  <si>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</si>
  <si>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</si>
  <si>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</si>
  <si>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</si>
  <si>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</si>
  <si>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</si>
  <si>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</si>
  <si>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</si>
  <si>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</si>
  <si>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</si>
  <si>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</si>
  <si>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</si>
  <si>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</si>
  <si>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</si>
  <si>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</si>
  <si>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</si>
  <si>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</si>
  <si>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</si>
  <si>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</si>
  <si>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</si>
  <si>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</si>
  <si>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</si>
  <si>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</si>
  <si>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</si>
  <si>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</si>
  <si>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</si>
  <si>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</si>
  <si>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</si>
  <si>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</si>
  <si>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</si>
  <si>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</si>
  <si>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</si>
  <si>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</si>
  <si>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</si>
  <si>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</si>
  <si>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</si>
  <si>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</si>
  <si>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</si>
  <si>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</si>
  <si>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TABLET</t>
  </si>
  <si>
    <t>125MG</t>
  </si>
  <si>
    <t>CEFALEXIN</t>
  </si>
  <si>
    <t>500MG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</si>
  <si>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</si>
  <si>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</si>
  <si>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</si>
  <si>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</si>
  <si>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</si>
  <si>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</si>
  <si>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</si>
  <si>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</si>
  <si>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</si>
  <si>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</si>
  <si>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</si>
  <si>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</si>
  <si>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</si>
  <si>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</si>
  <si>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</si>
  <si>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</si>
  <si>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D5LR</t>
  </si>
  <si>
    <t>METHYLERGOMETRINE MALEATE</t>
  </si>
  <si>
    <t>CAPSULE</t>
  </si>
  <si>
    <t>10MG</t>
  </si>
  <si>
    <t xml:space="preserve">MEFENAMIC ACID </t>
  </si>
  <si>
    <t>UNDERPADS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</si>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</sst>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0.15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166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1069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2019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32" sqref="C3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179</v>
      </c>
      <c r="E11" s="27" t="s">
        <v>196</v>
      </c>
      <c r="F11" s="55">
        <v>1</v>
      </c>
      <c r="G11" s="55">
        <v>1</v>
      </c>
      <c r="H11" s="55">
        <v>2</v>
      </c>
      <c r="I11" s="55">
        <v>75</v>
      </c>
      <c r="J11" s="55">
        <f>H11*I11</f>
        <v>150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173</v>
      </c>
      <c r="E12" s="27" t="s">
        <v>174</v>
      </c>
      <c r="F12" s="55">
        <v>3</v>
      </c>
      <c r="G12" s="55">
        <v>3</v>
      </c>
      <c r="H12" s="55">
        <v>11</v>
      </c>
      <c r="I12" s="55">
        <v>5</v>
      </c>
      <c r="J12" s="55">
        <f t="shared" ref="J12:J16" si="0">H12*I12</f>
        <v>55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195</v>
      </c>
      <c r="E13" s="27" t="s">
        <v>176</v>
      </c>
      <c r="F13" s="55">
        <v>3</v>
      </c>
      <c r="G13" s="55">
        <v>3</v>
      </c>
      <c r="H13" s="55">
        <v>23</v>
      </c>
      <c r="I13" s="55">
        <v>7</v>
      </c>
      <c r="J13" s="55">
        <f t="shared" si="0"/>
        <v>161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197</v>
      </c>
      <c r="D14" s="27" t="s">
        <v>195</v>
      </c>
      <c r="E14" s="27" t="s">
        <v>176</v>
      </c>
      <c r="F14" s="55">
        <v>3</v>
      </c>
      <c r="G14" s="55">
        <v>3</v>
      </c>
      <c r="H14" s="55">
        <v>11</v>
      </c>
      <c r="I14" s="55">
        <v>5</v>
      </c>
      <c r="J14" s="55">
        <f t="shared" si="0"/>
        <v>55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173</v>
      </c>
      <c r="E15" s="27" t="s">
        <v>178</v>
      </c>
      <c r="F15" s="55">
        <v>1</v>
      </c>
      <c r="G15" s="55">
        <v>3</v>
      </c>
      <c r="H15" s="55">
        <v>28</v>
      </c>
      <c r="I15" s="55">
        <v>1</v>
      </c>
      <c r="J15" s="55">
        <f t="shared" si="0"/>
        <v>28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182</v>
      </c>
      <c r="E16" s="27" t="s">
        <v>183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6"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180</v>
      </c>
      <c r="D28" s="70" t="s">
        <v>181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181</v>
      </c>
      <c r="E29" s="55">
        <v>1</v>
      </c>
      <c r="F29" s="55">
        <v>10</v>
      </c>
      <c r="G29" s="55">
        <f t="shared" ref="G29:G35" si="0">E29*F29</f>
        <v>10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181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181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184</v>
      </c>
      <c r="D32" s="70" t="s">
        <v>181</v>
      </c>
      <c r="E32" s="55">
        <v>1</v>
      </c>
      <c r="F32" s="55">
        <v>25</v>
      </c>
      <c r="G32" s="55">
        <f t="shared" si="0"/>
        <v>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181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181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8" workbookViewId="0">
      <selection activeCell="J21" sqref="J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576</v>
      </c>
      <c r="H13" s="55">
        <v>10</v>
      </c>
      <c r="I13" s="55"/>
      <c r="J13" s="55">
        <v>20</v>
      </c>
      <c r="K13" s="55"/>
      <c r="L13" s="55"/>
      <c r="M13" s="55"/>
      <c r="N13" s="55"/>
      <c r="P13" s="88">
        <f>SUM(D13:N13)</f>
        <v>626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25</v>
      </c>
      <c r="F30" s="88">
        <f t="shared" si="1"/>
        <v>0</v>
      </c>
      <c r="G30" s="88">
        <f t="shared" si="1"/>
        <v>581</v>
      </c>
      <c r="H30" s="88">
        <f t="shared" si="1"/>
        <v>10</v>
      </c>
      <c r="I30" s="88">
        <f t="shared" si="1"/>
        <v>25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661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2018-06-02T02:00:53Z</dcterms:modified>
</cp:coreProperties>
</file>