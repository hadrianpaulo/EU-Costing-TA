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36" i="9" l="1"/>
  <c r="G29" i="9"/>
  <c r="G30" i="9"/>
  <c r="G31" i="9"/>
  <c r="G32" i="9"/>
  <c r="G33" i="9"/>
  <c r="G34" i="9"/>
  <c r="G35" i="9"/>
  <c r="G28" i="9"/>
  <c r="J12" i="2"/>
  <c r="J13" i="2"/>
  <c r="J14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<sst xmlns="http://schemas.openxmlformats.org/spreadsheetml/2006/main" count="495" uniqueCount="200">
  <si>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</si>
  <si>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</si>
  <si>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</si>
  <si>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</si>
  <si>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</si>
  <si>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</si>
  <si>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</si>
  <si>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</si>
  <si>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</si>
  <si>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</si>
  <si>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</si>
  <si>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</si>
  <si>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</si>
  <si>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</si>
  <si>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</si>
  <si>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</si>
  <si>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</si>
  <si>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</si>
  <si>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</si>
  <si>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</si>
  <si>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</si>
  <si>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</si>
  <si>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</si>
  <si>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</si>
  <si>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</si>
  <si>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</si>
  <si>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</si>
  <si>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</si>
  <si>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</si>
  <si>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</si>
  <si>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</si>
  <si>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</si>
  <si>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</si>
  <si>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</si>
  <si>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</si>
  <si>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</si>
  <si>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</si>
  <si>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</si>
  <si>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</si>
  <si>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</si>
  <si>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</si>
  <si>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</si>
  <si>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</si>
  <si>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</si>
  <si>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</si>
  <si>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</si>
  <si>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</si>
  <si>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</si>
  <si>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</si>
  <si>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</si>
  <si>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</si>
  <si>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</si>
  <si>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</si>
  <si>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</si>
  <si>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</si>
  <si>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</si>
  <si>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</si>
  <si>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</si>
  <si>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</si>
  <si>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</si>
  <si>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</si>
  <si>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</si>
  <si>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</si>
  <si>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</si>
  <si>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</si>
  <si>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</si>
  <si>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</si>
  <si>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</si>
  <si>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</si>
  <si>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</si>
  <si>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</si>
  <si>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</si>
  <si>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</si>
  <si>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</si>
  <si>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</si>
  <si>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</si>
  <si>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</si>
  <si>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</si>
  <si>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</si>
  <si>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</si>
  <si>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</si>
  <si>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</si>
  <si>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</si>
  <si>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</si>
  <si>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</si>
  <si>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</si>
  <si>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</si>
  <si>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</si>
  <si>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</si>
  <si>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</si>
  <si>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</si>
  <si>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</si>
  <si>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</si>
  <si>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</si>
  <si>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</si>
  <si>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</si>
  <si>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</si>
  <si>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</si>
  <si>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</si>
  <si>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</si>
  <si>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</si>
  <si>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</si>
  <si>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</si>
  <si>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</si>
  <si>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</si>
  <si>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</si>
  <si>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</si>
  <si>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</si>
  <si>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</si>
  <si>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</si>
  <si>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</si>
  <si>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</si>
  <si>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</si>
  <si>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</si>
  <si>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</si>
  <si>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</si>
  <si>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</si>
  <si>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</si>
  <si>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</si>
  <si>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</si>
  <si>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</si>
  <si>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</si>
  <si>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</si>
  <si>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</si>
  <si>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</si>
  <si>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</si>
  <si>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</si>
  <si>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</si>
  <si>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</si>
  <si>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</si>
  <si>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</si>
  <si>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</si>
  <si>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</si>
  <si>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</si>
  <si>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</si>
  <si>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</si>
  <si>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</si>
  <si>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</si>
  <si>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</si>
  <si>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</si>
  <si>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</si>
  <si>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</si>
  <si>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</si>
  <si>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</si>
  <si>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</si>
  <si>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</si>
  <si>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</si>
  <si>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</si>
  <si>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</si>
  <si>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</si>
  <si>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</si>
  <si>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</si>
  <si>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</si>
  <si>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</si>
  <si>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</si>
  <si>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</si>
  <si>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</si>
  <si>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</si>
  <si>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</si>
  <si>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</si>
  <si>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</si>
  <si>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</si>
  <si>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</si>
  <si>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</si>
  <si>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</si>
  <si>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</si>
  <si>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</si>
  <si>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</si>
  <si>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</si>
  <si>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</si>
  <si>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</si>
  <si>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</si>
  <si>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</si>
  <si>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</si>
  <si>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</si>
  <si>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</si>
  <si>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</si>
  <si>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</si>
  <si>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</si>
  <si>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</si>
  <si>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SYRINGE 5CC</t>
  </si>
  <si>
    <t>DELIVERY ROOM</t>
  </si>
  <si>
    <t>RH TYPING</t>
  </si>
  <si>
    <t>CEFALEXIN</t>
  </si>
  <si>
    <t>MEFENAMIC ACID</t>
  </si>
  <si>
    <t>FERROUS SULFATE</t>
  </si>
  <si>
    <t>325MG</t>
  </si>
  <si>
    <t>D5 LR</t>
  </si>
  <si>
    <t>SANITEX</t>
  </si>
  <si>
    <t>UNDERPADS</t>
  </si>
  <si>
    <t>RAZOR</t>
  </si>
  <si>
    <t>PACK</t>
  </si>
  <si>
    <t>O80.9</t>
  </si>
  <si>
    <t>Z37.0</t>
  </si>
  <si>
    <t>BIRTH CERTIFICATE</t>
  </si>
  <si>
    <t>PLASTER</t>
  </si>
  <si>
    <t>GLOVES 7.0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</si>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</sst>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5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197</v>
      </c>
      <c r="D23" s="29" t="s">
        <v>198</v>
      </c>
      <c r="E23" s="55">
        <v>1</v>
      </c>
      <c r="F23" s="55">
        <v>0.2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182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1013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100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181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194</v>
      </c>
      <c r="D62" s="55">
        <v>20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1883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178</v>
      </c>
      <c r="E11" s="27" t="s">
        <v>170</v>
      </c>
      <c r="F11" s="55">
        <v>3</v>
      </c>
      <c r="G11" s="55">
        <v>2</v>
      </c>
      <c r="H11" s="55">
        <v>26</v>
      </c>
      <c r="I11" s="55">
        <v>7</v>
      </c>
      <c r="J11" s="55">
        <f>H11*I11</f>
        <v>182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178</v>
      </c>
      <c r="E12" s="27" t="s">
        <v>170</v>
      </c>
      <c r="F12" s="55">
        <v>3</v>
      </c>
      <c r="G12" s="55">
        <v>2</v>
      </c>
      <c r="H12" s="55">
        <v>9</v>
      </c>
      <c r="I12" s="55">
        <v>5</v>
      </c>
      <c r="J12" s="55">
        <f t="shared" ref="J12:J14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169</v>
      </c>
      <c r="E13" s="27" t="s">
        <v>186</v>
      </c>
      <c r="F13" s="55">
        <v>1</v>
      </c>
      <c r="G13" s="55">
        <v>1</v>
      </c>
      <c r="H13" s="55">
        <v>26</v>
      </c>
      <c r="I13" s="55">
        <v>1</v>
      </c>
      <c r="J13" s="55">
        <f t="shared" si="0"/>
        <v>26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173</v>
      </c>
      <c r="E14" s="27" t="s">
        <v>174</v>
      </c>
      <c r="F14" s="55">
        <v>1</v>
      </c>
      <c r="G14" s="55">
        <v>1</v>
      </c>
      <c r="H14" s="55">
        <v>2</v>
      </c>
      <c r="I14" s="55">
        <v>100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6" workbookViewId="0">
      <selection activeCell="C33" sqref="C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179</v>
      </c>
      <c r="D28" s="70" t="s">
        <v>172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175</v>
      </c>
      <c r="D29" s="70" t="s">
        <v>172</v>
      </c>
      <c r="E29" s="55">
        <v>1</v>
      </c>
      <c r="F29" s="55">
        <v>40</v>
      </c>
      <c r="G29" s="55">
        <f t="shared" ref="G29:G36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195</v>
      </c>
      <c r="D30" s="70" t="s">
        <v>172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191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196</v>
      </c>
      <c r="D32" s="70" t="s">
        <v>172</v>
      </c>
      <c r="E32" s="55">
        <v>5</v>
      </c>
      <c r="F32" s="55">
        <v>25</v>
      </c>
      <c r="G32" s="55">
        <f t="shared" si="0"/>
        <v>125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171</v>
      </c>
      <c r="D33" s="70" t="s">
        <v>172</v>
      </c>
      <c r="E33" s="55">
        <v>3</v>
      </c>
      <c r="F33" s="55">
        <v>10</v>
      </c>
      <c r="G33" s="55">
        <f t="shared" si="0"/>
        <v>30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180</v>
      </c>
      <c r="D34" s="70" t="s">
        <v>172</v>
      </c>
      <c r="E34" s="55">
        <v>1</v>
      </c>
      <c r="F34" s="55">
        <v>10</v>
      </c>
      <c r="G34" s="55">
        <f t="shared" si="0"/>
        <v>10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190</v>
      </c>
      <c r="D35" s="70" t="s">
        <v>172</v>
      </c>
      <c r="E35" s="55">
        <v>1</v>
      </c>
      <c r="F35" s="55">
        <v>25</v>
      </c>
      <c r="G35" s="55">
        <f t="shared" si="0"/>
        <v>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69" t="s">
        <v>189</v>
      </c>
      <c r="D36" s="70" t="s">
        <v>172</v>
      </c>
      <c r="E36" s="55">
        <v>3</v>
      </c>
      <c r="F36" s="55">
        <v>30</v>
      </c>
      <c r="G36" s="55">
        <f t="shared" si="0"/>
        <v>90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6" t="s">
        <v>29</v>
      </c>
      <c r="C37" s="137"/>
      <c r="D37" s="137"/>
      <c r="E37" s="137"/>
      <c r="F37" s="137"/>
      <c r="G37" s="138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C15" sqref="C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255</v>
      </c>
      <c r="H13" s="55">
        <v>10</v>
      </c>
      <c r="I13" s="55"/>
      <c r="J13" s="55">
        <v>60</v>
      </c>
      <c r="K13" s="55"/>
      <c r="L13" s="55"/>
      <c r="M13" s="55"/>
      <c r="N13" s="55"/>
      <c r="P13" s="88">
        <f>SUM(D13:N13)</f>
        <v>340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</v>
      </c>
      <c r="F14" s="55"/>
      <c r="G14" s="55">
        <v>5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176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260</v>
      </c>
      <c r="H30" s="88">
        <f t="shared" si="1"/>
        <v>10</v>
      </c>
      <c r="I30" s="88">
        <f t="shared" si="1"/>
        <v>25</v>
      </c>
      <c r="J30" s="88">
        <f t="shared" si="1"/>
        <v>60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2018-06-02T01:17:10Z</dcterms:modified>
</cp:coreProperties>
</file>