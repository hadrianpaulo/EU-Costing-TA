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data_general'!$B$1:$F$70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32" i="9" l="1"/>
  <c r="J16" i="2" l="1"/>
  <c r="J15" i="2"/>
  <c r="J12" i="2"/>
  <c r="J13" i="2"/>
  <c r="J14" i="2"/>
  <c r="J11" i="2"/>
  <c r="G35" i="9"/>
  <c r="G29" i="9"/>
  <c r="G30" i="9"/>
  <c r="G31" i="9"/>
  <c r="G28" i="9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<sst xmlns="http://schemas.openxmlformats.org/spreadsheetml/2006/main" count="493" uniqueCount="199">
  <si>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</si>
  <si>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</si>
  <si>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</si>
  <si>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</si>
  <si>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</si>
  <si>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</si>
  <si>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</si>
  <si>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</si>
  <si>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</si>
  <si>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</si>
  <si>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</si>
  <si>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</si>
  <si>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</si>
  <si>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</si>
  <si>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</si>
  <si>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</si>
  <si>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</si>
  <si>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</si>
  <si>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</si>
  <si>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</si>
  <si>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</si>
  <si>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</si>
  <si>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</si>
  <si>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</si>
  <si>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</si>
  <si>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</si>
  <si>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</si>
  <si>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</si>
  <si>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</si>
  <si>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</si>
  <si>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</si>
  <si>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</si>
  <si>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</si>
  <si>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</si>
  <si>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</si>
  <si>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</si>
  <si>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</si>
  <si>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</si>
  <si>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</si>
  <si>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</si>
  <si>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</si>
  <si>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</si>
  <si>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</si>
  <si>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</si>
  <si>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</si>
  <si>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</si>
  <si>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</si>
  <si>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</si>
  <si>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</si>
  <si>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</si>
  <si>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</si>
  <si>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</si>
  <si>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</si>
  <si>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</si>
  <si>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</si>
  <si>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</si>
  <si>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</si>
  <si>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</si>
  <si>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</si>
  <si>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</si>
  <si>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</si>
  <si>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</si>
  <si>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</si>
  <si>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</si>
  <si>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</si>
  <si>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</si>
  <si>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</si>
  <si>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</si>
  <si>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</si>
  <si>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</si>
  <si>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</si>
  <si>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</si>
  <si>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</si>
  <si>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</si>
  <si>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</si>
  <si>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</si>
  <si>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</si>
  <si>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</si>
  <si>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</si>
  <si>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</si>
  <si>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</si>
  <si>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</si>
  <si>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</si>
  <si>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</si>
  <si>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</si>
  <si>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</si>
  <si>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</si>
  <si>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</si>
  <si>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</si>
  <si>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</si>
  <si>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</si>
  <si>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</si>
  <si>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</si>
  <si>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</si>
  <si>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</si>
  <si>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</si>
  <si>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</si>
  <si>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</si>
  <si>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</si>
  <si>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</si>
  <si>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</si>
  <si>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</si>
  <si>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</si>
  <si>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</si>
  <si>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</si>
  <si>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</si>
  <si>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</si>
  <si>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</si>
  <si>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</si>
  <si>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</si>
  <si>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</si>
  <si>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</si>
  <si>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</si>
  <si>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</si>
  <si>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</si>
  <si>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</si>
  <si>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</si>
  <si>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</si>
  <si>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</si>
  <si>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</si>
  <si>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</si>
  <si>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</si>
  <si>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</si>
  <si>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</si>
  <si>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</si>
  <si>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</si>
  <si>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</si>
  <si>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</si>
  <si>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</si>
  <si>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</si>
  <si>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</si>
  <si>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</si>
  <si>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</si>
  <si>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</si>
  <si>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</si>
  <si>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</si>
  <si>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</si>
  <si>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</si>
  <si>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</si>
  <si>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</si>
  <si>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</si>
  <si>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</si>
  <si>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</si>
  <si>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</si>
  <si>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</si>
  <si>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</si>
  <si>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</si>
  <si>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</si>
  <si>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</si>
  <si>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</si>
  <si>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</si>
  <si>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</si>
  <si>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</si>
  <si>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</si>
  <si>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</si>
  <si>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</si>
  <si>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</si>
  <si>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</si>
  <si>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</si>
  <si>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</si>
  <si>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</si>
  <si>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</si>
  <si>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</si>
  <si>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</si>
  <si>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</si>
  <si>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</si>
  <si>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</si>
  <si>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</si>
  <si>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</si>
  <si>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TABLET</t>
  </si>
  <si>
    <t>500MG</t>
  </si>
  <si>
    <t>PC</t>
  </si>
  <si>
    <t>BOTTLE</t>
  </si>
  <si>
    <t>1LITER</t>
  </si>
  <si>
    <t>MACRO SET</t>
  </si>
  <si>
    <t>Perineal Care</t>
  </si>
  <si>
    <t>CBC PLATELET COUNT</t>
  </si>
  <si>
    <t>CAPSULE</t>
  </si>
  <si>
    <t>ABOCATH G20</t>
  </si>
  <si>
    <t>DELIVERY ROOM</t>
  </si>
  <si>
    <t>RH TYPING</t>
  </si>
  <si>
    <t>AMPULE</t>
  </si>
  <si>
    <t>CEFALEXIN</t>
  </si>
  <si>
    <t>MEFENAMIC ACID</t>
  </si>
  <si>
    <t>FERROUS SULFATE</t>
  </si>
  <si>
    <t>325MG</t>
  </si>
  <si>
    <t>125MG</t>
  </si>
  <si>
    <t>D5 LR</t>
  </si>
  <si>
    <t>GLOVES 7.0</t>
  </si>
  <si>
    <t>RAZOR</t>
  </si>
  <si>
    <t>O80.9</t>
  </si>
  <si>
    <t>Z37.0</t>
  </si>
  <si>
    <t>METHYLERGOMETRINE</t>
  </si>
  <si>
    <t>HBsAg</t>
  </si>
  <si>
    <t>PLASTER</t>
  </si>
  <si>
    <t>1AMP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</si>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</sst>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198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196</v>
      </c>
      <c r="D23" s="29" t="s">
        <v>197</v>
      </c>
      <c r="E23" s="55">
        <v>1</v>
      </c>
      <c r="F23" s="55">
        <v>0.5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180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193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165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45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46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54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165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165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56</v>
      </c>
      <c r="C58" s="17" t="s">
        <v>52</v>
      </c>
      <c r="D58" s="17" t="s">
        <v>57</v>
      </c>
      <c r="E58" s="18" t="s">
        <v>58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166</v>
      </c>
      <c r="D59" s="55">
        <v>670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167</v>
      </c>
      <c r="D60" s="55">
        <v>810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168</v>
      </c>
      <c r="D61" s="55">
        <v>100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179</v>
      </c>
      <c r="D62" s="55">
        <v>100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1680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J11" sqref="J11: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192</v>
      </c>
      <c r="D11" s="27" t="s">
        <v>181</v>
      </c>
      <c r="E11" s="27" t="s">
        <v>195</v>
      </c>
      <c r="F11" s="55">
        <v>1</v>
      </c>
      <c r="G11" s="55">
        <v>1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192</v>
      </c>
      <c r="D12" s="27" t="s">
        <v>169</v>
      </c>
      <c r="E12" s="27" t="s">
        <v>186</v>
      </c>
      <c r="F12" s="55">
        <v>3</v>
      </c>
      <c r="G12" s="55">
        <v>2</v>
      </c>
      <c r="H12" s="55">
        <v>8</v>
      </c>
      <c r="I12" s="55">
        <v>5</v>
      </c>
      <c r="J12" s="55">
        <f t="shared" ref="J12:J16" si="0">H12*I12</f>
        <v>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177</v>
      </c>
      <c r="E13" s="27" t="s">
        <v>170</v>
      </c>
      <c r="F13" s="55">
        <v>3</v>
      </c>
      <c r="G13" s="55">
        <v>2</v>
      </c>
      <c r="H13" s="55">
        <v>15</v>
      </c>
      <c r="I13" s="55">
        <v>7</v>
      </c>
      <c r="J13" s="55">
        <f t="shared" si="0"/>
        <v>105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177</v>
      </c>
      <c r="E14" s="27" t="s">
        <v>170</v>
      </c>
      <c r="F14" s="55">
        <v>3</v>
      </c>
      <c r="G14" s="55">
        <v>3</v>
      </c>
      <c r="H14" s="55">
        <v>8</v>
      </c>
      <c r="I14" s="55">
        <v>5</v>
      </c>
      <c r="J14" s="55">
        <f t="shared" si="0"/>
        <v>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169</v>
      </c>
      <c r="E15" s="27" t="s">
        <v>185</v>
      </c>
      <c r="F15" s="55">
        <v>1</v>
      </c>
      <c r="G15" s="55">
        <v>2</v>
      </c>
      <c r="H15" s="55">
        <v>30</v>
      </c>
      <c r="I15" s="55">
        <v>1</v>
      </c>
      <c r="J15" s="55">
        <f t="shared" si="0"/>
        <v>30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187</v>
      </c>
      <c r="D16" s="27" t="s">
        <v>172</v>
      </c>
      <c r="E16" s="27" t="s">
        <v>173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16 J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G28" sqref="G28:G3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178</v>
      </c>
      <c r="D28" s="70" t="s">
        <v>171</v>
      </c>
      <c r="E28" s="55">
        <v>1</v>
      </c>
      <c r="F28" s="55">
        <v>100</v>
      </c>
      <c r="G28" s="55">
        <f>E28*F28</f>
        <v>100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174</v>
      </c>
      <c r="D29" s="70" t="s">
        <v>171</v>
      </c>
      <c r="E29" s="55">
        <v>1</v>
      </c>
      <c r="F29" s="55">
        <v>40</v>
      </c>
      <c r="G29" s="55">
        <f t="shared" ref="G29:G35" si="0">E29*F29</f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194</v>
      </c>
      <c r="D30" s="70" t="s">
        <v>171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188</v>
      </c>
      <c r="D31" s="70" t="s">
        <v>171</v>
      </c>
      <c r="E31" s="55">
        <v>3</v>
      </c>
      <c r="F31" s="55">
        <v>25</v>
      </c>
      <c r="G31" s="55">
        <f t="shared" si="0"/>
        <v>75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189</v>
      </c>
      <c r="D32" s="70" t="s">
        <v>171</v>
      </c>
      <c r="E32" s="55">
        <v>1</v>
      </c>
      <c r="F32" s="55">
        <v>25</v>
      </c>
      <c r="G32" s="55">
        <f t="shared" ref="G32" si="1">E32*F32</f>
        <v>25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>
        <f t="shared" si="0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240</v>
      </c>
      <c r="H13" s="55">
        <v>15</v>
      </c>
      <c r="I13" s="55"/>
      <c r="J13" s="55">
        <v>15</v>
      </c>
      <c r="K13" s="55"/>
      <c r="L13" s="55"/>
      <c r="M13" s="55"/>
      <c r="N13" s="55"/>
      <c r="P13" s="88">
        <f>SUM(D13:N13)</f>
        <v>285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5</v>
      </c>
      <c r="F14" s="55"/>
      <c r="G14" s="55">
        <v>5</v>
      </c>
      <c r="H14" s="55"/>
      <c r="I14" s="55">
        <v>5</v>
      </c>
      <c r="J14" s="55"/>
      <c r="K14" s="55"/>
      <c r="L14" s="55"/>
      <c r="M14" s="55"/>
      <c r="N14" s="55"/>
      <c r="P14" s="88">
        <f t="shared" ref="P14:P22" si="0">SUM(D14:N14)</f>
        <v>15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175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245</v>
      </c>
      <c r="H30" s="88">
        <f t="shared" si="1"/>
        <v>15</v>
      </c>
      <c r="I30" s="88">
        <f t="shared" si="1"/>
        <v>20</v>
      </c>
      <c r="J30" s="88">
        <f t="shared" si="1"/>
        <v>15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2018-06-02T01:26:55Z</dcterms:modified>
</cp:coreProperties>
</file>