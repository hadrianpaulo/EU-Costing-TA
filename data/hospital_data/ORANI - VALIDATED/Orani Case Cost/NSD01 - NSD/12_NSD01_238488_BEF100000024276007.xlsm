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Supplies_Medical'!$C$15:$C$45</definedName>
    <definedName name="Drugs">'1.2 Drugs&amp;Med'!$C$11:$C$16</definedName>
    <definedName name="_xlnm.Print_Area" localSheetId="0">'1.1 Case data_general'!$B$1:$F$69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G34" i="9" l="1"/>
  <c r="J12" i="2"/>
  <c r="J13" i="2"/>
  <c r="J14" i="2"/>
  <c r="J15" i="2"/>
  <c r="J16" i="2"/>
  <c r="J11" i="2"/>
  <c r="G29" i="9"/>
  <c r="G30" i="9"/>
  <c r="G31" i="9"/>
  <c r="G32" i="9"/>
  <c r="G33" i="9"/>
  <c r="G28" i="9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<sst xmlns="http://schemas.openxmlformats.org/spreadsheetml/2006/main" count="496" uniqueCount="200">
  <si>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</si>
  <si>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</si>
  <si>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</si>
  <si>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</si>
  <si>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</si>
  <si>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</si>
  <si>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</si>
  <si>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</si>
  <si>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</si>
  <si>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</si>
  <si>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</si>
  <si>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</si>
  <si>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</si>
  <si>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</si>
  <si>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</si>
  <si>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</si>
  <si>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</si>
  <si>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</si>
  <si>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</si>
  <si>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</si>
  <si>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</si>
  <si>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</si>
  <si>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</si>
  <si>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</si>
  <si>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</si>
  <si>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</si>
  <si>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</si>
  <si>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</si>
  <si>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</si>
  <si>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</si>
  <si>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</si>
  <si>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</si>
  <si>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</si>
  <si>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</si>
  <si>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</si>
  <si>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</si>
  <si>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</si>
  <si>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</si>
  <si>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</si>
  <si>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</si>
  <si>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</si>
  <si>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</si>
  <si>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</si>
  <si>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</si>
  <si>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</si>
  <si>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</si>
  <si>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</si>
  <si>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</si>
  <si>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</si>
  <si>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</si>
  <si>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</si>
  <si>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</si>
  <si>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</si>
  <si>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</si>
  <si>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</si>
  <si>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</si>
  <si>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</si>
  <si>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</si>
  <si>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</si>
  <si>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</si>
  <si>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</si>
  <si>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</si>
  <si>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</si>
  <si>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</si>
  <si>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</si>
  <si>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</si>
  <si>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</si>
  <si>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</si>
  <si>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</si>
  <si>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</si>
  <si>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</si>
  <si>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</si>
  <si>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</si>
  <si>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</si>
  <si>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</si>
  <si>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</si>
  <si>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</si>
  <si>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</si>
  <si>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</si>
  <si>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</si>
  <si>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</si>
  <si>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</si>
  <si>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</si>
  <si>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</si>
  <si>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</si>
  <si>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</si>
  <si>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</si>
  <si>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</si>
  <si>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</si>
  <si>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</si>
  <si>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</si>
  <si>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</si>
  <si>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</si>
  <si>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</si>
  <si>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</si>
  <si>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</si>
  <si>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</si>
  <si>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</si>
  <si>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</si>
  <si>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</si>
  <si>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</si>
  <si>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</si>
  <si>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</si>
  <si>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</si>
  <si>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</si>
  <si>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</si>
  <si>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</si>
  <si>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</si>
  <si>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</si>
  <si>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</si>
  <si>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</si>
  <si>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</si>
  <si>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</si>
  <si>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</si>
  <si>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</si>
  <si>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</si>
  <si>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</si>
  <si>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</si>
  <si>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</si>
  <si>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</si>
  <si>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</si>
  <si>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</si>
  <si>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</si>
  <si>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</si>
  <si>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</si>
  <si>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</si>
  <si>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</si>
  <si>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</si>
  <si>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</si>
  <si>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</si>
  <si>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</si>
  <si>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</si>
  <si>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</si>
  <si>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</si>
  <si>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</si>
  <si>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</si>
  <si>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</si>
  <si>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</si>
  <si>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</si>
  <si>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</si>
  <si>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</si>
  <si>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</si>
  <si>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</si>
  <si>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</si>
  <si>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</si>
  <si>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</si>
  <si>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</si>
  <si>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</si>
  <si>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</si>
  <si>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</si>
  <si>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</si>
  <si>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</si>
  <si>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</si>
  <si>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</si>
  <si>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</si>
  <si>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</si>
  <si>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</si>
  <si>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</si>
  <si>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</si>
  <si>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</si>
  <si>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</si>
  <si>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</si>
  <si>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</si>
  <si>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</si>
  <si>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</si>
  <si>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</si>
  <si>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CBC PLATELET COUNT</t>
  </si>
  <si>
    <t>RH TYPING</t>
  </si>
  <si>
    <t>MEDICINES</t>
  </si>
  <si>
    <t>LABORATORY</t>
  </si>
  <si>
    <t>ROOM AND BOARD</t>
  </si>
  <si>
    <t>O80.9</t>
  </si>
  <si>
    <t>Z37.0</t>
  </si>
  <si>
    <t>CEFALEXIN</t>
  </si>
  <si>
    <t>MEFENAMIC ACID</t>
  </si>
  <si>
    <t>FERROUS SULFATE</t>
  </si>
  <si>
    <t>500MG</t>
  </si>
  <si>
    <t>325MG</t>
  </si>
  <si>
    <t>METHYLERGOMETRINE MALEATE</t>
  </si>
  <si>
    <t>AMPULE</t>
  </si>
  <si>
    <t>125MG</t>
  </si>
  <si>
    <t>CAPSULES</t>
  </si>
  <si>
    <t>SYRINGE 3cc</t>
  </si>
  <si>
    <t>PC</t>
  </si>
  <si>
    <t>ABOCATH GAUGE 20</t>
  </si>
  <si>
    <t>MACRO SET</t>
  </si>
  <si>
    <t>PLASTER 1/2</t>
  </si>
  <si>
    <t>SANITEX</t>
  </si>
  <si>
    <t>UNDER PADS</t>
  </si>
  <si>
    <t>PACK</t>
  </si>
  <si>
    <t>D5LR</t>
  </si>
  <si>
    <t>BOTTLE</t>
  </si>
  <si>
    <t>1 LITTER</t>
  </si>
  <si>
    <t>DELIVERY ROOM</t>
  </si>
  <si>
    <t>ROD</t>
  </si>
  <si>
    <t>Perineal Care</t>
  </si>
  <si>
    <t>SYRINGE 5CC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</si>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</sst>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28575</xdr:rowOff>
        </xdr:from>
        <xdr:to>
          <xdr:col>1</xdr:col>
          <xdr:colOff>771525</xdr:colOff>
          <xdr:row>35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35</xdr:row>
          <xdr:rowOff>28575</xdr:rowOff>
        </xdr:from>
        <xdr:to>
          <xdr:col>1</xdr:col>
          <xdr:colOff>1543050</xdr:colOff>
          <xdr:row>35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48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199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197</v>
      </c>
      <c r="D23" s="29" t="s">
        <v>198</v>
      </c>
      <c r="E23" s="55">
        <v>1</v>
      </c>
      <c r="F23" s="55">
        <v>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167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165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45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54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165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165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168</v>
      </c>
      <c r="D58" s="55">
        <v>1219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169</v>
      </c>
      <c r="D59" s="55">
        <v>650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170</v>
      </c>
      <c r="D60" s="55">
        <v>0</v>
      </c>
      <c r="E60" s="55"/>
      <c r="F60" s="55">
        <v>800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193</v>
      </c>
      <c r="D61" s="55">
        <v>1131</v>
      </c>
      <c r="E61" s="55"/>
      <c r="F61" s="55">
        <v>9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194</v>
      </c>
      <c r="D62" s="55">
        <v>2000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5000</v>
      </c>
      <c r="E69" s="59">
        <f>SUM(E58:E68)</f>
        <v>0</v>
      </c>
      <c r="F69" s="59">
        <f>SUM(F58:F68)</f>
        <v>809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E21" sqref="E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179</v>
      </c>
      <c r="E11" s="27"/>
      <c r="F11" s="55">
        <v>1</v>
      </c>
      <c r="G11" s="55">
        <v>1</v>
      </c>
      <c r="H11" s="55">
        <v>2</v>
      </c>
      <c r="I11" s="55">
        <v>75</v>
      </c>
      <c r="J11" s="55">
        <f>H11*I11</f>
        <v>150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181</v>
      </c>
      <c r="E12" s="27" t="s">
        <v>176</v>
      </c>
      <c r="F12" s="55">
        <v>3</v>
      </c>
      <c r="G12" s="55">
        <v>3</v>
      </c>
      <c r="H12" s="55">
        <v>27</v>
      </c>
      <c r="I12" s="55">
        <v>7</v>
      </c>
      <c r="J12" s="55">
        <f t="shared" ref="J12:J16" si="0">H12*I12</f>
        <v>189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174</v>
      </c>
      <c r="D13" s="27" t="s">
        <v>181</v>
      </c>
      <c r="E13" s="27" t="s">
        <v>176</v>
      </c>
      <c r="F13" s="55">
        <v>3</v>
      </c>
      <c r="G13" s="55">
        <v>3</v>
      </c>
      <c r="H13" s="55">
        <v>16</v>
      </c>
      <c r="I13" s="55">
        <v>5</v>
      </c>
      <c r="J13" s="55">
        <f t="shared" si="0"/>
        <v>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175</v>
      </c>
      <c r="D14" s="27" t="s">
        <v>181</v>
      </c>
      <c r="E14" s="27" t="s">
        <v>177</v>
      </c>
      <c r="F14" s="55">
        <v>1</v>
      </c>
      <c r="G14" s="55">
        <v>3</v>
      </c>
      <c r="H14" s="55">
        <v>30</v>
      </c>
      <c r="I14" s="55">
        <v>1</v>
      </c>
      <c r="J14" s="55">
        <f t="shared" si="0"/>
        <v>30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178</v>
      </c>
      <c r="D15" s="27" t="s">
        <v>181</v>
      </c>
      <c r="E15" s="27" t="s">
        <v>180</v>
      </c>
      <c r="F15" s="55">
        <v>3</v>
      </c>
      <c r="G15" s="55">
        <v>2</v>
      </c>
      <c r="H15" s="55">
        <v>16</v>
      </c>
      <c r="I15" s="55">
        <v>5</v>
      </c>
      <c r="J15" s="55">
        <f t="shared" si="0"/>
        <v>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190</v>
      </c>
      <c r="D16" s="27" t="s">
        <v>191</v>
      </c>
      <c r="E16" s="27" t="s">
        <v>192</v>
      </c>
      <c r="F16" s="55">
        <v>1</v>
      </c>
      <c r="G16" s="55">
        <v>1</v>
      </c>
      <c r="H16" s="55">
        <v>1</v>
      </c>
      <c r="I16" s="55">
        <v>200</v>
      </c>
      <c r="J16" s="55">
        <f t="shared" si="0"/>
        <v>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9"/>
  <sheetViews>
    <sheetView topLeftCell="A16" workbookViewId="0">
      <selection activeCell="C39" sqref="C3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7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182</v>
      </c>
      <c r="D28" s="70" t="s">
        <v>183</v>
      </c>
      <c r="E28" s="55">
        <v>4</v>
      </c>
      <c r="F28" s="55">
        <v>10</v>
      </c>
      <c r="G28" s="55">
        <f>E28*F28</f>
        <v>40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184</v>
      </c>
      <c r="D29" s="70" t="s">
        <v>183</v>
      </c>
      <c r="E29" s="55">
        <v>1</v>
      </c>
      <c r="F29" s="55">
        <v>100</v>
      </c>
      <c r="G29" s="55">
        <f t="shared" ref="G29:G34" si="0">E29*F29</f>
        <v>100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185</v>
      </c>
      <c r="D30" s="70" t="s">
        <v>183</v>
      </c>
      <c r="E30" s="55">
        <v>1</v>
      </c>
      <c r="F30" s="55">
        <v>40</v>
      </c>
      <c r="G30" s="55">
        <f t="shared" si="0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186</v>
      </c>
      <c r="D31" s="70" t="s">
        <v>183</v>
      </c>
      <c r="E31" s="55">
        <v>1</v>
      </c>
      <c r="F31" s="55">
        <v>40</v>
      </c>
      <c r="G31" s="55">
        <f t="shared" si="0"/>
        <v>40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187</v>
      </c>
      <c r="D32" s="70" t="s">
        <v>189</v>
      </c>
      <c r="E32" s="55">
        <v>1</v>
      </c>
      <c r="F32" s="55">
        <v>100</v>
      </c>
      <c r="G32" s="55">
        <f t="shared" si="0"/>
        <v>100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6</v>
      </c>
      <c r="C33" s="69" t="s">
        <v>188</v>
      </c>
      <c r="D33" s="70" t="s">
        <v>183</v>
      </c>
      <c r="E33" s="55">
        <v>5</v>
      </c>
      <c r="F33" s="55">
        <v>30</v>
      </c>
      <c r="G33" s="55">
        <f t="shared" si="0"/>
        <v>150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7</v>
      </c>
      <c r="C34" s="69" t="s">
        <v>196</v>
      </c>
      <c r="D34" s="70" t="s">
        <v>183</v>
      </c>
      <c r="E34" s="55">
        <v>2</v>
      </c>
      <c r="F34" s="55">
        <v>10</v>
      </c>
      <c r="G34" s="55">
        <f t="shared" si="0"/>
        <v>20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136" t="s">
        <v>29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1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2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3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4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5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6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7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8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9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10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A46" s="44"/>
      <c r="B46" s="39"/>
      <c r="C46" s="44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A47" s="44"/>
      <c r="B47" s="39"/>
      <c r="C47" s="44"/>
      <c r="D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5:G35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35</xdr:row>
                    <xdr:rowOff>28575</xdr:rowOff>
                  </from>
                  <to>
                    <xdr:col>1</xdr:col>
                    <xdr:colOff>771525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35</xdr:row>
                    <xdr:rowOff>28575</xdr:rowOff>
                  </from>
                  <to>
                    <xdr:col>1</xdr:col>
                    <xdr:colOff>1543050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1" workbookViewId="0">
      <selection activeCell="C16" sqref="C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60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576</v>
      </c>
      <c r="H13" s="55">
        <v>10</v>
      </c>
      <c r="I13" s="55"/>
      <c r="J13" s="55">
        <v>30</v>
      </c>
      <c r="K13" s="55"/>
      <c r="L13" s="55"/>
      <c r="M13" s="55"/>
      <c r="N13" s="55"/>
      <c r="P13" s="88">
        <f>SUM(D13:N13)</f>
        <v>636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148</v>
      </c>
      <c r="F14" s="55"/>
      <c r="G14" s="55">
        <v>147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295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195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168</v>
      </c>
      <c r="F30" s="88">
        <f t="shared" si="1"/>
        <v>0</v>
      </c>
      <c r="G30" s="88">
        <f t="shared" si="1"/>
        <v>723</v>
      </c>
      <c r="H30" s="88">
        <f t="shared" si="1"/>
        <v>10</v>
      </c>
      <c r="I30" s="88">
        <f t="shared" si="1"/>
        <v>15</v>
      </c>
      <c r="J30" s="88">
        <f t="shared" si="1"/>
        <v>30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946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2018-06-02T01:58:50Z</dcterms:modified>
</cp:coreProperties>
</file>