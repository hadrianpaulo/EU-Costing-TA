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data_general'!$B$1:$F$69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G29" i="9" l="1"/>
  <c r="G30" i="9"/>
  <c r="G31" i="9"/>
  <c r="G32" i="9"/>
  <c r="G33" i="9"/>
  <c r="G34" i="9"/>
  <c r="G35" i="9"/>
  <c r="G28" i="9"/>
  <c r="J12" i="2" l="1"/>
  <c r="J13" i="2"/>
  <c r="J14" i="2"/>
  <c r="J15" i="2"/>
  <c r="J16" i="2"/>
  <c r="J17" i="2"/>
  <c r="J18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9" i="1"/>
  <c r="E69" i="1"/>
  <c r="D69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<sst xmlns="http://schemas.openxmlformats.org/spreadsheetml/2006/main" count="505" uniqueCount="207">
  <si>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</si>
  <si>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</si>
  <si>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</si>
  <si>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</si>
  <si>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</si>
  <si>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</si>
  <si>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</si>
  <si>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</si>
  <si>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</si>
  <si>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</si>
  <si>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</si>
  <si>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</si>
  <si>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</si>
  <si>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</si>
  <si>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</si>
  <si>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</si>
  <si>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</si>
  <si>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</si>
  <si>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</si>
  <si>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</si>
  <si>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</si>
  <si>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</si>
  <si>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</si>
  <si>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</si>
  <si>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</si>
  <si>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</si>
  <si>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</si>
  <si>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</si>
  <si>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</si>
  <si>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</si>
  <si>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</si>
  <si>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</si>
  <si>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</si>
  <si>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</si>
  <si>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</si>
  <si>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</si>
  <si>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</si>
  <si>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</si>
  <si>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</si>
  <si>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</si>
  <si>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</si>
  <si>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</si>
  <si>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</si>
  <si>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</si>
  <si>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</si>
  <si>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</si>
  <si>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</si>
  <si>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</si>
  <si>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</si>
  <si>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</si>
  <si>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</si>
  <si>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</si>
  <si>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</si>
  <si>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</si>
  <si>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</si>
  <si>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</si>
  <si>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</si>
  <si>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</si>
  <si>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</si>
  <si>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</si>
  <si>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</si>
  <si>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</si>
  <si>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</si>
  <si>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</si>
  <si>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</si>
  <si>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</si>
  <si>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</si>
  <si>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</si>
  <si>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</si>
  <si>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</si>
  <si>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</si>
  <si>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</si>
  <si>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</si>
  <si>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</si>
  <si>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</si>
  <si>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</si>
  <si>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</si>
  <si>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</si>
  <si>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</si>
  <si>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</si>
  <si>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</si>
  <si>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</si>
  <si>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</si>
  <si>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</si>
  <si>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</si>
  <si>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</si>
  <si>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</si>
  <si>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</si>
  <si>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</si>
  <si>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</si>
  <si>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</si>
  <si>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</si>
  <si>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</si>
  <si>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</si>
  <si>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</si>
  <si>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</si>
  <si>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</si>
  <si>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</si>
  <si>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</si>
  <si>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</si>
  <si>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</si>
  <si>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</si>
  <si>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</si>
  <si>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</si>
  <si>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</si>
  <si>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</si>
  <si>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</si>
  <si>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</si>
  <si>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</si>
  <si>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</si>
  <si>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</si>
  <si>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</si>
  <si>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</si>
  <si>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</si>
  <si>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</si>
  <si>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</si>
  <si>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</si>
  <si>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</si>
  <si>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</si>
  <si>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</si>
  <si>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</si>
  <si>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</si>
  <si>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</si>
  <si>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</si>
  <si>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</si>
  <si>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</si>
  <si>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</si>
  <si>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</si>
  <si>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</si>
  <si>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</si>
  <si>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</si>
  <si>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</si>
  <si>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</si>
  <si>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</si>
  <si>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</si>
  <si>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</si>
  <si>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</si>
  <si>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</si>
  <si>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</si>
  <si>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</si>
  <si>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</si>
  <si>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</si>
  <si>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</si>
  <si>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</si>
  <si>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</si>
  <si>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</si>
  <si>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</si>
  <si>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</si>
  <si>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</si>
  <si>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</si>
  <si>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</si>
  <si>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</si>
  <si>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</si>
  <si>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</si>
  <si>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</si>
  <si>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</si>
  <si>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</si>
  <si>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</si>
  <si>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</si>
  <si>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</si>
  <si>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</si>
  <si>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</si>
  <si>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</si>
  <si>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</si>
  <si>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</si>
  <si>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</si>
  <si>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RH TYPING</t>
  </si>
  <si>
    <t>MEDICINES</t>
  </si>
  <si>
    <t>LABORATORY</t>
  </si>
  <si>
    <t>ROOM AND BOARD</t>
  </si>
  <si>
    <t>O80.9</t>
  </si>
  <si>
    <t>Z37.0</t>
  </si>
  <si>
    <t>DELIVERY ROOM</t>
  </si>
  <si>
    <t>TABLET</t>
  </si>
  <si>
    <t>125MG</t>
  </si>
  <si>
    <t>CEFALEXIN</t>
  </si>
  <si>
    <t>500MG</t>
  </si>
  <si>
    <t>FERROUS SULFATE</t>
  </si>
  <si>
    <t>325MG</t>
  </si>
  <si>
    <t>AMPULE</t>
  </si>
  <si>
    <t>200ML</t>
  </si>
  <si>
    <t>SYRINGE 3CC</t>
  </si>
  <si>
    <t>PC</t>
  </si>
  <si>
    <t>BOTTLE</t>
  </si>
  <si>
    <t>1LITER</t>
  </si>
  <si>
    <t>GLOVES 7.0</t>
  </si>
  <si>
    <t>RAZOR</t>
  </si>
  <si>
    <t>ABOCATH GAUGE 20</t>
  </si>
  <si>
    <t>MACRO SET</t>
  </si>
  <si>
    <t>PLASTER 1/2</t>
  </si>
  <si>
    <t>SANITEX</t>
  </si>
  <si>
    <t>PACK</t>
  </si>
  <si>
    <t>Perineal Care</t>
  </si>
  <si>
    <t>CBC PLATELET COUNT</t>
  </si>
  <si>
    <t>CAPSULE</t>
  </si>
  <si>
    <t>VIAL</t>
  </si>
  <si>
    <t>O69.2</t>
  </si>
  <si>
    <t>METHERGIN</t>
  </si>
  <si>
    <t>D5LR</t>
  </si>
  <si>
    <t>AMPICILLIN</t>
  </si>
  <si>
    <t>MEFENAMIC ACID</t>
  </si>
  <si>
    <t>DISPOSABLE FACE MASK</t>
  </si>
  <si>
    <t>OXYTOCIN</t>
  </si>
  <si>
    <t>10I.U</t>
  </si>
  <si>
    <t>NSD01</t>
  </si>
  <si>
    <t>VAGINAL DELIVERY</t>
  </si>
  <si>
    <t>NSD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</si>
</sst>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16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16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39</xdr:row>
          <xdr:rowOff>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39</xdr:row>
          <xdr:rowOff>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6"/>
  <sheetViews>
    <sheetView topLeftCell="A48" zoomScaleNormal="100" workbookViewId="0">
      <selection activeCell="D24" sqref="D24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206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2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170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171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 t="s">
        <v>196</v>
      </c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204</v>
      </c>
      <c r="D23" s="29" t="s">
        <v>205</v>
      </c>
      <c r="E23" s="55">
        <v>1</v>
      </c>
      <c r="F23" s="55">
        <v>4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142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193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166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8" t="s">
        <v>19</v>
      </c>
      <c r="C36" s="119"/>
      <c r="D36" s="116"/>
      <c r="E36" s="119"/>
      <c r="F36" s="117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1</v>
      </c>
      <c r="C37" s="27" t="s">
        <v>165</v>
      </c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2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3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4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8" t="s">
        <v>45</v>
      </c>
      <c r="C41" s="119"/>
      <c r="D41" s="116"/>
      <c r="E41" s="119"/>
      <c r="F41" s="117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14" t="s">
        <v>46</v>
      </c>
      <c r="C42" s="13"/>
      <c r="D42" s="13"/>
      <c r="E42" s="16"/>
      <c r="F42" s="13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5" t="s">
        <v>54</v>
      </c>
      <c r="C43" s="116"/>
      <c r="D43" s="116"/>
      <c r="E43" s="116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1</v>
      </c>
      <c r="C44" s="31" t="s">
        <v>165</v>
      </c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2</v>
      </c>
      <c r="C45" s="31"/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3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4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5" t="s">
        <v>20</v>
      </c>
      <c r="C48" s="116"/>
      <c r="D48" s="116"/>
      <c r="E48" s="116"/>
      <c r="F48" s="11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1</v>
      </c>
      <c r="C49" s="27" t="s">
        <v>165</v>
      </c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2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5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6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5"/>
      <c r="C55" s="25"/>
      <c r="D55" s="25"/>
      <c r="E55" s="25"/>
      <c r="F55" s="2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57.75" customHeight="1" thickBot="1" x14ac:dyDescent="0.35">
      <c r="A57" s="1"/>
      <c r="B57" s="17" t="s">
        <v>56</v>
      </c>
      <c r="C57" s="17" t="s">
        <v>52</v>
      </c>
      <c r="D57" s="17" t="s">
        <v>57</v>
      </c>
      <c r="E57" s="18" t="s">
        <v>58</v>
      </c>
      <c r="F57" s="19" t="s">
        <v>21</v>
      </c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2">
        <v>1</v>
      </c>
      <c r="C58" s="27" t="s">
        <v>167</v>
      </c>
      <c r="D58" s="55">
        <v>1198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2</v>
      </c>
      <c r="C59" s="27" t="s">
        <v>168</v>
      </c>
      <c r="D59" s="55">
        <v>650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3</v>
      </c>
      <c r="C60" s="27" t="s">
        <v>169</v>
      </c>
      <c r="D60" s="55">
        <v>200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4</v>
      </c>
      <c r="C61" s="27" t="s">
        <v>172</v>
      </c>
      <c r="D61" s="55">
        <v>100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5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6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7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8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9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10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4.9000000000000004" customHeight="1" thickBot="1" x14ac:dyDescent="0.35">
      <c r="A68" s="1"/>
      <c r="B68" s="1"/>
      <c r="C68" s="1"/>
      <c r="D68" s="58"/>
      <c r="E68" s="58"/>
      <c r="F68" s="58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thickTop="1" x14ac:dyDescent="0.3">
      <c r="A69" s="1"/>
      <c r="B69" s="11"/>
      <c r="C69" s="4" t="s">
        <v>22</v>
      </c>
      <c r="D69" s="59">
        <f>SUM(D58:D68)</f>
        <v>2148</v>
      </c>
      <c r="E69" s="59">
        <f>SUM(E58:E68)</f>
        <v>0</v>
      </c>
      <c r="F69" s="59">
        <f>SUM(F58:F68)</f>
        <v>0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</sheetData>
  <sheetProtection password="C2E9" sheet="1" objects="1" scenarios="1" formatColumns="0" formatRows="0" sort="0" autoFilter="0"/>
  <mergeCells count="12">
    <mergeCell ref="B48:F48"/>
    <mergeCell ref="B41:F41"/>
    <mergeCell ref="B12:F12"/>
    <mergeCell ref="B13:F13"/>
    <mergeCell ref="B14:F14"/>
    <mergeCell ref="B15:F15"/>
    <mergeCell ref="B18:F18"/>
    <mergeCell ref="B22:F22"/>
    <mergeCell ref="B33:F33"/>
    <mergeCell ref="B28:F28"/>
    <mergeCell ref="B36:F36"/>
    <mergeCell ref="B43:F43"/>
  </mergeCells>
  <dataValidations count="1">
    <dataValidation type="decimal" operator="greaterThanOrEqual" allowBlank="1" showInputMessage="1" showErrorMessage="1" sqref="E32 E37:E40 E42 E23:F27 E44:F47 E49:F54 D58:F67 E34:E35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6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C1" zoomScale="90" zoomScaleNormal="90" workbookViewId="0">
      <selection activeCell="G18" sqref="G18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NSD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197</v>
      </c>
      <c r="D11" s="27" t="s">
        <v>179</v>
      </c>
      <c r="E11" s="27" t="s">
        <v>180</v>
      </c>
      <c r="F11" s="55">
        <v>1</v>
      </c>
      <c r="G11" s="55">
        <v>1</v>
      </c>
      <c r="H11" s="55">
        <v>1</v>
      </c>
      <c r="I11" s="55">
        <v>75</v>
      </c>
      <c r="J11" s="55">
        <f>H11*I11</f>
        <v>75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197</v>
      </c>
      <c r="D12" s="27" t="s">
        <v>173</v>
      </c>
      <c r="E12" s="27" t="s">
        <v>174</v>
      </c>
      <c r="F12" s="55">
        <v>3</v>
      </c>
      <c r="G12" s="55">
        <v>1</v>
      </c>
      <c r="H12" s="55">
        <v>9</v>
      </c>
      <c r="I12" s="55">
        <v>5</v>
      </c>
      <c r="J12" s="55">
        <f t="shared" ref="J12:J18" si="0">H12*I12</f>
        <v>45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175</v>
      </c>
      <c r="D13" s="27" t="s">
        <v>194</v>
      </c>
      <c r="E13" s="27" t="s">
        <v>176</v>
      </c>
      <c r="F13" s="55">
        <v>3</v>
      </c>
      <c r="G13" s="55">
        <v>2</v>
      </c>
      <c r="H13" s="55">
        <v>21</v>
      </c>
      <c r="I13" s="55">
        <v>7</v>
      </c>
      <c r="J13" s="55">
        <f t="shared" si="0"/>
        <v>147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177</v>
      </c>
      <c r="D14" s="27" t="s">
        <v>173</v>
      </c>
      <c r="E14" s="27" t="s">
        <v>178</v>
      </c>
      <c r="F14" s="55">
        <v>1</v>
      </c>
      <c r="G14" s="55">
        <v>2</v>
      </c>
      <c r="H14" s="55">
        <v>31</v>
      </c>
      <c r="I14" s="55">
        <v>1</v>
      </c>
      <c r="J14" s="55">
        <f t="shared" si="0"/>
        <v>31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199</v>
      </c>
      <c r="D15" s="27" t="s">
        <v>195</v>
      </c>
      <c r="E15" s="27" t="s">
        <v>176</v>
      </c>
      <c r="F15" s="55">
        <v>1</v>
      </c>
      <c r="G15" s="55">
        <v>1</v>
      </c>
      <c r="H15" s="55">
        <v>1</v>
      </c>
      <c r="I15" s="55">
        <v>40</v>
      </c>
      <c r="J15" s="55">
        <f t="shared" si="0"/>
        <v>40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198</v>
      </c>
      <c r="D16" s="27" t="s">
        <v>183</v>
      </c>
      <c r="E16" s="27" t="s">
        <v>184</v>
      </c>
      <c r="F16" s="55">
        <v>1</v>
      </c>
      <c r="G16" s="55">
        <v>1</v>
      </c>
      <c r="H16" s="55">
        <v>1</v>
      </c>
      <c r="I16" s="55">
        <v>100</v>
      </c>
      <c r="J16" s="55">
        <f t="shared" si="0"/>
        <v>100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200</v>
      </c>
      <c r="D17" s="27" t="s">
        <v>194</v>
      </c>
      <c r="E17" s="27" t="s">
        <v>176</v>
      </c>
      <c r="F17" s="55">
        <v>3</v>
      </c>
      <c r="G17" s="55">
        <v>2</v>
      </c>
      <c r="H17" s="55">
        <v>21</v>
      </c>
      <c r="I17" s="55">
        <v>5</v>
      </c>
      <c r="J17" s="55">
        <f t="shared" si="0"/>
        <v>105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202</v>
      </c>
      <c r="D18" s="27" t="s">
        <v>179</v>
      </c>
      <c r="E18" s="27" t="s">
        <v>203</v>
      </c>
      <c r="F18" s="55">
        <v>1</v>
      </c>
      <c r="G18" s="55">
        <v>1</v>
      </c>
      <c r="H18" s="55">
        <v>1</v>
      </c>
      <c r="I18" s="55">
        <v>50</v>
      </c>
      <c r="J18" s="55">
        <f t="shared" si="0"/>
        <v>50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8" zoomScale="90" zoomScaleNormal="90" workbookViewId="0">
      <selection activeCell="C45" sqref="C45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NSD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 t="s">
        <v>181</v>
      </c>
      <c r="D28" s="70" t="s">
        <v>182</v>
      </c>
      <c r="E28" s="55">
        <v>3</v>
      </c>
      <c r="F28" s="55">
        <v>10</v>
      </c>
      <c r="G28" s="55">
        <f>E28*F28</f>
        <v>30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 t="s">
        <v>187</v>
      </c>
      <c r="D29" s="70" t="s">
        <v>182</v>
      </c>
      <c r="E29" s="55">
        <v>1</v>
      </c>
      <c r="F29" s="55">
        <v>90</v>
      </c>
      <c r="G29" s="55">
        <f t="shared" ref="G29:G35" si="0">E29*F29</f>
        <v>90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 t="s">
        <v>188</v>
      </c>
      <c r="D30" s="70" t="s">
        <v>182</v>
      </c>
      <c r="E30" s="55">
        <v>1</v>
      </c>
      <c r="F30" s="55">
        <v>40</v>
      </c>
      <c r="G30" s="55">
        <f t="shared" si="0"/>
        <v>40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 t="s">
        <v>189</v>
      </c>
      <c r="D31" s="70" t="s">
        <v>182</v>
      </c>
      <c r="E31" s="55">
        <v>1</v>
      </c>
      <c r="F31" s="55">
        <v>40</v>
      </c>
      <c r="G31" s="55">
        <f t="shared" si="0"/>
        <v>40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 t="s">
        <v>185</v>
      </c>
      <c r="D32" s="70" t="s">
        <v>182</v>
      </c>
      <c r="E32" s="55">
        <v>3</v>
      </c>
      <c r="F32" s="55">
        <v>25</v>
      </c>
      <c r="G32" s="55">
        <f t="shared" si="0"/>
        <v>75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 t="s">
        <v>190</v>
      </c>
      <c r="D33" s="70" t="s">
        <v>191</v>
      </c>
      <c r="E33" s="55">
        <v>3</v>
      </c>
      <c r="F33" s="55">
        <v>100</v>
      </c>
      <c r="G33" s="55">
        <f t="shared" si="0"/>
        <v>300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 t="s">
        <v>186</v>
      </c>
      <c r="D34" s="70" t="s">
        <v>182</v>
      </c>
      <c r="E34" s="55">
        <v>1</v>
      </c>
      <c r="F34" s="55">
        <v>25</v>
      </c>
      <c r="G34" s="55">
        <f t="shared" si="0"/>
        <v>25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 t="s">
        <v>201</v>
      </c>
      <c r="D35" s="70" t="s">
        <v>182</v>
      </c>
      <c r="E35" s="55">
        <v>1</v>
      </c>
      <c r="F35" s="55">
        <v>5</v>
      </c>
      <c r="G35" s="55">
        <f t="shared" si="0"/>
        <v>5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workbookViewId="0">
      <selection activeCell="J14" sqref="J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NSD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20</v>
      </c>
      <c r="F13" s="55"/>
      <c r="G13" s="55">
        <v>660</v>
      </c>
      <c r="H13" s="55">
        <v>10</v>
      </c>
      <c r="I13" s="55"/>
      <c r="J13" s="55">
        <v>15</v>
      </c>
      <c r="K13" s="55"/>
      <c r="L13" s="55"/>
      <c r="M13" s="55"/>
      <c r="N13" s="55"/>
      <c r="P13" s="88">
        <f>SUM(D13:N13)</f>
        <v>705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>
        <v>320</v>
      </c>
      <c r="F14" s="55"/>
      <c r="G14" s="55">
        <v>320</v>
      </c>
      <c r="H14" s="55"/>
      <c r="I14" s="55">
        <v>320</v>
      </c>
      <c r="J14" s="55"/>
      <c r="K14" s="55"/>
      <c r="L14" s="55"/>
      <c r="M14" s="55"/>
      <c r="N14" s="55"/>
      <c r="P14" s="88">
        <f t="shared" ref="P14:P22" si="0">SUM(D14:N14)</f>
        <v>960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 t="s">
        <v>192</v>
      </c>
      <c r="D15" s="55"/>
      <c r="E15" s="55"/>
      <c r="F15" s="55"/>
      <c r="G15" s="55"/>
      <c r="H15" s="55"/>
      <c r="I15" s="55">
        <v>15</v>
      </c>
      <c r="J15" s="55"/>
      <c r="K15" s="55"/>
      <c r="L15" s="55"/>
      <c r="M15" s="55"/>
      <c r="N15" s="55"/>
      <c r="P15" s="88">
        <f t="shared" si="0"/>
        <v>15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0</v>
      </c>
      <c r="E30" s="88">
        <f t="shared" si="1"/>
        <v>340</v>
      </c>
      <c r="F30" s="88">
        <f t="shared" si="1"/>
        <v>0</v>
      </c>
      <c r="G30" s="88">
        <f t="shared" si="1"/>
        <v>980</v>
      </c>
      <c r="H30" s="88">
        <f t="shared" si="1"/>
        <v>10</v>
      </c>
      <c r="I30" s="88">
        <f t="shared" si="1"/>
        <v>335</v>
      </c>
      <c r="J30" s="88">
        <f t="shared" si="1"/>
        <v>15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1680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2018-06-02T01:55:59Z</dcterms:modified>
</cp:coreProperties>
</file>