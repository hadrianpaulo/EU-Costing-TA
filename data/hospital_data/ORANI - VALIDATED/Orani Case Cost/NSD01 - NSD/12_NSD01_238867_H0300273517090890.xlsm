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<sst xmlns="http://schemas.openxmlformats.org/spreadsheetml/2006/main" count="497" uniqueCount="203">
  <si>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</si>
  <si>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</si>
  <si>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</si>
  <si>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</si>
  <si>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</si>
  <si>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</si>
  <si>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</si>
  <si>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</si>
  <si>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</si>
  <si>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</si>
  <si>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</si>
  <si>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</si>
  <si>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</si>
  <si>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</si>
  <si>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</si>
  <si>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</si>
  <si>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</si>
  <si>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</si>
  <si>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</si>
  <si>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</si>
  <si>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</si>
  <si>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</si>
  <si>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</si>
  <si>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</si>
  <si>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</si>
  <si>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</si>
  <si>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</si>
  <si>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</si>
  <si>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</si>
  <si>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</si>
  <si>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</si>
  <si>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</si>
  <si>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</si>
  <si>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</si>
  <si>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</si>
  <si>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</si>
  <si>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</si>
  <si>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</si>
  <si>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</si>
  <si>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</si>
  <si>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</si>
  <si>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</si>
  <si>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</si>
  <si>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</si>
  <si>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</si>
  <si>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</si>
  <si>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</si>
  <si>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</si>
  <si>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</si>
  <si>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</si>
  <si>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</si>
  <si>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</si>
  <si>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</si>
  <si>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</si>
  <si>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</si>
  <si>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</si>
  <si>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</si>
  <si>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</si>
  <si>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</si>
  <si>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</si>
  <si>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</si>
  <si>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</si>
  <si>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</si>
  <si>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</si>
  <si>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</si>
  <si>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</si>
  <si>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</si>
  <si>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</si>
  <si>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</si>
  <si>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</si>
  <si>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</si>
  <si>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</si>
  <si>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</si>
  <si>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</si>
  <si>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</si>
  <si>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</si>
  <si>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</si>
  <si>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</si>
  <si>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</si>
  <si>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</si>
  <si>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</si>
  <si>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</si>
  <si>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</si>
  <si>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</si>
  <si>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</si>
  <si>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</si>
  <si>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</si>
  <si>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</si>
  <si>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</si>
  <si>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</si>
  <si>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</si>
  <si>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</si>
  <si>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</si>
  <si>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</si>
  <si>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</si>
  <si>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</si>
  <si>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</si>
  <si>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</si>
  <si>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</si>
  <si>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</si>
  <si>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</si>
  <si>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</si>
  <si>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</si>
  <si>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</si>
  <si>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</si>
  <si>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</si>
  <si>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</si>
  <si>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</si>
  <si>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</si>
  <si>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</si>
  <si>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</si>
  <si>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</si>
  <si>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</si>
  <si>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</si>
  <si>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</si>
  <si>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</si>
  <si>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</si>
  <si>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</si>
  <si>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</si>
  <si>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</si>
  <si>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</si>
  <si>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</si>
  <si>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</si>
  <si>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</si>
  <si>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</si>
  <si>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</si>
  <si>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</si>
  <si>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</si>
  <si>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</si>
  <si>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</si>
  <si>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</si>
  <si>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</si>
  <si>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</si>
  <si>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</si>
  <si>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</si>
  <si>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</si>
  <si>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</si>
  <si>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</si>
  <si>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</si>
  <si>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</si>
  <si>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</si>
  <si>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</si>
  <si>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</si>
  <si>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</si>
  <si>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</si>
  <si>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</si>
  <si>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</si>
  <si>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</si>
  <si>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</si>
  <si>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</si>
  <si>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</si>
  <si>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</si>
  <si>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</si>
  <si>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</si>
  <si>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</si>
  <si>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</si>
  <si>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</si>
  <si>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</si>
  <si>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</si>
  <si>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</si>
  <si>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</si>
  <si>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</si>
  <si>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</si>
  <si>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</si>
  <si>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</si>
  <si>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</si>
  <si>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</si>
  <si>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</si>
  <si>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</si>
  <si>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</si>
  <si>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</si>
  <si>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CBC PLATELET</t>
  </si>
  <si>
    <t>DELIVERY ROOM</t>
  </si>
  <si>
    <t>METHYLERGOMETRINE MALEATE</t>
  </si>
  <si>
    <t>TABLET</t>
  </si>
  <si>
    <t>CEFALEXIN</t>
  </si>
  <si>
    <t>500MG</t>
  </si>
  <si>
    <t>FERROUS SULFATE</t>
  </si>
  <si>
    <t>325MG</t>
  </si>
  <si>
    <t>AMPULE</t>
  </si>
  <si>
    <t>SYRINGE 3CC</t>
  </si>
  <si>
    <t>PC</t>
  </si>
  <si>
    <t>D5 LR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</si>
  <si>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</si>
  <si>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</si>
  <si>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</si>
  <si>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</si>
  <si>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</si>
  <si>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</si>
  <si>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</si>
  <si>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</si>
  <si>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</si>
  <si>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CAPSULE</t>
  </si>
  <si>
    <t>5GRAMS</t>
  </si>
  <si>
    <t xml:space="preserve">MEFENAMIC ACID </t>
  </si>
  <si>
    <t>HYDRALAZINE</t>
  </si>
  <si>
    <t>20ML</t>
  </si>
  <si>
    <t xml:space="preserve">BOTTLE </t>
  </si>
  <si>
    <t>URINALYSIS</t>
  </si>
  <si>
    <t>Z37.0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</si>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</sst>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0.35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1425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860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172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2585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G22" sqref="G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179</v>
      </c>
      <c r="E11" s="27" t="s">
        <v>193</v>
      </c>
      <c r="F11" s="55">
        <v>1</v>
      </c>
      <c r="G11" s="55">
        <v>1</v>
      </c>
      <c r="H11" s="55">
        <v>3</v>
      </c>
      <c r="I11" s="55">
        <v>75</v>
      </c>
      <c r="J11" s="55">
        <f>H11*I11</f>
        <v>225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192</v>
      </c>
      <c r="E12" s="27" t="s">
        <v>176</v>
      </c>
      <c r="F12" s="55">
        <v>1</v>
      </c>
      <c r="G12" s="55">
        <v>1</v>
      </c>
      <c r="H12" s="55">
        <v>21</v>
      </c>
      <c r="I12" s="55">
        <v>7</v>
      </c>
      <c r="J12" s="55">
        <f t="shared" ref="J12:J16" si="0">H12*I12</f>
        <v>147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192</v>
      </c>
      <c r="E13" s="27" t="s">
        <v>176</v>
      </c>
      <c r="F13" s="55">
        <v>3</v>
      </c>
      <c r="G13" s="55">
        <v>2</v>
      </c>
      <c r="H13" s="55">
        <v>12</v>
      </c>
      <c r="I13" s="55">
        <v>5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174</v>
      </c>
      <c r="E14" s="27" t="s">
        <v>178</v>
      </c>
      <c r="F14" s="55">
        <v>1</v>
      </c>
      <c r="G14" s="55">
        <v>2</v>
      </c>
      <c r="H14" s="55">
        <v>33</v>
      </c>
      <c r="I14" s="55">
        <v>1</v>
      </c>
      <c r="J14" s="55">
        <f t="shared" si="0"/>
        <v>33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179</v>
      </c>
      <c r="E15" s="27" t="s">
        <v>196</v>
      </c>
      <c r="F15" s="55">
        <v>1</v>
      </c>
      <c r="G15" s="55">
        <v>1</v>
      </c>
      <c r="H15" s="55">
        <v>1</v>
      </c>
      <c r="I15" s="55">
        <v>400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197</v>
      </c>
      <c r="E16" s="27" t="s">
        <v>183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9" workbookViewId="0">
      <selection activeCell="F38" sqref="F3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180</v>
      </c>
      <c r="D28" s="70" t="s">
        <v>181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181</v>
      </c>
      <c r="E29" s="55">
        <v>1</v>
      </c>
      <c r="F29" s="55">
        <v>100</v>
      </c>
      <c r="G29" s="55">
        <f t="shared" ref="G29:G34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181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184</v>
      </c>
      <c r="D31" s="70" t="s">
        <v>181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188</v>
      </c>
      <c r="D32" s="70" t="s">
        <v>181</v>
      </c>
      <c r="E32" s="55">
        <v>1</v>
      </c>
      <c r="F32" s="55">
        <v>40</v>
      </c>
      <c r="G32" s="55">
        <f t="shared" si="0"/>
        <v>40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190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185</v>
      </c>
      <c r="D34" s="70" t="s">
        <v>181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6" t="s">
        <v>29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B35" sqref="B3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480</v>
      </c>
      <c r="H13" s="55">
        <v>10</v>
      </c>
      <c r="I13" s="55"/>
      <c r="J13" s="55">
        <v>15</v>
      </c>
      <c r="K13" s="55"/>
      <c r="L13" s="55"/>
      <c r="M13" s="55"/>
      <c r="N13" s="55"/>
      <c r="P13" s="88">
        <f>SUM(D13:N13)</f>
        <v>525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15</v>
      </c>
      <c r="F14" s="55"/>
      <c r="G14" s="55">
        <v>15</v>
      </c>
      <c r="H14" s="55"/>
      <c r="I14" s="55">
        <v>15</v>
      </c>
      <c r="J14" s="55"/>
      <c r="K14" s="55"/>
      <c r="L14" s="55"/>
      <c r="M14" s="55"/>
      <c r="N14" s="55"/>
      <c r="P14" s="88">
        <f t="shared" ref="P14:P22" si="0">SUM(D14:N14)</f>
        <v>45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495</v>
      </c>
      <c r="H30" s="88">
        <f t="shared" si="1"/>
        <v>10</v>
      </c>
      <c r="I30" s="88">
        <f t="shared" si="1"/>
        <v>30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2018-06-02T02:00:12Z</dcterms:modified>
</cp:coreProperties>
</file>