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5" i="9" l="1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<sst xmlns="http://schemas.openxmlformats.org/spreadsheetml/2006/main" count="498" uniqueCount="201">
  <si>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</si>
  <si>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</si>
  <si>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</si>
  <si>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</si>
  <si>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</si>
  <si>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</si>
  <si>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</si>
  <si>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</si>
  <si>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</si>
  <si>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</si>
  <si>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</si>
  <si>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</si>
  <si>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</si>
  <si>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</si>
  <si>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</si>
  <si>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</si>
  <si>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</si>
  <si>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</si>
  <si>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</si>
  <si>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</si>
  <si>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</si>
  <si>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</si>
  <si>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</si>
  <si>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</si>
  <si>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</si>
  <si>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</si>
  <si>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</si>
  <si>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</si>
  <si>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</si>
  <si>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</si>
  <si>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</si>
  <si>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</si>
  <si>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</si>
  <si>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</si>
  <si>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</si>
  <si>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</si>
  <si>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</si>
  <si>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</si>
  <si>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</si>
  <si>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</si>
  <si>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</si>
  <si>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</si>
  <si>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</si>
  <si>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</si>
  <si>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</si>
  <si>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</si>
  <si>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</si>
  <si>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</si>
  <si>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</si>
  <si>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</si>
  <si>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</si>
  <si>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</si>
  <si>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</si>
  <si>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</si>
  <si>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</si>
  <si>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</si>
  <si>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</si>
  <si>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</si>
  <si>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</si>
  <si>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</si>
  <si>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</si>
  <si>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</si>
  <si>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</si>
  <si>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</si>
  <si>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</si>
  <si>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</si>
  <si>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</si>
  <si>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</si>
  <si>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</si>
  <si>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</si>
  <si>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</si>
  <si>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</si>
  <si>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</si>
  <si>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</si>
  <si>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</si>
  <si>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</si>
  <si>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</si>
  <si>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</si>
  <si>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</si>
  <si>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</si>
  <si>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</si>
  <si>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</si>
  <si>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</si>
  <si>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</si>
  <si>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</si>
  <si>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</si>
  <si>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</si>
  <si>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</si>
  <si>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</si>
  <si>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</si>
  <si>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</si>
  <si>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</si>
  <si>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</si>
  <si>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</si>
  <si>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</si>
  <si>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</si>
  <si>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</si>
  <si>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</si>
  <si>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</si>
  <si>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</si>
  <si>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</si>
  <si>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</si>
  <si>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</si>
  <si>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</si>
  <si>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</si>
  <si>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</si>
  <si>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</si>
  <si>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</si>
  <si>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</si>
  <si>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</si>
  <si>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</si>
  <si>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</si>
  <si>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</si>
  <si>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</si>
  <si>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</si>
  <si>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</si>
  <si>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</si>
  <si>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</si>
  <si>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</si>
  <si>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</si>
  <si>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</si>
  <si>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</si>
  <si>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</si>
  <si>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</si>
  <si>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</si>
  <si>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</si>
  <si>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</si>
  <si>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</si>
  <si>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</si>
  <si>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</si>
  <si>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</si>
  <si>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</si>
  <si>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</si>
  <si>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</si>
  <si>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</si>
  <si>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</si>
  <si>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</si>
  <si>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</si>
  <si>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</si>
  <si>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</si>
  <si>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</si>
  <si>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</si>
  <si>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</si>
  <si>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</si>
  <si>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</si>
  <si>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</si>
  <si>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</si>
  <si>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</si>
  <si>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</si>
  <si>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</si>
  <si>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</si>
  <si>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</si>
  <si>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</si>
  <si>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</si>
  <si>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</si>
  <si>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</si>
  <si>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</si>
  <si>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</si>
  <si>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</si>
  <si>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</si>
  <si>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</si>
  <si>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</si>
  <si>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</si>
  <si>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</si>
  <si>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</si>
  <si>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</si>
  <si>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</si>
  <si>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</si>
  <si>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</si>
  <si>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</si>
  <si>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</si>
  <si>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</si>
  <si>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</si>
  <si>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TABLET</t>
  </si>
  <si>
    <t>125MG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</si>
  <si>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</si>
  <si>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</si>
  <si>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</si>
  <si>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</si>
  <si>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</si>
  <si>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</si>
  <si>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</si>
  <si>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</si>
  <si>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</si>
  <si>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</si>
  <si>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</si>
  <si>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</si>
  <si>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</si>
  <si>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</si>
  <si>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</si>
  <si>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</si>
  <si>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</si>
  <si>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</si>
  <si>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</si>
  <si>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METHYLERGOMETRINE</t>
  </si>
  <si>
    <t>10ML</t>
  </si>
  <si>
    <t>D5LR</t>
  </si>
  <si>
    <t>UNDERPADS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</si>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</sst>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198</v>
      </c>
      <c r="D23" s="29" t="s">
        <v>199</v>
      </c>
      <c r="E23" s="55">
        <v>1</v>
      </c>
      <c r="F23" s="55">
        <v>0.1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1500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2350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180</v>
      </c>
      <c r="E11" s="27" t="s">
        <v>195</v>
      </c>
      <c r="F11" s="55">
        <v>1</v>
      </c>
      <c r="G11" s="55">
        <v>1</v>
      </c>
      <c r="H11" s="55">
        <v>3</v>
      </c>
      <c r="I11" s="55">
        <v>75</v>
      </c>
      <c r="J11" s="55">
        <f>H11*I11</f>
        <v>225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173</v>
      </c>
      <c r="E12" s="27" t="s">
        <v>174</v>
      </c>
      <c r="F12" s="55">
        <v>3</v>
      </c>
      <c r="G12" s="55">
        <v>2</v>
      </c>
      <c r="H12" s="55">
        <v>12</v>
      </c>
      <c r="I12" s="55">
        <v>7</v>
      </c>
      <c r="J12" s="55">
        <f t="shared" ref="J12:J16" si="0">H12*I12</f>
        <v>84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173</v>
      </c>
      <c r="E13" s="27" t="s">
        <v>176</v>
      </c>
      <c r="F13" s="55">
        <v>3</v>
      </c>
      <c r="G13" s="55">
        <v>2</v>
      </c>
      <c r="H13" s="55">
        <v>26</v>
      </c>
      <c r="I13" s="55">
        <v>7</v>
      </c>
      <c r="J13" s="55">
        <f t="shared" si="0"/>
        <v>182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173</v>
      </c>
      <c r="E14" s="27" t="s">
        <v>176</v>
      </c>
      <c r="F14" s="55">
        <v>3</v>
      </c>
      <c r="G14" s="55">
        <v>2</v>
      </c>
      <c r="H14" s="55">
        <v>12</v>
      </c>
      <c r="I14" s="55">
        <v>5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173</v>
      </c>
      <c r="E15" s="27" t="s">
        <v>179</v>
      </c>
      <c r="F15" s="55">
        <v>1</v>
      </c>
      <c r="G15" s="55">
        <v>1</v>
      </c>
      <c r="H15" s="55">
        <v>39</v>
      </c>
      <c r="I15" s="55">
        <v>1</v>
      </c>
      <c r="J15" s="55">
        <f t="shared" si="0"/>
        <v>39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183</v>
      </c>
      <c r="E16" s="27" t="s">
        <v>184</v>
      </c>
      <c r="F16" s="55">
        <v>1</v>
      </c>
      <c r="G16" s="55">
        <v>1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25" workbookViewId="0">
      <selection activeCell="C40" sqref="C4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181</v>
      </c>
      <c r="D28" s="70" t="s">
        <v>182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182</v>
      </c>
      <c r="E29" s="55">
        <v>1</v>
      </c>
      <c r="F29" s="55">
        <v>100</v>
      </c>
      <c r="G29" s="55">
        <f t="shared" ref="G29:G35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182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185</v>
      </c>
      <c r="D31" s="70" t="s">
        <v>182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182</v>
      </c>
      <c r="E32" s="55">
        <v>1</v>
      </c>
      <c r="F32" s="55">
        <v>40</v>
      </c>
      <c r="G32" s="55">
        <f t="shared" si="0"/>
        <v>40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190</v>
      </c>
      <c r="D33" s="70" t="s">
        <v>191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186</v>
      </c>
      <c r="D34" s="70" t="s">
        <v>182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197</v>
      </c>
      <c r="D35" s="70" t="s">
        <v>182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360</v>
      </c>
      <c r="H13" s="55">
        <v>5</v>
      </c>
      <c r="I13" s="55"/>
      <c r="J13" s="55">
        <v>15</v>
      </c>
      <c r="K13" s="55"/>
      <c r="L13" s="55"/>
      <c r="M13" s="55"/>
      <c r="N13" s="55"/>
      <c r="P13" s="88">
        <f>SUM(D13:N13)</f>
        <v>390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5</v>
      </c>
      <c r="H14" s="55"/>
      <c r="I14" s="55">
        <v>5</v>
      </c>
      <c r="J14" s="55"/>
      <c r="K14" s="55"/>
      <c r="L14" s="55"/>
      <c r="M14" s="55"/>
      <c r="N14" s="55"/>
      <c r="P14" s="88">
        <f t="shared" ref="P14:P22" si="0">SUM(D14:N14)</f>
        <v>15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192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365</v>
      </c>
      <c r="H30" s="88">
        <f t="shared" si="1"/>
        <v>5</v>
      </c>
      <c r="I30" s="88">
        <f t="shared" si="1"/>
        <v>20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2018-06-02T01:54:31Z</dcterms:modified>
</cp:coreProperties>
</file>