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Drugs&amp;Med'!$C$11:$C$16</definedName>
    <definedName name="_xlnm.Print_Area" localSheetId="0">'1.1 Case data_general'!$B$1:$F$67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J11" i="2" l="1"/>
  <c r="G29" i="9"/>
  <c r="G30" i="9"/>
  <c r="G31" i="9"/>
  <c r="G32" i="9"/>
  <c r="G33" i="9"/>
  <c r="G34" i="9"/>
  <c r="G28" i="9"/>
  <c r="J12" i="2"/>
  <c r="J13" i="2"/>
  <c r="J14" i="2"/>
  <c r="J15" i="2"/>
  <c r="J16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<sst xmlns="http://schemas.openxmlformats.org/spreadsheetml/2006/main" count="495" uniqueCount="199">
  <si>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</si>
  <si>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</si>
  <si>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</si>
  <si>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</si>
  <si>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</si>
  <si>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</si>
  <si>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</si>
  <si>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</si>
  <si>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</si>
  <si>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</si>
  <si>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</si>
  <si>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</si>
  <si>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</si>
  <si>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</si>
  <si>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</si>
  <si>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</si>
  <si>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</si>
  <si>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</si>
  <si>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</si>
  <si>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</si>
  <si>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</si>
  <si>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</si>
  <si>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</si>
  <si>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</si>
  <si>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</si>
  <si>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</si>
  <si>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</si>
  <si>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</si>
  <si>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</si>
  <si>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</si>
  <si>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</si>
  <si>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</si>
  <si>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</si>
  <si>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</si>
  <si>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</si>
  <si>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</si>
  <si>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</si>
  <si>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</si>
  <si>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</si>
  <si>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</si>
  <si>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</si>
  <si>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</si>
  <si>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</si>
  <si>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</si>
  <si>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</si>
  <si>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</si>
  <si>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</si>
  <si>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</si>
  <si>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</si>
  <si>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</si>
  <si>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</si>
  <si>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</si>
  <si>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</si>
  <si>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</si>
  <si>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</si>
  <si>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</si>
  <si>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</si>
  <si>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</si>
  <si>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</si>
  <si>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</si>
  <si>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</si>
  <si>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</si>
  <si>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</si>
  <si>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</si>
  <si>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</si>
  <si>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</si>
  <si>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</si>
  <si>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</si>
  <si>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</si>
  <si>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</si>
  <si>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</si>
  <si>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</si>
  <si>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</si>
  <si>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</si>
  <si>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</si>
  <si>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</si>
  <si>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</si>
  <si>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</si>
  <si>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</si>
  <si>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</si>
  <si>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</si>
  <si>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</si>
  <si>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</si>
  <si>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</si>
  <si>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</si>
  <si>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</si>
  <si>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</si>
  <si>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</si>
  <si>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</si>
  <si>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</si>
  <si>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</si>
  <si>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</si>
  <si>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</si>
  <si>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</si>
  <si>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</si>
  <si>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</si>
  <si>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</si>
  <si>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</si>
  <si>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</si>
  <si>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</si>
  <si>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</si>
  <si>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</si>
  <si>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</si>
  <si>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</si>
  <si>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</si>
  <si>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</si>
  <si>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</si>
  <si>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</si>
  <si>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</si>
  <si>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</si>
  <si>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</si>
  <si>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</si>
  <si>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</si>
  <si>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</si>
  <si>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</si>
  <si>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</si>
  <si>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</si>
  <si>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</si>
  <si>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</si>
  <si>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</si>
  <si>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</si>
  <si>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</si>
  <si>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</si>
  <si>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</si>
  <si>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</si>
  <si>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</si>
  <si>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</si>
  <si>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</si>
  <si>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</si>
  <si>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</si>
  <si>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</si>
  <si>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</si>
  <si>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</si>
  <si>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</si>
  <si>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</si>
  <si>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</si>
  <si>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</si>
  <si>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</si>
  <si>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</si>
  <si>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</si>
  <si>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</si>
  <si>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</si>
  <si>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</si>
  <si>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</si>
  <si>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</si>
  <si>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</si>
  <si>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</si>
  <si>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</si>
  <si>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</si>
  <si>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</si>
  <si>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</si>
  <si>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</si>
  <si>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</si>
  <si>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</si>
  <si>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</si>
  <si>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</si>
  <si>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</si>
  <si>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</si>
  <si>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</si>
  <si>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</si>
  <si>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</si>
  <si>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</si>
  <si>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</si>
  <si>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</si>
  <si>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</si>
  <si>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</si>
  <si>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</si>
  <si>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BOTTLE</t>
  </si>
  <si>
    <t>PLASTER 1/2</t>
  </si>
  <si>
    <t>SYRINGE 3CC</t>
  </si>
  <si>
    <t>PC</t>
  </si>
  <si>
    <t>CBC PLATELET COUNT</t>
  </si>
  <si>
    <t>ROOM AND BOARD</t>
  </si>
  <si>
    <t>AMPULE</t>
  </si>
  <si>
    <t>RH TYPING</t>
  </si>
  <si>
    <t>500MG</t>
  </si>
  <si>
    <t>1LITER</t>
  </si>
  <si>
    <t>D5 LR</t>
  </si>
  <si>
    <t>MACRO SET</t>
  </si>
  <si>
    <t>FERROUS SULFATE</t>
  </si>
  <si>
    <t>TABLET</t>
  </si>
  <si>
    <t>325MG</t>
  </si>
  <si>
    <t>Z37.0</t>
  </si>
  <si>
    <t>O80.9</t>
  </si>
  <si>
    <t>DELIVERY ROOM</t>
  </si>
  <si>
    <t>CEFALEXIN</t>
  </si>
  <si>
    <t>MEFENAMIC ACID</t>
  </si>
  <si>
    <t>125MG</t>
  </si>
  <si>
    <t>GLOVES 7.0</t>
  </si>
  <si>
    <t>RAZOR</t>
  </si>
  <si>
    <t>Perineal Care</t>
  </si>
  <si>
    <t>METHERGIN</t>
  </si>
  <si>
    <t>1AMP</t>
  </si>
  <si>
    <t>ABOCATH GAUGE 20</t>
  </si>
  <si>
    <t xml:space="preserve">SANITEX </t>
  </si>
  <si>
    <t>PACK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</si>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</sst>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196</v>
      </c>
      <c r="D23" s="29" t="s">
        <v>197</v>
      </c>
      <c r="E23" s="55">
        <v>1</v>
      </c>
      <c r="F23" s="55"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174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1294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650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172</v>
      </c>
      <c r="D58" s="55">
        <v>100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184</v>
      </c>
      <c r="D59" s="55">
        <v>100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2144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zoomScaleNormal="100" workbookViewId="0">
      <selection activeCell="H16" sqref="H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173</v>
      </c>
      <c r="E11" s="27" t="s">
        <v>192</v>
      </c>
      <c r="F11" s="55">
        <v>1</v>
      </c>
      <c r="G11" s="55">
        <v>1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180</v>
      </c>
      <c r="E12" s="27" t="s">
        <v>187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6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180</v>
      </c>
      <c r="E13" s="27" t="s">
        <v>175</v>
      </c>
      <c r="F13" s="55">
        <v>3</v>
      </c>
      <c r="G13" s="55">
        <v>2</v>
      </c>
      <c r="H13" s="55">
        <v>24</v>
      </c>
      <c r="I13" s="55">
        <v>7</v>
      </c>
      <c r="J13" s="55">
        <f t="shared" si="0"/>
        <v>168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180</v>
      </c>
      <c r="E14" s="27" t="s">
        <v>175</v>
      </c>
      <c r="F14" s="55">
        <v>3</v>
      </c>
      <c r="G14" s="55">
        <v>2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180</v>
      </c>
      <c r="E15" s="27" t="s">
        <v>181</v>
      </c>
      <c r="F15" s="55">
        <v>1</v>
      </c>
      <c r="G15" s="55">
        <v>2</v>
      </c>
      <c r="H15" s="55">
        <v>31</v>
      </c>
      <c r="I15" s="55">
        <v>1</v>
      </c>
      <c r="J15" s="55">
        <f t="shared" si="0"/>
        <v>31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167</v>
      </c>
      <c r="E16" s="27" t="s">
        <v>176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22" workbookViewId="0">
      <selection activeCell="B35" sqref="B35:G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193</v>
      </c>
      <c r="D28" s="70" t="s">
        <v>170</v>
      </c>
      <c r="E28" s="55">
        <v>2</v>
      </c>
      <c r="F28" s="55">
        <v>100</v>
      </c>
      <c r="G28" s="55">
        <f>E28*F28</f>
        <v>200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178</v>
      </c>
      <c r="D29" s="70" t="s">
        <v>170</v>
      </c>
      <c r="E29" s="55">
        <v>1</v>
      </c>
      <c r="F29" s="55">
        <v>40</v>
      </c>
      <c r="G29" s="55">
        <f t="shared" ref="G29:G34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168</v>
      </c>
      <c r="D30" s="70" t="s">
        <v>170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170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194</v>
      </c>
      <c r="D32" s="70" t="s">
        <v>195</v>
      </c>
      <c r="E32" s="55">
        <v>1</v>
      </c>
      <c r="F32" s="55">
        <v>100</v>
      </c>
      <c r="G32" s="55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170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169</v>
      </c>
      <c r="D34" s="70" t="s">
        <v>170</v>
      </c>
      <c r="E34" s="55">
        <v>5</v>
      </c>
      <c r="F34" s="55">
        <v>10</v>
      </c>
      <c r="G34" s="55">
        <f t="shared" si="0"/>
        <v>50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6" t="s">
        <v>29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14" sqref="C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240</v>
      </c>
      <c r="H13" s="55">
        <v>10</v>
      </c>
      <c r="I13" s="55"/>
      <c r="J13" s="55">
        <v>20</v>
      </c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190</v>
      </c>
      <c r="D14" s="55"/>
      <c r="E14" s="55"/>
      <c r="F14" s="55"/>
      <c r="G14" s="55"/>
      <c r="H14" s="55"/>
      <c r="I14" s="55">
        <v>150</v>
      </c>
      <c r="J14" s="55"/>
      <c r="K14" s="55"/>
      <c r="L14" s="55"/>
      <c r="M14" s="55"/>
      <c r="N14" s="55"/>
      <c r="P14" s="88">
        <f t="shared" ref="P14:P22" si="0">SUM(D14:N14)</f>
        <v>150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240</v>
      </c>
      <c r="H30" s="88">
        <f t="shared" si="1"/>
        <v>10</v>
      </c>
      <c r="I30" s="88">
        <f t="shared" si="1"/>
        <v>150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2018-06-02T02:01:40Z</dcterms:modified>
</cp:coreProperties>
</file>