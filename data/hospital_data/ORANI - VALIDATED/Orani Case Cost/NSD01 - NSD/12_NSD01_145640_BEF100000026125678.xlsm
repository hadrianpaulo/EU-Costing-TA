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Supplies_Medical'!$C$15:$C$44</definedName>
    <definedName name="Drugs">'1.2 Drugs&amp;Med'!$C$11:$C$16</definedName>
    <definedName name="_xlnm.Print_Area" localSheetId="0">'1.1 Case data_general'!$B$1:$F$69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29" i="9" l="1"/>
  <c r="G30" i="9"/>
  <c r="G31" i="9"/>
  <c r="G32" i="9"/>
  <c r="G33" i="9"/>
  <c r="G28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9" i="1"/>
  <c r="E69" i="1"/>
  <c r="D69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<sst xmlns="http://schemas.openxmlformats.org/spreadsheetml/2006/main" count="495" uniqueCount="200">
  <si>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</si>
  <si>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</si>
  <si>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</si>
  <si>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</si>
  <si>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</si>
  <si>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</si>
  <si>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</si>
  <si>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</si>
  <si>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</si>
  <si>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</si>
  <si>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</si>
  <si>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</si>
  <si>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</si>
  <si>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</si>
  <si>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</si>
  <si>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</si>
  <si>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</si>
  <si>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</si>
  <si>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</si>
  <si>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</si>
  <si>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</si>
  <si>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</si>
  <si>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</si>
  <si>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</si>
  <si>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</si>
  <si>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</si>
  <si>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</si>
  <si>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</si>
  <si>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</si>
  <si>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</si>
  <si>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</si>
  <si>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</si>
  <si>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</si>
  <si>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</si>
  <si>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</si>
  <si>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</si>
  <si>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</si>
  <si>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</si>
  <si>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</si>
  <si>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</si>
  <si>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</si>
  <si>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</si>
  <si>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</si>
  <si>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</si>
  <si>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</si>
  <si>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</si>
  <si>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</si>
  <si>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</si>
  <si>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</si>
  <si>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</si>
  <si>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</si>
  <si>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</si>
  <si>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</si>
  <si>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</si>
  <si>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</si>
  <si>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</si>
  <si>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</si>
  <si>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</si>
  <si>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</si>
  <si>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</si>
  <si>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</si>
  <si>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</si>
  <si>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</si>
  <si>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</si>
  <si>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</si>
  <si>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</si>
  <si>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</si>
  <si>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</si>
  <si>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</si>
  <si>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</si>
  <si>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</si>
  <si>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</si>
  <si>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</si>
  <si>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</si>
  <si>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</si>
  <si>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</si>
  <si>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</si>
  <si>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</si>
  <si>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</si>
  <si>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</si>
  <si>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</si>
  <si>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</si>
  <si>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</si>
  <si>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</si>
  <si>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</si>
  <si>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</si>
  <si>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</si>
  <si>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</si>
  <si>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</si>
  <si>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</si>
  <si>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</si>
  <si>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</si>
  <si>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</si>
  <si>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</si>
  <si>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</si>
  <si>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</si>
  <si>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</si>
  <si>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</si>
  <si>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</si>
  <si>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</si>
  <si>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</si>
  <si>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</si>
  <si>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</si>
  <si>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</si>
  <si>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</si>
  <si>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</si>
  <si>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</si>
  <si>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</si>
  <si>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</si>
  <si>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</si>
  <si>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</si>
  <si>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</si>
  <si>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</si>
  <si>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</si>
  <si>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</si>
  <si>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</si>
  <si>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</si>
  <si>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</si>
  <si>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</si>
  <si>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</si>
  <si>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</si>
  <si>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</si>
  <si>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</si>
  <si>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</si>
  <si>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</si>
  <si>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</si>
  <si>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</si>
  <si>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</si>
  <si>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</si>
  <si>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</si>
  <si>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</si>
  <si>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</si>
  <si>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</si>
  <si>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</si>
  <si>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</si>
  <si>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</si>
  <si>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</si>
  <si>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</si>
  <si>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</si>
  <si>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</si>
  <si>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</si>
  <si>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</si>
  <si>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</si>
  <si>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</si>
  <si>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</si>
  <si>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</si>
  <si>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</si>
  <si>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</si>
  <si>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</si>
  <si>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</si>
  <si>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</si>
  <si>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</si>
  <si>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</si>
  <si>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</si>
  <si>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</si>
  <si>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</si>
  <si>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</si>
  <si>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</si>
  <si>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</si>
  <si>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</si>
  <si>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</si>
  <si>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</si>
  <si>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</si>
  <si>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</si>
  <si>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</si>
  <si>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</si>
  <si>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</si>
  <si>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</si>
  <si>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</si>
  <si>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</si>
  <si>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</si>
  <si>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</si>
  <si>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DELIVERY ROOM</t>
  </si>
  <si>
    <t>METHYLERGOMETRINE MALEATE</t>
  </si>
  <si>
    <t>TABLET</t>
  </si>
  <si>
    <t>125MG</t>
  </si>
  <si>
    <t>CEFALEXIN</t>
  </si>
  <si>
    <t>TALBET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</si>
  <si>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</si>
  <si>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</si>
  <si>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</si>
  <si>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</si>
  <si>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</si>
  <si>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</si>
  <si>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</si>
  <si>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</si>
  <si>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</si>
  <si>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</si>
  <si>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</si>
  <si>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</si>
  <si>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</si>
  <si>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</si>
  <si>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PLASTER 1/2</t>
  </si>
  <si>
    <t>Perineal Care</t>
  </si>
  <si>
    <t>CBC PLATELET COUNT</t>
  </si>
  <si>
    <t>ROD</t>
  </si>
  <si>
    <t>20ML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</si>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</sst>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28575</xdr:rowOff>
        </xdr:from>
        <xdr:to>
          <xdr:col>1</xdr:col>
          <xdr:colOff>771525</xdr:colOff>
          <xdr:row>34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28575</xdr:rowOff>
        </xdr:from>
        <xdr:to>
          <xdr:col>1</xdr:col>
          <xdr:colOff>1543050</xdr:colOff>
          <xdr:row>34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6"/>
  <sheetViews>
    <sheetView topLeftCell="A51" zoomScaleNormal="100" workbookViewId="0">
      <selection activeCell="D59" sqref="D5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197</v>
      </c>
      <c r="D23" s="29" t="s">
        <v>198</v>
      </c>
      <c r="E23" s="55">
        <v>1</v>
      </c>
      <c r="F23" s="55">
        <v>2.2000000000000002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143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194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165</v>
      </c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8" t="s">
        <v>45</v>
      </c>
      <c r="C41" s="119"/>
      <c r="D41" s="116"/>
      <c r="E41" s="119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5" t="s">
        <v>54</v>
      </c>
      <c r="C43" s="116"/>
      <c r="D43" s="116"/>
      <c r="E43" s="116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 t="s">
        <v>165</v>
      </c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5" t="s">
        <v>20</v>
      </c>
      <c r="C48" s="116"/>
      <c r="D48" s="116"/>
      <c r="E48" s="116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 t="s">
        <v>165</v>
      </c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167</v>
      </c>
      <c r="D58" s="55">
        <v>666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168</v>
      </c>
      <c r="D59" s="55">
        <v>650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169</v>
      </c>
      <c r="D60" s="55">
        <v>400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172</v>
      </c>
      <c r="D61" s="55">
        <v>1140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195</v>
      </c>
      <c r="D62" s="55">
        <v>2000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6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7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8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9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10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4.9000000000000004" customHeight="1" thickBot="1" x14ac:dyDescent="0.35">
      <c r="A68" s="1"/>
      <c r="B68" s="1"/>
      <c r="C68" s="1"/>
      <c r="D68" s="58"/>
      <c r="E68" s="58"/>
      <c r="F68" s="58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thickTop="1" x14ac:dyDescent="0.3">
      <c r="A69" s="1"/>
      <c r="B69" s="11"/>
      <c r="C69" s="4" t="s">
        <v>22</v>
      </c>
      <c r="D69" s="59">
        <f>SUM(D58:D68)</f>
        <v>4856</v>
      </c>
      <c r="E69" s="59">
        <f>SUM(E58:E68)</f>
        <v>0</v>
      </c>
      <c r="F69" s="59">
        <f>SUM(F58:F68)</f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</sheetData>
  <sheetProtection password="C2E9" sheet="1" objects="1" scenarios="1"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3:F43"/>
  </mergeCells>
  <dataValidations count="1">
    <dataValidation type="decimal" operator="greaterThanOrEqual" allowBlank="1" showInputMessage="1" showErrorMessage="1" sqref="E32 E37:E40 E42 E23:F27 E44:F47 E49:F54 D58:F67 E34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E17" sqref="E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174</v>
      </c>
      <c r="E11" s="27" t="s">
        <v>175</v>
      </c>
      <c r="F11" s="55">
        <v>3</v>
      </c>
      <c r="G11" s="55">
        <v>2</v>
      </c>
      <c r="H11" s="55">
        <v>9</v>
      </c>
      <c r="I11" s="55">
        <v>5</v>
      </c>
      <c r="J11" s="55">
        <f>H11*I11</f>
        <v>45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177</v>
      </c>
      <c r="E12" s="27" t="s">
        <v>178</v>
      </c>
      <c r="F12" s="55">
        <v>3</v>
      </c>
      <c r="G12" s="55">
        <v>2</v>
      </c>
      <c r="H12" s="55">
        <v>9</v>
      </c>
      <c r="I12" s="55">
        <v>7</v>
      </c>
      <c r="J12" s="55">
        <f t="shared" ref="J12:J16" si="0">H12*I12</f>
        <v>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174</v>
      </c>
      <c r="E13" s="27" t="s">
        <v>178</v>
      </c>
      <c r="F13" s="55">
        <v>3</v>
      </c>
      <c r="G13" s="55">
        <v>2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174</v>
      </c>
      <c r="E14" s="27" t="s">
        <v>181</v>
      </c>
      <c r="F14" s="55">
        <v>1</v>
      </c>
      <c r="G14" s="55">
        <v>2</v>
      </c>
      <c r="H14" s="55">
        <v>13</v>
      </c>
      <c r="I14" s="55">
        <v>1</v>
      </c>
      <c r="J14" s="55">
        <f t="shared" si="0"/>
        <v>13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173</v>
      </c>
      <c r="D15" s="27" t="s">
        <v>182</v>
      </c>
      <c r="E15" s="27" t="s">
        <v>196</v>
      </c>
      <c r="F15" s="55">
        <v>1</v>
      </c>
      <c r="G15" s="55">
        <v>1</v>
      </c>
      <c r="H15" s="55">
        <v>1</v>
      </c>
      <c r="I15" s="55">
        <v>75</v>
      </c>
      <c r="J15" s="55">
        <f t="shared" si="0"/>
        <v>75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186</v>
      </c>
      <c r="E16" s="27" t="s">
        <v>187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8"/>
  <sheetViews>
    <sheetView topLeftCell="A16" workbookViewId="0">
      <selection activeCell="D35" sqref="D3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6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183</v>
      </c>
      <c r="D28" s="70" t="s">
        <v>184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188</v>
      </c>
      <c r="D29" s="70" t="s">
        <v>184</v>
      </c>
      <c r="E29" s="55">
        <v>2</v>
      </c>
      <c r="F29" s="55">
        <v>30</v>
      </c>
      <c r="G29" s="55">
        <f t="shared" ref="G29:G33" si="0">E29*F29</f>
        <v>60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189</v>
      </c>
      <c r="D30" s="70" t="s">
        <v>184</v>
      </c>
      <c r="E30" s="55">
        <v>1</v>
      </c>
      <c r="F30" s="55">
        <v>25</v>
      </c>
      <c r="G30" s="55">
        <f t="shared" si="0"/>
        <v>25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190</v>
      </c>
      <c r="D31" s="70" t="s">
        <v>184</v>
      </c>
      <c r="E31" s="55">
        <v>1</v>
      </c>
      <c r="F31" s="55">
        <v>100</v>
      </c>
      <c r="G31" s="55">
        <f t="shared" si="0"/>
        <v>100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191</v>
      </c>
      <c r="D32" s="70" t="s">
        <v>184</v>
      </c>
      <c r="E32" s="55">
        <v>1</v>
      </c>
      <c r="F32" s="55">
        <v>60</v>
      </c>
      <c r="G32" s="55">
        <f t="shared" si="0"/>
        <v>60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192</v>
      </c>
      <c r="D33" s="70" t="s">
        <v>184</v>
      </c>
      <c r="E33" s="55">
        <v>1</v>
      </c>
      <c r="F33" s="55">
        <v>50</v>
      </c>
      <c r="G33" s="55">
        <f t="shared" si="0"/>
        <v>50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136" t="s">
        <v>29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4:G3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1</xdr:col>
                    <xdr:colOff>771525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34</xdr:row>
                    <xdr:rowOff>28575</xdr:rowOff>
                  </from>
                  <to>
                    <xdr:col>1</xdr:col>
                    <xdr:colOff>1543050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1" workbookViewId="0">
      <selection activeCell="K12" sqref="K1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10</v>
      </c>
      <c r="F13" s="55"/>
      <c r="G13" s="55">
        <v>480</v>
      </c>
      <c r="H13" s="55">
        <v>5</v>
      </c>
      <c r="I13" s="55"/>
      <c r="J13" s="55">
        <v>15</v>
      </c>
      <c r="K13" s="55"/>
      <c r="L13" s="55"/>
      <c r="M13" s="55"/>
      <c r="N13" s="55"/>
      <c r="P13" s="88">
        <f>SUM(D13:N13)</f>
        <v>510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60</v>
      </c>
      <c r="F14" s="55"/>
      <c r="G14" s="55">
        <v>60</v>
      </c>
      <c r="H14" s="55"/>
      <c r="I14" s="55">
        <v>60</v>
      </c>
      <c r="J14" s="55"/>
      <c r="K14" s="55">
        <v>300</v>
      </c>
      <c r="L14" s="55"/>
      <c r="M14" s="55"/>
      <c r="N14" s="55"/>
      <c r="P14" s="88">
        <f t="shared" ref="P14:P22" si="0">SUM(D14:N14)</f>
        <v>480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193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70</v>
      </c>
      <c r="F30" s="88">
        <f t="shared" si="1"/>
        <v>0</v>
      </c>
      <c r="G30" s="88">
        <f t="shared" si="1"/>
        <v>540</v>
      </c>
      <c r="H30" s="88">
        <f t="shared" si="1"/>
        <v>5</v>
      </c>
      <c r="I30" s="88">
        <f t="shared" si="1"/>
        <v>75</v>
      </c>
      <c r="J30" s="88">
        <f t="shared" si="1"/>
        <v>15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1005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2018-06-02T01:32:51Z</dcterms:modified>
</cp:coreProperties>
</file>