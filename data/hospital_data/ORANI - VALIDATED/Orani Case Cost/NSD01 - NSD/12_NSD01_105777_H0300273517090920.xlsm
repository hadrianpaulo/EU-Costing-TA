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Supplies_Medical'!$C$15:$C$46</definedName>
    <definedName name="Drugs">'1.2 Drugs&amp;Med'!$C$11:$C$16</definedName>
    <definedName name="_xlnm.Print_Area" localSheetId="0">'1.1 Case data_general'!$B$1:$F$69</definedName>
    <definedName name="_xlnm.Print_Area" localSheetId="1">'1.2 Drugs&amp;Med'!$B$2:$J$17</definedName>
  </definedNames>
  <calcPr calcId="145621"/>
</workbook>
</file>

<file path=xl/calcChain.xml><?xml version="1.0" encoding="utf-8"?>
<calcChain xmlns="http://schemas.openxmlformats.org/spreadsheetml/2006/main">
  <c r="G35" i="9" l="1"/>
  <c r="G29" i="9"/>
  <c r="G30" i="9"/>
  <c r="G31" i="9"/>
  <c r="G32" i="9"/>
  <c r="G33" i="9"/>
  <c r="G34" i="9"/>
  <c r="G28" i="9"/>
  <c r="J12" i="2" l="1"/>
  <c r="J13" i="2"/>
  <c r="J14" i="2"/>
  <c r="J15" i="2"/>
  <c r="J1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<sst xmlns="http://schemas.openxmlformats.org/spreadsheetml/2006/main" count="498" uniqueCount="202">
  <si>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</si>
  <si>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</si>
  <si>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</si>
  <si>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</si>
  <si>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</si>
  <si>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</si>
  <si>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</si>
  <si>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</si>
  <si>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</si>
  <si>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</si>
  <si>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</si>
  <si>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</si>
  <si>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</si>
  <si>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</si>
  <si>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</si>
  <si>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</si>
  <si>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</si>
  <si>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</si>
  <si>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</si>
  <si>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</si>
  <si>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</si>
  <si>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</si>
  <si>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</si>
  <si>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</si>
  <si>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</si>
  <si>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</si>
  <si>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</si>
  <si>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</si>
  <si>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</si>
  <si>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</si>
  <si>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</si>
  <si>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</si>
  <si>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</si>
  <si>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</si>
  <si>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</si>
  <si>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</si>
  <si>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</si>
  <si>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</si>
  <si>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</si>
  <si>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</si>
  <si>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</si>
  <si>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</si>
  <si>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</si>
  <si>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</si>
  <si>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</si>
  <si>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</si>
  <si>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</si>
  <si>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</si>
  <si>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</si>
  <si>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</si>
  <si>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</si>
  <si>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</si>
  <si>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</si>
  <si>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</si>
  <si>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</si>
  <si>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</si>
  <si>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</si>
  <si>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</si>
  <si>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</si>
  <si>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</si>
  <si>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</si>
  <si>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</si>
  <si>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</si>
  <si>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</si>
  <si>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</si>
  <si>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</si>
  <si>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</si>
  <si>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</si>
  <si>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</si>
  <si>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</si>
  <si>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</si>
  <si>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</si>
  <si>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</si>
  <si>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</si>
  <si>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</si>
  <si>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</si>
  <si>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</si>
  <si>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</si>
  <si>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</si>
  <si>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</si>
  <si>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</si>
  <si>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</si>
  <si>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</si>
  <si>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</si>
  <si>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</si>
  <si>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</si>
  <si>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</si>
  <si>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</si>
  <si>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</si>
  <si>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</si>
  <si>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</si>
  <si>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</si>
  <si>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</si>
  <si>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</si>
  <si>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</si>
  <si>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</si>
  <si>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</si>
  <si>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</si>
  <si>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</si>
  <si>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</si>
  <si>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</si>
  <si>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</si>
  <si>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</si>
  <si>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</si>
  <si>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</si>
  <si>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</si>
  <si>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</si>
  <si>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</si>
  <si>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</si>
  <si>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</si>
  <si>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</si>
  <si>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</si>
  <si>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</si>
  <si>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</si>
  <si>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</si>
  <si>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</si>
  <si>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</si>
  <si>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</si>
  <si>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</si>
  <si>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</si>
  <si>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</si>
  <si>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</si>
  <si>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</si>
  <si>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</si>
  <si>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</si>
  <si>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</si>
  <si>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</si>
  <si>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</si>
  <si>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</si>
  <si>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</si>
  <si>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</si>
  <si>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</si>
  <si>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</si>
  <si>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</si>
  <si>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</si>
  <si>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</si>
  <si>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</si>
  <si>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</si>
  <si>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</si>
  <si>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</si>
  <si>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</si>
  <si>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</si>
  <si>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</si>
  <si>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</si>
  <si>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</si>
  <si>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</si>
  <si>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</si>
  <si>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</si>
  <si>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</si>
  <si>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</si>
  <si>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</si>
  <si>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</si>
  <si>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</si>
  <si>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</si>
  <si>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</si>
  <si>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</si>
  <si>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</si>
  <si>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</si>
  <si>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</si>
  <si>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</si>
  <si>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</si>
  <si>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</si>
  <si>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</si>
  <si>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</si>
  <si>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</si>
  <si>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</si>
  <si>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RH TYPING</t>
  </si>
  <si>
    <t>MEDICINES</t>
  </si>
  <si>
    <t>LABORATORY</t>
  </si>
  <si>
    <t>ROOM AND BOARD</t>
  </si>
  <si>
    <t>O80.9</t>
  </si>
  <si>
    <t>Z37.0</t>
  </si>
  <si>
    <t>CBC PLATELET</t>
  </si>
  <si>
    <t>DELIVERY ROOM</t>
  </si>
  <si>
    <t>METHYLERGOMETRINE MALEATE</t>
  </si>
  <si>
    <t>TABLET</t>
  </si>
  <si>
    <t>125MG</t>
  </si>
  <si>
    <t>CEFALEXIN</t>
  </si>
  <si>
    <t>TALBET</t>
  </si>
  <si>
    <t>500MG</t>
  </si>
  <si>
    <t>MEFENAMIC ACID</t>
  </si>
  <si>
    <t>FERROUS SULFATE</t>
  </si>
  <si>
    <t>325MG</t>
  </si>
  <si>
    <t>AMPULE</t>
  </si>
  <si>
    <t>200ML</t>
  </si>
  <si>
    <t>SYRINGE 3CC</t>
  </si>
  <si>
    <t>PC</t>
  </si>
  <si>
    <t>D5 LR</t>
  </si>
  <si>
    <t>BOTTLE</t>
  </si>
  <si>
    <t>1LITER</t>
  </si>
  <si>
    <t>GLOVES 7.0</t>
  </si>
  <si>
    <t>RAZOR</t>
  </si>
  <si>
    <t>ABOCATH GAUGE 20</t>
  </si>
  <si>
    <t>MACRO SET</t>
  </si>
  <si>
    <t>PLASTER 1/2</t>
  </si>
  <si>
    <t>SANITEX</t>
  </si>
  <si>
    <t>PACK</t>
  </si>
  <si>
    <t>Perineal Care</t>
  </si>
  <si>
    <t>UNDERPADS</t>
  </si>
  <si>
    <t>NSD01</t>
  </si>
  <si>
    <t>VAGINAL DELIVERY</t>
  </si>
  <si>
    <t>NSD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</si>
</sst>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28575</xdr:rowOff>
        </xdr:from>
        <xdr:to>
          <xdr:col>1</xdr:col>
          <xdr:colOff>771525</xdr:colOff>
          <xdr:row>36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36</xdr:row>
          <xdr:rowOff>28575</xdr:rowOff>
        </xdr:from>
        <xdr:to>
          <xdr:col>1</xdr:col>
          <xdr:colOff>1543050</xdr:colOff>
          <xdr:row>36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opLeftCell="A48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201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199</v>
      </c>
      <c r="D23" s="29" t="s">
        <v>200</v>
      </c>
      <c r="E23" s="55">
        <v>1</v>
      </c>
      <c r="F23" s="55">
        <v>1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172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166</v>
      </c>
      <c r="D35" s="23"/>
      <c r="E35" s="55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165</v>
      </c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45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54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 t="s">
        <v>165</v>
      </c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165</v>
      </c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167</v>
      </c>
      <c r="D58" s="55">
        <v>1444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168</v>
      </c>
      <c r="D59" s="55">
        <v>650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169</v>
      </c>
      <c r="D60" s="55">
        <v>200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173</v>
      </c>
      <c r="D61" s="55">
        <v>100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2394</v>
      </c>
      <c r="E69" s="59">
        <f>SUM(E58:E68)</f>
        <v>0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3:F43"/>
  </mergeCells>
  <dataValidations count="1">
    <dataValidation type="decimal" operator="greaterThanOrEqual" allowBlank="1" showInputMessage="1" showErrorMessage="1" sqref="E32 E37:E40 E42 E23:F27 E44:F47 E49:F54 D58:F6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7"/>
  <sheetViews>
    <sheetView workbookViewId="0">
      <selection activeCell="C27" sqref="C2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NSD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175</v>
      </c>
      <c r="E11" s="27" t="s">
        <v>176</v>
      </c>
      <c r="F11" s="55">
        <v>2</v>
      </c>
      <c r="G11" s="55">
        <v>2</v>
      </c>
      <c r="H11" s="55">
        <v>15</v>
      </c>
      <c r="I11" s="55">
        <v>5</v>
      </c>
      <c r="J11" s="55">
        <f>H11*I11</f>
        <v>75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177</v>
      </c>
      <c r="D12" s="27" t="s">
        <v>178</v>
      </c>
      <c r="E12" s="27" t="s">
        <v>179</v>
      </c>
      <c r="F12" s="55">
        <v>3</v>
      </c>
      <c r="G12" s="55">
        <v>2</v>
      </c>
      <c r="H12" s="55">
        <v>26</v>
      </c>
      <c r="I12" s="55">
        <v>7</v>
      </c>
      <c r="J12" s="55">
        <f t="shared" ref="J12:J16" si="0">H12*I12</f>
        <v>182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180</v>
      </c>
      <c r="D13" s="27" t="s">
        <v>175</v>
      </c>
      <c r="E13" s="27" t="s">
        <v>179</v>
      </c>
      <c r="F13" s="55">
        <v>3</v>
      </c>
      <c r="G13" s="55">
        <v>2</v>
      </c>
      <c r="H13" s="55">
        <v>15</v>
      </c>
      <c r="I13" s="55">
        <v>5</v>
      </c>
      <c r="J13" s="55">
        <f t="shared" si="0"/>
        <v>75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181</v>
      </c>
      <c r="D14" s="27" t="s">
        <v>175</v>
      </c>
      <c r="E14" s="27" t="s">
        <v>182</v>
      </c>
      <c r="F14" s="55">
        <v>1</v>
      </c>
      <c r="G14" s="55">
        <v>2</v>
      </c>
      <c r="H14" s="55">
        <v>37</v>
      </c>
      <c r="I14" s="55">
        <v>1</v>
      </c>
      <c r="J14" s="55">
        <f t="shared" si="0"/>
        <v>37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174</v>
      </c>
      <c r="D15" s="27" t="s">
        <v>183</v>
      </c>
      <c r="E15" s="27" t="s">
        <v>184</v>
      </c>
      <c r="F15" s="55">
        <v>1</v>
      </c>
      <c r="G15" s="55">
        <v>1</v>
      </c>
      <c r="H15" s="55">
        <v>3</v>
      </c>
      <c r="I15" s="55">
        <v>75</v>
      </c>
      <c r="J15" s="55">
        <f t="shared" si="0"/>
        <v>225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187</v>
      </c>
      <c r="D16" s="27" t="s">
        <v>188</v>
      </c>
      <c r="E16" s="27" t="s">
        <v>189</v>
      </c>
      <c r="F16" s="55">
        <v>1</v>
      </c>
      <c r="G16" s="55">
        <v>1</v>
      </c>
      <c r="H16" s="55">
        <v>2</v>
      </c>
      <c r="I16" s="55">
        <v>100</v>
      </c>
      <c r="J16" s="55">
        <f t="shared" si="0"/>
        <v>200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19" ht="12.75" customHeight="1" x14ac:dyDescent="0.25">
      <c r="A17" s="33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</row>
    <row r="18" spans="1:19" ht="15.75" customHeight="1" x14ac:dyDescent="0.25"/>
    <row r="19" spans="1:19" ht="15.75" customHeight="1" x14ac:dyDescent="0.25"/>
    <row r="20" spans="1:19" ht="15.75" customHeight="1" x14ac:dyDescent="0.25"/>
    <row r="21" spans="1:19" ht="15.75" customHeight="1" x14ac:dyDescent="0.25"/>
    <row r="22" spans="1:19" ht="15.75" customHeight="1" x14ac:dyDescent="0.25"/>
    <row r="23" spans="1:19" ht="15.75" customHeight="1" x14ac:dyDescent="0.25"/>
    <row r="24" spans="1:19" ht="15.75" customHeight="1" x14ac:dyDescent="0.25"/>
    <row r="25" spans="1:19" ht="15.75" customHeight="1" x14ac:dyDescent="0.25"/>
    <row r="26" spans="1:19" ht="15.75" customHeight="1" x14ac:dyDescent="0.25"/>
    <row r="27" spans="1:19" ht="15.75" customHeight="1" x14ac:dyDescent="0.25"/>
    <row r="28" spans="1:19" ht="15.75" customHeight="1" x14ac:dyDescent="0.25"/>
    <row r="29" spans="1:19" ht="15.75" customHeight="1" x14ac:dyDescent="0.25"/>
    <row r="30" spans="1:19" ht="15.75" customHeight="1" x14ac:dyDescent="0.25"/>
    <row r="31" spans="1:19" ht="15.75" customHeight="1" x14ac:dyDescent="0.25"/>
    <row r="32" spans="1:19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0"/>
  <sheetViews>
    <sheetView topLeftCell="A16" workbookViewId="0">
      <selection activeCell="D35" sqref="D3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8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185</v>
      </c>
      <c r="D28" s="70" t="s">
        <v>186</v>
      </c>
      <c r="E28" s="55">
        <v>2</v>
      </c>
      <c r="F28" s="55">
        <v>10</v>
      </c>
      <c r="G28" s="55">
        <f>E28*F28</f>
        <v>20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190</v>
      </c>
      <c r="D29" s="70" t="s">
        <v>186</v>
      </c>
      <c r="E29" s="55">
        <v>7</v>
      </c>
      <c r="F29" s="55">
        <v>25</v>
      </c>
      <c r="G29" s="55">
        <f t="shared" ref="G29:G35" si="0">E29*F29</f>
        <v>175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191</v>
      </c>
      <c r="D30" s="70" t="s">
        <v>186</v>
      </c>
      <c r="E30" s="55">
        <v>1</v>
      </c>
      <c r="F30" s="55">
        <v>25</v>
      </c>
      <c r="G30" s="55">
        <f t="shared" si="0"/>
        <v>25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192</v>
      </c>
      <c r="D31" s="70" t="s">
        <v>186</v>
      </c>
      <c r="E31" s="55">
        <v>1</v>
      </c>
      <c r="F31" s="55">
        <v>100</v>
      </c>
      <c r="G31" s="55">
        <f t="shared" si="0"/>
        <v>100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193</v>
      </c>
      <c r="D32" s="70" t="s">
        <v>186</v>
      </c>
      <c r="E32" s="55">
        <v>1</v>
      </c>
      <c r="F32" s="55">
        <v>40</v>
      </c>
      <c r="G32" s="55">
        <f t="shared" si="0"/>
        <v>40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6</v>
      </c>
      <c r="C33" s="69" t="s">
        <v>194</v>
      </c>
      <c r="D33" s="70" t="s">
        <v>186</v>
      </c>
      <c r="E33" s="55">
        <v>1</v>
      </c>
      <c r="F33" s="55">
        <v>40</v>
      </c>
      <c r="G33" s="55">
        <f t="shared" si="0"/>
        <v>40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7</v>
      </c>
      <c r="C34" s="69" t="s">
        <v>195</v>
      </c>
      <c r="D34" s="70" t="s">
        <v>196</v>
      </c>
      <c r="E34" s="55">
        <v>1</v>
      </c>
      <c r="F34" s="55">
        <v>100</v>
      </c>
      <c r="G34" s="55">
        <f t="shared" si="0"/>
        <v>100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8</v>
      </c>
      <c r="C35" s="69" t="s">
        <v>198</v>
      </c>
      <c r="D35" s="70" t="s">
        <v>186</v>
      </c>
      <c r="E35" s="55">
        <v>5</v>
      </c>
      <c r="F35" s="55">
        <v>30</v>
      </c>
      <c r="G35" s="55">
        <f t="shared" si="0"/>
        <v>150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136" t="s">
        <v>29</v>
      </c>
      <c r="C36" s="137"/>
      <c r="D36" s="137"/>
      <c r="E36" s="137"/>
      <c r="F36" s="137"/>
      <c r="G36" s="138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1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2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3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4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5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6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7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B44" s="68">
        <v>8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B45" s="68">
        <v>9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4.25" customHeight="1" x14ac:dyDescent="0.3">
      <c r="B46" s="68">
        <v>10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1:16" ht="14.25" customHeight="1" x14ac:dyDescent="0.3">
      <c r="A47" s="44"/>
      <c r="B47" s="39"/>
      <c r="C47" s="44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</row>
    <row r="48" spans="1:16" ht="14.25" customHeight="1" x14ac:dyDescent="0.3">
      <c r="A48" s="44"/>
      <c r="B48" s="39"/>
      <c r="C48" s="44"/>
      <c r="D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</row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36:G36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6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36</xdr:row>
                    <xdr:rowOff>28575</xdr:rowOff>
                  </from>
                  <to>
                    <xdr:col>1</xdr:col>
                    <xdr:colOff>771525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36</xdr:row>
                    <xdr:rowOff>28575</xdr:rowOff>
                  </from>
                  <to>
                    <xdr:col>1</xdr:col>
                    <xdr:colOff>1543050</xdr:colOff>
                    <xdr:row>36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F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20</v>
      </c>
      <c r="F13" s="55"/>
      <c r="G13" s="55">
        <v>540</v>
      </c>
      <c r="H13" s="55">
        <v>10</v>
      </c>
      <c r="I13" s="55"/>
      <c r="J13" s="55">
        <v>20</v>
      </c>
      <c r="K13" s="55"/>
      <c r="L13" s="55"/>
      <c r="M13" s="55"/>
      <c r="N13" s="55"/>
      <c r="P13" s="88">
        <f>SUM(D13:N13)</f>
        <v>590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25</v>
      </c>
      <c r="F14" s="55"/>
      <c r="G14" s="55">
        <v>25</v>
      </c>
      <c r="H14" s="55"/>
      <c r="I14" s="55">
        <v>20</v>
      </c>
      <c r="J14" s="55"/>
      <c r="K14" s="55"/>
      <c r="L14" s="55"/>
      <c r="M14" s="55"/>
      <c r="N14" s="55"/>
      <c r="P14" s="88">
        <f t="shared" ref="P14:P22" si="0">SUM(D14:N14)</f>
        <v>70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197</v>
      </c>
      <c r="D15" s="55"/>
      <c r="E15" s="55"/>
      <c r="F15" s="55"/>
      <c r="G15" s="55"/>
      <c r="H15" s="55"/>
      <c r="I15" s="55">
        <v>15</v>
      </c>
      <c r="J15" s="55"/>
      <c r="K15" s="55"/>
      <c r="L15" s="55"/>
      <c r="M15" s="55"/>
      <c r="N15" s="55"/>
      <c r="P15" s="88">
        <f t="shared" si="0"/>
        <v>15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45</v>
      </c>
      <c r="F30" s="88">
        <f t="shared" si="1"/>
        <v>0</v>
      </c>
      <c r="G30" s="88">
        <f t="shared" si="1"/>
        <v>565</v>
      </c>
      <c r="H30" s="88">
        <f t="shared" si="1"/>
        <v>10</v>
      </c>
      <c r="I30" s="88">
        <f t="shared" si="1"/>
        <v>35</v>
      </c>
      <c r="J30" s="88">
        <f t="shared" si="1"/>
        <v>20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675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2018-06-02T01:27:42Z</dcterms:modified>
</cp:coreProperties>
</file>