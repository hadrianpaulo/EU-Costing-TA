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G29" i="9"/>
  <c r="G30" i="9"/>
  <c r="G31" i="9"/>
  <c r="G32" i="9"/>
  <c r="G33" i="9"/>
  <c r="G34" i="9"/>
  <c r="G35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<sst xmlns="http://schemas.openxmlformats.org/spreadsheetml/2006/main" count="500" uniqueCount="203">
  <si>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</si>
  <si>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</si>
  <si>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</si>
  <si>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</si>
  <si>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</si>
  <si>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</si>
  <si>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</si>
  <si>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</si>
  <si>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</si>
  <si>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</si>
  <si>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</si>
  <si>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</si>
  <si>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</si>
  <si>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</si>
  <si>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</si>
  <si>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</si>
  <si>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</si>
  <si>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</si>
  <si>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</si>
  <si>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</si>
  <si>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</si>
  <si>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</si>
  <si>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</si>
  <si>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</si>
  <si>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</si>
  <si>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</si>
  <si>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</si>
  <si>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</si>
  <si>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</si>
  <si>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</si>
  <si>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</si>
  <si>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</si>
  <si>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</si>
  <si>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</si>
  <si>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</si>
  <si>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</si>
  <si>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</si>
  <si>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</si>
  <si>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</si>
  <si>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</si>
  <si>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</si>
  <si>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</si>
  <si>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</si>
  <si>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</si>
  <si>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</si>
  <si>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</si>
  <si>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</si>
  <si>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</si>
  <si>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</si>
  <si>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</si>
  <si>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</si>
  <si>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</si>
  <si>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</si>
  <si>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</si>
  <si>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</si>
  <si>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</si>
  <si>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</si>
  <si>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</si>
  <si>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</si>
  <si>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</si>
  <si>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</si>
  <si>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</si>
  <si>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</si>
  <si>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</si>
  <si>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</si>
  <si>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</si>
  <si>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</si>
  <si>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</si>
  <si>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</si>
  <si>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</si>
  <si>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</si>
  <si>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</si>
  <si>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</si>
  <si>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</si>
  <si>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</si>
  <si>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</si>
  <si>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</si>
  <si>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</si>
  <si>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</si>
  <si>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</si>
  <si>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</si>
  <si>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</si>
  <si>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</si>
  <si>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</si>
  <si>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</si>
  <si>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</si>
  <si>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</si>
  <si>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</si>
  <si>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</si>
  <si>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</si>
  <si>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</si>
  <si>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</si>
  <si>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</si>
  <si>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</si>
  <si>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</si>
  <si>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</si>
  <si>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</si>
  <si>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</si>
  <si>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</si>
  <si>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</si>
  <si>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</si>
  <si>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</si>
  <si>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</si>
  <si>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</si>
  <si>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</si>
  <si>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</si>
  <si>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</si>
  <si>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</si>
  <si>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</si>
  <si>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</si>
  <si>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</si>
  <si>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</si>
  <si>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</si>
  <si>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</si>
  <si>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</si>
  <si>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</si>
  <si>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</si>
  <si>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</si>
  <si>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</si>
  <si>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</si>
  <si>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</si>
  <si>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</si>
  <si>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</si>
  <si>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</si>
  <si>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</si>
  <si>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</si>
  <si>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</si>
  <si>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</si>
  <si>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</si>
  <si>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</si>
  <si>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</si>
  <si>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</si>
  <si>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</si>
  <si>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</si>
  <si>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</si>
  <si>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</si>
  <si>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</si>
  <si>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</si>
  <si>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</si>
  <si>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</si>
  <si>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</si>
  <si>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</si>
  <si>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</si>
  <si>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</si>
  <si>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</si>
  <si>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</si>
  <si>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</si>
  <si>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</si>
  <si>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</si>
  <si>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</si>
  <si>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</si>
  <si>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</si>
  <si>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</si>
  <si>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</si>
  <si>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</si>
  <si>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</si>
  <si>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</si>
  <si>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</si>
  <si>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</si>
  <si>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</si>
  <si>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</si>
  <si>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</si>
  <si>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</si>
  <si>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</si>
  <si>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</si>
  <si>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</si>
  <si>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</si>
  <si>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</si>
  <si>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</si>
  <si>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</si>
  <si>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</si>
  <si>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</si>
  <si>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CBC PLATELET</t>
  </si>
  <si>
    <t>DELIVERY ROOM</t>
  </si>
  <si>
    <t>TABLET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</si>
  <si>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</si>
  <si>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</si>
  <si>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</si>
  <si>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</si>
  <si>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</si>
  <si>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</si>
  <si>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</si>
  <si>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</si>
  <si>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</si>
  <si>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</si>
  <si>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</si>
  <si>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</si>
  <si>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</si>
  <si>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</si>
  <si>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</si>
  <si>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</si>
  <si>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</si>
  <si>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</si>
  <si>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</si>
  <si>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METHERGIN</t>
  </si>
  <si>
    <t>10ML</t>
  </si>
  <si>
    <t>CAPSULE</t>
  </si>
  <si>
    <t>125MG</t>
  </si>
  <si>
    <t>UNDERPADS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</si>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</sst>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7" sqref="D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1.6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1268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173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2218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B24" sqref="B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180</v>
      </c>
      <c r="E11" s="27" t="s">
        <v>195</v>
      </c>
      <c r="F11" s="55">
        <v>1</v>
      </c>
      <c r="G11" s="55">
        <v>1</v>
      </c>
      <c r="H11" s="55">
        <v>3</v>
      </c>
      <c r="I11" s="55">
        <v>75</v>
      </c>
      <c r="J11" s="55">
        <f>H11*I11</f>
        <v>225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196</v>
      </c>
      <c r="E12" s="27" t="s">
        <v>176</v>
      </c>
      <c r="F12" s="55">
        <v>2</v>
      </c>
      <c r="G12" s="55">
        <v>3</v>
      </c>
      <c r="H12" s="55">
        <v>24</v>
      </c>
      <c r="I12" s="55">
        <v>7</v>
      </c>
      <c r="J12" s="55">
        <f t="shared" ref="J12:J16" si="0">H12*I12</f>
        <v>168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196</v>
      </c>
      <c r="E13" s="27" t="s">
        <v>176</v>
      </c>
      <c r="F13" s="55">
        <v>2</v>
      </c>
      <c r="G13" s="55">
        <v>3</v>
      </c>
      <c r="H13" s="55">
        <v>12</v>
      </c>
      <c r="I13" s="55">
        <v>5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174</v>
      </c>
      <c r="E14" s="27" t="s">
        <v>179</v>
      </c>
      <c r="F14" s="55">
        <v>1</v>
      </c>
      <c r="G14" s="55">
        <v>2</v>
      </c>
      <c r="H14" s="55">
        <v>35</v>
      </c>
      <c r="I14" s="55">
        <v>1</v>
      </c>
      <c r="J14" s="55">
        <f t="shared" si="0"/>
        <v>35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184</v>
      </c>
      <c r="E15" s="27" t="s">
        <v>185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174</v>
      </c>
      <c r="E16" s="27" t="s">
        <v>197</v>
      </c>
      <c r="F16" s="55">
        <v>3</v>
      </c>
      <c r="G16" s="55">
        <v>2</v>
      </c>
      <c r="H16" s="55">
        <v>12</v>
      </c>
      <c r="I16" s="55">
        <v>5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G36" sqref="G3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181</v>
      </c>
      <c r="D28" s="70" t="s">
        <v>182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182</v>
      </c>
      <c r="E29" s="55">
        <v>5</v>
      </c>
      <c r="F29" s="55">
        <v>25</v>
      </c>
      <c r="G29" s="55">
        <f t="shared" ref="G29:G36" si="0">E29*F29</f>
        <v>125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182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182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182</v>
      </c>
      <c r="E32" s="55">
        <v>1</v>
      </c>
      <c r="F32" s="55">
        <v>40</v>
      </c>
      <c r="G32" s="55">
        <f t="shared" si="0"/>
        <v>40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190</v>
      </c>
      <c r="D33" s="70" t="s">
        <v>182</v>
      </c>
      <c r="E33" s="55">
        <v>1</v>
      </c>
      <c r="F33" s="55">
        <v>40</v>
      </c>
      <c r="G33" s="55">
        <f t="shared" si="0"/>
        <v>40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191</v>
      </c>
      <c r="D34" s="70" t="s">
        <v>192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198</v>
      </c>
      <c r="D35" s="70" t="s">
        <v>182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199</v>
      </c>
      <c r="D36" s="70" t="s">
        <v>182</v>
      </c>
      <c r="E36" s="55">
        <v>1</v>
      </c>
      <c r="F36" s="55">
        <v>10</v>
      </c>
      <c r="G36" s="55">
        <f t="shared" si="0"/>
        <v>10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5" workbookViewId="0">
      <selection activeCell="C35" sqref="C3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540</v>
      </c>
      <c r="H13" s="55">
        <v>10</v>
      </c>
      <c r="I13" s="55"/>
      <c r="J13" s="55"/>
      <c r="K13" s="55"/>
      <c r="L13" s="55"/>
      <c r="M13" s="55"/>
      <c r="N13" s="55"/>
      <c r="P13" s="88">
        <f>SUM(D13:N13)</f>
        <v>570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35</v>
      </c>
      <c r="F14" s="55"/>
      <c r="G14" s="55">
        <v>35</v>
      </c>
      <c r="H14" s="55"/>
      <c r="I14" s="55">
        <v>35</v>
      </c>
      <c r="J14" s="55"/>
      <c r="K14" s="55"/>
      <c r="L14" s="55"/>
      <c r="M14" s="55"/>
      <c r="N14" s="55"/>
      <c r="P14" s="88">
        <f t="shared" ref="P14:P22" si="0">SUM(D14:N14)</f>
        <v>105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193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575</v>
      </c>
      <c r="H30" s="88">
        <f t="shared" si="1"/>
        <v>10</v>
      </c>
      <c r="I30" s="88">
        <f t="shared" si="1"/>
        <v>50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2018-06-02T01:56:45Z</dcterms:modified>
</cp:coreProperties>
</file>