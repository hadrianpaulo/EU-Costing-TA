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Supplies_Medical'!$C$15:$C$47</definedName>
    <definedName name="Drugs">'1.2 Drugs&amp;Med'!$C$11:$C$16</definedName>
    <definedName name="_xlnm.Print_Area" localSheetId="0">'1.1 Case data_general'!$B$1:$F$70</definedName>
    <definedName name="_xlnm.Print_Area" localSheetId="1">'1.2 Drugs&amp;Med'!$B$2:$J$17</definedName>
  </definedNames>
  <calcPr calcId="145621"/>
</workbook>
</file>

<file path=xl/calcChain.xml><?xml version="1.0" encoding="utf-8"?>
<calcChain xmlns="http://schemas.openxmlformats.org/spreadsheetml/2006/main">
  <c r="G36" i="9" l="1"/>
  <c r="G28" i="9"/>
  <c r="G29" i="9"/>
  <c r="G30" i="9"/>
  <c r="G31" i="9"/>
  <c r="G32" i="9"/>
  <c r="G33" i="9"/>
  <c r="G34" i="9"/>
  <c r="G35" i="9"/>
  <c r="J12" i="2" l="1"/>
  <c r="J13" i="2"/>
  <c r="J14" i="2"/>
  <c r="J15" i="2"/>
  <c r="J16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0" i="1"/>
  <c r="E70" i="1"/>
  <c r="D70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<sst xmlns="http://schemas.openxmlformats.org/spreadsheetml/2006/main" count="501" uniqueCount="203">
  <si>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</si>
  <si>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</si>
  <si>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</si>
  <si>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</si>
  <si>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</si>
  <si>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</si>
  <si>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</si>
  <si>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</si>
  <si>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</si>
  <si>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</si>
  <si>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</si>
  <si>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</si>
  <si>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</si>
  <si>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</si>
  <si>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</si>
  <si>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</si>
  <si>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</si>
  <si>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</si>
  <si>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</si>
  <si>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</si>
  <si>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</si>
  <si>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</si>
  <si>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</si>
  <si>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</si>
  <si>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</si>
  <si>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</si>
  <si>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</si>
  <si>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</si>
  <si>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</si>
  <si>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</si>
  <si>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</si>
  <si>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</si>
  <si>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</si>
  <si>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</si>
  <si>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</si>
  <si>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</si>
  <si>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</si>
  <si>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</si>
  <si>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</si>
  <si>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</si>
  <si>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</si>
  <si>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</si>
  <si>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</si>
  <si>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</si>
  <si>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</si>
  <si>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</si>
  <si>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</si>
  <si>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</si>
  <si>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</si>
  <si>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</si>
  <si>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</si>
  <si>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</si>
  <si>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</si>
  <si>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</si>
  <si>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</si>
  <si>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</si>
  <si>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</si>
  <si>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</si>
  <si>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</si>
  <si>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</si>
  <si>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</si>
  <si>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</si>
  <si>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</si>
  <si>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</si>
  <si>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</si>
  <si>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</si>
  <si>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</si>
  <si>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</si>
  <si>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</si>
  <si>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</si>
  <si>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</si>
  <si>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</si>
  <si>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</si>
  <si>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</si>
  <si>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</si>
  <si>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</si>
  <si>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</si>
  <si>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</si>
  <si>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</si>
  <si>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</si>
  <si>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</si>
  <si>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</si>
  <si>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</si>
  <si>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</si>
  <si>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</si>
  <si>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</si>
  <si>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</si>
  <si>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</si>
  <si>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</si>
  <si>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</si>
  <si>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</si>
  <si>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</si>
  <si>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</si>
  <si>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</si>
  <si>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</si>
  <si>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</si>
  <si>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</si>
  <si>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</si>
  <si>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</si>
  <si>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</si>
  <si>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</si>
  <si>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</si>
  <si>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</si>
  <si>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</si>
  <si>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</si>
  <si>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</si>
  <si>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</si>
  <si>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</si>
  <si>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</si>
  <si>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</si>
  <si>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</si>
  <si>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</si>
  <si>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</si>
  <si>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</si>
  <si>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</si>
  <si>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</si>
  <si>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</si>
  <si>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</si>
  <si>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</si>
  <si>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</si>
  <si>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</si>
  <si>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</si>
  <si>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</si>
  <si>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</si>
  <si>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</si>
  <si>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</si>
  <si>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</si>
  <si>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</si>
  <si>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</si>
  <si>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</si>
  <si>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</si>
  <si>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</si>
  <si>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</si>
  <si>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</si>
  <si>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</si>
  <si>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</si>
  <si>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</si>
  <si>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</si>
  <si>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</si>
  <si>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</si>
  <si>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</si>
  <si>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</si>
  <si>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</si>
  <si>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</si>
  <si>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</si>
  <si>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</si>
  <si>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</si>
  <si>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</si>
  <si>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</si>
  <si>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</si>
  <si>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</si>
  <si>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</si>
  <si>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</si>
  <si>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</si>
  <si>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</si>
  <si>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</si>
  <si>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</si>
  <si>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</si>
  <si>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</si>
  <si>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</si>
  <si>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</si>
  <si>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</si>
  <si>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</si>
  <si>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</si>
  <si>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</si>
  <si>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</si>
  <si>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RH TYPING</t>
  </si>
  <si>
    <t>MEDICINES</t>
  </si>
  <si>
    <t>LABORATORY</t>
  </si>
  <si>
    <t>ROOM AND BOARD</t>
  </si>
  <si>
    <t>O80.9</t>
  </si>
  <si>
    <t>Z37.0</t>
  </si>
  <si>
    <t>HBsAg</t>
  </si>
  <si>
    <t>CBC PLATELET</t>
  </si>
  <si>
    <t>TABLET</t>
  </si>
  <si>
    <t>125MG</t>
  </si>
  <si>
    <t>CEFALEXIN</t>
  </si>
  <si>
    <t>500MG</t>
  </si>
  <si>
    <t>MEFENAMIC ACID</t>
  </si>
  <si>
    <t>FERROUS SULFATE</t>
  </si>
  <si>
    <t>325MG</t>
  </si>
  <si>
    <t>AMPULE</t>
  </si>
  <si>
    <t>SYRINGE 3CC</t>
  </si>
  <si>
    <t>PC</t>
  </si>
  <si>
    <t>D5 LR</t>
  </si>
  <si>
    <t>BOTTLE</t>
  </si>
  <si>
    <t>1LITER</t>
  </si>
  <si>
    <t>GLOVES 7.0</t>
  </si>
  <si>
    <t>RAZOR</t>
  </si>
  <si>
    <t>ABOCATH GAUGE 20</t>
  </si>
  <si>
    <t>MACRO SET</t>
  </si>
  <si>
    <t>SANITEX</t>
  </si>
  <si>
    <t>PACK</t>
  </si>
  <si>
    <t>Perineal Care</t>
  </si>
  <si>
    <t>10ML</t>
  </si>
  <si>
    <t>METHYLERGOMETRINE</t>
  </si>
  <si>
    <t>PLASTER</t>
  </si>
  <si>
    <t>DELIVERY ROOM</t>
  </si>
  <si>
    <t>UNDERPADS</t>
  </si>
  <si>
    <t>SYRINGE 5CC</t>
  </si>
  <si>
    <t>NSD01</t>
  </si>
  <si>
    <t>VAGINAL DELIVERY</t>
  </si>
  <si>
    <t>NSD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</si>
</sst>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58</xdr:row>
          <xdr:rowOff>19050</xdr:rowOff>
        </xdr:from>
        <xdr:to>
          <xdr:col>1</xdr:col>
          <xdr:colOff>733425</xdr:colOff>
          <xdr:row>58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58</xdr:row>
          <xdr:rowOff>19050</xdr:rowOff>
        </xdr:from>
        <xdr:to>
          <xdr:col>1</xdr:col>
          <xdr:colOff>1504950</xdr:colOff>
          <xdr:row>58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28575</xdr:rowOff>
        </xdr:from>
        <xdr:to>
          <xdr:col>1</xdr:col>
          <xdr:colOff>771525</xdr:colOff>
          <xdr:row>37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37</xdr:row>
          <xdr:rowOff>28575</xdr:rowOff>
        </xdr:from>
        <xdr:to>
          <xdr:col>1</xdr:col>
          <xdr:colOff>1543050</xdr:colOff>
          <xdr:row>37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7"/>
  <sheetViews>
    <sheetView topLeftCell="A51" zoomScaleNormal="100" workbookViewId="0">
      <selection activeCell="D2" sqref="D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202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3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170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171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200</v>
      </c>
      <c r="D23" s="29" t="s">
        <v>201</v>
      </c>
      <c r="E23" s="55">
        <v>1</v>
      </c>
      <c r="F23" s="55">
        <v>0.15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142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173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166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172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 t="s">
        <v>165</v>
      </c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45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14" t="s">
        <v>46</v>
      </c>
      <c r="C43" s="13"/>
      <c r="D43" s="13"/>
      <c r="E43" s="16"/>
      <c r="F43" s="13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5" t="s">
        <v>54</v>
      </c>
      <c r="C44" s="116"/>
      <c r="D44" s="116"/>
      <c r="E44" s="116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30">
        <v>1</v>
      </c>
      <c r="C45" s="31" t="s">
        <v>165</v>
      </c>
      <c r="D45" s="32"/>
      <c r="E45" s="57"/>
      <c r="F45" s="5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2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26">
        <v>3</v>
      </c>
      <c r="C47" s="27"/>
      <c r="D47" s="28"/>
      <c r="E47" s="55"/>
      <c r="F47" s="55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4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20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1</v>
      </c>
      <c r="C50" s="27" t="s">
        <v>165</v>
      </c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2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5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6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5"/>
      <c r="C56" s="25"/>
      <c r="D56" s="25"/>
      <c r="E56" s="25"/>
      <c r="F56" s="2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57.75" customHeight="1" thickBot="1" x14ac:dyDescent="0.35">
      <c r="A58" s="1"/>
      <c r="B58" s="17" t="s">
        <v>56</v>
      </c>
      <c r="C58" s="17" t="s">
        <v>52</v>
      </c>
      <c r="D58" s="17" t="s">
        <v>57</v>
      </c>
      <c r="E58" s="18" t="s">
        <v>58</v>
      </c>
      <c r="F58" s="19" t="s">
        <v>21</v>
      </c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2">
        <v>1</v>
      </c>
      <c r="C59" s="27" t="s">
        <v>167</v>
      </c>
      <c r="D59" s="55">
        <v>1238</v>
      </c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2</v>
      </c>
      <c r="C60" s="27" t="s">
        <v>168</v>
      </c>
      <c r="D60" s="55">
        <v>810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3</v>
      </c>
      <c r="C61" s="27" t="s">
        <v>169</v>
      </c>
      <c r="D61" s="55">
        <v>200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4</v>
      </c>
      <c r="C62" s="27" t="s">
        <v>197</v>
      </c>
      <c r="D62" s="55">
        <v>100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5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6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7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8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9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10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4.9000000000000004" customHeight="1" thickBot="1" x14ac:dyDescent="0.35">
      <c r="A69" s="1"/>
      <c r="B69" s="1"/>
      <c r="C69" s="1"/>
      <c r="D69" s="58"/>
      <c r="E69" s="58"/>
      <c r="F69" s="58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thickTop="1" x14ac:dyDescent="0.3">
      <c r="A70" s="1"/>
      <c r="B70" s="11"/>
      <c r="C70" s="4" t="s">
        <v>22</v>
      </c>
      <c r="D70" s="59">
        <f>SUM(D59:D69)</f>
        <v>2348</v>
      </c>
      <c r="E70" s="59">
        <f>SUM(E59:E69)</f>
        <v>0</v>
      </c>
      <c r="F70" s="59">
        <f>SUM(F59:F69)</f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</sheetData>
  <sheetProtection password="C2E9" sheet="1" objects="1" scenarios="1" formatColumns="0" formatRows="0" sort="0" autoFilter="0"/>
  <mergeCells count="12">
    <mergeCell ref="B49:F49"/>
    <mergeCell ref="B42:F42"/>
    <mergeCell ref="B12:F12"/>
    <mergeCell ref="B13:F13"/>
    <mergeCell ref="B14:F14"/>
    <mergeCell ref="B15:F15"/>
    <mergeCell ref="B18:F18"/>
    <mergeCell ref="B22:F22"/>
    <mergeCell ref="B33:F33"/>
    <mergeCell ref="B28:F28"/>
    <mergeCell ref="B37:F37"/>
    <mergeCell ref="B44:F44"/>
  </mergeCells>
  <dataValidations count="1">
    <dataValidation type="decimal" operator="greaterThanOrEqual" allowBlank="1" showInputMessage="1" showErrorMessage="1" sqref="E32 E38:E41 E43 E23:F27 E45:F48 E50:F55 D59:F68 E34: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7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58</xdr:row>
                    <xdr:rowOff>19050</xdr:rowOff>
                  </from>
                  <to>
                    <xdr:col>1</xdr:col>
                    <xdr:colOff>733425</xdr:colOff>
                    <xdr:row>58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58</xdr:row>
                    <xdr:rowOff>19050</xdr:rowOff>
                  </from>
                  <to>
                    <xdr:col>1</xdr:col>
                    <xdr:colOff>1504950</xdr:colOff>
                    <xdr:row>58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workbookViewId="0">
      <selection activeCell="D15" sqref="D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NSD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176</v>
      </c>
      <c r="D11" s="27" t="s">
        <v>174</v>
      </c>
      <c r="E11" s="27" t="s">
        <v>177</v>
      </c>
      <c r="F11" s="55">
        <v>3</v>
      </c>
      <c r="G11" s="55">
        <v>3</v>
      </c>
      <c r="H11" s="55">
        <v>21</v>
      </c>
      <c r="I11" s="55">
        <v>7</v>
      </c>
      <c r="J11" s="55">
        <f>H11*I11</f>
        <v>147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195</v>
      </c>
      <c r="D12" s="27" t="s">
        <v>181</v>
      </c>
      <c r="E12" s="27" t="s">
        <v>194</v>
      </c>
      <c r="F12" s="55">
        <v>1</v>
      </c>
      <c r="G12" s="55">
        <v>1</v>
      </c>
      <c r="H12" s="55">
        <v>3</v>
      </c>
      <c r="I12" s="55">
        <v>75</v>
      </c>
      <c r="J12" s="55">
        <f t="shared" ref="J12:J16" si="0">H12*I12</f>
        <v>225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195</v>
      </c>
      <c r="D13" s="27" t="s">
        <v>174</v>
      </c>
      <c r="E13" s="27" t="s">
        <v>175</v>
      </c>
      <c r="F13" s="55">
        <v>3</v>
      </c>
      <c r="G13" s="55">
        <v>2</v>
      </c>
      <c r="H13" s="55">
        <v>9</v>
      </c>
      <c r="I13" s="55">
        <v>5</v>
      </c>
      <c r="J13" s="55">
        <f t="shared" si="0"/>
        <v>45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178</v>
      </c>
      <c r="D14" s="27" t="s">
        <v>174</v>
      </c>
      <c r="E14" s="27" t="s">
        <v>177</v>
      </c>
      <c r="F14" s="55">
        <v>3</v>
      </c>
      <c r="G14" s="55">
        <v>3</v>
      </c>
      <c r="H14" s="55">
        <v>9</v>
      </c>
      <c r="I14" s="55">
        <v>5</v>
      </c>
      <c r="J14" s="55">
        <f t="shared" si="0"/>
        <v>45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179</v>
      </c>
      <c r="D15" s="27" t="s">
        <v>174</v>
      </c>
      <c r="E15" s="27" t="s">
        <v>180</v>
      </c>
      <c r="F15" s="55">
        <v>1</v>
      </c>
      <c r="G15" s="55">
        <v>3</v>
      </c>
      <c r="H15" s="55">
        <v>31</v>
      </c>
      <c r="I15" s="55">
        <v>1</v>
      </c>
      <c r="J15" s="55">
        <f t="shared" si="0"/>
        <v>31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184</v>
      </c>
      <c r="D16" s="27" t="s">
        <v>185</v>
      </c>
      <c r="E16" s="27" t="s">
        <v>186</v>
      </c>
      <c r="F16" s="55">
        <v>1</v>
      </c>
      <c r="G16" s="55">
        <v>1</v>
      </c>
      <c r="H16" s="55">
        <v>2</v>
      </c>
      <c r="I16" s="55">
        <v>100</v>
      </c>
      <c r="J16" s="55">
        <f t="shared" si="0"/>
        <v>200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1"/>
  <sheetViews>
    <sheetView topLeftCell="A16" workbookViewId="0">
      <selection activeCell="A37" sqref="A37:XFD3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9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182</v>
      </c>
      <c r="D28" s="70" t="s">
        <v>183</v>
      </c>
      <c r="E28" s="55">
        <v>3</v>
      </c>
      <c r="F28" s="55">
        <v>10</v>
      </c>
      <c r="G28" s="55">
        <f>E28*F28</f>
        <v>30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189</v>
      </c>
      <c r="D29" s="70" t="s">
        <v>183</v>
      </c>
      <c r="E29" s="55">
        <v>1</v>
      </c>
      <c r="F29" s="55">
        <v>100</v>
      </c>
      <c r="G29" s="55">
        <f t="shared" ref="G29:G36" si="0">E29*F29</f>
        <v>100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190</v>
      </c>
      <c r="D30" s="70" t="s">
        <v>183</v>
      </c>
      <c r="E30" s="55">
        <v>1</v>
      </c>
      <c r="F30" s="55">
        <v>40</v>
      </c>
      <c r="G30" s="55">
        <f t="shared" si="0"/>
        <v>40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187</v>
      </c>
      <c r="D31" s="70" t="s">
        <v>183</v>
      </c>
      <c r="E31" s="55">
        <v>1</v>
      </c>
      <c r="F31" s="55">
        <v>40</v>
      </c>
      <c r="G31" s="55">
        <f t="shared" si="0"/>
        <v>40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196</v>
      </c>
      <c r="D32" s="70" t="s">
        <v>183</v>
      </c>
      <c r="E32" s="55">
        <v>1</v>
      </c>
      <c r="F32" s="55">
        <v>40</v>
      </c>
      <c r="G32" s="55">
        <f t="shared" si="0"/>
        <v>40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6</v>
      </c>
      <c r="C33" s="69" t="s">
        <v>191</v>
      </c>
      <c r="D33" s="70" t="s">
        <v>192</v>
      </c>
      <c r="E33" s="55">
        <v>1</v>
      </c>
      <c r="F33" s="55">
        <v>100</v>
      </c>
      <c r="G33" s="55">
        <f t="shared" si="0"/>
        <v>100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7</v>
      </c>
      <c r="C34" s="69" t="s">
        <v>188</v>
      </c>
      <c r="D34" s="70" t="s">
        <v>183</v>
      </c>
      <c r="E34" s="55">
        <v>1</v>
      </c>
      <c r="F34" s="55">
        <v>25</v>
      </c>
      <c r="G34" s="55">
        <f t="shared" si="0"/>
        <v>25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8</v>
      </c>
      <c r="C35" s="69" t="s">
        <v>198</v>
      </c>
      <c r="D35" s="70" t="s">
        <v>183</v>
      </c>
      <c r="E35" s="55">
        <v>5</v>
      </c>
      <c r="F35" s="55">
        <v>30</v>
      </c>
      <c r="G35" s="55">
        <f t="shared" si="0"/>
        <v>150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9</v>
      </c>
      <c r="C36" s="69" t="s">
        <v>199</v>
      </c>
      <c r="D36" s="70" t="s">
        <v>183</v>
      </c>
      <c r="E36" s="55">
        <v>2</v>
      </c>
      <c r="F36" s="55">
        <v>10</v>
      </c>
      <c r="G36" s="55">
        <f t="shared" si="0"/>
        <v>20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136" t="s">
        <v>29</v>
      </c>
      <c r="C37" s="137"/>
      <c r="D37" s="137"/>
      <c r="E37" s="137"/>
      <c r="F37" s="137"/>
      <c r="G37" s="138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B44" s="68">
        <v>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B45" s="68">
        <v>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4.25" customHeight="1" x14ac:dyDescent="0.3">
      <c r="B46" s="68">
        <v>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1:16" ht="14.25" customHeight="1" x14ac:dyDescent="0.3">
      <c r="B47" s="68">
        <v>10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1:16" ht="14.25" customHeight="1" x14ac:dyDescent="0.3">
      <c r="A48" s="44"/>
      <c r="B48" s="39"/>
      <c r="C48" s="44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5.75" customHeight="1" x14ac:dyDescent="0.25"/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37:G37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7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37</xdr:row>
                    <xdr:rowOff>28575</xdr:rowOff>
                  </from>
                  <to>
                    <xdr:col>1</xdr:col>
                    <xdr:colOff>771525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37</xdr:row>
                    <xdr:rowOff>28575</xdr:rowOff>
                  </from>
                  <to>
                    <xdr:col>1</xdr:col>
                    <xdr:colOff>1543050</xdr:colOff>
                    <xdr:row>37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F1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NSD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20</v>
      </c>
      <c r="F13" s="55"/>
      <c r="G13" s="55">
        <v>576</v>
      </c>
      <c r="H13" s="55">
        <v>10</v>
      </c>
      <c r="I13" s="55"/>
      <c r="J13" s="55"/>
      <c r="K13" s="55"/>
      <c r="L13" s="55"/>
      <c r="M13" s="55"/>
      <c r="N13" s="55"/>
      <c r="P13" s="88">
        <f>SUM(D13:N13)</f>
        <v>606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10</v>
      </c>
      <c r="F14" s="55"/>
      <c r="G14" s="55">
        <v>5</v>
      </c>
      <c r="H14" s="55"/>
      <c r="I14" s="55">
        <v>5</v>
      </c>
      <c r="J14" s="55"/>
      <c r="K14" s="55"/>
      <c r="L14" s="55"/>
      <c r="M14" s="55"/>
      <c r="N14" s="55"/>
      <c r="P14" s="88">
        <f t="shared" ref="P14:P22" si="0">SUM(D14:N14)</f>
        <v>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193</v>
      </c>
      <c r="D15" s="55"/>
      <c r="E15" s="55"/>
      <c r="F15" s="55"/>
      <c r="G15" s="55"/>
      <c r="H15" s="55"/>
      <c r="I15" s="55">
        <v>15</v>
      </c>
      <c r="J15" s="55"/>
      <c r="K15" s="55"/>
      <c r="L15" s="55"/>
      <c r="M15" s="55"/>
      <c r="N15" s="55"/>
      <c r="P15" s="88">
        <f t="shared" si="0"/>
        <v>15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581</v>
      </c>
      <c r="H30" s="88">
        <f t="shared" si="1"/>
        <v>10</v>
      </c>
      <c r="I30" s="88">
        <f t="shared" si="1"/>
        <v>20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641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2018-06-02T01:29:03Z</dcterms:modified>
</cp:coreProperties>
</file>