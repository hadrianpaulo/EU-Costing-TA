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G35" i="9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<sst xmlns="http://schemas.openxmlformats.org/spreadsheetml/2006/main" count="500" uniqueCount="203">
  <si>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</si>
  <si>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</si>
  <si>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</si>
  <si>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</si>
  <si>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</si>
  <si>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</si>
  <si>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</si>
  <si>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</si>
  <si>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</si>
  <si>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</si>
  <si>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</si>
  <si>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</si>
  <si>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</si>
  <si>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</si>
  <si>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</si>
  <si>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</si>
  <si>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</si>
  <si>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</si>
  <si>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</si>
  <si>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</si>
  <si>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</si>
  <si>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</si>
  <si>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</si>
  <si>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</si>
  <si>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</si>
  <si>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</si>
  <si>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</si>
  <si>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</si>
  <si>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</si>
  <si>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</si>
  <si>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</si>
  <si>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</si>
  <si>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</si>
  <si>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</si>
  <si>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</si>
  <si>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</si>
  <si>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</si>
  <si>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</si>
  <si>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</si>
  <si>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</si>
  <si>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</si>
  <si>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</si>
  <si>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</si>
  <si>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</si>
  <si>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</si>
  <si>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</si>
  <si>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</si>
  <si>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</si>
  <si>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</si>
  <si>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</si>
  <si>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</si>
  <si>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</si>
  <si>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</si>
  <si>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</si>
  <si>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</si>
  <si>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</si>
  <si>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</si>
  <si>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</si>
  <si>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</si>
  <si>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</si>
  <si>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</si>
  <si>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</si>
  <si>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</si>
  <si>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</si>
  <si>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</si>
  <si>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</si>
  <si>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</si>
  <si>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</si>
  <si>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</si>
  <si>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</si>
  <si>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</si>
  <si>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</si>
  <si>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</si>
  <si>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</si>
  <si>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</si>
  <si>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</si>
  <si>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</si>
  <si>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</si>
  <si>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</si>
  <si>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</si>
  <si>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</si>
  <si>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</si>
  <si>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</si>
  <si>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</si>
  <si>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</si>
  <si>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</si>
  <si>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</si>
  <si>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</si>
  <si>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</si>
  <si>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</si>
  <si>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</si>
  <si>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</si>
  <si>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</si>
  <si>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</si>
  <si>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</si>
  <si>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</si>
  <si>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</si>
  <si>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</si>
  <si>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</si>
  <si>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</si>
  <si>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</si>
  <si>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</si>
  <si>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</si>
  <si>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</si>
  <si>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</si>
  <si>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</si>
  <si>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</si>
  <si>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</si>
  <si>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</si>
  <si>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</si>
  <si>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</si>
  <si>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</si>
  <si>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</si>
  <si>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</si>
  <si>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</si>
  <si>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</si>
  <si>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</si>
  <si>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</si>
  <si>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</si>
  <si>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</si>
  <si>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</si>
  <si>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</si>
  <si>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</si>
  <si>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</si>
  <si>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</si>
  <si>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</si>
  <si>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</si>
  <si>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</si>
  <si>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</si>
  <si>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</si>
  <si>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</si>
  <si>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</si>
  <si>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</si>
  <si>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</si>
  <si>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</si>
  <si>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</si>
  <si>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</si>
  <si>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</si>
  <si>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</si>
  <si>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</si>
  <si>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</si>
  <si>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</si>
  <si>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</si>
  <si>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</si>
  <si>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</si>
  <si>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</si>
  <si>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</si>
  <si>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</si>
  <si>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</si>
  <si>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</si>
  <si>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</si>
  <si>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</si>
  <si>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</si>
  <si>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</si>
  <si>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</si>
  <si>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</si>
  <si>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</si>
  <si>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</si>
  <si>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</si>
  <si>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</si>
  <si>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</si>
  <si>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</si>
  <si>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</si>
  <si>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</si>
  <si>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</si>
  <si>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</si>
  <si>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</si>
  <si>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</si>
  <si>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</si>
  <si>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</si>
  <si>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DELIVERY ROOM</t>
  </si>
  <si>
    <t>TABLET</t>
  </si>
  <si>
    <t>125MG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</si>
  <si>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</si>
  <si>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</si>
  <si>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</si>
  <si>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</si>
  <si>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</si>
  <si>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</si>
  <si>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</si>
  <si>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</si>
  <si>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</si>
  <si>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</si>
  <si>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</si>
  <si>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</si>
  <si>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</si>
  <si>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</si>
  <si>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</si>
  <si>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</si>
  <si>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</si>
  <si>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</si>
  <si>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</si>
  <si>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</si>
  <si>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CAPSULE</t>
  </si>
  <si>
    <t>METHERGINE MALEATE</t>
  </si>
  <si>
    <t>10ML</t>
  </si>
  <si>
    <t>O80.9</t>
  </si>
  <si>
    <t>Z37.0</t>
  </si>
  <si>
    <t>UNDERPADS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</si>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</sst>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1.1499999999999999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1024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170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1874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4" sqref="C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178</v>
      </c>
      <c r="E11" s="27" t="s">
        <v>195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193</v>
      </c>
      <c r="E12" s="27" t="s">
        <v>174</v>
      </c>
      <c r="F12" s="55">
        <v>2</v>
      </c>
      <c r="G12" s="55">
        <v>2</v>
      </c>
      <c r="H12" s="55">
        <v>24</v>
      </c>
      <c r="I12" s="55">
        <v>7</v>
      </c>
      <c r="J12" s="55">
        <f t="shared" ref="J12:J16" si="0">H12*I12</f>
        <v>168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193</v>
      </c>
      <c r="E13" s="27" t="s">
        <v>174</v>
      </c>
      <c r="F13" s="55">
        <v>2</v>
      </c>
      <c r="G13" s="55">
        <v>2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171</v>
      </c>
      <c r="E14" s="27" t="s">
        <v>177</v>
      </c>
      <c r="F14" s="55">
        <v>1</v>
      </c>
      <c r="G14" s="55">
        <v>2</v>
      </c>
      <c r="H14" s="55">
        <v>31</v>
      </c>
      <c r="I14" s="55">
        <v>1</v>
      </c>
      <c r="J14" s="55">
        <f t="shared" si="0"/>
        <v>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171</v>
      </c>
      <c r="E15" s="27" t="s">
        <v>172</v>
      </c>
      <c r="F15" s="55">
        <v>2</v>
      </c>
      <c r="G15" s="55">
        <v>2</v>
      </c>
      <c r="H15" s="55">
        <v>9</v>
      </c>
      <c r="I15" s="55">
        <v>5</v>
      </c>
      <c r="J15" s="55">
        <f t="shared" si="0"/>
        <v>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182</v>
      </c>
      <c r="E16" s="27" t="s">
        <v>183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6" workbookViewId="0">
      <selection activeCell="C36" sqref="C3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180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180</v>
      </c>
      <c r="E29" s="55">
        <v>1</v>
      </c>
      <c r="F29" s="55">
        <v>40</v>
      </c>
      <c r="G29" s="55">
        <f t="shared" ref="G29:G36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180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184</v>
      </c>
      <c r="D31" s="70" t="s">
        <v>180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190</v>
      </c>
      <c r="E32" s="55">
        <v>1</v>
      </c>
      <c r="F32" s="55">
        <v>100</v>
      </c>
      <c r="G32" s="55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185</v>
      </c>
      <c r="D33" s="70" t="s">
        <v>180</v>
      </c>
      <c r="E33" s="55">
        <v>1</v>
      </c>
      <c r="F33" s="55">
        <v>25</v>
      </c>
      <c r="G33" s="55">
        <f t="shared" si="0"/>
        <v>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179</v>
      </c>
      <c r="D34" s="70" t="s">
        <v>180</v>
      </c>
      <c r="E34" s="55">
        <v>3</v>
      </c>
      <c r="F34" s="55">
        <v>10</v>
      </c>
      <c r="G34" s="55">
        <f t="shared" si="0"/>
        <v>30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198</v>
      </c>
      <c r="D35" s="70" t="s">
        <v>180</v>
      </c>
      <c r="E35" s="55">
        <v>3</v>
      </c>
      <c r="F35" s="55">
        <v>30</v>
      </c>
      <c r="G35" s="55">
        <f t="shared" si="0"/>
        <v>90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199</v>
      </c>
      <c r="D36" s="70" t="s">
        <v>180</v>
      </c>
      <c r="E36" s="55">
        <v>1</v>
      </c>
      <c r="F36" s="55">
        <v>10</v>
      </c>
      <c r="G36" s="55">
        <f t="shared" si="0"/>
        <v>10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I15" sqref="I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93.7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540</v>
      </c>
      <c r="H13" s="55">
        <v>5</v>
      </c>
      <c r="I13" s="55"/>
      <c r="J13" s="55"/>
      <c r="K13" s="55"/>
      <c r="L13" s="55"/>
      <c r="M13" s="55"/>
      <c r="N13" s="55"/>
      <c r="P13" s="88">
        <f>SUM(D13:N13)</f>
        <v>555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30</v>
      </c>
      <c r="F14" s="55"/>
      <c r="G14" s="55">
        <v>25</v>
      </c>
      <c r="H14" s="55"/>
      <c r="I14" s="55">
        <v>25</v>
      </c>
      <c r="J14" s="55"/>
      <c r="K14" s="55"/>
      <c r="L14" s="55"/>
      <c r="M14" s="55"/>
      <c r="N14" s="55"/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565</v>
      </c>
      <c r="H30" s="88">
        <f t="shared" si="1"/>
        <v>5</v>
      </c>
      <c r="I30" s="88">
        <f t="shared" si="1"/>
        <v>40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2018-06-02T01:20:14Z</dcterms:modified>
</cp:coreProperties>
</file>