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5" i="9" l="1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<sst xmlns="http://schemas.openxmlformats.org/spreadsheetml/2006/main" count="499" uniqueCount="203">
  <si>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</si>
  <si>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</si>
  <si>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</si>
  <si>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</si>
  <si>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</si>
  <si>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</si>
  <si>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</si>
  <si>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</si>
  <si>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</si>
  <si>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</si>
  <si>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</si>
  <si>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</si>
  <si>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</si>
  <si>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</si>
  <si>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</si>
  <si>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</si>
  <si>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</si>
  <si>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</si>
  <si>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</si>
  <si>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</si>
  <si>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</si>
  <si>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</si>
  <si>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</si>
  <si>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</si>
  <si>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</si>
  <si>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</si>
  <si>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</si>
  <si>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</si>
  <si>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</si>
  <si>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</si>
  <si>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</si>
  <si>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</si>
  <si>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</si>
  <si>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</si>
  <si>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</si>
  <si>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</si>
  <si>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</si>
  <si>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</si>
  <si>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</si>
  <si>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</si>
  <si>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</si>
  <si>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</si>
  <si>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</si>
  <si>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</si>
  <si>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</si>
  <si>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</si>
  <si>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</si>
  <si>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</si>
  <si>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</si>
  <si>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</si>
  <si>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</si>
  <si>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</si>
  <si>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</si>
  <si>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</si>
  <si>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</si>
  <si>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</si>
  <si>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</si>
  <si>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</si>
  <si>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</si>
  <si>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</si>
  <si>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</si>
  <si>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</si>
  <si>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</si>
  <si>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</si>
  <si>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</si>
  <si>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</si>
  <si>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</si>
  <si>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</si>
  <si>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</si>
  <si>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</si>
  <si>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</si>
  <si>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</si>
  <si>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</si>
  <si>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</si>
  <si>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</si>
  <si>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</si>
  <si>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</si>
  <si>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</si>
  <si>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</si>
  <si>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</si>
  <si>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</si>
  <si>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</si>
  <si>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</si>
  <si>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</si>
  <si>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</si>
  <si>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</si>
  <si>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</si>
  <si>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</si>
  <si>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</si>
  <si>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</si>
  <si>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</si>
  <si>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</si>
  <si>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</si>
  <si>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</si>
  <si>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</si>
  <si>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</si>
  <si>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</si>
  <si>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</si>
  <si>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</si>
  <si>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</si>
  <si>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</si>
  <si>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</si>
  <si>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</si>
  <si>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</si>
  <si>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</si>
  <si>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</si>
  <si>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</si>
  <si>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</si>
  <si>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</si>
  <si>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</si>
  <si>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</si>
  <si>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</si>
  <si>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</si>
  <si>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</si>
  <si>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</si>
  <si>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</si>
  <si>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</si>
  <si>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</si>
  <si>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</si>
  <si>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</si>
  <si>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</si>
  <si>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</si>
  <si>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</si>
  <si>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</si>
  <si>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</si>
  <si>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</si>
  <si>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</si>
  <si>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</si>
  <si>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</si>
  <si>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</si>
  <si>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</si>
  <si>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</si>
  <si>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</si>
  <si>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</si>
  <si>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</si>
  <si>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</si>
  <si>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</si>
  <si>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</si>
  <si>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</si>
  <si>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</si>
  <si>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</si>
  <si>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</si>
  <si>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</si>
  <si>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</si>
  <si>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</si>
  <si>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</si>
  <si>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</si>
  <si>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</si>
  <si>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</si>
  <si>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</si>
  <si>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</si>
  <si>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</si>
  <si>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</si>
  <si>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</si>
  <si>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</si>
  <si>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</si>
  <si>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</si>
  <si>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</si>
  <si>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</si>
  <si>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</si>
  <si>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</si>
  <si>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</si>
  <si>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</si>
  <si>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</si>
  <si>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</si>
  <si>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</si>
  <si>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</si>
  <si>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</si>
  <si>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</si>
  <si>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</si>
  <si>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</si>
  <si>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</si>
  <si>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DELIVERY ROOM</t>
  </si>
  <si>
    <t>METHYLERGOMETRINE MALEATE</t>
  </si>
  <si>
    <t>TABLET</t>
  </si>
  <si>
    <t>CEFALEXIN</t>
  </si>
  <si>
    <t>500MG</t>
  </si>
  <si>
    <t>MEFENAMIC ACID</t>
  </si>
  <si>
    <t>FERROUS SULFATE</t>
  </si>
  <si>
    <t>325MG</t>
  </si>
  <si>
    <t>AMPULE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</si>
  <si>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</si>
  <si>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</si>
  <si>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</si>
  <si>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</si>
  <si>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</si>
  <si>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</si>
  <si>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</si>
  <si>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</si>
  <si>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SANITEX</t>
  </si>
  <si>
    <t>PACK</t>
  </si>
  <si>
    <t>Perineal Care</t>
  </si>
  <si>
    <t>CBC PLATELET COUNT</t>
  </si>
  <si>
    <t>ROD</t>
  </si>
  <si>
    <t>10MG</t>
  </si>
  <si>
    <t>CAPSULE</t>
  </si>
  <si>
    <t xml:space="preserve">MACRO SET </t>
  </si>
  <si>
    <t xml:space="preserve">PLASTER 1/2 </t>
  </si>
  <si>
    <t>125MG</t>
  </si>
  <si>
    <t>SYRINGE 5CC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</si>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</sst>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0.5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835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375</v>
      </c>
      <c r="E60" s="55">
        <v>425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172</v>
      </c>
      <c r="D61" s="55">
        <v>1140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193</v>
      </c>
      <c r="D62" s="55">
        <v>2000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425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D20" sqref="D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180</v>
      </c>
      <c r="E11" s="27" t="s">
        <v>194</v>
      </c>
      <c r="F11" s="55">
        <v>3</v>
      </c>
      <c r="G11" s="55">
        <v>2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195</v>
      </c>
      <c r="E12" s="27" t="s">
        <v>176</v>
      </c>
      <c r="F12" s="55">
        <v>3</v>
      </c>
      <c r="G12" s="55">
        <v>2</v>
      </c>
      <c r="H12" s="55">
        <v>15</v>
      </c>
      <c r="I12" s="55">
        <v>7</v>
      </c>
      <c r="J12" s="55">
        <f t="shared" ref="J12:J16" si="0">H12*I12</f>
        <v>105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195</v>
      </c>
      <c r="E13" s="27" t="s">
        <v>176</v>
      </c>
      <c r="F13" s="55">
        <v>3</v>
      </c>
      <c r="G13" s="55">
        <v>2</v>
      </c>
      <c r="H13" s="55">
        <v>11</v>
      </c>
      <c r="I13" s="55">
        <v>5</v>
      </c>
      <c r="J13" s="55">
        <f t="shared" si="0"/>
        <v>55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174</v>
      </c>
      <c r="E14" s="27" t="s">
        <v>179</v>
      </c>
      <c r="F14" s="55">
        <v>3</v>
      </c>
      <c r="G14" s="55">
        <v>2</v>
      </c>
      <c r="H14" s="55">
        <v>30</v>
      </c>
      <c r="I14" s="55">
        <v>1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184</v>
      </c>
      <c r="E15" s="27" t="s">
        <v>185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173</v>
      </c>
      <c r="D16" s="27" t="s">
        <v>174</v>
      </c>
      <c r="E16" s="27" t="s">
        <v>198</v>
      </c>
      <c r="F16" s="55">
        <v>3</v>
      </c>
      <c r="G16" s="55">
        <v>2</v>
      </c>
      <c r="H16" s="55">
        <v>10</v>
      </c>
      <c r="I16" s="55">
        <v>5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16" workbookViewId="0">
      <selection activeCell="G37" sqref="G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188</v>
      </c>
      <c r="D28" s="70" t="s">
        <v>182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196</v>
      </c>
      <c r="D29" s="70" t="s">
        <v>182</v>
      </c>
      <c r="E29" s="55">
        <v>1</v>
      </c>
      <c r="F29" s="55">
        <v>40</v>
      </c>
      <c r="G29" s="55">
        <f t="shared" ref="G29:G35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197</v>
      </c>
      <c r="D30" s="70" t="s">
        <v>182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189</v>
      </c>
      <c r="D31" s="70" t="s">
        <v>190</v>
      </c>
      <c r="E31" s="55">
        <v>1</v>
      </c>
      <c r="F31" s="55">
        <v>100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186</v>
      </c>
      <c r="D32" s="70" t="s">
        <v>182</v>
      </c>
      <c r="E32" s="55">
        <v>3</v>
      </c>
      <c r="F32" s="55">
        <v>25</v>
      </c>
      <c r="G32" s="55">
        <f t="shared" si="0"/>
        <v>75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187</v>
      </c>
      <c r="D33" s="70" t="s">
        <v>182</v>
      </c>
      <c r="E33" s="55">
        <v>1</v>
      </c>
      <c r="F33" s="55">
        <v>25</v>
      </c>
      <c r="G33" s="55">
        <f t="shared" si="0"/>
        <v>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181</v>
      </c>
      <c r="D34" s="70" t="s">
        <v>182</v>
      </c>
      <c r="E34" s="55">
        <v>3</v>
      </c>
      <c r="F34" s="55">
        <v>10</v>
      </c>
      <c r="G34" s="55">
        <f t="shared" si="0"/>
        <v>30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199</v>
      </c>
      <c r="D35" s="70" t="s">
        <v>182</v>
      </c>
      <c r="E35" s="55">
        <v>1</v>
      </c>
      <c r="F35" s="55">
        <v>10</v>
      </c>
      <c r="G35" s="55">
        <f t="shared" si="0"/>
        <v>10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6" t="s">
        <v>29</v>
      </c>
      <c r="C36" s="137"/>
      <c r="D36" s="137"/>
      <c r="E36" s="137"/>
      <c r="F36" s="137"/>
      <c r="G36" s="138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9" sqref="G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93.7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615</v>
      </c>
      <c r="H13" s="55">
        <v>10</v>
      </c>
      <c r="I13" s="55"/>
      <c r="J13" s="55">
        <v>25</v>
      </c>
      <c r="K13" s="55"/>
      <c r="L13" s="55"/>
      <c r="M13" s="55"/>
      <c r="N13" s="55"/>
      <c r="P13" s="88">
        <f>SUM(D13:N13)</f>
        <v>670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10</v>
      </c>
      <c r="F14" s="55"/>
      <c r="G14" s="55">
        <v>10</v>
      </c>
      <c r="H14" s="55"/>
      <c r="I14" s="55">
        <v>10</v>
      </c>
      <c r="J14" s="55"/>
      <c r="K14" s="55"/>
      <c r="L14" s="55"/>
      <c r="M14" s="55"/>
      <c r="N14" s="55"/>
      <c r="P14" s="88">
        <f t="shared" ref="P14:P22" si="0">SUM(D14:N14)</f>
        <v>30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191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625</v>
      </c>
      <c r="H30" s="88">
        <f t="shared" si="1"/>
        <v>10</v>
      </c>
      <c r="I30" s="88">
        <f t="shared" si="1"/>
        <v>25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2018-06-02T01:40:29Z</dcterms:modified>
</cp:coreProperties>
</file>