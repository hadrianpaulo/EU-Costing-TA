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data_general'!$B$1:$F$69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34" i="9"/>
  <c r="G35" i="9"/>
  <c r="G28" i="9"/>
  <c r="J20" i="2" l="1"/>
  <c r="J19" i="2"/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<sst xmlns="http://schemas.openxmlformats.org/spreadsheetml/2006/main" count="496" uniqueCount="201">
  <si>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</si>
  <si>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</si>
  <si>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</si>
  <si>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</si>
  <si>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</si>
  <si>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</si>
  <si>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</si>
  <si>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</si>
  <si>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</si>
  <si>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</si>
  <si>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</si>
  <si>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</si>
  <si>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</si>
  <si>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</si>
  <si>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</si>
  <si>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</si>
  <si>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</si>
  <si>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</si>
  <si>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</si>
  <si>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</si>
  <si>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</si>
  <si>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</si>
  <si>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</si>
  <si>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</si>
  <si>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</si>
  <si>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</si>
  <si>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</si>
  <si>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</si>
  <si>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</si>
  <si>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</si>
  <si>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</si>
  <si>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</si>
  <si>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</si>
  <si>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</si>
  <si>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</si>
  <si>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</si>
  <si>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</si>
  <si>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</si>
  <si>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</si>
  <si>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</si>
  <si>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</si>
  <si>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</si>
  <si>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</si>
  <si>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</si>
  <si>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</si>
  <si>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</si>
  <si>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</si>
  <si>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</si>
  <si>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</si>
  <si>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</si>
  <si>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</si>
  <si>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</si>
  <si>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</si>
  <si>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</si>
  <si>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</si>
  <si>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</si>
  <si>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</si>
  <si>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</si>
  <si>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</si>
  <si>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</si>
  <si>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</si>
  <si>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</si>
  <si>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</si>
  <si>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</si>
  <si>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</si>
  <si>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</si>
  <si>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</si>
  <si>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</si>
  <si>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</si>
  <si>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</si>
  <si>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</si>
  <si>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</si>
  <si>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</si>
  <si>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</si>
  <si>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</si>
  <si>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</si>
  <si>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</si>
  <si>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</si>
  <si>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</si>
  <si>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</si>
  <si>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</si>
  <si>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</si>
  <si>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</si>
  <si>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</si>
  <si>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</si>
  <si>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</si>
  <si>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</si>
  <si>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</si>
  <si>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</si>
  <si>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</si>
  <si>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</si>
  <si>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</si>
  <si>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</si>
  <si>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</si>
  <si>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</si>
  <si>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</si>
  <si>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</si>
  <si>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</si>
  <si>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</si>
  <si>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</si>
  <si>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</si>
  <si>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</si>
  <si>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</si>
  <si>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</si>
  <si>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</si>
  <si>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</si>
  <si>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</si>
  <si>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</si>
  <si>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</si>
  <si>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</si>
  <si>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</si>
  <si>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</si>
  <si>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</si>
  <si>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</si>
  <si>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</si>
  <si>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</si>
  <si>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</si>
  <si>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</si>
  <si>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</si>
  <si>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</si>
  <si>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</si>
  <si>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</si>
  <si>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</si>
  <si>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</si>
  <si>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</si>
  <si>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</si>
  <si>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</si>
  <si>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</si>
  <si>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</si>
  <si>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</si>
  <si>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</si>
  <si>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</si>
  <si>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</si>
  <si>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</si>
  <si>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</si>
  <si>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</si>
  <si>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</si>
  <si>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</si>
  <si>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</si>
  <si>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</si>
  <si>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</si>
  <si>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</si>
  <si>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</si>
  <si>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</si>
  <si>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</si>
  <si>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</si>
  <si>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</si>
  <si>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</si>
  <si>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</si>
  <si>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</si>
  <si>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</si>
  <si>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</si>
  <si>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</si>
  <si>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</si>
  <si>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</si>
  <si>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</si>
  <si>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</si>
  <si>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</si>
  <si>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</si>
  <si>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</si>
  <si>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</si>
  <si>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</si>
  <si>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</si>
  <si>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</si>
  <si>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</si>
  <si>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</si>
  <si>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</si>
  <si>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</si>
  <si>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</si>
  <si>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</si>
  <si>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</si>
  <si>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</si>
  <si>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</si>
  <si>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</si>
  <si>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</si>
  <si>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MACRO SET</t>
  </si>
  <si>
    <t>Perineal Care</t>
  </si>
  <si>
    <t>CBC PLATELET COUNT</t>
  </si>
  <si>
    <t>CAPSULE</t>
  </si>
  <si>
    <t>ABOCATH G20</t>
  </si>
  <si>
    <t>SYRINGE 5CC</t>
  </si>
  <si>
    <t>DELIVERY ROOM</t>
  </si>
  <si>
    <t>RH TYPING</t>
  </si>
  <si>
    <t>CEFALEXIN</t>
  </si>
  <si>
    <t>MEFENAMIC ACID</t>
  </si>
  <si>
    <t>FERROUS SULFATE</t>
  </si>
  <si>
    <t>325MG</t>
  </si>
  <si>
    <t>GLOVES 7.0</t>
  </si>
  <si>
    <t>SANITEX</t>
  </si>
  <si>
    <t>UNDERPADS</t>
  </si>
  <si>
    <t>RAZOR</t>
  </si>
  <si>
    <t>PACK</t>
  </si>
  <si>
    <t>ROD</t>
  </si>
  <si>
    <t>O80.9</t>
  </si>
  <si>
    <t>Z37.0</t>
  </si>
  <si>
    <t>250MG</t>
  </si>
  <si>
    <t>METHYLDOPA</t>
  </si>
  <si>
    <t>D5LR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</si>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</sst>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48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198</v>
      </c>
      <c r="D23" s="29" t="s">
        <v>199</v>
      </c>
      <c r="E23" s="55">
        <v>1</v>
      </c>
      <c r="F23" s="55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177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1310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550</v>
      </c>
      <c r="E59" s="55"/>
      <c r="F59" s="55">
        <v>100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168</v>
      </c>
      <c r="D60" s="55"/>
      <c r="E60" s="55"/>
      <c r="F60" s="55">
        <v>400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181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192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5000</v>
      </c>
      <c r="E69" s="59">
        <f>SUM(E58:E68)</f>
        <v>0</v>
      </c>
      <c r="F69" s="59">
        <f>SUM(F58:F68)</f>
        <v>500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19" sqref="G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178</v>
      </c>
      <c r="E11" s="27" t="s">
        <v>170</v>
      </c>
      <c r="F11" s="55">
        <v>3</v>
      </c>
      <c r="G11" s="55">
        <v>1</v>
      </c>
      <c r="H11" s="55">
        <v>30</v>
      </c>
      <c r="I11" s="55">
        <v>7</v>
      </c>
      <c r="J11" s="55">
        <f>H11*I11</f>
        <v>210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178</v>
      </c>
      <c r="E12" s="27" t="s">
        <v>170</v>
      </c>
      <c r="F12" s="55">
        <v>3</v>
      </c>
      <c r="G12" s="55">
        <v>1</v>
      </c>
      <c r="H12" s="55">
        <v>10</v>
      </c>
      <c r="I12" s="55">
        <v>5</v>
      </c>
      <c r="J12" s="55">
        <f t="shared" ref="J12:J20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185</v>
      </c>
      <c r="D13" s="27" t="s">
        <v>169</v>
      </c>
      <c r="E13" s="27" t="s">
        <v>186</v>
      </c>
      <c r="F13" s="55">
        <v>1</v>
      </c>
      <c r="G13" s="55">
        <v>1</v>
      </c>
      <c r="H13" s="55">
        <v>30</v>
      </c>
      <c r="I13" s="55">
        <v>1</v>
      </c>
      <c r="J13" s="55">
        <f t="shared" si="0"/>
        <v>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169</v>
      </c>
      <c r="E14" s="27" t="s">
        <v>195</v>
      </c>
      <c r="F14" s="55">
        <v>3</v>
      </c>
      <c r="G14" s="55">
        <v>1</v>
      </c>
      <c r="H14" s="55">
        <v>8</v>
      </c>
      <c r="I14" s="55">
        <v>25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197</v>
      </c>
      <c r="D15" s="27" t="s">
        <v>173</v>
      </c>
      <c r="E15" s="27" t="s">
        <v>174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6" workbookViewId="0">
      <selection activeCell="E29" sqref="E2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>
        <f>E16*F16</f>
        <v>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4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179</v>
      </c>
      <c r="D28" s="70" t="s">
        <v>172</v>
      </c>
      <c r="E28" s="55">
        <v>2</v>
      </c>
      <c r="F28" s="55">
        <v>100</v>
      </c>
      <c r="G28" s="55">
        <f>E28*F28</f>
        <v>200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175</v>
      </c>
      <c r="D29" s="70" t="s">
        <v>172</v>
      </c>
      <c r="E29" s="55">
        <v>1</v>
      </c>
      <c r="F29" s="55">
        <v>40</v>
      </c>
      <c r="G29" s="55">
        <f t="shared" ref="G29:G35" si="1">E29*F29</f>
        <v>40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187</v>
      </c>
      <c r="D30" s="70" t="s">
        <v>172</v>
      </c>
      <c r="E30" s="55">
        <v>5</v>
      </c>
      <c r="F30" s="55">
        <v>25</v>
      </c>
      <c r="G30" s="55">
        <f t="shared" si="1"/>
        <v>125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188</v>
      </c>
      <c r="D31" s="70" t="s">
        <v>191</v>
      </c>
      <c r="E31" s="55">
        <v>1</v>
      </c>
      <c r="F31" s="55">
        <v>100</v>
      </c>
      <c r="G31" s="55">
        <f t="shared" si="1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189</v>
      </c>
      <c r="D32" s="70" t="s">
        <v>172</v>
      </c>
      <c r="E32" s="55">
        <v>5</v>
      </c>
      <c r="F32" s="55">
        <v>30</v>
      </c>
      <c r="G32" s="55">
        <f t="shared" si="1"/>
        <v>150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171</v>
      </c>
      <c r="D33" s="70" t="s">
        <v>172</v>
      </c>
      <c r="E33" s="55">
        <v>5</v>
      </c>
      <c r="F33" s="55">
        <v>10</v>
      </c>
      <c r="G33" s="55">
        <f t="shared" si="1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180</v>
      </c>
      <c r="D34" s="70" t="s">
        <v>172</v>
      </c>
      <c r="E34" s="55">
        <v>3</v>
      </c>
      <c r="F34" s="55">
        <v>10</v>
      </c>
      <c r="G34" s="55">
        <f t="shared" si="1"/>
        <v>30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190</v>
      </c>
      <c r="D35" s="70" t="s">
        <v>172</v>
      </c>
      <c r="E35" s="55">
        <v>1</v>
      </c>
      <c r="F35" s="55">
        <v>25</v>
      </c>
      <c r="G35" s="55">
        <f t="shared" si="1"/>
        <v>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205</v>
      </c>
      <c r="H13" s="55">
        <v>15</v>
      </c>
      <c r="I13" s="55"/>
      <c r="J13" s="55">
        <v>20</v>
      </c>
      <c r="K13" s="55"/>
      <c r="L13" s="55"/>
      <c r="M13" s="55"/>
      <c r="N13" s="55"/>
      <c r="P13" s="88">
        <f>SUM(D13:N13)</f>
        <v>260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20</v>
      </c>
      <c r="F14" s="55"/>
      <c r="G14" s="55">
        <v>20</v>
      </c>
      <c r="H14" s="55"/>
      <c r="I14" s="55">
        <v>20</v>
      </c>
      <c r="J14" s="55"/>
      <c r="K14" s="55"/>
      <c r="L14" s="55"/>
      <c r="M14" s="55"/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176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225</v>
      </c>
      <c r="H30" s="88">
        <f t="shared" si="1"/>
        <v>15</v>
      </c>
      <c r="I30" s="88">
        <f t="shared" si="1"/>
        <v>35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2018-06-02T01:24:58Z</dcterms:modified>
</cp:coreProperties>
</file>