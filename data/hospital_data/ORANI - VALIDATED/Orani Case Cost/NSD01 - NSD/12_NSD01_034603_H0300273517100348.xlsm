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data_general'!$B$1:$F$71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5" i="9" l="1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<sst xmlns="http://schemas.openxmlformats.org/spreadsheetml/2006/main" count="500" uniqueCount="204">
  <si>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</si>
  <si>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</si>
  <si>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</si>
  <si>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</si>
  <si>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</si>
  <si>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</si>
  <si>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</si>
  <si>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</si>
  <si>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</si>
  <si>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</si>
  <si>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</si>
  <si>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</si>
  <si>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</si>
  <si>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</si>
  <si>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</si>
  <si>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</si>
  <si>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</si>
  <si>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</si>
  <si>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</si>
  <si>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</si>
  <si>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</si>
  <si>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</si>
  <si>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</si>
  <si>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</si>
  <si>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</si>
  <si>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</si>
  <si>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</si>
  <si>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</si>
  <si>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</si>
  <si>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</si>
  <si>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</si>
  <si>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</si>
  <si>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</si>
  <si>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</si>
  <si>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</si>
  <si>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</si>
  <si>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</si>
  <si>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</si>
  <si>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</si>
  <si>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</si>
  <si>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</si>
  <si>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</si>
  <si>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</si>
  <si>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</si>
  <si>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</si>
  <si>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</si>
  <si>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</si>
  <si>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</si>
  <si>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</si>
  <si>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</si>
  <si>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</si>
  <si>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</si>
  <si>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</si>
  <si>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</si>
  <si>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</si>
  <si>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</si>
  <si>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</si>
  <si>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</si>
  <si>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</si>
  <si>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</si>
  <si>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</si>
  <si>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</si>
  <si>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</si>
  <si>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</si>
  <si>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</si>
  <si>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</si>
  <si>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</si>
  <si>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</si>
  <si>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</si>
  <si>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</si>
  <si>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</si>
  <si>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</si>
  <si>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</si>
  <si>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</si>
  <si>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</si>
  <si>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</si>
  <si>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</si>
  <si>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</si>
  <si>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</si>
  <si>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</si>
  <si>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</si>
  <si>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</si>
  <si>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</si>
  <si>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</si>
  <si>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</si>
  <si>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</si>
  <si>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</si>
  <si>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</si>
  <si>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</si>
  <si>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</si>
  <si>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</si>
  <si>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</si>
  <si>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</si>
  <si>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</si>
  <si>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</si>
  <si>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</si>
  <si>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</si>
  <si>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</si>
  <si>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</si>
  <si>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</si>
  <si>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</si>
  <si>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</si>
  <si>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</si>
  <si>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</si>
  <si>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</si>
  <si>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</si>
  <si>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</si>
  <si>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</si>
  <si>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</si>
  <si>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</si>
  <si>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</si>
  <si>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</si>
  <si>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</si>
  <si>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</si>
  <si>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</si>
  <si>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</si>
  <si>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</si>
  <si>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</si>
  <si>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</si>
  <si>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</si>
  <si>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</si>
  <si>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</si>
  <si>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</si>
  <si>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</si>
  <si>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</si>
  <si>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</si>
  <si>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</si>
  <si>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</si>
  <si>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</si>
  <si>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</si>
  <si>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</si>
  <si>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</si>
  <si>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</si>
  <si>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</si>
  <si>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</si>
  <si>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</si>
  <si>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</si>
  <si>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</si>
  <si>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</si>
  <si>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</si>
  <si>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</si>
  <si>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</si>
  <si>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</si>
  <si>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</si>
  <si>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</si>
  <si>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</si>
  <si>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</si>
  <si>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</si>
  <si>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</si>
  <si>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</si>
  <si>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</si>
  <si>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</si>
  <si>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</si>
  <si>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</si>
  <si>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</si>
  <si>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</si>
  <si>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</si>
  <si>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</si>
  <si>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</si>
  <si>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</si>
  <si>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</si>
  <si>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</si>
  <si>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</si>
  <si>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</si>
  <si>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</si>
  <si>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</si>
  <si>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</si>
  <si>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</si>
  <si>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</si>
  <si>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</si>
  <si>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</si>
  <si>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</si>
  <si>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URINALYSIS</t>
  </si>
  <si>
    <t>HBsAg</t>
  </si>
  <si>
    <t>CBC PLATELET</t>
  </si>
  <si>
    <t>DELIVERY ROOM</t>
  </si>
  <si>
    <t>METHYLERGOMETRINE MALEATE</t>
  </si>
  <si>
    <t>TABLET</t>
  </si>
  <si>
    <t>125MG</t>
  </si>
  <si>
    <t>CEFALEXIN</t>
  </si>
  <si>
    <t>TALBET</t>
  </si>
  <si>
    <t>500MG</t>
  </si>
  <si>
    <t>MEFENAMIC ACID</t>
  </si>
  <si>
    <t>FERROUS SULFATE</t>
  </si>
  <si>
    <t>325MG</t>
  </si>
  <si>
    <t>AMPULE</t>
  </si>
  <si>
    <t>200ML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</si>
  <si>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</si>
  <si>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</si>
  <si>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</si>
  <si>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</si>
  <si>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</si>
  <si>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</si>
  <si>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</si>
  <si>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</si>
  <si>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</si>
  <si>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</si>
  <si>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</si>
  <si>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</si>
  <si>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</si>
  <si>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UNDERPADS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</si>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</sst>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201</v>
      </c>
      <c r="D23" s="29" t="s">
        <v>202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166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165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165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165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1230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860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175</v>
      </c>
      <c r="D63" s="55">
        <v>100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2290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177</v>
      </c>
      <c r="E11" s="27" t="s">
        <v>178</v>
      </c>
      <c r="F11" s="55">
        <v>1</v>
      </c>
      <c r="G11" s="55">
        <v>1</v>
      </c>
      <c r="H11" s="55">
        <v>12</v>
      </c>
      <c r="I11" s="55">
        <v>5</v>
      </c>
      <c r="J11" s="55">
        <f>H11*I11</f>
        <v>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 t="s">
        <v>181</v>
      </c>
      <c r="F12" s="55">
        <v>3</v>
      </c>
      <c r="G12" s="55">
        <v>2</v>
      </c>
      <c r="H12" s="55">
        <v>21</v>
      </c>
      <c r="I12" s="55">
        <v>7</v>
      </c>
      <c r="J12" s="55">
        <f t="shared" ref="J12:J16" si="0">H12*I12</f>
        <v>147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177</v>
      </c>
      <c r="E13" s="27" t="s">
        <v>181</v>
      </c>
      <c r="F13" s="55">
        <v>3</v>
      </c>
      <c r="G13" s="55">
        <v>2</v>
      </c>
      <c r="H13" s="55">
        <v>12</v>
      </c>
      <c r="I13" s="55">
        <v>5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177</v>
      </c>
      <c r="E14" s="27" t="s">
        <v>184</v>
      </c>
      <c r="F14" s="55">
        <v>1</v>
      </c>
      <c r="G14" s="55">
        <v>2</v>
      </c>
      <c r="H14" s="55">
        <v>28</v>
      </c>
      <c r="I14" s="55">
        <v>1</v>
      </c>
      <c r="J14" s="55">
        <f t="shared" si="0"/>
        <v>28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 t="s">
        <v>185</v>
      </c>
      <c r="E15" s="27" t="s">
        <v>186</v>
      </c>
      <c r="F15" s="55">
        <v>1</v>
      </c>
      <c r="G15" s="55">
        <v>1</v>
      </c>
      <c r="H15" s="55">
        <v>2</v>
      </c>
      <c r="I15" s="55">
        <v>75</v>
      </c>
      <c r="J15" s="55">
        <f t="shared" si="0"/>
        <v>150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190</v>
      </c>
      <c r="E16" s="27" t="s">
        <v>191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9" workbookViewId="0">
      <selection activeCell="D29" sqref="D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187</v>
      </c>
      <c r="D28" s="70" t="s">
        <v>188</v>
      </c>
      <c r="E28" s="55">
        <v>2</v>
      </c>
      <c r="F28" s="55">
        <v>10</v>
      </c>
      <c r="G28" s="55">
        <f>E28*F28</f>
        <v>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192</v>
      </c>
      <c r="D29" s="70" t="s">
        <v>188</v>
      </c>
      <c r="E29" s="55">
        <v>6</v>
      </c>
      <c r="F29" s="55">
        <v>30</v>
      </c>
      <c r="G29" s="55">
        <f t="shared" ref="G29:G35" si="0">E29*F29</f>
        <v>180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193</v>
      </c>
      <c r="D30" s="70" t="s">
        <v>188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194</v>
      </c>
      <c r="D31" s="70" t="s">
        <v>188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195</v>
      </c>
      <c r="D32" s="70" t="s">
        <v>188</v>
      </c>
      <c r="E32" s="55">
        <v>1</v>
      </c>
      <c r="F32" s="55">
        <v>60</v>
      </c>
      <c r="G32" s="55">
        <f t="shared" si="0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196</v>
      </c>
      <c r="D33" s="70" t="s">
        <v>188</v>
      </c>
      <c r="E33" s="55">
        <v>1</v>
      </c>
      <c r="F33" s="55">
        <v>50</v>
      </c>
      <c r="G33" s="55">
        <f t="shared" si="0"/>
        <v>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197</v>
      </c>
      <c r="D34" s="70" t="s">
        <v>198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200</v>
      </c>
      <c r="D35" s="70" t="s">
        <v>188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>
        <v>5</v>
      </c>
      <c r="I13" s="55"/>
      <c r="J13" s="55">
        <v>15</v>
      </c>
      <c r="K13" s="55"/>
      <c r="L13" s="55"/>
      <c r="M13" s="55"/>
      <c r="N13" s="55"/>
      <c r="P13" s="88">
        <f>SUM(D13:N13)</f>
        <v>510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</v>
      </c>
      <c r="F14" s="55"/>
      <c r="G14" s="55">
        <v>20</v>
      </c>
      <c r="H14" s="55"/>
      <c r="I14" s="55">
        <v>20</v>
      </c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199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500</v>
      </c>
      <c r="H30" s="88">
        <f t="shared" si="1"/>
        <v>5</v>
      </c>
      <c r="I30" s="88">
        <f t="shared" si="1"/>
        <v>35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2018-06-02T01:21:06Z</dcterms:modified>
</cp:coreProperties>
</file>