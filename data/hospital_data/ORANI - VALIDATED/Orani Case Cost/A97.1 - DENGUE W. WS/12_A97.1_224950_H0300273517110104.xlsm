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G20" i="9"/>
  <c r="G19" i="9"/>
  <c r="G18" i="9"/>
  <c r="G17" i="9"/>
  <c r="G16" i="9"/>
  <c r="J11" i="2" l="1"/>
  <c r="J16" i="2"/>
  <c r="J15" i="2"/>
  <c r="J14" i="2"/>
  <c r="J13" i="2"/>
  <c r="J12" i="2"/>
  <c r="E13" i="10" l="1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<sst xmlns="http://schemas.openxmlformats.org/spreadsheetml/2006/main" count="479" uniqueCount="187">
  <si>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</si>
  <si>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</si>
  <si>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</si>
  <si>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</si>
  <si>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</si>
  <si>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</si>
  <si>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</si>
  <si>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</si>
  <si>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</si>
  <si>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</si>
  <si>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</si>
  <si>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</si>
  <si>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</si>
  <si>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</si>
  <si>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</si>
  <si>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</si>
  <si>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</si>
  <si>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</si>
  <si>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</si>
  <si>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</si>
  <si>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</si>
  <si>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</si>
  <si>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</si>
  <si>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</si>
  <si>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</si>
  <si>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</si>
  <si>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</si>
  <si>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</si>
  <si>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</si>
  <si>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</si>
  <si>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</si>
  <si>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</si>
  <si>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</si>
  <si>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</si>
  <si>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</si>
  <si>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</si>
  <si>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</si>
  <si>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</si>
  <si>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</si>
  <si>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</si>
  <si>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</si>
  <si>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</si>
  <si>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</si>
  <si>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</si>
  <si>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</si>
  <si>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</si>
  <si>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</si>
  <si>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</si>
  <si>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</si>
  <si>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</si>
  <si>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</si>
  <si>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</si>
  <si>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</si>
  <si>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</si>
  <si>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</si>
  <si>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</si>
  <si>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</si>
  <si>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</si>
  <si>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</si>
  <si>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</si>
  <si>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</si>
  <si>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</si>
  <si>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</si>
  <si>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</si>
  <si>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</si>
  <si>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</si>
  <si>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</si>
  <si>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</si>
  <si>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</si>
  <si>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</si>
  <si>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</si>
  <si>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</si>
  <si>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</si>
  <si>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</si>
  <si>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</si>
  <si>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</si>
  <si>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</si>
  <si>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</si>
  <si>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</si>
  <si>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</si>
  <si>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</si>
  <si>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</si>
  <si>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</si>
  <si>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</si>
  <si>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</si>
  <si>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</si>
  <si>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</si>
  <si>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</si>
  <si>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</si>
  <si>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</si>
  <si>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</si>
  <si>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</si>
  <si>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</si>
  <si>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</si>
  <si>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</si>
  <si>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</si>
  <si>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</si>
  <si>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</si>
  <si>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</si>
  <si>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</si>
  <si>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</si>
  <si>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</si>
  <si>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</si>
  <si>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</si>
  <si>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</si>
  <si>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</si>
  <si>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</si>
  <si>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</si>
  <si>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</si>
  <si>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</si>
  <si>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</si>
  <si>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</si>
  <si>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</si>
  <si>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</si>
  <si>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</si>
  <si>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</si>
  <si>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</si>
  <si>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</si>
  <si>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</si>
  <si>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</si>
  <si>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</si>
  <si>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</si>
  <si>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</si>
  <si>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</si>
  <si>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</si>
  <si>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</si>
  <si>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</si>
  <si>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</si>
  <si>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</si>
  <si>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</si>
  <si>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</si>
  <si>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</si>
  <si>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</si>
  <si>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</si>
  <si>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</si>
  <si>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</si>
  <si>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</si>
  <si>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</si>
  <si>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</si>
  <si>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</si>
  <si>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</si>
  <si>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</si>
  <si>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</si>
  <si>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</si>
  <si>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</si>
  <si>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</si>
  <si>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</si>
  <si>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</si>
  <si>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</si>
  <si>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</si>
  <si>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</si>
  <si>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</si>
  <si>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</si>
  <si>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</si>
  <si>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</si>
  <si>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</si>
  <si>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</si>
  <si>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</si>
  <si>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</si>
  <si>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</si>
  <si>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</si>
  <si>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</si>
  <si>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</si>
  <si>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</si>
  <si>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</si>
  <si>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</si>
  <si>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</si>
  <si>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DENGUE WITH WARNING SIGN</t>
  </si>
  <si>
    <t>A97.1</t>
  </si>
  <si>
    <t>CBC PLATELET</t>
  </si>
  <si>
    <t>Visit in the ward</t>
  </si>
  <si>
    <t>PARACETAMOL</t>
  </si>
  <si>
    <t>OMEPRAZOLE</t>
  </si>
  <si>
    <t>CEFTRIAXONE</t>
  </si>
  <si>
    <t>VIAL</t>
  </si>
  <si>
    <t>500MG</t>
  </si>
  <si>
    <t>20MG</t>
  </si>
  <si>
    <t>160MG</t>
  </si>
  <si>
    <t>AMPULE</t>
  </si>
  <si>
    <t>IV CATHETER G#24</t>
  </si>
  <si>
    <t>PIECE</t>
  </si>
  <si>
    <t>IV SET MACROSET</t>
  </si>
  <si>
    <t>ADHESIVE PLASTER 1/2</t>
  </si>
  <si>
    <t>ROLL</t>
  </si>
  <si>
    <t>3CC SYRINGE</t>
  </si>
  <si>
    <t>5CC SYRINGE</t>
  </si>
  <si>
    <t>DISPOSABLE FACE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</si>
</sst>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D32" sqref="D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6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163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163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163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165</v>
      </c>
      <c r="D60" s="55">
        <v>775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1155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166</v>
      </c>
      <c r="D62" s="55">
        <v>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2430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DENGUE WITH WARNING SIGN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178</v>
      </c>
      <c r="E11" s="27" t="s">
        <v>177</v>
      </c>
      <c r="F11" s="55">
        <v>6</v>
      </c>
      <c r="G11" s="55">
        <v>3</v>
      </c>
      <c r="H11" s="55">
        <v>7</v>
      </c>
      <c r="I11" s="55">
        <v>50</v>
      </c>
      <c r="J11" s="55">
        <f>I11*H11</f>
        <v>350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174</v>
      </c>
      <c r="E12" s="27" t="s">
        <v>176</v>
      </c>
      <c r="F12" s="55">
        <v>1</v>
      </c>
      <c r="G12" s="55">
        <v>3</v>
      </c>
      <c r="H12" s="55">
        <v>3</v>
      </c>
      <c r="I12" s="55">
        <v>100</v>
      </c>
      <c r="J12" s="55">
        <f t="shared" ref="J12:J16" si="0">I12*H12</f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174</v>
      </c>
      <c r="E13" s="27" t="s">
        <v>175</v>
      </c>
      <c r="F13" s="55">
        <v>2</v>
      </c>
      <c r="G13" s="55">
        <v>6</v>
      </c>
      <c r="H13" s="55">
        <v>5</v>
      </c>
      <c r="I13" s="55">
        <v>50</v>
      </c>
      <c r="J13" s="55">
        <f t="shared" si="0"/>
        <v>250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DENGUE WITH WARNING SIGN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179</v>
      </c>
      <c r="D16" s="70" t="s">
        <v>180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180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183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184</v>
      </c>
      <c r="D19" s="70" t="s">
        <v>180</v>
      </c>
      <c r="E19" s="55">
        <v>5</v>
      </c>
      <c r="F19" s="55">
        <v>10</v>
      </c>
      <c r="G19" s="55">
        <f t="shared" si="0"/>
        <v>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180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186</v>
      </c>
      <c r="D21" s="70" t="s">
        <v>180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DENGUE WITH WARNING SIGN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170</v>
      </c>
      <c r="D13" s="55"/>
      <c r="E13" s="55">
        <f>10*5</f>
        <v>50</v>
      </c>
      <c r="F13" s="55"/>
      <c r="G13" s="55">
        <v>360</v>
      </c>
      <c r="H13" s="55"/>
      <c r="I13" s="55"/>
      <c r="J13" s="55">
        <v>25</v>
      </c>
      <c r="K13" s="55"/>
      <c r="L13" s="55"/>
      <c r="M13" s="55"/>
      <c r="N13" s="55"/>
      <c r="P13" s="88">
        <f>SUM(D13:N13)</f>
        <v>435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360</v>
      </c>
      <c r="H30" s="88">
        <f t="shared" si="1"/>
        <v>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2018-06-01T05:40:03Z</dcterms:modified>
</cp:coreProperties>
</file>