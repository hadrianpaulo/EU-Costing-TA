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/>
  <c r="J13" i="2"/>
  <c r="J14" i="2"/>
  <c r="J11" i="2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<sst xmlns="http://schemas.openxmlformats.org/spreadsheetml/2006/main" count="481" uniqueCount="190">
  <si>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</si>
  <si>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</si>
  <si>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</si>
  <si>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</si>
  <si>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</si>
  <si>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</si>
  <si>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</si>
  <si>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</si>
  <si>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</si>
  <si>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</si>
  <si>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</si>
  <si>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</si>
  <si>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</si>
  <si>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</si>
  <si>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</si>
  <si>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</si>
  <si>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</si>
  <si>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</si>
  <si>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</si>
  <si>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</si>
  <si>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</si>
  <si>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</si>
  <si>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</si>
  <si>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</si>
  <si>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</si>
  <si>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</si>
  <si>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</si>
  <si>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</si>
  <si>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</si>
  <si>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</si>
  <si>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</si>
  <si>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</si>
  <si>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</si>
  <si>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</si>
  <si>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</si>
  <si>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</si>
  <si>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</si>
  <si>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</si>
  <si>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</si>
  <si>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</si>
  <si>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</si>
  <si>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</si>
  <si>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</si>
  <si>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</si>
  <si>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</si>
  <si>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</si>
  <si>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</si>
  <si>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</si>
  <si>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</si>
  <si>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</si>
  <si>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</si>
  <si>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</si>
  <si>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</si>
  <si>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</si>
  <si>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</si>
  <si>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</si>
  <si>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</si>
  <si>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</si>
  <si>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</si>
  <si>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</si>
  <si>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</si>
  <si>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</si>
  <si>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</si>
  <si>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</si>
  <si>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</si>
  <si>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</si>
  <si>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</si>
  <si>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</si>
  <si>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</si>
  <si>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</si>
  <si>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</si>
  <si>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</si>
  <si>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</si>
  <si>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</si>
  <si>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</si>
  <si>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</si>
  <si>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</si>
  <si>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</si>
  <si>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</si>
  <si>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</si>
  <si>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</si>
  <si>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</si>
  <si>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</si>
  <si>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</si>
  <si>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</si>
  <si>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</si>
  <si>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</si>
  <si>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</si>
  <si>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</si>
  <si>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</si>
  <si>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</si>
  <si>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</si>
  <si>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</si>
  <si>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</si>
  <si>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</si>
  <si>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</si>
  <si>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</si>
  <si>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</si>
  <si>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</si>
  <si>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</si>
  <si>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</si>
  <si>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</si>
  <si>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</si>
  <si>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</si>
  <si>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</si>
  <si>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</si>
  <si>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</si>
  <si>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</si>
  <si>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</si>
  <si>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</si>
  <si>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</si>
  <si>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</si>
  <si>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</si>
  <si>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</si>
  <si>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</si>
  <si>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</si>
  <si>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</si>
  <si>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</si>
  <si>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</si>
  <si>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</si>
  <si>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</si>
  <si>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</si>
  <si>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</si>
  <si>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</si>
  <si>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</si>
  <si>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</si>
  <si>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</si>
  <si>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</si>
  <si>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</si>
  <si>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</si>
  <si>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</si>
  <si>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</si>
  <si>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</si>
  <si>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</si>
  <si>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</si>
  <si>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</si>
  <si>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</si>
  <si>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</si>
  <si>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</si>
  <si>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</si>
  <si>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</si>
  <si>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</si>
  <si>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</si>
  <si>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</si>
  <si>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</si>
  <si>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</si>
  <si>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</si>
  <si>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</si>
  <si>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</si>
  <si>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</si>
  <si>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</si>
  <si>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</si>
  <si>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</si>
  <si>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</si>
  <si>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</si>
  <si>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</si>
  <si>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</si>
  <si>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</si>
  <si>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</si>
  <si>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</si>
  <si>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</si>
  <si>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</si>
  <si>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</si>
  <si>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</si>
  <si>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</si>
  <si>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</si>
  <si>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</si>
  <si>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DENGUE WITH WARNING SIGN</t>
  </si>
  <si>
    <t>A97.1</t>
  </si>
  <si>
    <t>CBC PLATELET</t>
  </si>
  <si>
    <t>SPECIAL LAB TEST</t>
  </si>
  <si>
    <t>Visit in the ward</t>
  </si>
  <si>
    <t>OMEPRAZOLE</t>
  </si>
  <si>
    <t>PARACETAMOL</t>
  </si>
  <si>
    <t>CEFUROXIME</t>
  </si>
  <si>
    <t>VIAL</t>
  </si>
  <si>
    <t>40MG</t>
  </si>
  <si>
    <t>AMPULE</t>
  </si>
  <si>
    <t>300MG</t>
  </si>
  <si>
    <t>CAPSULE</t>
  </si>
  <si>
    <t>500MG</t>
  </si>
  <si>
    <t>PLAIN LR SOLUTION</t>
  </si>
  <si>
    <t>BOTTLE</t>
  </si>
  <si>
    <t>1LITER</t>
  </si>
  <si>
    <t>ABOCATH G20</t>
  </si>
  <si>
    <t>MACRO SET</t>
  </si>
  <si>
    <t>PLASTER</t>
  </si>
  <si>
    <t>SYRINGE 3CC</t>
  </si>
  <si>
    <t>SYRINGE 5CC</t>
  </si>
  <si>
    <t>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</si>
</sst>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4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163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163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163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2620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1800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166</v>
      </c>
      <c r="D62" s="55">
        <v>400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4820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DENGUE WITH WARNING SIGN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175</v>
      </c>
      <c r="E11" s="27" t="s">
        <v>176</v>
      </c>
      <c r="F11" s="55">
        <v>1</v>
      </c>
      <c r="G11" s="55">
        <v>5</v>
      </c>
      <c r="H11" s="55">
        <v>6</v>
      </c>
      <c r="I11" s="55">
        <v>200</v>
      </c>
      <c r="J11" s="55">
        <f>H11*I11</f>
        <v>1200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177</v>
      </c>
      <c r="E12" s="27" t="s">
        <v>178</v>
      </c>
      <c r="F12" s="55">
        <v>6</v>
      </c>
      <c r="G12" s="55">
        <v>2</v>
      </c>
      <c r="H12" s="55">
        <v>6</v>
      </c>
      <c r="I12" s="55">
        <v>50</v>
      </c>
      <c r="J12" s="55">
        <f t="shared" ref="J12:J14" si="0">H12*I12</f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179</v>
      </c>
      <c r="E13" s="27" t="s">
        <v>180</v>
      </c>
      <c r="F13" s="55">
        <v>2</v>
      </c>
      <c r="G13" s="55">
        <v>4</v>
      </c>
      <c r="H13" s="55">
        <v>10</v>
      </c>
      <c r="I13" s="55">
        <v>7</v>
      </c>
      <c r="J13" s="55">
        <f t="shared" si="0"/>
        <v>70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182</v>
      </c>
      <c r="E14" s="27" t="s">
        <v>183</v>
      </c>
      <c r="F14" s="55">
        <v>2</v>
      </c>
      <c r="G14" s="55">
        <v>4</v>
      </c>
      <c r="H14" s="55">
        <v>7</v>
      </c>
      <c r="I14" s="55">
        <v>100</v>
      </c>
      <c r="J14" s="55">
        <f t="shared" si="0"/>
        <v>700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E20" sqref="E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DENGUE WITH WARNING SIGN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189</v>
      </c>
      <c r="E16" s="55">
        <v>2</v>
      </c>
      <c r="F16" s="55">
        <v>100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185</v>
      </c>
      <c r="D17" s="70" t="s">
        <v>189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186</v>
      </c>
      <c r="D18" s="70" t="s">
        <v>189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187</v>
      </c>
      <c r="D19" s="70" t="s">
        <v>189</v>
      </c>
      <c r="E19" s="55">
        <v>5</v>
      </c>
      <c r="F19" s="55">
        <v>10</v>
      </c>
      <c r="G19" s="55">
        <f t="shared" si="0"/>
        <v>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188</v>
      </c>
      <c r="D20" s="70" t="s">
        <v>189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DENGUE WITH WARNING SIGN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171</v>
      </c>
      <c r="D13" s="55"/>
      <c r="E13" s="55">
        <f>10*4</f>
        <v>40</v>
      </c>
      <c r="F13" s="55"/>
      <c r="G13" s="55">
        <f>24*4*60/15</f>
        <v>384</v>
      </c>
      <c r="H13" s="55">
        <v>15</v>
      </c>
      <c r="I13" s="55"/>
      <c r="J13" s="55">
        <f>5*4</f>
        <v>20</v>
      </c>
      <c r="K13" s="55"/>
      <c r="L13" s="55"/>
      <c r="M13" s="55"/>
      <c r="N13" s="55"/>
      <c r="P13" s="88">
        <f>SUM(D13:N13)</f>
        <v>459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384</v>
      </c>
      <c r="H30" s="88">
        <f t="shared" si="1"/>
        <v>15</v>
      </c>
      <c r="I30" s="88">
        <f t="shared" si="1"/>
        <v>0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459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2018-06-01T05:42:51Z</dcterms:modified>
</cp:coreProperties>
</file>