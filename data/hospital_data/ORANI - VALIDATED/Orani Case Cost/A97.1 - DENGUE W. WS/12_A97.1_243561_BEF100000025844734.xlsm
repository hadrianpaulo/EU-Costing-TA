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Drugs&amp;Med'!$C$11:$C$18</definedName>
    <definedName name="_xlnm.Print_Area" localSheetId="0">'1.1 Case data_general'!$B$1:$F$69</definedName>
    <definedName name="_xlnm.Print_Area" localSheetId="1">'1.2 Drugs&amp;Med'!$B$2:$J$19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<sst xmlns="http://schemas.openxmlformats.org/spreadsheetml/2006/main" count="494" uniqueCount="198">
  <si>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</si>
  <si>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</si>
  <si>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</si>
  <si>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</si>
  <si>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</si>
  <si>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</si>
  <si>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</si>
  <si>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</si>
  <si>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</si>
  <si>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</si>
  <si>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</si>
  <si>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</si>
  <si>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</si>
  <si>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</si>
  <si>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</si>
  <si>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</si>
  <si>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</si>
  <si>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</si>
  <si>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</si>
  <si>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</si>
  <si>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</si>
  <si>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</si>
  <si>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</si>
  <si>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</si>
  <si>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</si>
  <si>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</si>
  <si>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</si>
  <si>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</si>
  <si>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</si>
  <si>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</si>
  <si>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</si>
  <si>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</si>
  <si>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</si>
  <si>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</si>
  <si>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</si>
  <si>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</si>
  <si>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</si>
  <si>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</si>
  <si>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</si>
  <si>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</si>
  <si>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</si>
  <si>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</si>
  <si>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</si>
  <si>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</si>
  <si>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</si>
  <si>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</si>
  <si>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</si>
  <si>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</si>
  <si>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</si>
  <si>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</si>
  <si>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</si>
  <si>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</si>
  <si>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</si>
  <si>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</si>
  <si>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</si>
  <si>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</si>
  <si>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</si>
  <si>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</si>
  <si>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</si>
  <si>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</si>
  <si>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</si>
  <si>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</si>
  <si>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</si>
  <si>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</si>
  <si>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</si>
  <si>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</si>
  <si>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</si>
  <si>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</si>
  <si>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</si>
  <si>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</si>
  <si>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</si>
  <si>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</si>
  <si>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</si>
  <si>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</si>
  <si>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</si>
  <si>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</si>
  <si>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</si>
  <si>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</si>
  <si>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</si>
  <si>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</si>
  <si>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</si>
  <si>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</si>
  <si>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</si>
  <si>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</si>
  <si>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</si>
  <si>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</si>
  <si>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</si>
  <si>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</si>
  <si>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</si>
  <si>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</si>
  <si>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</si>
  <si>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</si>
  <si>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</si>
  <si>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</si>
  <si>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</si>
  <si>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</si>
  <si>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</si>
  <si>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</si>
  <si>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</si>
  <si>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</si>
  <si>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</si>
  <si>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</si>
  <si>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</si>
  <si>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</si>
  <si>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</si>
  <si>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</si>
  <si>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</si>
  <si>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</si>
  <si>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</si>
  <si>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</si>
  <si>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</si>
  <si>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</si>
  <si>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</si>
  <si>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</si>
  <si>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</si>
  <si>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</si>
  <si>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</si>
  <si>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</si>
  <si>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</si>
  <si>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</si>
  <si>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</si>
  <si>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</si>
  <si>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</si>
  <si>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</si>
  <si>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</si>
  <si>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</si>
  <si>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</si>
  <si>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</si>
  <si>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</si>
  <si>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</si>
  <si>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</si>
  <si>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</si>
  <si>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</si>
  <si>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</si>
  <si>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</si>
  <si>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</si>
  <si>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</si>
  <si>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</si>
  <si>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</si>
  <si>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</si>
  <si>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</si>
  <si>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</si>
  <si>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</si>
  <si>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</si>
  <si>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</si>
  <si>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</si>
  <si>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</si>
  <si>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</si>
  <si>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</si>
  <si>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</si>
  <si>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</si>
  <si>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</si>
  <si>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</si>
  <si>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</si>
  <si>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</si>
  <si>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</si>
  <si>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</si>
  <si>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</si>
  <si>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</si>
  <si>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</si>
  <si>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</si>
  <si>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</si>
  <si>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</si>
  <si>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</si>
  <si>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</si>
  <si>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</si>
  <si>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</si>
  <si>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</si>
  <si>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</si>
  <si>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TABLET</t>
  </si>
  <si>
    <t>500MG</t>
  </si>
  <si>
    <t>AMPULE</t>
  </si>
  <si>
    <t>SYRINGE 3CC</t>
  </si>
  <si>
    <t>PC</t>
  </si>
  <si>
    <t>D5 LR</t>
  </si>
  <si>
    <t>BOTTLE</t>
  </si>
  <si>
    <t>1LITER</t>
  </si>
  <si>
    <t>MACRO SET</t>
  </si>
  <si>
    <t>PLASTER 1/2</t>
  </si>
  <si>
    <t>CBC PLATELET COUNT</t>
  </si>
  <si>
    <t>XRAY</t>
  </si>
  <si>
    <t>VIAL</t>
  </si>
  <si>
    <t>PARACETAMOL</t>
  </si>
  <si>
    <t>SYRINGE 5CC</t>
  </si>
  <si>
    <t>A97.1</t>
  </si>
  <si>
    <t>10ML</t>
  </si>
  <si>
    <t>PLAIN NS SOLUTION</t>
  </si>
  <si>
    <t>MULTIVITAMINS</t>
  </si>
  <si>
    <t>SYRUP</t>
  </si>
  <si>
    <t>PLAIN LR</t>
  </si>
  <si>
    <t>300MG</t>
  </si>
  <si>
    <t>CEFUROXIME</t>
  </si>
  <si>
    <t>ABOCATH GAUGE 22</t>
  </si>
  <si>
    <t>OMEPRAZOLE</t>
  </si>
  <si>
    <t>IMMUNOSIN</t>
  </si>
  <si>
    <t>40MG</t>
  </si>
  <si>
    <t>250MG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</si>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</sst>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abSelected="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179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3930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515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167</v>
      </c>
      <c r="D60" s="55">
        <v>300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180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4745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9"/>
  <sheetViews>
    <sheetView workbookViewId="0">
      <selection activeCell="B22" sqref="B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193</v>
      </c>
      <c r="D11" s="27" t="s">
        <v>181</v>
      </c>
      <c r="E11" s="27" t="s">
        <v>195</v>
      </c>
      <c r="F11" s="55">
        <v>1</v>
      </c>
      <c r="G11" s="55">
        <v>3</v>
      </c>
      <c r="H11" s="55">
        <v>4</v>
      </c>
      <c r="I11" s="55">
        <v>200</v>
      </c>
      <c r="J11" s="55">
        <f>H11*I11</f>
        <v>800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171</v>
      </c>
      <c r="E12" s="27" t="s">
        <v>190</v>
      </c>
      <c r="F12" s="55">
        <v>2</v>
      </c>
      <c r="G12" s="55">
        <v>2</v>
      </c>
      <c r="H12" s="55">
        <v>4</v>
      </c>
      <c r="I12" s="55">
        <v>100</v>
      </c>
      <c r="J12" s="55">
        <f t="shared" ref="J12:J18" si="0">H12*I12</f>
        <v>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169</v>
      </c>
      <c r="E13" s="27" t="s">
        <v>196</v>
      </c>
      <c r="F13" s="55">
        <v>3</v>
      </c>
      <c r="G13" s="55">
        <v>2</v>
      </c>
      <c r="H13" s="55">
        <v>6</v>
      </c>
      <c r="I13" s="55">
        <v>30</v>
      </c>
      <c r="J13" s="55">
        <f t="shared" si="0"/>
        <v>180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188</v>
      </c>
      <c r="E14" s="27" t="s">
        <v>185</v>
      </c>
      <c r="F14" s="55">
        <v>1</v>
      </c>
      <c r="G14" s="55">
        <v>2</v>
      </c>
      <c r="H14" s="55">
        <v>4</v>
      </c>
      <c r="I14" s="55">
        <v>65</v>
      </c>
      <c r="J14" s="55">
        <v>65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169</v>
      </c>
      <c r="E15" s="27" t="s">
        <v>170</v>
      </c>
      <c r="F15" s="55">
        <v>2</v>
      </c>
      <c r="G15" s="55">
        <v>2</v>
      </c>
      <c r="H15" s="55">
        <v>5</v>
      </c>
      <c r="I15" s="55">
        <v>35</v>
      </c>
      <c r="J15" s="55">
        <f t="shared" si="0"/>
        <v>175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186</v>
      </c>
      <c r="D16" s="27" t="s">
        <v>175</v>
      </c>
      <c r="E16" s="27" t="s">
        <v>176</v>
      </c>
      <c r="F16" s="55">
        <v>2</v>
      </c>
      <c r="G16" s="55">
        <v>1</v>
      </c>
      <c r="H16" s="55">
        <v>5</v>
      </c>
      <c r="I16" s="55">
        <v>100</v>
      </c>
      <c r="J16" s="55">
        <f t="shared" si="0"/>
        <v>500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174</v>
      </c>
      <c r="D17" s="27" t="s">
        <v>175</v>
      </c>
      <c r="E17" s="27" t="s">
        <v>176</v>
      </c>
      <c r="F17" s="55">
        <v>3</v>
      </c>
      <c r="G17" s="55">
        <v>1</v>
      </c>
      <c r="H17" s="55">
        <v>9</v>
      </c>
      <c r="I17" s="55">
        <v>100</v>
      </c>
      <c r="J17" s="55">
        <f t="shared" si="0"/>
        <v>900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189</v>
      </c>
      <c r="D18" s="27" t="s">
        <v>175</v>
      </c>
      <c r="E18" s="27" t="s">
        <v>176</v>
      </c>
      <c r="F18" s="55">
        <v>2</v>
      </c>
      <c r="G18" s="55">
        <v>2</v>
      </c>
      <c r="H18" s="55">
        <v>5</v>
      </c>
      <c r="I18" s="55">
        <v>100</v>
      </c>
      <c r="J18" s="55">
        <f t="shared" si="0"/>
        <v>500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16" workbookViewId="0">
      <selection activeCell="B29" sqref="B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172</v>
      </c>
      <c r="D16" s="70" t="s">
        <v>173</v>
      </c>
      <c r="E16" s="55">
        <v>6</v>
      </c>
      <c r="F16" s="55">
        <v>10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183</v>
      </c>
      <c r="D17" s="70" t="s">
        <v>173</v>
      </c>
      <c r="E17" s="55">
        <v>3</v>
      </c>
      <c r="F17" s="55">
        <v>10</v>
      </c>
      <c r="G17" s="55">
        <f t="shared" ref="G17:G20" si="0">E17*F17</f>
        <v>30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173</v>
      </c>
      <c r="E18" s="55">
        <v>2</v>
      </c>
      <c r="F18" s="55">
        <v>100</v>
      </c>
      <c r="G18" s="55">
        <f t="shared" si="0"/>
        <v>200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177</v>
      </c>
      <c r="D19" s="70" t="s">
        <v>173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178</v>
      </c>
      <c r="D20" s="70" t="s">
        <v>173</v>
      </c>
      <c r="E20" s="55">
        <v>2</v>
      </c>
      <c r="F20" s="55">
        <v>40</v>
      </c>
      <c r="G20" s="55">
        <f t="shared" si="0"/>
        <v>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390</v>
      </c>
      <c r="H13" s="55">
        <v>15</v>
      </c>
      <c r="I13" s="55"/>
      <c r="J13" s="55">
        <v>50</v>
      </c>
      <c r="K13" s="55"/>
      <c r="L13" s="55"/>
      <c r="M13" s="55"/>
      <c r="N13" s="55"/>
      <c r="P13" s="88">
        <f>SUM(D13:N13)</f>
        <v>485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390</v>
      </c>
      <c r="H30" s="88">
        <f t="shared" si="1"/>
        <v>15</v>
      </c>
      <c r="I30" s="88">
        <f t="shared" si="1"/>
        <v>0</v>
      </c>
      <c r="J30" s="88">
        <f t="shared" si="1"/>
        <v>50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2018-06-01T05:47:22Z</dcterms:modified>
</cp:coreProperties>
</file>