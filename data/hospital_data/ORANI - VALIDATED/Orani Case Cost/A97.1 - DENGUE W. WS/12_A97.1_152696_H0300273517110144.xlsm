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21" i="9" l="1"/>
  <c r="J14" i="2" l="1"/>
  <c r="J15" i="2"/>
  <c r="G17" i="9"/>
  <c r="G18" i="9"/>
  <c r="G19" i="9"/>
  <c r="G20" i="9"/>
  <c r="G16" i="9"/>
  <c r="J12" i="2"/>
  <c r="J13" i="2"/>
  <c r="J11" i="2"/>
  <c r="J13" i="10" l="1"/>
  <c r="G13" i="10" l="1"/>
  <c r="E13" i="10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<sst xmlns="http://schemas.openxmlformats.org/spreadsheetml/2006/main" count="486" uniqueCount="191">
  <si>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</si>
  <si>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</si>
  <si>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</si>
  <si>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</si>
  <si>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</si>
  <si>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</si>
  <si>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</si>
  <si>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</si>
  <si>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</si>
  <si>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</si>
  <si>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</si>
  <si>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</si>
  <si>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</si>
  <si>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</si>
  <si>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</si>
  <si>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</si>
  <si>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</si>
  <si>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</si>
  <si>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</si>
  <si>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</si>
  <si>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</si>
  <si>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</si>
  <si>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</si>
  <si>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</si>
  <si>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</si>
  <si>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</si>
  <si>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</si>
  <si>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</si>
  <si>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</si>
  <si>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</si>
  <si>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</si>
  <si>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</si>
  <si>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</si>
  <si>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</si>
  <si>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</si>
  <si>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</si>
  <si>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</si>
  <si>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</si>
  <si>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</si>
  <si>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</si>
  <si>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</si>
  <si>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</si>
  <si>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</si>
  <si>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</si>
  <si>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</si>
  <si>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</si>
  <si>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</si>
  <si>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</si>
  <si>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</si>
  <si>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</si>
  <si>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</si>
  <si>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</si>
  <si>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</si>
  <si>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</si>
  <si>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</si>
  <si>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</si>
  <si>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</si>
  <si>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</si>
  <si>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</si>
  <si>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</si>
  <si>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</si>
  <si>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</si>
  <si>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</si>
  <si>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</si>
  <si>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</si>
  <si>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</si>
  <si>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</si>
  <si>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</si>
  <si>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</si>
  <si>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</si>
  <si>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</si>
  <si>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</si>
  <si>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</si>
  <si>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</si>
  <si>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</si>
  <si>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</si>
  <si>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</si>
  <si>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</si>
  <si>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</si>
  <si>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</si>
  <si>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</si>
  <si>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</si>
  <si>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</si>
  <si>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</si>
  <si>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</si>
  <si>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</si>
  <si>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</si>
  <si>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</si>
  <si>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</si>
  <si>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</si>
  <si>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</si>
  <si>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</si>
  <si>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</si>
  <si>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</si>
  <si>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</si>
  <si>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</si>
  <si>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</si>
  <si>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</si>
  <si>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</si>
  <si>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</si>
  <si>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</si>
  <si>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</si>
  <si>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</si>
  <si>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</si>
  <si>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</si>
  <si>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</si>
  <si>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</si>
  <si>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</si>
  <si>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</si>
  <si>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</si>
  <si>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</si>
  <si>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</si>
  <si>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</si>
  <si>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</si>
  <si>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</si>
  <si>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</si>
  <si>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</si>
  <si>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</si>
  <si>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</si>
  <si>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</si>
  <si>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</si>
  <si>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</si>
  <si>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</si>
  <si>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</si>
  <si>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</si>
  <si>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</si>
  <si>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</si>
  <si>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</si>
  <si>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</si>
  <si>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</si>
  <si>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</si>
  <si>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</si>
  <si>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</si>
  <si>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</si>
  <si>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</si>
  <si>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</si>
  <si>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</si>
  <si>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</si>
  <si>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</si>
  <si>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</si>
  <si>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</si>
  <si>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</si>
  <si>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</si>
  <si>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</si>
  <si>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</si>
  <si>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</si>
  <si>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</si>
  <si>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</si>
  <si>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</si>
  <si>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</si>
  <si>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</si>
  <si>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</si>
  <si>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</si>
  <si>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</si>
  <si>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</si>
  <si>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</si>
  <si>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</si>
  <si>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</si>
  <si>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</si>
  <si>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</si>
  <si>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</si>
  <si>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</si>
  <si>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</si>
  <si>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</si>
  <si>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</si>
  <si>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</si>
  <si>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</si>
  <si>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DENGUE WITH WARNING SIGN</t>
  </si>
  <si>
    <t>A97.1</t>
  </si>
  <si>
    <t>CBC PLATELET</t>
  </si>
  <si>
    <t>URINALYSIS</t>
  </si>
  <si>
    <t>Visit in the ward</t>
  </si>
  <si>
    <t>RANITIDINE</t>
  </si>
  <si>
    <t>PARACETAMOL</t>
  </si>
  <si>
    <t>CEFUROXIME</t>
  </si>
  <si>
    <t>AMPULE</t>
  </si>
  <si>
    <t>25ML</t>
  </si>
  <si>
    <t>220ML</t>
  </si>
  <si>
    <t>VIAL</t>
  </si>
  <si>
    <t>750MG</t>
  </si>
  <si>
    <t>ABOCATH G20</t>
  </si>
  <si>
    <t>MICRO SET</t>
  </si>
  <si>
    <t>PLASTER</t>
  </si>
  <si>
    <t>PC</t>
  </si>
  <si>
    <t>SYRINGE 3CC</t>
  </si>
  <si>
    <t>SYRINGE 5CC</t>
  </si>
  <si>
    <t>D5 0.3 NACL</t>
  </si>
  <si>
    <t>BOTTLE</t>
  </si>
  <si>
    <t>1LITER</t>
  </si>
  <si>
    <t>PLAIN LR SOLUTION</t>
  </si>
  <si>
    <t>DISPOSABLE FACE MASK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</si>
</sst>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4" zoomScaleNormal="100" workbookViewId="0">
      <selection activeCell="C36" sqref="C3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163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169</v>
      </c>
      <c r="D34" s="23"/>
      <c r="E34" s="57">
        <v>3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170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163</v>
      </c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43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52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 t="s">
        <v>163</v>
      </c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163</v>
      </c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165</v>
      </c>
      <c r="D60" s="55">
        <v>515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164</v>
      </c>
      <c r="D61" s="55">
        <v>2245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166</v>
      </c>
      <c r="D62" s="55">
        <v>400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3160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D27" sqref="D2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DENGUE WITH WARNING SIGN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172</v>
      </c>
      <c r="D11" s="27" t="s">
        <v>175</v>
      </c>
      <c r="E11" s="27" t="s">
        <v>176</v>
      </c>
      <c r="F11" s="55">
        <v>3</v>
      </c>
      <c r="G11" s="55">
        <v>5</v>
      </c>
      <c r="H11" s="55">
        <v>13</v>
      </c>
      <c r="I11" s="55">
        <v>50</v>
      </c>
      <c r="J11" s="55">
        <f>H11*I11</f>
        <v>650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173</v>
      </c>
      <c r="D12" s="27" t="s">
        <v>175</v>
      </c>
      <c r="E12" s="27" t="s">
        <v>177</v>
      </c>
      <c r="F12" s="55">
        <v>1</v>
      </c>
      <c r="G12" s="55">
        <v>1</v>
      </c>
      <c r="H12" s="55">
        <v>1</v>
      </c>
      <c r="I12" s="55">
        <v>50</v>
      </c>
      <c r="J12" s="55">
        <f t="shared" ref="J12:J15" si="0">H12*I12</f>
        <v>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174</v>
      </c>
      <c r="D13" s="27" t="s">
        <v>178</v>
      </c>
      <c r="E13" s="27" t="s">
        <v>179</v>
      </c>
      <c r="F13" s="55">
        <v>3</v>
      </c>
      <c r="G13" s="55">
        <v>5</v>
      </c>
      <c r="H13" s="55">
        <v>20</v>
      </c>
      <c r="I13" s="55">
        <v>35</v>
      </c>
      <c r="J13" s="55">
        <f t="shared" si="0"/>
        <v>700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186</v>
      </c>
      <c r="D14" s="27" t="s">
        <v>187</v>
      </c>
      <c r="E14" s="27" t="s">
        <v>188</v>
      </c>
      <c r="F14" s="55">
        <v>1</v>
      </c>
      <c r="G14" s="55">
        <v>5</v>
      </c>
      <c r="H14" s="55">
        <v>5</v>
      </c>
      <c r="I14" s="55">
        <v>100</v>
      </c>
      <c r="J14" s="55">
        <f t="shared" si="0"/>
        <v>500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189</v>
      </c>
      <c r="D15" s="27" t="s">
        <v>187</v>
      </c>
      <c r="E15" s="27" t="s">
        <v>188</v>
      </c>
      <c r="F15" s="55">
        <v>1</v>
      </c>
      <c r="G15" s="55">
        <v>1</v>
      </c>
      <c r="H15" s="55">
        <v>1</v>
      </c>
      <c r="I15" s="55">
        <v>100</v>
      </c>
      <c r="J15" s="55">
        <f t="shared" si="0"/>
        <v>100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E20" sqref="E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DENGUE WITH WARNING SIGN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180</v>
      </c>
      <c r="D16" s="70" t="s">
        <v>183</v>
      </c>
      <c r="E16" s="55">
        <v>1</v>
      </c>
      <c r="F16" s="55">
        <v>100</v>
      </c>
      <c r="G16" s="55">
        <f>E16*F16</f>
        <v>100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181</v>
      </c>
      <c r="D17" s="70" t="s">
        <v>183</v>
      </c>
      <c r="E17" s="55">
        <v>1</v>
      </c>
      <c r="F17" s="55">
        <v>40</v>
      </c>
      <c r="G17" s="55">
        <f t="shared" ref="G17:G21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182</v>
      </c>
      <c r="D18" s="70" t="s">
        <v>183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184</v>
      </c>
      <c r="D19" s="70" t="s">
        <v>183</v>
      </c>
      <c r="E19" s="55">
        <v>2</v>
      </c>
      <c r="F19" s="55">
        <v>10</v>
      </c>
      <c r="G19" s="55">
        <f t="shared" si="0"/>
        <v>20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185</v>
      </c>
      <c r="D20" s="70" t="s">
        <v>183</v>
      </c>
      <c r="E20" s="55">
        <v>2</v>
      </c>
      <c r="F20" s="55">
        <v>20</v>
      </c>
      <c r="G20" s="55">
        <f t="shared" si="0"/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190</v>
      </c>
      <c r="D21" s="70" t="s">
        <v>183</v>
      </c>
      <c r="E21" s="55">
        <v>1</v>
      </c>
      <c r="F21" s="55">
        <v>5</v>
      </c>
      <c r="G21" s="55">
        <f t="shared" si="0"/>
        <v>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DENGUE WITH WARNING SIGN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171</v>
      </c>
      <c r="D13" s="55"/>
      <c r="E13" s="55">
        <f>10*4</f>
        <v>40</v>
      </c>
      <c r="F13" s="55"/>
      <c r="G13" s="55">
        <f>24*4*60/15</f>
        <v>384</v>
      </c>
      <c r="H13" s="55"/>
      <c r="I13" s="55"/>
      <c r="J13" s="55">
        <f>5*4</f>
        <v>20</v>
      </c>
      <c r="K13" s="55"/>
      <c r="L13" s="55"/>
      <c r="M13" s="55"/>
      <c r="N13" s="55"/>
      <c r="P13" s="88">
        <f>SUM(D13:N13)</f>
        <v>444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40</v>
      </c>
      <c r="F30" s="88">
        <f t="shared" si="1"/>
        <v>0</v>
      </c>
      <c r="G30" s="88">
        <f t="shared" si="1"/>
        <v>384</v>
      </c>
      <c r="H30" s="88">
        <f t="shared" si="1"/>
        <v>0</v>
      </c>
      <c r="I30" s="88">
        <f t="shared" si="1"/>
        <v>0</v>
      </c>
      <c r="J30" s="88">
        <f t="shared" si="1"/>
        <v>20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444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2018-06-01T05:26:53Z</dcterms:modified>
</cp:coreProperties>
</file>