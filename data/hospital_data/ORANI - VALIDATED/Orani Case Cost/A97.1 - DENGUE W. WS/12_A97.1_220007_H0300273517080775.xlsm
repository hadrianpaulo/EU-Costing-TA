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data_general'!$B$1:$F$68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16" i="9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<sst xmlns="http://schemas.openxmlformats.org/spreadsheetml/2006/main" count="486" uniqueCount="191">
  <si>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</si>
  <si>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</si>
  <si>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</si>
  <si>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</si>
  <si>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</si>
  <si>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</si>
  <si>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</si>
  <si>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</si>
  <si>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</si>
  <si>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</si>
  <si>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</si>
  <si>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</si>
  <si>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</si>
  <si>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</si>
  <si>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</si>
  <si>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</si>
  <si>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</si>
  <si>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</si>
  <si>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</si>
  <si>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</si>
  <si>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</si>
  <si>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</si>
  <si>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</si>
  <si>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</si>
  <si>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</si>
  <si>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</si>
  <si>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</si>
  <si>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</si>
  <si>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</si>
  <si>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</si>
  <si>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</si>
  <si>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</si>
  <si>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</si>
  <si>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</si>
  <si>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</si>
  <si>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</si>
  <si>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</si>
  <si>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</si>
  <si>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</si>
  <si>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</si>
  <si>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</si>
  <si>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</si>
  <si>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</si>
  <si>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</si>
  <si>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</si>
  <si>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</si>
  <si>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</si>
  <si>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</si>
  <si>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</si>
  <si>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</si>
  <si>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</si>
  <si>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</si>
  <si>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</si>
  <si>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</si>
  <si>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</si>
  <si>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</si>
  <si>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</si>
  <si>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</si>
  <si>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</si>
  <si>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</si>
  <si>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</si>
  <si>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</si>
  <si>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</si>
  <si>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</si>
  <si>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</si>
  <si>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</si>
  <si>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</si>
  <si>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</si>
  <si>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</si>
  <si>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</si>
  <si>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</si>
  <si>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</si>
  <si>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</si>
  <si>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</si>
  <si>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</si>
  <si>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</si>
  <si>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</si>
  <si>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</si>
  <si>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</si>
  <si>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</si>
  <si>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</si>
  <si>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</si>
  <si>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</si>
  <si>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</si>
  <si>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</si>
  <si>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</si>
  <si>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</si>
  <si>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</si>
  <si>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</si>
  <si>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</si>
  <si>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</si>
  <si>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</si>
  <si>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</si>
  <si>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</si>
  <si>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</si>
  <si>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</si>
  <si>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</si>
  <si>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</si>
  <si>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</si>
  <si>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</si>
  <si>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</si>
  <si>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</si>
  <si>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</si>
  <si>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</si>
  <si>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</si>
  <si>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</si>
  <si>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</si>
  <si>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</si>
  <si>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</si>
  <si>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</si>
  <si>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</si>
  <si>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</si>
  <si>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</si>
  <si>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</si>
  <si>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</si>
  <si>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</si>
  <si>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</si>
  <si>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</si>
  <si>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</si>
  <si>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</si>
  <si>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</si>
  <si>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</si>
  <si>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</si>
  <si>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</si>
  <si>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</si>
  <si>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</si>
  <si>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</si>
  <si>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</si>
  <si>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</si>
  <si>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</si>
  <si>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</si>
  <si>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</si>
  <si>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</si>
  <si>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</si>
  <si>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</si>
  <si>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</si>
  <si>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</si>
  <si>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</si>
  <si>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</si>
  <si>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</si>
  <si>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</si>
  <si>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</si>
  <si>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</si>
  <si>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</si>
  <si>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</si>
  <si>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</si>
  <si>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</si>
  <si>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</si>
  <si>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</si>
  <si>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</si>
  <si>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</si>
  <si>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</si>
  <si>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</si>
  <si>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</si>
  <si>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</si>
  <si>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</si>
  <si>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</si>
  <si>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</si>
  <si>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</si>
  <si>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</si>
  <si>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</si>
  <si>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</si>
  <si>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</si>
  <si>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</si>
  <si>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</si>
  <si>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</si>
  <si>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</si>
  <si>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</si>
  <si>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TABLET</t>
  </si>
  <si>
    <t>500MG</t>
  </si>
  <si>
    <t>SYRINGE 3CC</t>
  </si>
  <si>
    <t>PC</t>
  </si>
  <si>
    <t>D5 LR</t>
  </si>
  <si>
    <t>BOTTLE</t>
  </si>
  <si>
    <t>1LITER</t>
  </si>
  <si>
    <t>ABOCATH GAUGE 20</t>
  </si>
  <si>
    <t>MACRO SET</t>
  </si>
  <si>
    <t>PLASTER 1/2</t>
  </si>
  <si>
    <t>A97.1</t>
  </si>
  <si>
    <t>CBC PLATELETCOUNT</t>
  </si>
  <si>
    <t>OMEPRAZOLE</t>
  </si>
  <si>
    <t>VIAL</t>
  </si>
  <si>
    <t>20MG</t>
  </si>
  <si>
    <t>PARACETAMOL</t>
  </si>
  <si>
    <t>IMMUNOSIN</t>
  </si>
  <si>
    <t>MULTIVITAMINS</t>
  </si>
  <si>
    <t>CAPSULE</t>
  </si>
  <si>
    <t>PLAIN LR</t>
  </si>
  <si>
    <t>1 LITER</t>
  </si>
  <si>
    <t>SYRINGE 5CC</t>
  </si>
  <si>
    <t>DENGUE WITH WARNING SIGNS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</si>
</sst>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opLeftCell="A51" zoomScaleNormal="100" workbookViewId="0">
      <selection activeCell="E23" sqref="E2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179</v>
      </c>
      <c r="D34" s="23"/>
      <c r="E34" s="57">
        <v>4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8" t="s">
        <v>19</v>
      </c>
      <c r="C35" s="119"/>
      <c r="D35" s="116"/>
      <c r="E35" s="119"/>
      <c r="F35" s="11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 t="s">
        <v>164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44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45</v>
      </c>
      <c r="C41" s="13"/>
      <c r="D41" s="13"/>
      <c r="E41" s="16"/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5" t="s">
        <v>53</v>
      </c>
      <c r="C42" s="116"/>
      <c r="D42" s="116"/>
      <c r="E42" s="116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 t="s">
        <v>164</v>
      </c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20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164</v>
      </c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55</v>
      </c>
      <c r="C56" s="17" t="s">
        <v>51</v>
      </c>
      <c r="D56" s="17" t="s">
        <v>56</v>
      </c>
      <c r="E56" s="18" t="s">
        <v>57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165</v>
      </c>
      <c r="D57" s="55">
        <v>2125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166</v>
      </c>
      <c r="D58" s="55">
        <v>620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 t="s">
        <v>167</v>
      </c>
      <c r="D59" s="55">
        <v>400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3145</v>
      </c>
      <c r="E68" s="59">
        <f>SUM(E57:E67)</f>
        <v>0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password="C2E9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2:F22"/>
    <mergeCell ref="B33:F33"/>
    <mergeCell ref="B28:F28"/>
    <mergeCell ref="B35:F35"/>
    <mergeCell ref="B42:F42"/>
  </mergeCells>
  <dataValidations count="1">
    <dataValidation type="decimal" operator="greaterThanOrEqual" allowBlank="1" showInputMessage="1" showErrorMessage="1" sqref="E32 E36:E39 E41 E23:F27 E43:F46 E48:F53 D57:F66 E3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H14" sqref="H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DENGUE WITH WARNING SIGNS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180</v>
      </c>
      <c r="D11" s="27" t="s">
        <v>181</v>
      </c>
      <c r="E11" s="27" t="s">
        <v>182</v>
      </c>
      <c r="F11" s="55">
        <v>1</v>
      </c>
      <c r="G11" s="55">
        <v>3</v>
      </c>
      <c r="H11" s="55">
        <v>3</v>
      </c>
      <c r="I11" s="55">
        <v>200</v>
      </c>
      <c r="J11" s="55">
        <f>H11*I11</f>
        <v>600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183</v>
      </c>
      <c r="D12" s="27" t="s">
        <v>168</v>
      </c>
      <c r="E12" s="27" t="s">
        <v>169</v>
      </c>
      <c r="F12" s="55">
        <v>6</v>
      </c>
      <c r="G12" s="55">
        <v>2</v>
      </c>
      <c r="H12" s="55">
        <v>5</v>
      </c>
      <c r="I12" s="55">
        <v>3</v>
      </c>
      <c r="J12" s="55">
        <f t="shared" ref="J12:J18" si="0">H12*I12</f>
        <v>15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184</v>
      </c>
      <c r="D13" s="27" t="s">
        <v>168</v>
      </c>
      <c r="E13" s="27" t="s">
        <v>169</v>
      </c>
      <c r="F13" s="55">
        <v>3</v>
      </c>
      <c r="G13" s="55">
        <v>4</v>
      </c>
      <c r="H13" s="55">
        <v>8</v>
      </c>
      <c r="I13" s="55">
        <v>50</v>
      </c>
      <c r="J13" s="55">
        <f t="shared" si="0"/>
        <v>400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185</v>
      </c>
      <c r="D14" s="27" t="s">
        <v>186</v>
      </c>
      <c r="E14" s="27" t="s">
        <v>169</v>
      </c>
      <c r="F14" s="55">
        <v>1</v>
      </c>
      <c r="G14" s="55">
        <v>4</v>
      </c>
      <c r="H14" s="55">
        <v>4</v>
      </c>
      <c r="I14" s="55">
        <v>50</v>
      </c>
      <c r="J14" s="55">
        <f t="shared" si="0"/>
        <v>200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187</v>
      </c>
      <c r="D15" s="27" t="s">
        <v>173</v>
      </c>
      <c r="E15" s="27" t="s">
        <v>188</v>
      </c>
      <c r="F15" s="55">
        <v>1</v>
      </c>
      <c r="G15" s="55">
        <v>2</v>
      </c>
      <c r="H15" s="55">
        <v>2</v>
      </c>
      <c r="I15" s="55">
        <v>100</v>
      </c>
      <c r="J15" s="55">
        <f t="shared" si="0"/>
        <v>200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172</v>
      </c>
      <c r="D16" s="27" t="s">
        <v>173</v>
      </c>
      <c r="E16" s="27" t="s">
        <v>174</v>
      </c>
      <c r="F16" s="55">
        <v>2</v>
      </c>
      <c r="G16" s="55">
        <v>3</v>
      </c>
      <c r="H16" s="55">
        <v>5</v>
      </c>
      <c r="I16" s="55">
        <v>100</v>
      </c>
      <c r="J16" s="55">
        <f t="shared" si="0"/>
        <v>500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" workbookViewId="0">
      <selection activeCell="E19" sqref="E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175</v>
      </c>
      <c r="D16" s="70" t="s">
        <v>171</v>
      </c>
      <c r="E16" s="55">
        <v>1</v>
      </c>
      <c r="F16" s="55">
        <v>100</v>
      </c>
      <c r="G16" s="55">
        <f>E16*F16</f>
        <v>100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176</v>
      </c>
      <c r="D17" s="70" t="s">
        <v>171</v>
      </c>
      <c r="E17" s="55">
        <v>1</v>
      </c>
      <c r="F17" s="55">
        <v>40</v>
      </c>
      <c r="G17" s="55">
        <f t="shared" ref="G17:G20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170</v>
      </c>
      <c r="D18" s="70" t="s">
        <v>171</v>
      </c>
      <c r="E18" s="55">
        <v>2</v>
      </c>
      <c r="F18" s="55">
        <v>10</v>
      </c>
      <c r="G18" s="55">
        <f t="shared" si="0"/>
        <v>20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189</v>
      </c>
      <c r="D19" s="70" t="s">
        <v>171</v>
      </c>
      <c r="E19" s="55">
        <v>1</v>
      </c>
      <c r="F19" s="55">
        <v>10</v>
      </c>
      <c r="G19" s="55">
        <f t="shared" si="0"/>
        <v>10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177</v>
      </c>
      <c r="D20" s="70" t="s">
        <v>171</v>
      </c>
      <c r="E20" s="55">
        <v>1</v>
      </c>
      <c r="F20" s="55">
        <v>40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40</v>
      </c>
      <c r="F13" s="55"/>
      <c r="G13" s="55">
        <v>480</v>
      </c>
      <c r="H13" s="55">
        <v>20</v>
      </c>
      <c r="I13" s="55"/>
      <c r="J13" s="55">
        <v>45</v>
      </c>
      <c r="K13" s="55"/>
      <c r="L13" s="55"/>
      <c r="M13" s="55"/>
      <c r="N13" s="55"/>
      <c r="P13" s="88">
        <f>SUM(D13:N13)</f>
        <v>585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40</v>
      </c>
      <c r="F30" s="88">
        <f t="shared" si="1"/>
        <v>0</v>
      </c>
      <c r="G30" s="88">
        <f t="shared" si="1"/>
        <v>480</v>
      </c>
      <c r="H30" s="88">
        <f t="shared" si="1"/>
        <v>20</v>
      </c>
      <c r="I30" s="88">
        <f t="shared" si="1"/>
        <v>0</v>
      </c>
      <c r="J30" s="88">
        <f t="shared" si="1"/>
        <v>45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585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2018-06-01T05:39:07Z</dcterms:modified>
</cp:coreProperties>
</file>