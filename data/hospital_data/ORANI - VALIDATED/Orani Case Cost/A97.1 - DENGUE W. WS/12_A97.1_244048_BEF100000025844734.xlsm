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Drugs&amp;Med'!$C$11:$C$18</definedName>
    <definedName name="_xlnm.Print_Area" localSheetId="0">'1.1 Case data_general'!$B$1:$F$68</definedName>
    <definedName name="_xlnm.Print_Area" localSheetId="1">'1.2 Drugs&amp;Med'!$B$2:$J$19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<sst xmlns="http://schemas.openxmlformats.org/spreadsheetml/2006/main" count="489" uniqueCount="194">
  <si>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</si>
  <si>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</si>
  <si>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</si>
  <si>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</si>
  <si>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</si>
  <si>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</si>
  <si>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</si>
  <si>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</si>
  <si>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</si>
  <si>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</si>
  <si>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</si>
  <si>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</si>
  <si>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</si>
  <si>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</si>
  <si>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</si>
  <si>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</si>
  <si>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</si>
  <si>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</si>
  <si>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</si>
  <si>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</si>
  <si>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</si>
  <si>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</si>
  <si>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</si>
  <si>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</si>
  <si>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</si>
  <si>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</si>
  <si>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</si>
  <si>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</si>
  <si>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</si>
  <si>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</si>
  <si>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</si>
  <si>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</si>
  <si>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</si>
  <si>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</si>
  <si>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</si>
  <si>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</si>
  <si>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</si>
  <si>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</si>
  <si>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</si>
  <si>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</si>
  <si>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</si>
  <si>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</si>
  <si>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</si>
  <si>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</si>
  <si>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</si>
  <si>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</si>
  <si>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</si>
  <si>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</si>
  <si>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</si>
  <si>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</si>
  <si>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</si>
  <si>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</si>
  <si>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</si>
  <si>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</si>
  <si>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</si>
  <si>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</si>
  <si>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</si>
  <si>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</si>
  <si>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</si>
  <si>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</si>
  <si>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</si>
  <si>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</si>
  <si>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</si>
  <si>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</si>
  <si>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</si>
  <si>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</si>
  <si>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</si>
  <si>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</si>
  <si>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</si>
  <si>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</si>
  <si>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</si>
  <si>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</si>
  <si>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</si>
  <si>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</si>
  <si>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</si>
  <si>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</si>
  <si>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</si>
  <si>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</si>
  <si>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</si>
  <si>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</si>
  <si>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</si>
  <si>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</si>
  <si>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</si>
  <si>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</si>
  <si>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</si>
  <si>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</si>
  <si>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</si>
  <si>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</si>
  <si>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</si>
  <si>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</si>
  <si>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</si>
  <si>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</si>
  <si>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</si>
  <si>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</si>
  <si>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</si>
  <si>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</si>
  <si>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</si>
  <si>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</si>
  <si>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</si>
  <si>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</si>
  <si>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</si>
  <si>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</si>
  <si>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</si>
  <si>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</si>
  <si>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</si>
  <si>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</si>
  <si>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</si>
  <si>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</si>
  <si>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</si>
  <si>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</si>
  <si>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</si>
  <si>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</si>
  <si>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</si>
  <si>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</si>
  <si>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</si>
  <si>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</si>
  <si>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</si>
  <si>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</si>
  <si>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</si>
  <si>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</si>
  <si>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</si>
  <si>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</si>
  <si>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</si>
  <si>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</si>
  <si>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</si>
  <si>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</si>
  <si>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</si>
  <si>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</si>
  <si>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</si>
  <si>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</si>
  <si>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</si>
  <si>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</si>
  <si>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</si>
  <si>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</si>
  <si>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</si>
  <si>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</si>
  <si>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</si>
  <si>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</si>
  <si>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</si>
  <si>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</si>
  <si>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</si>
  <si>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</si>
  <si>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</si>
  <si>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</si>
  <si>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</si>
  <si>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</si>
  <si>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</si>
  <si>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</si>
  <si>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</si>
  <si>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</si>
  <si>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</si>
  <si>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</si>
  <si>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</si>
  <si>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</si>
  <si>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</si>
  <si>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</si>
  <si>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</si>
  <si>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</si>
  <si>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</si>
  <si>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</si>
  <si>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</si>
  <si>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</si>
  <si>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</si>
  <si>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</si>
  <si>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</si>
  <si>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</si>
  <si>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ROOM AND BOARD</t>
  </si>
  <si>
    <t>500MG</t>
  </si>
  <si>
    <t>AMPULE</t>
  </si>
  <si>
    <t>SYRINGE 3CC</t>
  </si>
  <si>
    <t>PC</t>
  </si>
  <si>
    <t>BOTTLE</t>
  </si>
  <si>
    <t>1LITER</t>
  </si>
  <si>
    <t>PLASTER 1/2</t>
  </si>
  <si>
    <t>A97.1</t>
  </si>
  <si>
    <t>CEFUROXIME</t>
  </si>
  <si>
    <t>VIAL</t>
  </si>
  <si>
    <t>RANITIDINE</t>
  </si>
  <si>
    <t>METOCLOPROMIDE</t>
  </si>
  <si>
    <t>40MG</t>
  </si>
  <si>
    <t>ERCEFLORA</t>
  </si>
  <si>
    <t>MULTIVITAMINS</t>
  </si>
  <si>
    <t>NEBULE</t>
  </si>
  <si>
    <t>CAPSULE</t>
  </si>
  <si>
    <t>25MG</t>
  </si>
  <si>
    <t>20MG</t>
  </si>
  <si>
    <t>5ML</t>
  </si>
  <si>
    <t>GENTAMICIN</t>
  </si>
  <si>
    <t>D5 0.3 NACL</t>
  </si>
  <si>
    <t>SYRINGE 5CC</t>
  </si>
  <si>
    <t>ABOCATH GAUGE 24</t>
  </si>
  <si>
    <t>MICRO SET</t>
  </si>
  <si>
    <t>HYOSCINE N-BUTYL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</si>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</sst>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Font="1" applyAlignment="1" applyProtection="1"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topLeftCell="A51" zoomScaleNormal="100" workbookViewId="0">
      <selection activeCell="C60" sqref="C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2880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300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150"/>
      <c r="D59" s="150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3180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E34 E57:F66 D57:D58 D60:D6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topLeftCell="A6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176</v>
      </c>
      <c r="E11" s="27" t="s">
        <v>167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168</v>
      </c>
      <c r="E12" s="27" t="s">
        <v>179</v>
      </c>
      <c r="F12" s="55">
        <v>2</v>
      </c>
      <c r="G12" s="55">
        <v>4</v>
      </c>
      <c r="H12" s="55">
        <v>7</v>
      </c>
      <c r="I12" s="55">
        <v>40</v>
      </c>
      <c r="J12" s="55">
        <f t="shared" ref="J12:J18" si="0">H12*I12</f>
        <v>280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168</v>
      </c>
      <c r="E13" s="27" t="s">
        <v>184</v>
      </c>
      <c r="F13" s="55">
        <v>2</v>
      </c>
      <c r="G13" s="55">
        <v>4</v>
      </c>
      <c r="H13" s="55">
        <v>7</v>
      </c>
      <c r="I13" s="55">
        <v>50</v>
      </c>
      <c r="J13" s="55">
        <f t="shared" si="0"/>
        <v>350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168</v>
      </c>
      <c r="E14" s="27" t="s">
        <v>185</v>
      </c>
      <c r="F14" s="55">
        <v>1</v>
      </c>
      <c r="G14" s="55">
        <v>1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168</v>
      </c>
      <c r="E15" s="27" t="s">
        <v>186</v>
      </c>
      <c r="F15" s="55">
        <v>1</v>
      </c>
      <c r="G15" s="55">
        <v>1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182</v>
      </c>
      <c r="E16" s="27" t="s">
        <v>186</v>
      </c>
      <c r="F16" s="55">
        <v>2</v>
      </c>
      <c r="G16" s="55">
        <v>2</v>
      </c>
      <c r="H16" s="55">
        <v>4</v>
      </c>
      <c r="I16" s="55">
        <v>65</v>
      </c>
      <c r="J16" s="55">
        <f t="shared" si="0"/>
        <v>260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183</v>
      </c>
      <c r="E17" s="27"/>
      <c r="F17" s="55">
        <v>1</v>
      </c>
      <c r="G17" s="55">
        <v>2</v>
      </c>
      <c r="H17" s="55">
        <v>2</v>
      </c>
      <c r="I17" s="55">
        <v>50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171</v>
      </c>
      <c r="E18" s="27" t="s">
        <v>172</v>
      </c>
      <c r="F18" s="55">
        <v>2</v>
      </c>
      <c r="G18" s="55">
        <v>4</v>
      </c>
      <c r="H18" s="55">
        <v>8</v>
      </c>
      <c r="I18" s="55">
        <v>100</v>
      </c>
      <c r="J18" s="55">
        <f t="shared" si="0"/>
        <v>800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7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8</v>
      </c>
      <c r="F16" s="55">
        <v>10</v>
      </c>
      <c r="G16" s="55">
        <f>E16*F16</f>
        <v>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170</v>
      </c>
      <c r="E17" s="55">
        <v>4</v>
      </c>
      <c r="F17" s="55">
        <v>10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170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191</v>
      </c>
      <c r="D19" s="70" t="s">
        <v>170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170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25</v>
      </c>
      <c r="F13" s="55"/>
      <c r="G13" s="55">
        <v>450</v>
      </c>
      <c r="H13" s="55">
        <v>15</v>
      </c>
      <c r="I13" s="55"/>
      <c r="J13" s="55">
        <v>25</v>
      </c>
      <c r="K13" s="55"/>
      <c r="L13" s="55"/>
      <c r="M13" s="55"/>
      <c r="N13" s="55"/>
      <c r="P13" s="88">
        <f>SUM(D13:N13)</f>
        <v>515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25</v>
      </c>
      <c r="F30" s="88">
        <f t="shared" si="1"/>
        <v>0</v>
      </c>
      <c r="G30" s="88">
        <f t="shared" si="1"/>
        <v>450</v>
      </c>
      <c r="H30" s="88">
        <f t="shared" si="1"/>
        <v>15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2018-06-01T05:53:04Z</dcterms:modified>
</cp:coreProperties>
</file>