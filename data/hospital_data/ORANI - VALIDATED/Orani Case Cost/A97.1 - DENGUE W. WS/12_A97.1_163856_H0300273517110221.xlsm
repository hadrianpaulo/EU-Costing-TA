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<sst xmlns="http://schemas.openxmlformats.org/spreadsheetml/2006/main" count="503" uniqueCount="201">
  <si>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</si>
  <si>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</si>
  <si>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</si>
  <si>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</si>
  <si>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</si>
  <si>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</si>
  <si>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</si>
  <si>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</si>
  <si>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</si>
  <si>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</si>
  <si>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</si>
  <si>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</si>
  <si>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</si>
  <si>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</si>
  <si>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</si>
  <si>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</si>
  <si>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</si>
  <si>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</si>
  <si>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</si>
  <si>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</si>
  <si>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</si>
  <si>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</si>
  <si>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</si>
  <si>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</si>
  <si>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</si>
  <si>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</si>
  <si>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</si>
  <si>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</si>
  <si>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</si>
  <si>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</si>
  <si>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</si>
  <si>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</si>
  <si>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</si>
  <si>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</si>
  <si>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</si>
  <si>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</si>
  <si>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</si>
  <si>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</si>
  <si>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</si>
  <si>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</si>
  <si>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</si>
  <si>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</si>
  <si>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</si>
  <si>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</si>
  <si>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</si>
  <si>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</si>
  <si>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</si>
  <si>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</si>
  <si>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</si>
  <si>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</si>
  <si>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</si>
  <si>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</si>
  <si>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</si>
  <si>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</si>
  <si>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</si>
  <si>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</si>
  <si>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</si>
  <si>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</si>
  <si>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</si>
  <si>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</si>
  <si>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</si>
  <si>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</si>
  <si>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</si>
  <si>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</si>
  <si>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</si>
  <si>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</si>
  <si>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</si>
  <si>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</si>
  <si>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</si>
  <si>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</si>
  <si>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</si>
  <si>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</si>
  <si>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</si>
  <si>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</si>
  <si>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</si>
  <si>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</si>
  <si>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</si>
  <si>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</si>
  <si>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</si>
  <si>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</si>
  <si>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</si>
  <si>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</si>
  <si>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</si>
  <si>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</si>
  <si>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</si>
  <si>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</si>
  <si>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</si>
  <si>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</si>
  <si>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</si>
  <si>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</si>
  <si>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</si>
  <si>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</si>
  <si>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</si>
  <si>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</si>
  <si>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</si>
  <si>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</si>
  <si>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</si>
  <si>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</si>
  <si>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</si>
  <si>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</si>
  <si>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</si>
  <si>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</si>
  <si>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</si>
  <si>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</si>
  <si>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</si>
  <si>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</si>
  <si>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</si>
  <si>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</si>
  <si>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</si>
  <si>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</si>
  <si>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</si>
  <si>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</si>
  <si>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</si>
  <si>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</si>
  <si>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</si>
  <si>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</si>
  <si>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</si>
  <si>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</si>
  <si>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</si>
  <si>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</si>
  <si>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</si>
  <si>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</si>
  <si>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</si>
  <si>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</si>
  <si>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</si>
  <si>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</si>
  <si>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</si>
  <si>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</si>
  <si>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</si>
  <si>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</si>
  <si>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</si>
  <si>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</si>
  <si>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</si>
  <si>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</si>
  <si>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</si>
  <si>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</si>
  <si>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</si>
  <si>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</si>
  <si>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</si>
  <si>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</si>
  <si>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</si>
  <si>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</si>
  <si>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</si>
  <si>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</si>
  <si>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</si>
  <si>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</si>
  <si>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</si>
  <si>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</si>
  <si>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</si>
  <si>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</si>
  <si>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</si>
  <si>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</si>
  <si>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</si>
  <si>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</si>
  <si>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</si>
  <si>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</si>
  <si>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</si>
  <si>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</si>
  <si>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</si>
  <si>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</si>
  <si>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</si>
  <si>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</si>
  <si>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</si>
  <si>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</si>
  <si>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</si>
  <si>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</si>
  <si>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</si>
  <si>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</si>
  <si>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CEFTRIAXONE</t>
  </si>
  <si>
    <t>VIAL</t>
  </si>
  <si>
    <t>BOTTLE</t>
  </si>
  <si>
    <t>D5 0.3 NACL</t>
  </si>
  <si>
    <t>500CC</t>
  </si>
  <si>
    <t>URINALYSIS</t>
  </si>
  <si>
    <t>CBC PLATELET COUNT</t>
  </si>
  <si>
    <t>PLAIN NS SOLUTION</t>
  </si>
  <si>
    <t>MULTIVITAMINS</t>
  </si>
  <si>
    <t>SYRUP</t>
  </si>
  <si>
    <t>5ML</t>
  </si>
  <si>
    <t>600ML</t>
  </si>
  <si>
    <t>METOCLOPRAMIDE</t>
  </si>
  <si>
    <t>OMEPRAZOLE</t>
  </si>
  <si>
    <t>20MG</t>
  </si>
  <si>
    <t>AMPULE</t>
  </si>
  <si>
    <t>IMMUNOSIN</t>
  </si>
  <si>
    <t>RANITIDINE</t>
  </si>
  <si>
    <t>25MG</t>
  </si>
  <si>
    <t>7MG</t>
  </si>
  <si>
    <t>200ML</t>
  </si>
  <si>
    <t>DICYCLOVERINE</t>
  </si>
  <si>
    <t>IV CATHETER G#22</t>
  </si>
  <si>
    <t>IV SET (MACROSET)</t>
  </si>
  <si>
    <t>PLASTER</t>
  </si>
  <si>
    <t>5CC SYRINGE</t>
  </si>
  <si>
    <t>3CC SYRINGE</t>
  </si>
  <si>
    <t>DISTILLED WATER FOR INJECTION</t>
  </si>
  <si>
    <t>50CC</t>
  </si>
  <si>
    <t>SOLUSET</t>
  </si>
  <si>
    <t>PIECE</t>
  </si>
  <si>
    <t>DENGUE WITH WARNING SIGNS</t>
  </si>
  <si>
    <t>A97.1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</si>
</sst>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abSelected="1" topLeftCell="A45" zoomScale="90" zoomScaleNormal="9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200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7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164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164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165</v>
      </c>
      <c r="D56" s="55">
        <v>5400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166</v>
      </c>
      <c r="D57" s="55">
        <v>1600</v>
      </c>
      <c r="E57" s="55">
        <v>155</v>
      </c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167</v>
      </c>
      <c r="D58" s="55"/>
      <c r="E58" s="55">
        <v>700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7000</v>
      </c>
      <c r="E67" s="59">
        <f>SUM(E56:E66)</f>
        <v>855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password="C2E9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1:F41"/>
  </mergeCells>
  <dataValidations count="1">
    <dataValidation type="decimal" operator="greaterThanOrEqual" allowBlank="1" showInputMessage="1" showErrorMessage="1" sqref="E40 E42:F45 E47:F52 D56:F65 E37:E38 E34:E35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C22" sqref="C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177</v>
      </c>
      <c r="E11" s="27" t="s">
        <v>178</v>
      </c>
      <c r="F11" s="55">
        <v>1</v>
      </c>
      <c r="G11" s="55">
        <v>3</v>
      </c>
      <c r="H11" s="55">
        <v>1</v>
      </c>
      <c r="I11" s="55">
        <v>40</v>
      </c>
      <c r="J11" s="55">
        <v>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169</v>
      </c>
      <c r="E12" s="27" t="s">
        <v>179</v>
      </c>
      <c r="F12" s="55">
        <v>2</v>
      </c>
      <c r="G12" s="55">
        <v>8</v>
      </c>
      <c r="H12" s="55">
        <v>15</v>
      </c>
      <c r="I12" s="55">
        <v>100</v>
      </c>
      <c r="J12" s="55">
        <v>1500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183</v>
      </c>
      <c r="E13" s="27" t="s">
        <v>178</v>
      </c>
      <c r="F13" s="55">
        <v>1</v>
      </c>
      <c r="G13" s="55">
        <v>1</v>
      </c>
      <c r="H13" s="55">
        <v>1</v>
      </c>
      <c r="I13" s="55">
        <v>50</v>
      </c>
      <c r="J13" s="55"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169</v>
      </c>
      <c r="E14" s="27" t="s">
        <v>182</v>
      </c>
      <c r="F14" s="55">
        <v>1</v>
      </c>
      <c r="G14" s="55">
        <v>4</v>
      </c>
      <c r="H14" s="55">
        <v>4</v>
      </c>
      <c r="I14" s="55">
        <v>100</v>
      </c>
      <c r="J14" s="55">
        <v>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177</v>
      </c>
      <c r="E15" s="27" t="s">
        <v>178</v>
      </c>
      <c r="F15" s="55">
        <v>3</v>
      </c>
      <c r="G15" s="55">
        <v>1</v>
      </c>
      <c r="H15" s="55">
        <v>1</v>
      </c>
      <c r="I15" s="55">
        <v>300</v>
      </c>
      <c r="J15" s="55"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183</v>
      </c>
      <c r="E16" s="27" t="s">
        <v>186</v>
      </c>
      <c r="F16" s="55">
        <v>3</v>
      </c>
      <c r="G16" s="55">
        <v>3</v>
      </c>
      <c r="H16" s="55">
        <v>6</v>
      </c>
      <c r="I16" s="55">
        <v>50</v>
      </c>
      <c r="J16" s="55"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189</v>
      </c>
      <c r="D17" s="27" t="s">
        <v>177</v>
      </c>
      <c r="E17" s="27" t="s">
        <v>178</v>
      </c>
      <c r="F17" s="55">
        <v>3</v>
      </c>
      <c r="G17" s="55">
        <v>3</v>
      </c>
      <c r="H17" s="55">
        <v>1</v>
      </c>
      <c r="I17" s="55">
        <v>40</v>
      </c>
      <c r="J17" s="55">
        <v>40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185</v>
      </c>
      <c r="D18" s="27" t="s">
        <v>183</v>
      </c>
      <c r="E18" s="27" t="s">
        <v>187</v>
      </c>
      <c r="F18" s="55">
        <v>3</v>
      </c>
      <c r="G18" s="55">
        <v>3</v>
      </c>
      <c r="H18" s="55">
        <v>6</v>
      </c>
      <c r="I18" s="55">
        <v>50</v>
      </c>
      <c r="J18" s="55">
        <v>300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171</v>
      </c>
      <c r="D19" s="27" t="s">
        <v>170</v>
      </c>
      <c r="E19" s="27" t="s">
        <v>172</v>
      </c>
      <c r="F19" s="55">
        <v>3</v>
      </c>
      <c r="G19" s="55">
        <v>7</v>
      </c>
      <c r="H19" s="55">
        <v>16</v>
      </c>
      <c r="I19" s="55">
        <v>90</v>
      </c>
      <c r="J19" s="55">
        <v>1440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175</v>
      </c>
      <c r="D20" s="27" t="s">
        <v>170</v>
      </c>
      <c r="E20" s="27" t="s">
        <v>188</v>
      </c>
      <c r="F20" s="55">
        <v>2</v>
      </c>
      <c r="G20" s="55">
        <v>1</v>
      </c>
      <c r="H20" s="55">
        <v>1</v>
      </c>
      <c r="I20" s="55">
        <v>90</v>
      </c>
      <c r="J20" s="55">
        <v>90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195</v>
      </c>
      <c r="D21" s="27" t="s">
        <v>170</v>
      </c>
      <c r="E21" s="27" t="s">
        <v>196</v>
      </c>
      <c r="F21" s="55">
        <v>1</v>
      </c>
      <c r="G21" s="55">
        <v>2</v>
      </c>
      <c r="H21" s="55">
        <v>2</v>
      </c>
      <c r="I21" s="55">
        <v>85</v>
      </c>
      <c r="J21" s="55">
        <v>170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22" sqref="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190</v>
      </c>
      <c r="D16" s="70" t="s">
        <v>198</v>
      </c>
      <c r="E16" s="55">
        <v>1</v>
      </c>
      <c r="F16" s="55">
        <v>90</v>
      </c>
      <c r="G16" s="55"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198</v>
      </c>
      <c r="E17" s="55">
        <v>1</v>
      </c>
      <c r="F17" s="55">
        <v>40</v>
      </c>
      <c r="G17" s="55"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198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193</v>
      </c>
      <c r="D19" s="70" t="s">
        <v>198</v>
      </c>
      <c r="E19" s="55">
        <v>28</v>
      </c>
      <c r="F19" s="55">
        <v>10</v>
      </c>
      <c r="G19" s="55">
        <v>280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194</v>
      </c>
      <c r="D20" s="70" t="s">
        <v>198</v>
      </c>
      <c r="E20" s="55">
        <v>12</v>
      </c>
      <c r="F20" s="55">
        <v>10</v>
      </c>
      <c r="G20" s="55">
        <v>120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197</v>
      </c>
      <c r="D21" s="70" t="s">
        <v>198</v>
      </c>
      <c r="E21" s="55">
        <v>1</v>
      </c>
      <c r="F21" s="55">
        <v>200</v>
      </c>
      <c r="G21" s="55"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65</v>
      </c>
      <c r="F13" s="55"/>
      <c r="G13" s="55">
        <v>468</v>
      </c>
      <c r="H13" s="55">
        <v>35</v>
      </c>
      <c r="I13" s="55"/>
      <c r="J13" s="55">
        <v>105</v>
      </c>
      <c r="K13" s="55"/>
      <c r="L13" s="55"/>
      <c r="M13" s="55"/>
      <c r="N13" s="55"/>
      <c r="P13" s="88">
        <f>SUM(D13:N13)</f>
        <v>673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468</v>
      </c>
      <c r="H30" s="88">
        <f t="shared" si="1"/>
        <v>35</v>
      </c>
      <c r="I30" s="88">
        <f t="shared" si="1"/>
        <v>0</v>
      </c>
      <c r="J30" s="88">
        <f t="shared" si="1"/>
        <v>105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673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2018-06-01T05:29:32Z</dcterms:modified>
</cp:coreProperties>
</file>