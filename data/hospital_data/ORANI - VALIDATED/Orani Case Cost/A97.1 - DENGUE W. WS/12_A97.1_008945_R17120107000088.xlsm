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16" i="9"/>
  <c r="J12" i="2"/>
  <c r="J13" i="2"/>
  <c r="J14" i="2"/>
  <c r="J15" i="2"/>
  <c r="J16" i="2"/>
  <c r="J11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<sst xmlns="http://schemas.openxmlformats.org/spreadsheetml/2006/main" count="485" uniqueCount="191">
  <si>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</si>
  <si>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</si>
  <si>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</si>
  <si>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</si>
  <si>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</si>
  <si>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</si>
  <si>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</si>
  <si>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</si>
  <si>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</si>
  <si>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</si>
  <si>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</si>
  <si>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</si>
  <si>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</si>
  <si>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</si>
  <si>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</si>
  <si>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</si>
  <si>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</si>
  <si>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</si>
  <si>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</si>
  <si>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</si>
  <si>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</si>
  <si>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</si>
  <si>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</si>
  <si>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</si>
  <si>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</si>
  <si>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</si>
  <si>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</si>
  <si>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</si>
  <si>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</si>
  <si>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</si>
  <si>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</si>
  <si>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</si>
  <si>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</si>
  <si>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</si>
  <si>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</si>
  <si>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</si>
  <si>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</si>
  <si>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</si>
  <si>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</si>
  <si>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</si>
  <si>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</si>
  <si>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</si>
  <si>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</si>
  <si>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</si>
  <si>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</si>
  <si>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</si>
  <si>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</si>
  <si>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</si>
  <si>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</si>
  <si>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</si>
  <si>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</si>
  <si>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</si>
  <si>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</si>
  <si>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</si>
  <si>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</si>
  <si>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</si>
  <si>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</si>
  <si>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</si>
  <si>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</si>
  <si>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</si>
  <si>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</si>
  <si>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</si>
  <si>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</si>
  <si>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</si>
  <si>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</si>
  <si>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</si>
  <si>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</si>
  <si>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</si>
  <si>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</si>
  <si>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</si>
  <si>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</si>
  <si>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</si>
  <si>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</si>
  <si>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</si>
  <si>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</si>
  <si>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</si>
  <si>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</si>
  <si>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</si>
  <si>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</si>
  <si>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</si>
  <si>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</si>
  <si>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</si>
  <si>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</si>
  <si>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</si>
  <si>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</si>
  <si>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</si>
  <si>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</si>
  <si>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</si>
  <si>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</si>
  <si>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</si>
  <si>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</si>
  <si>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</si>
  <si>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</si>
  <si>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</si>
  <si>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</si>
  <si>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</si>
  <si>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</si>
  <si>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</si>
  <si>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</si>
  <si>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</si>
  <si>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</si>
  <si>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</si>
  <si>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</si>
  <si>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</si>
  <si>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</si>
  <si>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</si>
  <si>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</si>
  <si>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</si>
  <si>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</si>
  <si>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</si>
  <si>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</si>
  <si>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</si>
  <si>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</si>
  <si>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</si>
  <si>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</si>
  <si>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</si>
  <si>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</si>
  <si>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</si>
  <si>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</si>
  <si>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</si>
  <si>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</si>
  <si>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</si>
  <si>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</si>
  <si>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</si>
  <si>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</si>
  <si>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</si>
  <si>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</si>
  <si>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</si>
  <si>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</si>
  <si>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</si>
  <si>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</si>
  <si>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</si>
  <si>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</si>
  <si>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</si>
  <si>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</si>
  <si>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</si>
  <si>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</si>
  <si>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</si>
  <si>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</si>
  <si>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</si>
  <si>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</si>
  <si>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</si>
  <si>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</si>
  <si>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</si>
  <si>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</si>
  <si>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</si>
  <si>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</si>
  <si>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</si>
  <si>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</si>
  <si>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</si>
  <si>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</si>
  <si>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</si>
  <si>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</si>
  <si>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</si>
  <si>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</si>
  <si>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</si>
  <si>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</si>
  <si>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</si>
  <si>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</si>
  <si>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</si>
  <si>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</si>
  <si>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</si>
  <si>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</si>
  <si>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</si>
  <si>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</si>
  <si>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</si>
  <si>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</si>
  <si>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VIAL</t>
  </si>
  <si>
    <t>BOTTLE</t>
  </si>
  <si>
    <t>PLASTER 1/2</t>
  </si>
  <si>
    <t>SYRINGE 3CC</t>
  </si>
  <si>
    <t>PC</t>
  </si>
  <si>
    <t>SYRINGE 5CC</t>
  </si>
  <si>
    <t>CBC PLATELET COUNT</t>
  </si>
  <si>
    <t>ROOM AND BOARD</t>
  </si>
  <si>
    <t>40MG</t>
  </si>
  <si>
    <t>OMEPRAZOLE</t>
  </si>
  <si>
    <t>1LITER</t>
  </si>
  <si>
    <t>ABOCATH 20</t>
  </si>
  <si>
    <t>MACRO SET</t>
  </si>
  <si>
    <t>AMPULE</t>
  </si>
  <si>
    <t>500MG</t>
  </si>
  <si>
    <t>A97.1</t>
  </si>
  <si>
    <t xml:space="preserve">RBS </t>
  </si>
  <si>
    <t>RH TYPING</t>
  </si>
  <si>
    <t>N /A</t>
  </si>
  <si>
    <t>TRANEXAMIC ACID</t>
  </si>
  <si>
    <t>DIPHENHYDRAMINE</t>
  </si>
  <si>
    <t>50ML</t>
  </si>
  <si>
    <t>PLAIN LR</t>
  </si>
  <si>
    <t>DENGUE WITH WARNING SIGNS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</si>
</sst>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723900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1485900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54" zoomScaleNormal="100" workbookViewId="0">
      <selection activeCell="C19" sqref="C1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182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173</v>
      </c>
      <c r="D34" s="23"/>
      <c r="E34" s="57">
        <v>4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183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184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/>
      <c r="D37" s="23"/>
      <c r="E37" s="57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30">
        <v>5</v>
      </c>
      <c r="C38" s="31"/>
      <c r="D38" s="23"/>
      <c r="E38" s="57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30">
        <v>6</v>
      </c>
      <c r="C39" s="31"/>
      <c r="D39" s="23"/>
      <c r="E39" s="57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30">
        <v>7</v>
      </c>
      <c r="C40" s="31"/>
      <c r="D40" s="23"/>
      <c r="E40" s="57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30">
        <v>8</v>
      </c>
      <c r="C41" s="31"/>
      <c r="D41" s="23"/>
      <c r="E41" s="57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19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</v>
      </c>
      <c r="C43" s="27" t="s">
        <v>185</v>
      </c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2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44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45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53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 t="s">
        <v>164</v>
      </c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20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 t="s">
        <v>164</v>
      </c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55</v>
      </c>
      <c r="C61" s="17" t="s">
        <v>51</v>
      </c>
      <c r="D61" s="17" t="s">
        <v>56</v>
      </c>
      <c r="E61" s="18" t="s">
        <v>57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165</v>
      </c>
      <c r="D62" s="55">
        <v>2450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166</v>
      </c>
      <c r="D63" s="55">
        <v>955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174</v>
      </c>
      <c r="D64" s="55">
        <v>200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3605</v>
      </c>
      <c r="E73" s="59">
        <f>SUM(E62:E72)</f>
        <v>0</v>
      </c>
      <c r="F73" s="59">
        <f>SUM(F62:F72)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algorithmName="SHA-512" hashValue="zedo2xruAfHgi2EO+iQRJ/Wrmz9ZiotOOLJ0fO+Yu1bcCGM7omeGuJigyvOmzKNnfj8MdHInVSQBJopEcW+Ajw==" saltValue="0IVesaUOhcBf68LWyi1KAg==" spinCount="100000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2:F42"/>
    <mergeCell ref="B47:F47"/>
  </mergeCells>
  <dataValidations count="1">
    <dataValidation type="decimal" operator="greaterThanOrEqual" allowBlank="1" showInputMessage="1" showErrorMessage="1" sqref="E46 E48:F51 E53:F58 D62:F71 E43:E44 E34:E41 E23:F27 E3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6" zoomScaleNormal="100" workbookViewId="0">
      <selection activeCell="D25" sqref="D25"/>
    </sheetView>
  </sheetViews>
  <sheetFormatPr defaultColWidth="14.42578125" defaultRowHeight="15" customHeight="1" outlineLevelRow="1" x14ac:dyDescent="0.25"/>
  <cols>
    <col min="1" max="1" width="1.710937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DENGUE WITH WARNING SIGNS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176</v>
      </c>
      <c r="D11" s="27" t="s">
        <v>167</v>
      </c>
      <c r="E11" s="27" t="s">
        <v>175</v>
      </c>
      <c r="F11" s="55">
        <v>1</v>
      </c>
      <c r="G11" s="55">
        <v>3</v>
      </c>
      <c r="H11" s="55">
        <v>3</v>
      </c>
      <c r="I11" s="55">
        <v>200</v>
      </c>
      <c r="J11" s="55">
        <f>H11*I11</f>
        <v>600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186</v>
      </c>
      <c r="D12" s="27" t="s">
        <v>180</v>
      </c>
      <c r="E12" s="27" t="s">
        <v>181</v>
      </c>
      <c r="F12" s="55">
        <v>3</v>
      </c>
      <c r="G12" s="55">
        <v>3</v>
      </c>
      <c r="H12" s="55">
        <v>3</v>
      </c>
      <c r="I12" s="55">
        <v>100</v>
      </c>
      <c r="J12" s="55">
        <f t="shared" ref="J12:J16" si="0">H12*I12</f>
        <v>300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186</v>
      </c>
      <c r="D13" s="27" t="s">
        <v>180</v>
      </c>
      <c r="E13" s="27" t="s">
        <v>181</v>
      </c>
      <c r="F13" s="55">
        <v>4</v>
      </c>
      <c r="G13" s="55">
        <v>2</v>
      </c>
      <c r="H13" s="55">
        <v>5</v>
      </c>
      <c r="I13" s="55">
        <v>100</v>
      </c>
      <c r="J13" s="55">
        <f t="shared" si="0"/>
        <v>500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187</v>
      </c>
      <c r="D14" s="27" t="s">
        <v>180</v>
      </c>
      <c r="E14" s="27" t="s">
        <v>188</v>
      </c>
      <c r="F14" s="55">
        <v>1</v>
      </c>
      <c r="G14" s="55">
        <v>1</v>
      </c>
      <c r="H14" s="55">
        <v>1</v>
      </c>
      <c r="I14" s="55">
        <v>100</v>
      </c>
      <c r="J14" s="55">
        <f t="shared" si="0"/>
        <v>100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189</v>
      </c>
      <c r="D15" s="27" t="s">
        <v>168</v>
      </c>
      <c r="E15" s="27" t="s">
        <v>177</v>
      </c>
      <c r="F15" s="55">
        <v>3</v>
      </c>
      <c r="G15" s="55">
        <v>3</v>
      </c>
      <c r="H15" s="55">
        <v>6</v>
      </c>
      <c r="I15" s="55">
        <v>100</v>
      </c>
      <c r="J15" s="55">
        <f t="shared" si="0"/>
        <v>600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723900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1485900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C32" sqref="C3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178</v>
      </c>
      <c r="D16" s="70" t="s">
        <v>171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179</v>
      </c>
      <c r="D17" s="70" t="s">
        <v>171</v>
      </c>
      <c r="E17" s="55">
        <v>1</v>
      </c>
      <c r="F17" s="55">
        <v>40</v>
      </c>
      <c r="G17" s="55">
        <f t="shared" ref="G17:G20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169</v>
      </c>
      <c r="D18" s="70" t="s">
        <v>171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170</v>
      </c>
      <c r="D19" s="70" t="s">
        <v>171</v>
      </c>
      <c r="E19" s="55">
        <v>12</v>
      </c>
      <c r="F19" s="55">
        <v>10</v>
      </c>
      <c r="G19" s="55">
        <f t="shared" si="0"/>
        <v>120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172</v>
      </c>
      <c r="D20" s="70" t="s">
        <v>171</v>
      </c>
      <c r="E20" s="55">
        <v>6</v>
      </c>
      <c r="F20" s="55">
        <v>10</v>
      </c>
      <c r="G20" s="55">
        <f t="shared" si="0"/>
        <v>60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360</v>
      </c>
      <c r="H13" s="55">
        <v>15</v>
      </c>
      <c r="I13" s="55"/>
      <c r="J13" s="55">
        <v>35</v>
      </c>
      <c r="K13" s="55"/>
      <c r="L13" s="55"/>
      <c r="M13" s="55"/>
      <c r="N13" s="55"/>
      <c r="P13" s="88">
        <f>SUM(D13:N13)</f>
        <v>430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20</v>
      </c>
      <c r="F30" s="88">
        <f t="shared" si="1"/>
        <v>0</v>
      </c>
      <c r="G30" s="88">
        <f t="shared" si="1"/>
        <v>360</v>
      </c>
      <c r="H30" s="88">
        <f t="shared" si="1"/>
        <v>15</v>
      </c>
      <c r="I30" s="88">
        <f t="shared" si="1"/>
        <v>0</v>
      </c>
      <c r="J30" s="88">
        <f t="shared" si="1"/>
        <v>35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430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2018-06-01T05:19:51Z</dcterms:modified>
</cp:coreProperties>
</file>