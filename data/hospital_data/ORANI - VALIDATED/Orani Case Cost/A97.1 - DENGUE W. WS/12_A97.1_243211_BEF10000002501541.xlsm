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Supplies_Medical'!$C$15:$C$43</definedName>
    <definedName name="Drugs">'1.2 Drugs&amp;Med'!$C$11:$C$21</definedName>
    <definedName name="_xlnm.Print_Area" localSheetId="0">'1.1 Case data_general'!$B$1:$F$69</definedName>
    <definedName name="_xlnm.Print_Area" localSheetId="1">'1.2 Drugs&amp;Med'!$B$2:$J$22</definedName>
  </definedNames>
  <calcPr calcId="145621"/>
</workbook>
</file>

<file path=xl/calcChain.xml><?xml version="1.0" encoding="utf-8"?>
<calcChain xmlns="http://schemas.openxmlformats.org/spreadsheetml/2006/main">
  <c r="J21" i="2" l="1"/>
  <c r="J20" i="2"/>
  <c r="J19" i="2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<sst xmlns="http://schemas.openxmlformats.org/spreadsheetml/2006/main" count="505" uniqueCount="199">
  <si>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</si>
  <si>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</si>
  <si>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</si>
  <si>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</si>
  <si>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</si>
  <si>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</si>
  <si>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</si>
  <si>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</si>
  <si>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</si>
  <si>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</si>
  <si>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</si>
  <si>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</si>
  <si>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</si>
  <si>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</si>
  <si>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</si>
  <si>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</si>
  <si>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</si>
  <si>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</si>
  <si>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</si>
  <si>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</si>
  <si>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</si>
  <si>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</si>
  <si>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</si>
  <si>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</si>
  <si>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</si>
  <si>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</si>
  <si>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</si>
  <si>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</si>
  <si>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</si>
  <si>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</si>
  <si>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</si>
  <si>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</si>
  <si>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</si>
  <si>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</si>
  <si>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</si>
  <si>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</si>
  <si>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</si>
  <si>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</si>
  <si>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</si>
  <si>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</si>
  <si>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</si>
  <si>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</si>
  <si>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</si>
  <si>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</si>
  <si>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</si>
  <si>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</si>
  <si>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</si>
  <si>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</si>
  <si>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</si>
  <si>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</si>
  <si>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</si>
  <si>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</si>
  <si>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</si>
  <si>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</si>
  <si>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</si>
  <si>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</si>
  <si>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</si>
  <si>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</si>
  <si>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</si>
  <si>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</si>
  <si>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</si>
  <si>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</si>
  <si>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</si>
  <si>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</si>
  <si>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</si>
  <si>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</si>
  <si>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</si>
  <si>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</si>
  <si>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</si>
  <si>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</si>
  <si>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</si>
  <si>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</si>
  <si>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</si>
  <si>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</si>
  <si>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</si>
  <si>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</si>
  <si>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</si>
  <si>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</si>
  <si>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</si>
  <si>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</si>
  <si>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</si>
  <si>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</si>
  <si>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</si>
  <si>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</si>
  <si>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</si>
  <si>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</si>
  <si>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</si>
  <si>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</si>
  <si>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</si>
  <si>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</si>
  <si>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</si>
  <si>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</si>
  <si>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</si>
  <si>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</si>
  <si>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</si>
  <si>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</si>
  <si>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</si>
  <si>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</si>
  <si>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</si>
  <si>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</si>
  <si>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</si>
  <si>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</si>
  <si>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</si>
  <si>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</si>
  <si>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</si>
  <si>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</si>
  <si>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</si>
  <si>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</si>
  <si>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</si>
  <si>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</si>
  <si>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</si>
  <si>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</si>
  <si>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</si>
  <si>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</si>
  <si>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</si>
  <si>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</si>
  <si>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</si>
  <si>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</si>
  <si>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</si>
  <si>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</si>
  <si>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</si>
  <si>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</si>
  <si>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</si>
  <si>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</si>
  <si>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</si>
  <si>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</si>
  <si>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</si>
  <si>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</si>
  <si>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</si>
  <si>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</si>
  <si>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</si>
  <si>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</si>
  <si>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</si>
  <si>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</si>
  <si>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</si>
  <si>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</si>
  <si>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</si>
  <si>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</si>
  <si>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</si>
  <si>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</si>
  <si>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</si>
  <si>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</si>
  <si>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</si>
  <si>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</si>
  <si>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</si>
  <si>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</si>
  <si>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</si>
  <si>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</si>
  <si>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</si>
  <si>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</si>
  <si>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</si>
  <si>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</si>
  <si>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</si>
  <si>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</si>
  <si>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</si>
  <si>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</si>
  <si>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</si>
  <si>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</si>
  <si>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</si>
  <si>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</si>
  <si>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</si>
  <si>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</si>
  <si>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</si>
  <si>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</si>
  <si>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</si>
  <si>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</si>
  <si>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</si>
  <si>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</si>
  <si>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</si>
  <si>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TABLET</t>
  </si>
  <si>
    <t>AMPULE</t>
  </si>
  <si>
    <t>SYRINGE 3CC</t>
  </si>
  <si>
    <t>PC</t>
  </si>
  <si>
    <t>D5 LR</t>
  </si>
  <si>
    <t>BOTTLE</t>
  </si>
  <si>
    <t>1LITER</t>
  </si>
  <si>
    <t>ABOCATH GAUGE 20</t>
  </si>
  <si>
    <t>MACRO SET</t>
  </si>
  <si>
    <t>PLASTER 1/2</t>
  </si>
  <si>
    <t>CBC PLATELET COUNT</t>
  </si>
  <si>
    <t>XRAY</t>
  </si>
  <si>
    <t>VIAL</t>
  </si>
  <si>
    <t>PARACETAMOL</t>
  </si>
  <si>
    <t>D5 IMB</t>
  </si>
  <si>
    <t>SYRINGE 5CC</t>
  </si>
  <si>
    <t>A97.1</t>
  </si>
  <si>
    <t>CEFTRIAXONE</t>
  </si>
  <si>
    <t>1GM</t>
  </si>
  <si>
    <t>1AMP</t>
  </si>
  <si>
    <t>METOCLOPRAMIDE</t>
  </si>
  <si>
    <t>RANITIDINE</t>
  </si>
  <si>
    <t>10ML</t>
  </si>
  <si>
    <t>50ML</t>
  </si>
  <si>
    <t>HNBB</t>
  </si>
  <si>
    <t>IMMUMOSINE</t>
  </si>
  <si>
    <t>50MG</t>
  </si>
  <si>
    <t>PLAIN NS SOLUTION</t>
  </si>
  <si>
    <t>DISPOSABLE FACE MASK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</si>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</sst>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22</xdr:row>
          <xdr:rowOff>28575</xdr:rowOff>
        </xdr:from>
        <xdr:to>
          <xdr:col>1</xdr:col>
          <xdr:colOff>762000</xdr:colOff>
          <xdr:row>22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22</xdr:row>
          <xdr:rowOff>28575</xdr:rowOff>
        </xdr:from>
        <xdr:to>
          <xdr:col>1</xdr:col>
          <xdr:colOff>1533525</xdr:colOff>
          <xdr:row>22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28575</xdr:rowOff>
        </xdr:from>
        <xdr:to>
          <xdr:col>1</xdr:col>
          <xdr:colOff>771525</xdr:colOff>
          <xdr:row>33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33</xdr:row>
          <xdr:rowOff>28575</xdr:rowOff>
        </xdr:from>
        <xdr:to>
          <xdr:col>1</xdr:col>
          <xdr:colOff>1543050</xdr:colOff>
          <xdr:row>33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abSelected="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6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179</v>
      </c>
      <c r="D34" s="23"/>
      <c r="E34" s="57">
        <v>6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164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3635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980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167</v>
      </c>
      <c r="D60" s="55">
        <v>600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180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5215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2"/>
  <sheetViews>
    <sheetView workbookViewId="0">
      <selection activeCell="E26" sqref="E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186</v>
      </c>
      <c r="D11" s="27" t="s">
        <v>181</v>
      </c>
      <c r="E11" s="27" t="s">
        <v>187</v>
      </c>
      <c r="F11" s="55">
        <v>2</v>
      </c>
      <c r="G11" s="55">
        <v>3</v>
      </c>
      <c r="H11" s="55">
        <v>5</v>
      </c>
      <c r="I11" s="55">
        <v>80</v>
      </c>
      <c r="J11" s="55">
        <f>H11*I11</f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170</v>
      </c>
      <c r="E12" s="27" t="s">
        <v>188</v>
      </c>
      <c r="F12" s="55">
        <v>6</v>
      </c>
      <c r="G12" s="55">
        <v>2</v>
      </c>
      <c r="H12" s="55">
        <v>4</v>
      </c>
      <c r="I12" s="55">
        <v>50</v>
      </c>
      <c r="J12" s="55">
        <f t="shared" ref="J12:J21" si="0">H12*I12</f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181</v>
      </c>
      <c r="E13" s="27" t="s">
        <v>187</v>
      </c>
      <c r="F13" s="55">
        <v>1</v>
      </c>
      <c r="G13" s="55">
        <v>3</v>
      </c>
      <c r="H13" s="55">
        <v>3</v>
      </c>
      <c r="I13" s="55">
        <v>80</v>
      </c>
      <c r="J13" s="55">
        <f t="shared" si="0"/>
        <v>240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170</v>
      </c>
      <c r="E14" s="27" t="s">
        <v>191</v>
      </c>
      <c r="F14" s="55">
        <v>3</v>
      </c>
      <c r="G14" s="55">
        <v>2</v>
      </c>
      <c r="H14" s="55">
        <v>3</v>
      </c>
      <c r="I14" s="55">
        <v>50</v>
      </c>
      <c r="J14" s="55">
        <f t="shared" si="0"/>
        <v>150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170</v>
      </c>
      <c r="E15" s="27" t="s">
        <v>192</v>
      </c>
      <c r="F15" s="55">
        <v>2</v>
      </c>
      <c r="G15" s="55">
        <v>3</v>
      </c>
      <c r="H15" s="55">
        <v>5</v>
      </c>
      <c r="I15" s="55">
        <v>50</v>
      </c>
      <c r="J15" s="55">
        <f t="shared" si="0"/>
        <v>250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170</v>
      </c>
      <c r="E16" s="27" t="s">
        <v>188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194</v>
      </c>
      <c r="D17" s="27" t="s">
        <v>169</v>
      </c>
      <c r="E17" s="27" t="s">
        <v>195</v>
      </c>
      <c r="F17" s="55">
        <v>3</v>
      </c>
      <c r="G17" s="55">
        <v>2</v>
      </c>
      <c r="H17" s="55">
        <v>5</v>
      </c>
      <c r="I17" s="55">
        <v>30</v>
      </c>
      <c r="J17" s="55">
        <f t="shared" si="0"/>
        <v>150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186</v>
      </c>
      <c r="D18" s="27" t="s">
        <v>181</v>
      </c>
      <c r="E18" s="27" t="s">
        <v>187</v>
      </c>
      <c r="F18" s="55">
        <v>1</v>
      </c>
      <c r="G18" s="55">
        <v>1</v>
      </c>
      <c r="H18" s="55">
        <v>1</v>
      </c>
      <c r="I18" s="55">
        <v>80</v>
      </c>
      <c r="J18" s="55">
        <f t="shared" si="0"/>
        <v>80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173</v>
      </c>
      <c r="D19" s="27" t="s">
        <v>174</v>
      </c>
      <c r="E19" s="27" t="s">
        <v>175</v>
      </c>
      <c r="F19" s="55">
        <v>2</v>
      </c>
      <c r="G19" s="55">
        <v>5</v>
      </c>
      <c r="H19" s="55">
        <v>10</v>
      </c>
      <c r="I19" s="55">
        <v>100</v>
      </c>
      <c r="J19" s="55">
        <f t="shared" si="0"/>
        <v>1000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196</v>
      </c>
      <c r="D20" s="27" t="s">
        <v>174</v>
      </c>
      <c r="E20" s="27" t="s">
        <v>175</v>
      </c>
      <c r="F20" s="55">
        <v>1</v>
      </c>
      <c r="G20" s="55">
        <v>4</v>
      </c>
      <c r="H20" s="55">
        <v>4</v>
      </c>
      <c r="I20" s="55">
        <v>180</v>
      </c>
      <c r="J20" s="55">
        <f t="shared" si="0"/>
        <v>720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183</v>
      </c>
      <c r="D21" s="27" t="s">
        <v>174</v>
      </c>
      <c r="E21" s="27" t="s">
        <v>175</v>
      </c>
      <c r="F21" s="55">
        <v>1</v>
      </c>
      <c r="G21" s="55">
        <v>2</v>
      </c>
      <c r="H21" s="55">
        <v>1</v>
      </c>
      <c r="I21" s="55">
        <v>100</v>
      </c>
      <c r="J21" s="55">
        <f t="shared" si="0"/>
        <v>100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25">
      <c r="A22" s="33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</row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7"/>
  <sheetViews>
    <sheetView topLeftCell="A10" workbookViewId="0">
      <selection activeCell="C26" sqref="C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172</v>
      </c>
      <c r="E16" s="55">
        <v>1</v>
      </c>
      <c r="F16" s="55">
        <v>100</v>
      </c>
      <c r="G16" s="55">
        <v>100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172</v>
      </c>
      <c r="E17" s="55">
        <v>1</v>
      </c>
      <c r="F17" s="55">
        <v>40</v>
      </c>
      <c r="G17" s="55"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172</v>
      </c>
      <c r="E18" s="55">
        <v>1</v>
      </c>
      <c r="F18" s="55">
        <v>40</v>
      </c>
      <c r="G18" s="55"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171</v>
      </c>
      <c r="D19" s="70" t="s">
        <v>172</v>
      </c>
      <c r="E19" s="55">
        <v>4</v>
      </c>
      <c r="F19" s="55">
        <v>10</v>
      </c>
      <c r="G19" s="55"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184</v>
      </c>
      <c r="D20" s="70" t="s">
        <v>172</v>
      </c>
      <c r="E20" s="55">
        <v>2</v>
      </c>
      <c r="F20" s="55">
        <v>10</v>
      </c>
      <c r="G20" s="55"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197</v>
      </c>
      <c r="D21" s="70" t="s">
        <v>172</v>
      </c>
      <c r="E21" s="55">
        <v>1</v>
      </c>
      <c r="F21" s="55">
        <v>5</v>
      </c>
      <c r="G21" s="55">
        <v>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136" t="s">
        <v>76</v>
      </c>
      <c r="C22" s="137"/>
      <c r="D22" s="137"/>
      <c r="E22" s="137"/>
      <c r="F22" s="137"/>
      <c r="G22" s="138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1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2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3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4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5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6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7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8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9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10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136" t="s">
        <v>29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A45" s="44"/>
      <c r="B45" s="39"/>
      <c r="C45" s="44"/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9">
    <mergeCell ref="B7:G7"/>
    <mergeCell ref="B22:G22"/>
    <mergeCell ref="B33:G3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22</xdr:row>
                    <xdr:rowOff>28575</xdr:rowOff>
                  </from>
                  <to>
                    <xdr:col>1</xdr:col>
                    <xdr:colOff>762000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22</xdr:row>
                    <xdr:rowOff>28575</xdr:rowOff>
                  </from>
                  <to>
                    <xdr:col>1</xdr:col>
                    <xdr:colOff>1533525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33</xdr:row>
                    <xdr:rowOff>28575</xdr:rowOff>
                  </from>
                  <to>
                    <xdr:col>1</xdr:col>
                    <xdr:colOff>771525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33</xdr:row>
                    <xdr:rowOff>28575</xdr:rowOff>
                  </from>
                  <to>
                    <xdr:col>1</xdr:col>
                    <xdr:colOff>1543050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J13" sqref="J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60</v>
      </c>
      <c r="F13" s="55"/>
      <c r="G13" s="55">
        <v>360</v>
      </c>
      <c r="H13" s="55">
        <v>30</v>
      </c>
      <c r="I13" s="55"/>
      <c r="J13" s="55">
        <v>75</v>
      </c>
      <c r="K13" s="55"/>
      <c r="L13" s="55"/>
      <c r="M13" s="55"/>
      <c r="N13" s="55"/>
      <c r="P13" s="88">
        <f>SUM(D13:N13)</f>
        <v>525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60</v>
      </c>
      <c r="F30" s="88">
        <f t="shared" si="1"/>
        <v>0</v>
      </c>
      <c r="G30" s="88">
        <f t="shared" si="1"/>
        <v>360</v>
      </c>
      <c r="H30" s="88">
        <f t="shared" si="1"/>
        <v>30</v>
      </c>
      <c r="I30" s="88">
        <f t="shared" si="1"/>
        <v>0</v>
      </c>
      <c r="J30" s="88">
        <f t="shared" si="1"/>
        <v>75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2018-06-01T05:44:46Z</dcterms:modified>
</cp:coreProperties>
</file>