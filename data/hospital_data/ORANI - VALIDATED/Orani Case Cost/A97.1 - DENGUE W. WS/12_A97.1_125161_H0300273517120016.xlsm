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4" i="9" l="1"/>
  <c r="G23" i="9"/>
  <c r="G22" i="9"/>
  <c r="G21" i="9"/>
  <c r="G20" i="9"/>
  <c r="G19" i="9"/>
  <c r="G18" i="9"/>
  <c r="G17" i="9"/>
  <c r="G16" i="9"/>
  <c r="J21" i="2" l="1"/>
  <c r="J20" i="2"/>
  <c r="J19" i="2"/>
  <c r="J18" i="2"/>
  <c r="J17" i="2"/>
  <c r="J16" i="2"/>
  <c r="J15" i="2"/>
  <c r="J14" i="2"/>
  <c r="J13" i="2"/>
  <c r="J12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<sst xmlns="http://schemas.openxmlformats.org/spreadsheetml/2006/main" count="494" uniqueCount="196">
  <si>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</si>
  <si>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</si>
  <si>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</si>
  <si>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</si>
  <si>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</si>
  <si>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</si>
  <si>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</si>
  <si>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</si>
  <si>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</si>
  <si>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</si>
  <si>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</si>
  <si>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</si>
  <si>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</si>
  <si>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</si>
  <si>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</si>
  <si>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</si>
  <si>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</si>
  <si>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</si>
  <si>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</si>
  <si>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</si>
  <si>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</si>
  <si>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</si>
  <si>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</si>
  <si>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</si>
  <si>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</si>
  <si>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</si>
  <si>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</si>
  <si>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</si>
  <si>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</si>
  <si>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</si>
  <si>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</si>
  <si>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</si>
  <si>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</si>
  <si>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</si>
  <si>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</si>
  <si>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</si>
  <si>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</si>
  <si>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</si>
  <si>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</si>
  <si>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</si>
  <si>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</si>
  <si>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</si>
  <si>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</si>
  <si>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</si>
  <si>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</si>
  <si>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</si>
  <si>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</si>
  <si>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</si>
  <si>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</si>
  <si>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</si>
  <si>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</si>
  <si>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</si>
  <si>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</si>
  <si>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</si>
  <si>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</si>
  <si>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</si>
  <si>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</si>
  <si>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</si>
  <si>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</si>
  <si>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</si>
  <si>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</si>
  <si>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</si>
  <si>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</si>
  <si>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</si>
  <si>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</si>
  <si>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</si>
  <si>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</si>
  <si>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</si>
  <si>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</si>
  <si>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</si>
  <si>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</si>
  <si>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</si>
  <si>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</si>
  <si>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</si>
  <si>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</si>
  <si>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</si>
  <si>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</si>
  <si>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</si>
  <si>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</si>
  <si>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</si>
  <si>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</si>
  <si>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</si>
  <si>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</si>
  <si>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</si>
  <si>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</si>
  <si>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</si>
  <si>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</si>
  <si>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</si>
  <si>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</si>
  <si>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</si>
  <si>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</si>
  <si>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</si>
  <si>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</si>
  <si>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</si>
  <si>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</si>
  <si>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</si>
  <si>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</si>
  <si>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</si>
  <si>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</si>
  <si>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</si>
  <si>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</si>
  <si>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</si>
  <si>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</si>
  <si>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</si>
  <si>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</si>
  <si>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</si>
  <si>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</si>
  <si>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</si>
  <si>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</si>
  <si>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</si>
  <si>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</si>
  <si>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</si>
  <si>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</si>
  <si>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</si>
  <si>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</si>
  <si>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</si>
  <si>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</si>
  <si>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</si>
  <si>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</si>
  <si>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</si>
  <si>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</si>
  <si>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</si>
  <si>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</si>
  <si>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</si>
  <si>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</si>
  <si>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</si>
  <si>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</si>
  <si>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</si>
  <si>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</si>
  <si>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</si>
  <si>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</si>
  <si>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</si>
  <si>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</si>
  <si>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</si>
  <si>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</si>
  <si>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</si>
  <si>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</si>
  <si>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</si>
  <si>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</si>
  <si>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</si>
  <si>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</si>
  <si>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</si>
  <si>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</si>
  <si>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</si>
  <si>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</si>
  <si>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</si>
  <si>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</si>
  <si>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</si>
  <si>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</si>
  <si>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</si>
  <si>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</si>
  <si>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</si>
  <si>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</si>
  <si>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</si>
  <si>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</si>
  <si>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</si>
  <si>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</si>
  <si>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</si>
  <si>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</si>
  <si>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</si>
  <si>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</si>
  <si>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</si>
  <si>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</si>
  <si>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</si>
  <si>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DENGUE WITH WARNING SIGN</t>
  </si>
  <si>
    <t>A97.1</t>
  </si>
  <si>
    <t>LABORATORY</t>
  </si>
  <si>
    <t>MEDICINES</t>
  </si>
  <si>
    <t>ROOM AND BOARD</t>
  </si>
  <si>
    <t>CBC PLATELET</t>
  </si>
  <si>
    <t>CEFTRIAXONE</t>
  </si>
  <si>
    <t>PARACETAMOL</t>
  </si>
  <si>
    <t>METOCLOPROMIDE</t>
  </si>
  <si>
    <t>OMEPRAZOLE</t>
  </si>
  <si>
    <t>MULTIVITAMINS</t>
  </si>
  <si>
    <t>Visit in the ward</t>
  </si>
  <si>
    <t>VIAL</t>
  </si>
  <si>
    <t>1G</t>
  </si>
  <si>
    <t>AMPULE</t>
  </si>
  <si>
    <t>150MG</t>
  </si>
  <si>
    <t>10MG/ML</t>
  </si>
  <si>
    <t>20MG</t>
  </si>
  <si>
    <t>CAPSULE</t>
  </si>
  <si>
    <t>500MG</t>
  </si>
  <si>
    <t>D5LR</t>
  </si>
  <si>
    <t>BOTTLE</t>
  </si>
  <si>
    <t>1LITER</t>
  </si>
  <si>
    <t>D5 0.9NaCL</t>
  </si>
  <si>
    <t>PNSS</t>
  </si>
  <si>
    <t>IV CATHETER G#24</t>
  </si>
  <si>
    <t>PIECE</t>
  </si>
  <si>
    <t>IV SET MACROSET</t>
  </si>
  <si>
    <t>PLASTER</t>
  </si>
  <si>
    <t>3CC SYRINGE</t>
  </si>
  <si>
    <t>5CC SYRINGE</t>
  </si>
  <si>
    <t>DISPOSABLE FACE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</si>
</sst>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3" zoomScaleNormal="100" workbookViewId="0">
      <selection activeCell="E35" sqref="E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6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6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163</v>
      </c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43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44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52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163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163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54</v>
      </c>
      <c r="C65" s="17" t="s">
        <v>50</v>
      </c>
      <c r="D65" s="17" t="s">
        <v>55</v>
      </c>
      <c r="E65" s="18" t="s">
        <v>56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166</v>
      </c>
      <c r="D66" s="55">
        <v>930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167</v>
      </c>
      <c r="D67" s="55">
        <v>3505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168</v>
      </c>
      <c r="D68" s="55">
        <v>600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5035</v>
      </c>
      <c r="E77" s="59">
        <f>SUM(E66:E76)</f>
        <v>0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DENGUE WITH WARNING SIGN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176</v>
      </c>
      <c r="E11" s="27" t="s">
        <v>177</v>
      </c>
      <c r="F11" s="55">
        <v>2</v>
      </c>
      <c r="G11" s="55">
        <v>7</v>
      </c>
      <c r="H11" s="55">
        <v>13</v>
      </c>
      <c r="I11" s="55">
        <v>100</v>
      </c>
      <c r="J11" s="55">
        <f>H11*I11</f>
        <v>1300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178</v>
      </c>
      <c r="E12" s="27" t="s">
        <v>179</v>
      </c>
      <c r="F12" s="55">
        <v>4</v>
      </c>
      <c r="G12" s="55">
        <v>2</v>
      </c>
      <c r="H12" s="55">
        <v>2</v>
      </c>
      <c r="I12" s="55">
        <v>50</v>
      </c>
      <c r="J12" s="55">
        <f t="shared" ref="J12:J21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178</v>
      </c>
      <c r="E13" s="27" t="s">
        <v>180</v>
      </c>
      <c r="F13" s="55">
        <v>1</v>
      </c>
      <c r="G13" s="55">
        <v>3</v>
      </c>
      <c r="H13" s="55">
        <v>3</v>
      </c>
      <c r="I13" s="55">
        <v>50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176</v>
      </c>
      <c r="E14" s="27" t="s">
        <v>181</v>
      </c>
      <c r="F14" s="55">
        <v>1</v>
      </c>
      <c r="G14" s="55">
        <v>4</v>
      </c>
      <c r="H14" s="55">
        <v>4</v>
      </c>
      <c r="I14" s="55">
        <v>100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174</v>
      </c>
      <c r="D15" s="27" t="s">
        <v>182</v>
      </c>
      <c r="E15" s="27" t="s">
        <v>183</v>
      </c>
      <c r="F15" s="55">
        <v>1</v>
      </c>
      <c r="G15" s="55">
        <v>3</v>
      </c>
      <c r="H15" s="55">
        <v>3</v>
      </c>
      <c r="I15" s="55">
        <v>50</v>
      </c>
      <c r="J15" s="55">
        <f t="shared" si="0"/>
        <v>150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185</v>
      </c>
      <c r="E16" s="27" t="s">
        <v>186</v>
      </c>
      <c r="F16" s="55">
        <v>2</v>
      </c>
      <c r="G16" s="55">
        <v>2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185</v>
      </c>
      <c r="E17" s="27" t="s">
        <v>186</v>
      </c>
      <c r="F17" s="55">
        <v>2</v>
      </c>
      <c r="G17" s="55">
        <v>2</v>
      </c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185</v>
      </c>
      <c r="E18" s="27" t="s">
        <v>186</v>
      </c>
      <c r="F18" s="55">
        <v>4</v>
      </c>
      <c r="G18" s="55">
        <v>3</v>
      </c>
      <c r="H18" s="55">
        <v>7</v>
      </c>
      <c r="I18" s="55">
        <v>100</v>
      </c>
      <c r="J18" s="55">
        <f t="shared" si="0"/>
        <v>700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DENGUE WITH WARNING SIGN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190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190</v>
      </c>
      <c r="E17" s="55">
        <v>1</v>
      </c>
      <c r="F17" s="55">
        <v>40</v>
      </c>
      <c r="G17" s="55">
        <f t="shared" ref="G17:G24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190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193</v>
      </c>
      <c r="D19" s="70" t="s">
        <v>190</v>
      </c>
      <c r="E19" s="55">
        <v>2</v>
      </c>
      <c r="F19" s="55">
        <v>10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190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190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DENGUE WITH WARNING SIGN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175</v>
      </c>
      <c r="D13" s="55"/>
      <c r="E13" s="55">
        <f>10*6</f>
        <v>60</v>
      </c>
      <c r="F13" s="55"/>
      <c r="G13" s="55">
        <f>24*5*60/20</f>
        <v>360</v>
      </c>
      <c r="H13" s="55"/>
      <c r="I13" s="55"/>
      <c r="J13" s="55">
        <f>5*5</f>
        <v>25</v>
      </c>
      <c r="K13" s="55"/>
      <c r="L13" s="55"/>
      <c r="M13" s="55"/>
      <c r="N13" s="55"/>
      <c r="P13" s="88">
        <f>SUM(D13:N13)</f>
        <v>445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60</v>
      </c>
      <c r="F30" s="88">
        <f t="shared" si="1"/>
        <v>0</v>
      </c>
      <c r="G30" s="88">
        <f t="shared" si="1"/>
        <v>360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2018-06-01T05:26:02Z</dcterms:modified>
</cp:coreProperties>
</file>