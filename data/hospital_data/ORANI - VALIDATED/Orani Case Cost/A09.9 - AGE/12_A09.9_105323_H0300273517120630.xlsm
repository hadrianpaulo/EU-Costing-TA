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G20" i="9" l="1"/>
  <c r="G17" i="9"/>
  <c r="G18" i="9"/>
  <c r="G19" i="9"/>
  <c r="G16" i="9"/>
  <c r="J12" i="2"/>
  <c r="J13" i="2"/>
  <c r="J14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<sst xmlns="http://schemas.openxmlformats.org/spreadsheetml/2006/main" count="481" uniqueCount="189">
  <si>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</si>
  <si>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</si>
  <si>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</si>
  <si>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</si>
  <si>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</si>
  <si>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</si>
  <si>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</si>
  <si>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</si>
  <si>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</si>
  <si>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</si>
  <si>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</si>
  <si>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</si>
  <si>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</si>
  <si>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</si>
  <si>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</si>
  <si>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</si>
  <si>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</si>
  <si>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</si>
  <si>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</si>
  <si>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</si>
  <si>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</si>
  <si>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</si>
  <si>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</si>
  <si>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</si>
  <si>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</si>
  <si>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</si>
  <si>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</si>
  <si>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</si>
  <si>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</si>
  <si>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</si>
  <si>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</si>
  <si>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</si>
  <si>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</si>
  <si>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</si>
  <si>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</si>
  <si>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</si>
  <si>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</si>
  <si>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</si>
  <si>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</si>
  <si>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</si>
  <si>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</si>
  <si>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</si>
  <si>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</si>
  <si>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</si>
  <si>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</si>
  <si>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</si>
  <si>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</si>
  <si>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</si>
  <si>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</si>
  <si>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</si>
  <si>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</si>
  <si>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</si>
  <si>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</si>
  <si>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</si>
  <si>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</si>
  <si>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</si>
  <si>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</si>
  <si>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</si>
  <si>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</si>
  <si>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</si>
  <si>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</si>
  <si>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</si>
  <si>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</si>
  <si>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</si>
  <si>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</si>
  <si>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</si>
  <si>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</si>
  <si>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</si>
  <si>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</si>
  <si>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</si>
  <si>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</si>
  <si>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</si>
  <si>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</si>
  <si>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</si>
  <si>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</si>
  <si>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</si>
  <si>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</si>
  <si>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</si>
  <si>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</si>
  <si>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</si>
  <si>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</si>
  <si>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</si>
  <si>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</si>
  <si>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</si>
  <si>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</si>
  <si>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</si>
  <si>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</si>
  <si>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</si>
  <si>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</si>
  <si>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</si>
  <si>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</si>
  <si>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</si>
  <si>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</si>
  <si>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</si>
  <si>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</si>
  <si>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</si>
  <si>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</si>
  <si>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</si>
  <si>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</si>
  <si>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</si>
  <si>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</si>
  <si>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</si>
  <si>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</si>
  <si>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</si>
  <si>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</si>
  <si>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</si>
  <si>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</si>
  <si>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</si>
  <si>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</si>
  <si>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</si>
  <si>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</si>
  <si>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</si>
  <si>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</si>
  <si>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</si>
  <si>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</si>
  <si>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</si>
  <si>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</si>
  <si>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</si>
  <si>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</si>
  <si>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</si>
  <si>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</si>
  <si>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</si>
  <si>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</si>
  <si>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</si>
  <si>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</si>
  <si>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</si>
  <si>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</si>
  <si>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</si>
  <si>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</si>
  <si>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</si>
  <si>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</si>
  <si>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</si>
  <si>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</si>
  <si>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</si>
  <si>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</si>
  <si>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</si>
  <si>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</si>
  <si>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</si>
  <si>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</si>
  <si>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</si>
  <si>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</si>
  <si>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</si>
  <si>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</si>
  <si>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</si>
  <si>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</si>
  <si>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</si>
  <si>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</si>
  <si>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</si>
  <si>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</si>
  <si>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</si>
  <si>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</si>
  <si>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</si>
  <si>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</si>
  <si>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</si>
  <si>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</si>
  <si>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</si>
  <si>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</si>
  <si>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</si>
  <si>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</si>
  <si>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</si>
  <si>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</si>
  <si>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</si>
  <si>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</si>
  <si>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</si>
  <si>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</si>
  <si>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CBC PLATELET COUNT</t>
  </si>
  <si>
    <t>MEDICINES</t>
  </si>
  <si>
    <t>LABORATORY</t>
  </si>
  <si>
    <t>ROOM AND BOARD</t>
  </si>
  <si>
    <t>A09.9</t>
  </si>
  <si>
    <t>E86.1</t>
  </si>
  <si>
    <t>VIAL</t>
  </si>
  <si>
    <t>BOTTLE</t>
  </si>
  <si>
    <t>1 LITTER</t>
  </si>
  <si>
    <t>PC</t>
  </si>
  <si>
    <t>MACRO SET</t>
  </si>
  <si>
    <t>PLASTER 1/2</t>
  </si>
  <si>
    <t>SYRINGE 3CC</t>
  </si>
  <si>
    <t>METOCLOPRAMIDE</t>
  </si>
  <si>
    <t>AMPUL</t>
  </si>
  <si>
    <t>10ML</t>
  </si>
  <si>
    <t>CEFUROXIME</t>
  </si>
  <si>
    <t>750MG</t>
  </si>
  <si>
    <t>PLAIN LR SOLUTION</t>
  </si>
  <si>
    <t>500ML</t>
  </si>
  <si>
    <t>D5 0.3 SODIUM CHLORIDE</t>
  </si>
  <si>
    <t>ABOCATH GAUGE 24</t>
  </si>
  <si>
    <t>SYRINGE 5CC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</si>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</sst>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166</v>
      </c>
      <c r="D57" s="55">
        <v>1140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167</v>
      </c>
      <c r="D58" s="55">
        <v>155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168</v>
      </c>
      <c r="D59" s="55">
        <v>300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1595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F16" sqref="F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179</v>
      </c>
      <c r="E11" s="27" t="s">
        <v>180</v>
      </c>
      <c r="F11" s="55">
        <v>1</v>
      </c>
      <c r="G11" s="55">
        <v>1</v>
      </c>
      <c r="H11" s="55">
        <v>1</v>
      </c>
      <c r="I11" s="55">
        <v>50</v>
      </c>
      <c r="J11" s="55">
        <f>H11*I11</f>
        <v>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171</v>
      </c>
      <c r="E12" s="27" t="s">
        <v>182</v>
      </c>
      <c r="F12" s="55">
        <v>2</v>
      </c>
      <c r="G12" s="55">
        <v>3</v>
      </c>
      <c r="H12" s="55">
        <v>4</v>
      </c>
      <c r="I12" s="55">
        <v>60</v>
      </c>
      <c r="J12" s="55">
        <f t="shared" ref="J12:J14" si="0">H12*I12</f>
        <v>240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172</v>
      </c>
      <c r="E13" s="27" t="s">
        <v>173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172</v>
      </c>
      <c r="E14" s="27" t="s">
        <v>184</v>
      </c>
      <c r="F14" s="55">
        <v>2</v>
      </c>
      <c r="G14" s="55">
        <v>2</v>
      </c>
      <c r="H14" s="55">
        <v>4</v>
      </c>
      <c r="I14" s="55">
        <v>100</v>
      </c>
      <c r="J14" s="55">
        <f t="shared" si="0"/>
        <v>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7" workbookViewId="0">
      <selection activeCell="A21" sqref="A21:XF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174</v>
      </c>
      <c r="E16" s="55">
        <v>2</v>
      </c>
      <c r="F16" s="55">
        <v>100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174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176</v>
      </c>
      <c r="D18" s="70" t="s">
        <v>174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174</v>
      </c>
      <c r="E19" s="55">
        <v>5</v>
      </c>
      <c r="F19" s="55">
        <v>10</v>
      </c>
      <c r="G19" s="55">
        <f t="shared" si="0"/>
        <v>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187</v>
      </c>
      <c r="D20" s="70" t="s">
        <v>174</v>
      </c>
      <c r="E20" s="55">
        <v>2</v>
      </c>
      <c r="F20" s="55">
        <v>10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9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480</v>
      </c>
      <c r="H13" s="55"/>
      <c r="I13" s="55"/>
      <c r="J13" s="55">
        <v>40</v>
      </c>
      <c r="K13" s="55"/>
      <c r="L13" s="55"/>
      <c r="M13" s="55"/>
      <c r="N13" s="55"/>
      <c r="P13" s="88">
        <f>SUM(D13:N13)</f>
        <v>550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40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2018-06-01T06:57:50Z</dcterms:modified>
</cp:coreProperties>
</file>