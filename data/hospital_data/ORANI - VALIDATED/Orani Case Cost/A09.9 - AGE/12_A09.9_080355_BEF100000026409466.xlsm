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<sst xmlns="http://schemas.openxmlformats.org/spreadsheetml/2006/main" count="486" uniqueCount="193">
  <si>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</si>
  <si>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</si>
  <si>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</si>
  <si>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</si>
  <si>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</si>
  <si>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</si>
  <si>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</si>
  <si>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</si>
  <si>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</si>
  <si>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</si>
  <si>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</si>
  <si>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</si>
  <si>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</si>
  <si>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</si>
  <si>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</si>
  <si>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</si>
  <si>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</si>
  <si>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</si>
  <si>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</si>
  <si>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</si>
  <si>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</si>
  <si>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</si>
  <si>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</si>
  <si>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</si>
  <si>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</si>
  <si>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</si>
  <si>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</si>
  <si>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</si>
  <si>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</si>
  <si>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</si>
  <si>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</si>
  <si>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</si>
  <si>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</si>
  <si>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</si>
  <si>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</si>
  <si>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</si>
  <si>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</si>
  <si>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</si>
  <si>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</si>
  <si>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</si>
  <si>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</si>
  <si>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</si>
  <si>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</si>
  <si>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</si>
  <si>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</si>
  <si>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</si>
  <si>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</si>
  <si>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</si>
  <si>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</si>
  <si>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</si>
  <si>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</si>
  <si>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</si>
  <si>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</si>
  <si>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</si>
  <si>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</si>
  <si>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</si>
  <si>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</si>
  <si>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</si>
  <si>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</si>
  <si>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</si>
  <si>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</si>
  <si>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</si>
  <si>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</si>
  <si>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</si>
  <si>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</si>
  <si>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</si>
  <si>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</si>
  <si>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</si>
  <si>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</si>
  <si>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</si>
  <si>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</si>
  <si>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</si>
  <si>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</si>
  <si>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</si>
  <si>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</si>
  <si>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</si>
  <si>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</si>
  <si>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</si>
  <si>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</si>
  <si>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</si>
  <si>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</si>
  <si>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</si>
  <si>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</si>
  <si>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</si>
  <si>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</si>
  <si>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</si>
  <si>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</si>
  <si>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</si>
  <si>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</si>
  <si>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</si>
  <si>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</si>
  <si>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</si>
  <si>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</si>
  <si>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</si>
  <si>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</si>
  <si>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</si>
  <si>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</si>
  <si>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</si>
  <si>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</si>
  <si>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</si>
  <si>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</si>
  <si>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</si>
  <si>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</si>
  <si>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</si>
  <si>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</si>
  <si>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</si>
  <si>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</si>
  <si>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</si>
  <si>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</si>
  <si>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</si>
  <si>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</si>
  <si>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</si>
  <si>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</si>
  <si>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</si>
  <si>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</si>
  <si>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</si>
  <si>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</si>
  <si>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</si>
  <si>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</si>
  <si>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</si>
  <si>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</si>
  <si>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</si>
  <si>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</si>
  <si>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</si>
  <si>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</si>
  <si>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</si>
  <si>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</si>
  <si>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</si>
  <si>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</si>
  <si>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</si>
  <si>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</si>
  <si>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</si>
  <si>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</si>
  <si>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</si>
  <si>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</si>
  <si>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</si>
  <si>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</si>
  <si>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</si>
  <si>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</si>
  <si>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</si>
  <si>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</si>
  <si>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</si>
  <si>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</si>
  <si>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</si>
  <si>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</si>
  <si>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</si>
  <si>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</si>
  <si>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</si>
  <si>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</si>
  <si>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</si>
  <si>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</si>
  <si>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</si>
  <si>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</si>
  <si>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</si>
  <si>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</si>
  <si>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</si>
  <si>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</si>
  <si>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</si>
  <si>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</si>
  <si>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</si>
  <si>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</si>
  <si>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</si>
  <si>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</si>
  <si>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</si>
  <si>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</si>
  <si>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</si>
  <si>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</si>
  <si>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</si>
  <si>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PC</t>
  </si>
  <si>
    <t>BOTTLE</t>
  </si>
  <si>
    <t>1LITER</t>
  </si>
  <si>
    <t>E86.1</t>
  </si>
  <si>
    <t>VIAL</t>
  </si>
  <si>
    <t>AMPULE</t>
  </si>
  <si>
    <t>ABOCATH G24</t>
  </si>
  <si>
    <t>MICRO SET</t>
  </si>
  <si>
    <t>PNSS</t>
  </si>
  <si>
    <t>PLASTER</t>
  </si>
  <si>
    <t>ROLL</t>
  </si>
  <si>
    <t>A09.9</t>
  </si>
  <si>
    <t>CBC PLATELET COUNT</t>
  </si>
  <si>
    <t>NAKCL</t>
  </si>
  <si>
    <t>RBS</t>
  </si>
  <si>
    <t>CEFTRIAXONE</t>
  </si>
  <si>
    <t>1G</t>
  </si>
  <si>
    <t>METOCLOPRAMIDE</t>
  </si>
  <si>
    <t>10MG/ML</t>
  </si>
  <si>
    <t>D5LR</t>
  </si>
  <si>
    <t>5CC SYRINGE</t>
  </si>
  <si>
    <t>3CC SYRINGE</t>
  </si>
  <si>
    <t>DISTILLED WATER FOR INJECTION</t>
  </si>
  <si>
    <t>50CC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</si>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</sst>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0" zoomScaleNormal="100" workbookViewId="0">
      <selection activeCell="E37" sqref="E37:E40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181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182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/>
      <c r="D37" s="23"/>
      <c r="E37" s="57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/>
      <c r="D38" s="23"/>
      <c r="E38" s="57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/>
      <c r="D39" s="23"/>
      <c r="E39" s="57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/>
      <c r="D40" s="23"/>
      <c r="E40" s="57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19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 t="s">
        <v>164</v>
      </c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8" t="s">
        <v>44</v>
      </c>
      <c r="C46" s="119"/>
      <c r="D46" s="116"/>
      <c r="E46" s="119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45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53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 t="s">
        <v>164</v>
      </c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5" t="s">
        <v>20</v>
      </c>
      <c r="C53" s="116"/>
      <c r="D53" s="116"/>
      <c r="E53" s="116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 t="s">
        <v>164</v>
      </c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55</v>
      </c>
      <c r="C62" s="17" t="s">
        <v>51</v>
      </c>
      <c r="D62" s="17" t="s">
        <v>56</v>
      </c>
      <c r="E62" s="18" t="s">
        <v>57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165</v>
      </c>
      <c r="D63" s="55">
        <v>1400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166</v>
      </c>
      <c r="D64" s="55">
        <v>690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167</v>
      </c>
      <c r="D65" s="55">
        <v>200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2290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1" sqref="J11: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172</v>
      </c>
      <c r="E11" s="27" t="s">
        <v>184</v>
      </c>
      <c r="F11" s="55">
        <v>2</v>
      </c>
      <c r="G11" s="55">
        <v>3</v>
      </c>
      <c r="H11" s="55">
        <v>4</v>
      </c>
      <c r="I11" s="55">
        <v>100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173</v>
      </c>
      <c r="E12" s="27" t="s">
        <v>186</v>
      </c>
      <c r="F12" s="55">
        <v>1</v>
      </c>
      <c r="G12" s="55">
        <v>1</v>
      </c>
      <c r="H12" s="55">
        <v>1</v>
      </c>
      <c r="I12" s="55">
        <v>50</v>
      </c>
      <c r="J12" s="55">
        <f t="shared" ref="J12:J18" si="0">H12*I12</f>
        <v>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187</v>
      </c>
      <c r="D13" s="27" t="s">
        <v>169</v>
      </c>
      <c r="E13" s="27" t="s">
        <v>170</v>
      </c>
      <c r="F13" s="55">
        <v>2</v>
      </c>
      <c r="G13" s="55">
        <v>2</v>
      </c>
      <c r="H13" s="55">
        <v>2</v>
      </c>
      <c r="I13" s="55">
        <v>100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169</v>
      </c>
      <c r="E14" s="27" t="s">
        <v>170</v>
      </c>
      <c r="F14" s="55">
        <v>2</v>
      </c>
      <c r="G14" s="55">
        <v>3</v>
      </c>
      <c r="H14" s="55">
        <v>3</v>
      </c>
      <c r="I14" s="55">
        <v>100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169</v>
      </c>
      <c r="E15" s="27" t="s">
        <v>191</v>
      </c>
      <c r="F15" s="55">
        <v>1</v>
      </c>
      <c r="G15" s="55">
        <v>2</v>
      </c>
      <c r="H15" s="55">
        <v>2</v>
      </c>
      <c r="I15" s="55">
        <v>85</v>
      </c>
      <c r="J15" s="55">
        <f t="shared" si="0"/>
        <v>170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D31" sqref="D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168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168</v>
      </c>
      <c r="E17" s="55">
        <v>1</v>
      </c>
      <c r="F17" s="55">
        <v>40</v>
      </c>
      <c r="G17" s="55">
        <f t="shared" ref="G17:G24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177</v>
      </c>
      <c r="D18" s="70" t="s">
        <v>178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188</v>
      </c>
      <c r="D19" s="70" t="s">
        <v>168</v>
      </c>
      <c r="E19" s="55">
        <v>7</v>
      </c>
      <c r="F19" s="55">
        <v>10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189</v>
      </c>
      <c r="D20" s="70" t="s">
        <v>168</v>
      </c>
      <c r="E20" s="55">
        <v>4</v>
      </c>
      <c r="F20" s="55">
        <v>10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90</v>
      </c>
      <c r="F13" s="55"/>
      <c r="G13" s="55">
        <v>230</v>
      </c>
      <c r="H13" s="55"/>
      <c r="I13" s="55"/>
      <c r="J13" s="55">
        <v>30</v>
      </c>
      <c r="K13" s="55"/>
      <c r="L13" s="55"/>
      <c r="M13" s="55"/>
      <c r="N13" s="55"/>
      <c r="P13" s="88">
        <f>SUM(D13:N13)</f>
        <v>350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90</v>
      </c>
      <c r="F30" s="88">
        <f t="shared" si="1"/>
        <v>0</v>
      </c>
      <c r="G30" s="88">
        <f t="shared" si="1"/>
        <v>230</v>
      </c>
      <c r="H30" s="88">
        <f t="shared" si="1"/>
        <v>0</v>
      </c>
      <c r="I30" s="88">
        <f t="shared" si="1"/>
        <v>0</v>
      </c>
      <c r="J30" s="88">
        <f t="shared" si="1"/>
        <v>30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2018-06-01T06:53:55Z</dcterms:modified>
</cp:coreProperties>
</file>