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data_general'!$B$1:$F$68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0" i="9" l="1"/>
  <c r="G19" i="9"/>
  <c r="G18" i="9"/>
  <c r="G17" i="9"/>
  <c r="G16" i="9"/>
  <c r="J12" i="2"/>
  <c r="J13" i="2"/>
  <c r="J14" i="2"/>
  <c r="J15" i="2"/>
  <c r="J16" i="2"/>
  <c r="J11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<sst xmlns="http://schemas.openxmlformats.org/spreadsheetml/2006/main" count="489" uniqueCount="196">
  <si>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</si>
  <si>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</si>
  <si>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</si>
  <si>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</si>
  <si>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</si>
  <si>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</si>
  <si>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</si>
  <si>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</si>
  <si>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</si>
  <si>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</si>
  <si>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</si>
  <si>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</si>
  <si>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</si>
  <si>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</si>
  <si>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</si>
  <si>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</si>
  <si>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</si>
  <si>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</si>
  <si>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</si>
  <si>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</si>
  <si>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</si>
  <si>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</si>
  <si>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</si>
  <si>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</si>
  <si>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</si>
  <si>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</si>
  <si>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</si>
  <si>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</si>
  <si>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</si>
  <si>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</si>
  <si>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</si>
  <si>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</si>
  <si>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</si>
  <si>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</si>
  <si>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</si>
  <si>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</si>
  <si>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</si>
  <si>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</si>
  <si>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</si>
  <si>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</si>
  <si>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</si>
  <si>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</si>
  <si>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</si>
  <si>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</si>
  <si>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</si>
  <si>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</si>
  <si>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</si>
  <si>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</si>
  <si>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</si>
  <si>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</si>
  <si>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</si>
  <si>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</si>
  <si>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</si>
  <si>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</si>
  <si>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</si>
  <si>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</si>
  <si>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</si>
  <si>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</si>
  <si>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</si>
  <si>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</si>
  <si>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</si>
  <si>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</si>
  <si>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</si>
  <si>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</si>
  <si>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</si>
  <si>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</si>
  <si>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</si>
  <si>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</si>
  <si>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</si>
  <si>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</si>
  <si>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</si>
  <si>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</si>
  <si>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</si>
  <si>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</si>
  <si>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</si>
  <si>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</si>
  <si>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</si>
  <si>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</si>
  <si>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</si>
  <si>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</si>
  <si>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</si>
  <si>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</si>
  <si>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</si>
  <si>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</si>
  <si>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</si>
  <si>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</si>
  <si>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</si>
  <si>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</si>
  <si>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</si>
  <si>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</si>
  <si>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</si>
  <si>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</si>
  <si>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</si>
  <si>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</si>
  <si>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</si>
  <si>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</si>
  <si>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</si>
  <si>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</si>
  <si>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</si>
  <si>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</si>
  <si>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</si>
  <si>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</si>
  <si>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</si>
  <si>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</si>
  <si>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</si>
  <si>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</si>
  <si>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</si>
  <si>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</si>
  <si>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</si>
  <si>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</si>
  <si>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</si>
  <si>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</si>
  <si>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</si>
  <si>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</si>
  <si>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</si>
  <si>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</si>
  <si>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</si>
  <si>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</si>
  <si>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</si>
  <si>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</si>
  <si>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</si>
  <si>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</si>
  <si>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</si>
  <si>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</si>
  <si>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</si>
  <si>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</si>
  <si>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</si>
  <si>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</si>
  <si>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</si>
  <si>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</si>
  <si>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</si>
  <si>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</si>
  <si>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</si>
  <si>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</si>
  <si>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</si>
  <si>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</si>
  <si>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</si>
  <si>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</si>
  <si>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</si>
  <si>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</si>
  <si>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</si>
  <si>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</si>
  <si>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</si>
  <si>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</si>
  <si>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</si>
  <si>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</si>
  <si>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</si>
  <si>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</si>
  <si>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</si>
  <si>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</si>
  <si>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</si>
  <si>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</si>
  <si>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</si>
  <si>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</si>
  <si>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</si>
  <si>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</si>
  <si>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</si>
  <si>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</si>
  <si>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</si>
  <si>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</si>
  <si>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</si>
  <si>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</si>
  <si>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</si>
  <si>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</si>
  <si>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</si>
  <si>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</si>
  <si>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MEDICINES</t>
  </si>
  <si>
    <t>LABORATORY</t>
  </si>
  <si>
    <t>VIAL</t>
  </si>
  <si>
    <t>BOTTLE</t>
  </si>
  <si>
    <t>PLASTER 1/2</t>
  </si>
  <si>
    <t>SYRINGE 3CC</t>
  </si>
  <si>
    <t>PC</t>
  </si>
  <si>
    <t>SYRINGE 5CC</t>
  </si>
  <si>
    <t>CBC PLATELET COUNT</t>
  </si>
  <si>
    <t>ROOM AND BOARD</t>
  </si>
  <si>
    <t>1LITER</t>
  </si>
  <si>
    <t>ABOCATH 20</t>
  </si>
  <si>
    <t>MACRO SET</t>
  </si>
  <si>
    <t>NAKCL</t>
  </si>
  <si>
    <t>FECALYSIS</t>
  </si>
  <si>
    <t>E86.1</t>
  </si>
  <si>
    <t>PARACETAMOL</t>
  </si>
  <si>
    <t>AMPULE</t>
  </si>
  <si>
    <t>300MG</t>
  </si>
  <si>
    <t>500MG</t>
  </si>
  <si>
    <t>PLAIN LR</t>
  </si>
  <si>
    <t>AMPICILLIN</t>
  </si>
  <si>
    <t>A09.9</t>
  </si>
  <si>
    <t>ROD</t>
  </si>
  <si>
    <t>PROZINC</t>
  </si>
  <si>
    <t>SACHET</t>
  </si>
  <si>
    <t>ALUMINUM MAGNESIUM</t>
  </si>
  <si>
    <t>VITAMIN B COMPLEX</t>
  </si>
  <si>
    <t>200MG/100ML</t>
  </si>
  <si>
    <t>100MG/100/1ML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</si>
</sst>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723900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1485900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topLeftCell="A48" zoomScaleNormal="100" workbookViewId="0">
      <selection activeCell="D61" sqref="D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2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180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179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44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45</v>
      </c>
      <c r="C41" s="13"/>
      <c r="D41" s="13"/>
      <c r="E41" s="16"/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5" t="s">
        <v>53</v>
      </c>
      <c r="C42" s="116"/>
      <c r="D42" s="116"/>
      <c r="E42" s="116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 t="s">
        <v>165</v>
      </c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20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 t="s">
        <v>165</v>
      </c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55</v>
      </c>
      <c r="C56" s="17" t="s">
        <v>51</v>
      </c>
      <c r="D56" s="17" t="s">
        <v>56</v>
      </c>
      <c r="E56" s="18" t="s">
        <v>57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166</v>
      </c>
      <c r="D57" s="55">
        <v>2080</v>
      </c>
      <c r="E57" s="55">
        <v>520</v>
      </c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167</v>
      </c>
      <c r="D58" s="55">
        <v>564</v>
      </c>
      <c r="E58" s="55">
        <v>141</v>
      </c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175</v>
      </c>
      <c r="D59" s="55">
        <v>960</v>
      </c>
      <c r="E59" s="55">
        <v>240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 t="s">
        <v>189</v>
      </c>
      <c r="D60" s="55">
        <v>720</v>
      </c>
      <c r="E60" s="55">
        <v>180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4324</v>
      </c>
      <c r="E68" s="59">
        <f>SUM(E57:E67)</f>
        <v>1081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algorithmName="SHA-512" hashValue="lB3+f6tehq/7V3V9MavdzuPawq6WrM/tb/UEyKeuOByy4rfcHcUe8GA/uMBKYhlGUz3WJ5E2j7RJAfAkvd9ETQ==" saltValue="KCuIYC0lp179p/D/pQ8XUQ==" spinCount="100000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2:F42"/>
  </mergeCells>
  <dataValidations count="1">
    <dataValidation type="decimal" operator="greaterThanOrEqual" allowBlank="1" showInputMessage="1" showErrorMessage="1" sqref="E41 E43:F46 E48:F53 D57:F66 E38:E39 E34:E36 E23:F27 E3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6" zoomScaleNormal="100" workbookViewId="0">
      <selection activeCell="C25" sqref="C25"/>
    </sheetView>
  </sheetViews>
  <sheetFormatPr defaultColWidth="14.42578125" defaultRowHeight="15" customHeight="1" outlineLevelRow="1" x14ac:dyDescent="0.25"/>
  <cols>
    <col min="1" max="1" width="1.710937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187</v>
      </c>
      <c r="D11" s="27" t="s">
        <v>168</v>
      </c>
      <c r="E11" s="27" t="s">
        <v>185</v>
      </c>
      <c r="F11" s="55">
        <v>3</v>
      </c>
      <c r="G11" s="55">
        <v>4</v>
      </c>
      <c r="H11" s="55">
        <v>10</v>
      </c>
      <c r="I11" s="55">
        <v>40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182</v>
      </c>
      <c r="D12" s="27" t="s">
        <v>183</v>
      </c>
      <c r="E12" s="27" t="s">
        <v>184</v>
      </c>
      <c r="F12" s="55">
        <v>6</v>
      </c>
      <c r="G12" s="55">
        <v>4</v>
      </c>
      <c r="H12" s="55">
        <v>12</v>
      </c>
      <c r="I12" s="55">
        <v>50</v>
      </c>
      <c r="J12" s="55">
        <f t="shared" ref="J12:J16" si="0">H12*I12</f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190</v>
      </c>
      <c r="D13" s="27" t="s">
        <v>191</v>
      </c>
      <c r="E13" s="27"/>
      <c r="F13" s="55">
        <v>2</v>
      </c>
      <c r="G13" s="55">
        <v>1</v>
      </c>
      <c r="H13" s="55">
        <v>2</v>
      </c>
      <c r="I13" s="55">
        <v>50</v>
      </c>
      <c r="J13" s="55">
        <f t="shared" si="0"/>
        <v>100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169</v>
      </c>
      <c r="E14" s="27" t="s">
        <v>194</v>
      </c>
      <c r="F14" s="55">
        <v>2</v>
      </c>
      <c r="G14" s="55">
        <v>1</v>
      </c>
      <c r="H14" s="55">
        <v>2</v>
      </c>
      <c r="I14" s="55">
        <v>50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186</v>
      </c>
      <c r="D15" s="27" t="s">
        <v>169</v>
      </c>
      <c r="E15" s="27" t="s">
        <v>176</v>
      </c>
      <c r="F15" s="55">
        <v>2</v>
      </c>
      <c r="G15" s="55">
        <v>4</v>
      </c>
      <c r="H15" s="55">
        <v>8</v>
      </c>
      <c r="I15" s="55">
        <v>100</v>
      </c>
      <c r="J15" s="55">
        <f t="shared" si="0"/>
        <v>800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193</v>
      </c>
      <c r="D16" s="27" t="s">
        <v>183</v>
      </c>
      <c r="E16" s="27" t="s">
        <v>195</v>
      </c>
      <c r="F16" s="55">
        <v>1</v>
      </c>
      <c r="G16" s="55">
        <v>4</v>
      </c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723900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1485900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G16" sqref="G16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177</v>
      </c>
      <c r="D16" s="70" t="s">
        <v>172</v>
      </c>
      <c r="E16" s="55">
        <v>1</v>
      </c>
      <c r="F16" s="55">
        <v>90</v>
      </c>
      <c r="G16" s="55">
        <f>E16*F16</f>
        <v>90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178</v>
      </c>
      <c r="D17" s="70" t="s">
        <v>172</v>
      </c>
      <c r="E17" s="55">
        <v>1</v>
      </c>
      <c r="F17" s="55">
        <v>40</v>
      </c>
      <c r="G17" s="55">
        <f t="shared" ref="G17:G20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170</v>
      </c>
      <c r="D18" s="70" t="s">
        <v>172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171</v>
      </c>
      <c r="D19" s="70" t="s">
        <v>172</v>
      </c>
      <c r="E19" s="55">
        <v>10</v>
      </c>
      <c r="F19" s="55">
        <v>10</v>
      </c>
      <c r="G19" s="55">
        <f t="shared" si="0"/>
        <v>100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172</v>
      </c>
      <c r="E20" s="55">
        <v>3</v>
      </c>
      <c r="F20" s="55">
        <v>10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E14" sqref="E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540</v>
      </c>
      <c r="H13" s="55">
        <v>20</v>
      </c>
      <c r="I13" s="55"/>
      <c r="J13" s="55">
        <v>65</v>
      </c>
      <c r="K13" s="55"/>
      <c r="L13" s="55"/>
      <c r="M13" s="55"/>
      <c r="N13" s="55"/>
      <c r="P13" s="88">
        <f>SUM(D13:N13)</f>
        <v>665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40</v>
      </c>
      <c r="F30" s="88">
        <f t="shared" si="1"/>
        <v>0</v>
      </c>
      <c r="G30" s="88">
        <f t="shared" si="1"/>
        <v>540</v>
      </c>
      <c r="H30" s="88">
        <f t="shared" si="1"/>
        <v>20</v>
      </c>
      <c r="I30" s="88">
        <f t="shared" si="1"/>
        <v>0</v>
      </c>
      <c r="J30" s="88">
        <f t="shared" si="1"/>
        <v>65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665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OPD Station</cp:lastModifiedBy>
  <dcterms:created xsi:type="dcterms:W3CDTF">2018-05-11T08:46:15Z</dcterms:created>
  <dcterms:modified xsi:type="dcterms:W3CDTF">2018-06-01T07:03:14Z</dcterms:modified>
</cp:coreProperties>
</file>