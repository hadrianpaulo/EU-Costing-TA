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data_general'!$B$1:$F$68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21" i="2" l="1"/>
  <c r="J20" i="2"/>
  <c r="J19" i="2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<sst xmlns="http://schemas.openxmlformats.org/spreadsheetml/2006/main" count="481" uniqueCount="188">
  <si>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</si>
  <si>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</si>
  <si>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</si>
  <si>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</si>
  <si>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</si>
  <si>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</si>
  <si>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</si>
  <si>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</si>
  <si>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</si>
  <si>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</si>
  <si>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</si>
  <si>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</si>
  <si>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</si>
  <si>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</si>
  <si>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</si>
  <si>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</si>
  <si>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</si>
  <si>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</si>
  <si>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</si>
  <si>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</si>
  <si>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</si>
  <si>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</si>
  <si>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</si>
  <si>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</si>
  <si>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</si>
  <si>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</si>
  <si>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</si>
  <si>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</si>
  <si>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</si>
  <si>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</si>
  <si>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</si>
  <si>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</si>
  <si>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</si>
  <si>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</si>
  <si>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</si>
  <si>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</si>
  <si>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</si>
  <si>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</si>
  <si>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</si>
  <si>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</si>
  <si>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</si>
  <si>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</si>
  <si>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</si>
  <si>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</si>
  <si>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</si>
  <si>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</si>
  <si>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</si>
  <si>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</si>
  <si>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</si>
  <si>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</si>
  <si>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</si>
  <si>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</si>
  <si>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</si>
  <si>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</si>
  <si>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</si>
  <si>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</si>
  <si>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</si>
  <si>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</si>
  <si>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</si>
  <si>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</si>
  <si>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</si>
  <si>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</si>
  <si>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</si>
  <si>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</si>
  <si>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</si>
  <si>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</si>
  <si>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</si>
  <si>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</si>
  <si>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</si>
  <si>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</si>
  <si>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</si>
  <si>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</si>
  <si>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</si>
  <si>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</si>
  <si>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</si>
  <si>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</si>
  <si>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</si>
  <si>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</si>
  <si>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</si>
  <si>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</si>
  <si>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</si>
  <si>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</si>
  <si>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</si>
  <si>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</si>
  <si>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</si>
  <si>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</si>
  <si>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</si>
  <si>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</si>
  <si>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</si>
  <si>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</si>
  <si>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</si>
  <si>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</si>
  <si>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</si>
  <si>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</si>
  <si>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</si>
  <si>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</si>
  <si>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</si>
  <si>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</si>
  <si>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</si>
  <si>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</si>
  <si>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</si>
  <si>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</si>
  <si>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</si>
  <si>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</si>
  <si>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</si>
  <si>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</si>
  <si>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</si>
  <si>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</si>
  <si>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</si>
  <si>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</si>
  <si>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</si>
  <si>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</si>
  <si>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</si>
  <si>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</si>
  <si>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</si>
  <si>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</si>
  <si>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</si>
  <si>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</si>
  <si>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</si>
  <si>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</si>
  <si>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</si>
  <si>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</si>
  <si>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</si>
  <si>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</si>
  <si>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</si>
  <si>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</si>
  <si>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</si>
  <si>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</si>
  <si>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</si>
  <si>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</si>
  <si>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</si>
  <si>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</si>
  <si>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</si>
  <si>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</si>
  <si>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</si>
  <si>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</si>
  <si>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</si>
  <si>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</si>
  <si>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</si>
  <si>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</si>
  <si>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</si>
  <si>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</si>
  <si>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</si>
  <si>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</si>
  <si>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</si>
  <si>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</si>
  <si>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</si>
  <si>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</si>
  <si>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</si>
  <si>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</si>
  <si>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</si>
  <si>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</si>
  <si>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</si>
  <si>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</si>
  <si>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</si>
  <si>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</si>
  <si>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</si>
  <si>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</si>
  <si>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</si>
  <si>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</si>
  <si>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</si>
  <si>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</si>
  <si>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</si>
  <si>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</si>
  <si>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</si>
  <si>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</si>
  <si>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</si>
  <si>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</si>
  <si>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SYRINGE 3CC</t>
  </si>
  <si>
    <t>PC</t>
  </si>
  <si>
    <t>BOTTLE</t>
  </si>
  <si>
    <t>1LITER</t>
  </si>
  <si>
    <t>PLASTER 1/2</t>
  </si>
  <si>
    <t>CBC PLATELET COUNT</t>
  </si>
  <si>
    <t>VIAL</t>
  </si>
  <si>
    <t>D5 0.3 NACL</t>
  </si>
  <si>
    <t>ABOCATH GAUGE 24</t>
  </si>
  <si>
    <t>MICRO SET</t>
  </si>
  <si>
    <t>SYRINGE 5CC</t>
  </si>
  <si>
    <t>A09.9</t>
  </si>
  <si>
    <t>E86.1</t>
  </si>
  <si>
    <t>METRONIDAZOLE</t>
  </si>
  <si>
    <t>5ML</t>
  </si>
  <si>
    <t>185MG</t>
  </si>
  <si>
    <t>BACILLUS CLAUSII</t>
  </si>
  <si>
    <t>CHLORAMPHENICOL</t>
  </si>
  <si>
    <t>200MG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</si>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</sst>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48" zoomScaleNormal="100" workbookViewId="0">
      <selection activeCell="D61" sqref="D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2505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310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167</v>
      </c>
      <c r="D59" s="55">
        <v>300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3115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1" sqref="J11:J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7.25" customHeight="1" x14ac:dyDescent="0.3">
      <c r="B11" s="42">
        <v>1</v>
      </c>
      <c r="C11" s="27" t="s">
        <v>181</v>
      </c>
      <c r="D11" s="27" t="s">
        <v>174</v>
      </c>
      <c r="E11" s="27" t="s">
        <v>183</v>
      </c>
      <c r="F11" s="55">
        <v>3</v>
      </c>
      <c r="G11" s="55">
        <v>4</v>
      </c>
      <c r="H11" s="55">
        <v>10</v>
      </c>
      <c r="I11" s="55">
        <v>75</v>
      </c>
      <c r="J11" s="55">
        <f>H11*I11</f>
        <v>750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184</v>
      </c>
      <c r="D12" s="27" t="s">
        <v>170</v>
      </c>
      <c r="E12" s="27" t="s">
        <v>182</v>
      </c>
      <c r="F12" s="55">
        <v>3</v>
      </c>
      <c r="G12" s="55">
        <v>2</v>
      </c>
      <c r="H12" s="55">
        <v>7</v>
      </c>
      <c r="I12" s="55">
        <v>65</v>
      </c>
      <c r="J12" s="55">
        <f t="shared" ref="J12:J21" si="0">H12*I12</f>
        <v>455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174</v>
      </c>
      <c r="E13" s="27" t="s">
        <v>186</v>
      </c>
      <c r="F13" s="55">
        <v>3</v>
      </c>
      <c r="G13" s="55">
        <v>3</v>
      </c>
      <c r="H13" s="55">
        <v>8</v>
      </c>
      <c r="I13" s="55">
        <v>60</v>
      </c>
      <c r="J13" s="55">
        <f t="shared" si="0"/>
        <v>480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175</v>
      </c>
      <c r="D14" s="27" t="s">
        <v>170</v>
      </c>
      <c r="E14" s="27" t="s">
        <v>171</v>
      </c>
      <c r="F14" s="55">
        <v>2</v>
      </c>
      <c r="G14" s="55">
        <v>4</v>
      </c>
      <c r="H14" s="55">
        <v>6</v>
      </c>
      <c r="I14" s="55">
        <v>100</v>
      </c>
      <c r="J14" s="55">
        <f t="shared" si="0"/>
        <v>600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16" sqref="G16: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168</v>
      </c>
      <c r="D16" s="70" t="s">
        <v>169</v>
      </c>
      <c r="E16" s="55">
        <v>3</v>
      </c>
      <c r="F16" s="55">
        <v>10</v>
      </c>
      <c r="G16" s="55">
        <f>E16*F16</f>
        <v>30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169</v>
      </c>
      <c r="E17" s="55">
        <v>1</v>
      </c>
      <c r="F17" s="55">
        <v>10</v>
      </c>
      <c r="G17" s="55">
        <f t="shared" ref="G17:G20" si="0"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176</v>
      </c>
      <c r="D18" s="70" t="s">
        <v>169</v>
      </c>
      <c r="E18" s="5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177</v>
      </c>
      <c r="D19" s="70" t="s">
        <v>169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169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360</v>
      </c>
      <c r="H13" s="55">
        <v>15</v>
      </c>
      <c r="I13" s="55"/>
      <c r="J13" s="55">
        <v>30</v>
      </c>
      <c r="K13" s="55"/>
      <c r="L13" s="55"/>
      <c r="M13" s="55"/>
      <c r="N13" s="55"/>
      <c r="P13" s="88">
        <f>SUM(D13:N13)</f>
        <v>435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360</v>
      </c>
      <c r="H30" s="88">
        <f t="shared" si="1"/>
        <v>15</v>
      </c>
      <c r="I30" s="88">
        <f t="shared" si="1"/>
        <v>0</v>
      </c>
      <c r="J30" s="88">
        <f t="shared" si="1"/>
        <v>30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2018-06-01T07:38:12Z</dcterms:modified>
</cp:coreProperties>
</file>