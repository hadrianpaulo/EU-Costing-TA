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Drugs&amp;Med'!$C$11:$C$15</definedName>
    <definedName name="_xlnm.Print_Area" localSheetId="0">'1.1 Case data_general'!$B$1:$F$70</definedName>
    <definedName name="_xlnm.Print_Area" localSheetId="1">'1.2 Drugs&amp;Med'!$B$2:$J$16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<sst xmlns="http://schemas.openxmlformats.org/spreadsheetml/2006/main" count="486" uniqueCount="193">
  <si>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</si>
  <si>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</si>
  <si>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</si>
  <si>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</si>
  <si>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</si>
  <si>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</si>
  <si>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</si>
  <si>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</si>
  <si>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</si>
  <si>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</si>
  <si>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</si>
  <si>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</si>
  <si>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</si>
  <si>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</si>
  <si>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</si>
  <si>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</si>
  <si>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</si>
  <si>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</si>
  <si>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</si>
  <si>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</si>
  <si>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</si>
  <si>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</si>
  <si>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</si>
  <si>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</si>
  <si>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</si>
  <si>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</si>
  <si>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</si>
  <si>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</si>
  <si>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</si>
  <si>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</si>
  <si>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</si>
  <si>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</si>
  <si>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</si>
  <si>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</si>
  <si>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</si>
  <si>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</si>
  <si>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</si>
  <si>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</si>
  <si>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</si>
  <si>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</si>
  <si>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</si>
  <si>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</si>
  <si>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</si>
  <si>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</si>
  <si>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</si>
  <si>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</si>
  <si>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</si>
  <si>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</si>
  <si>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</si>
  <si>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</si>
  <si>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</si>
  <si>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</si>
  <si>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</si>
  <si>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</si>
  <si>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</si>
  <si>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</si>
  <si>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</si>
  <si>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</si>
  <si>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</si>
  <si>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</si>
  <si>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</si>
  <si>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</si>
  <si>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</si>
  <si>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</si>
  <si>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</si>
  <si>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</si>
  <si>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</si>
  <si>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</si>
  <si>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</si>
  <si>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</si>
  <si>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</si>
  <si>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</si>
  <si>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</si>
  <si>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</si>
  <si>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</si>
  <si>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</si>
  <si>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</si>
  <si>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</si>
  <si>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</si>
  <si>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</si>
  <si>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</si>
  <si>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</si>
  <si>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</si>
  <si>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</si>
  <si>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</si>
  <si>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</si>
  <si>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</si>
  <si>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</si>
  <si>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</si>
  <si>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</si>
  <si>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</si>
  <si>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</si>
  <si>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</si>
  <si>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</si>
  <si>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</si>
  <si>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</si>
  <si>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</si>
  <si>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</si>
  <si>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</si>
  <si>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</si>
  <si>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</si>
  <si>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</si>
  <si>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</si>
  <si>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</si>
  <si>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</si>
  <si>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</si>
  <si>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</si>
  <si>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</si>
  <si>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</si>
  <si>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</si>
  <si>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</si>
  <si>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</si>
  <si>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</si>
  <si>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</si>
  <si>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</si>
  <si>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</si>
  <si>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</si>
  <si>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</si>
  <si>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</si>
  <si>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</si>
  <si>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</si>
  <si>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</si>
  <si>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</si>
  <si>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</si>
  <si>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</si>
  <si>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</si>
  <si>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</si>
  <si>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</si>
  <si>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</si>
  <si>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</si>
  <si>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</si>
  <si>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</si>
  <si>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</si>
  <si>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</si>
  <si>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</si>
  <si>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</si>
  <si>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</si>
  <si>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</si>
  <si>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</si>
  <si>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</si>
  <si>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</si>
  <si>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</si>
  <si>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</si>
  <si>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</si>
  <si>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</si>
  <si>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</si>
  <si>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</si>
  <si>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</si>
  <si>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</si>
  <si>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</si>
  <si>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</si>
  <si>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</si>
  <si>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</si>
  <si>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</si>
  <si>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</si>
  <si>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</si>
  <si>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</si>
  <si>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</si>
  <si>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</si>
  <si>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</si>
  <si>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</si>
  <si>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</si>
  <si>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</si>
  <si>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</si>
  <si>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</si>
  <si>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</si>
  <si>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</si>
  <si>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</si>
  <si>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AMPULE</t>
  </si>
  <si>
    <t>SYRINGE 3CC</t>
  </si>
  <si>
    <t>PC</t>
  </si>
  <si>
    <t>BOTTLE</t>
  </si>
  <si>
    <t>MACRO SET</t>
  </si>
  <si>
    <t>PLASTER 1/2</t>
  </si>
  <si>
    <t>A09.9</t>
  </si>
  <si>
    <t>E86.1</t>
  </si>
  <si>
    <t>CBC PLATELET COUNT</t>
  </si>
  <si>
    <t>FECALYSIS</t>
  </si>
  <si>
    <t>VIAL</t>
  </si>
  <si>
    <t>D5 0.3 NACL</t>
  </si>
  <si>
    <t>SYRINGE 5CC</t>
  </si>
  <si>
    <t>PARACETAMOL</t>
  </si>
  <si>
    <t>200MG</t>
  </si>
  <si>
    <t>NAKCL</t>
  </si>
  <si>
    <t>METRONIDAZOLE</t>
  </si>
  <si>
    <t>ABOCATH 22</t>
  </si>
  <si>
    <t>340MG</t>
  </si>
  <si>
    <t>METOCLOPRAMIDE</t>
  </si>
  <si>
    <t>4MG</t>
  </si>
  <si>
    <t>HYOSCINE</t>
  </si>
  <si>
    <t>20ML</t>
  </si>
  <si>
    <t>500CC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</si>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</sst>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175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2280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655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167</v>
      </c>
      <c r="D61" s="55">
        <v>300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3235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6"/>
  <sheetViews>
    <sheetView workbookViewId="0">
      <selection activeCell="H13" sqref="H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5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178</v>
      </c>
      <c r="E11" s="27" t="s">
        <v>186</v>
      </c>
      <c r="F11" s="55">
        <v>3</v>
      </c>
      <c r="G11" s="55">
        <v>4</v>
      </c>
      <c r="H11" s="55">
        <v>12</v>
      </c>
      <c r="I11" s="55">
        <v>60</v>
      </c>
      <c r="J11" s="55">
        <f>H11*I11</f>
        <v>720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168</v>
      </c>
      <c r="E12" s="27" t="s">
        <v>182</v>
      </c>
      <c r="F12" s="55">
        <v>3</v>
      </c>
      <c r="G12" s="55">
        <v>3</v>
      </c>
      <c r="H12" s="55">
        <v>5</v>
      </c>
      <c r="I12" s="55">
        <v>50</v>
      </c>
      <c r="J12" s="55">
        <f t="shared" ref="J12:J15" si="0">H12*I12</f>
        <v>250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168</v>
      </c>
      <c r="E13" s="27" t="s">
        <v>188</v>
      </c>
      <c r="F13" s="55">
        <v>1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168</v>
      </c>
      <c r="E14" s="27" t="s">
        <v>190</v>
      </c>
      <c r="F14" s="55">
        <v>1</v>
      </c>
      <c r="G14" s="55">
        <v>2</v>
      </c>
      <c r="H14" s="55">
        <v>2</v>
      </c>
      <c r="I14" s="55">
        <v>100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171</v>
      </c>
      <c r="E15" s="27" t="s">
        <v>191</v>
      </c>
      <c r="F15" s="55">
        <v>2</v>
      </c>
      <c r="G15" s="55">
        <v>4</v>
      </c>
      <c r="H15" s="55">
        <v>8</v>
      </c>
      <c r="I15" s="55">
        <v>100</v>
      </c>
      <c r="J15" s="55">
        <f t="shared" si="0"/>
        <v>800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25">
      <c r="A16" s="33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5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3" workbookViewId="0">
      <selection activeCell="E17" sqref="E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4</v>
      </c>
      <c r="F16" s="55">
        <v>10</v>
      </c>
      <c r="G16" s="55">
        <f>E16*F16</f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170</v>
      </c>
      <c r="E17" s="55">
        <v>4</v>
      </c>
      <c r="F17" s="55">
        <v>10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172</v>
      </c>
      <c r="D18" s="70" t="s">
        <v>170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185</v>
      </c>
      <c r="D19" s="70" t="s">
        <v>170</v>
      </c>
      <c r="E19" s="55">
        <v>1</v>
      </c>
      <c r="F19" s="55">
        <v>100</v>
      </c>
      <c r="G19" s="55">
        <f t="shared" si="0"/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170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400</v>
      </c>
      <c r="H13" s="55">
        <v>15</v>
      </c>
      <c r="I13" s="55"/>
      <c r="J13" s="55">
        <v>45</v>
      </c>
      <c r="K13" s="55"/>
      <c r="L13" s="55"/>
      <c r="M13" s="55"/>
      <c r="N13" s="55"/>
      <c r="P13" s="88">
        <f>SUM(D13:N13)</f>
        <v>490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400</v>
      </c>
      <c r="H30" s="88">
        <f t="shared" si="1"/>
        <v>15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2018-06-01T07:30:47Z</dcterms:modified>
</cp:coreProperties>
</file>