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1" i="2"/>
  <c r="J12" i="2"/>
  <c r="J13" i="2"/>
  <c r="J14" i="2"/>
  <c r="J15" i="2"/>
  <c r="J16" i="2"/>
  <c r="J17" i="2"/>
  <c r="J18" i="2"/>
  <c r="J19" i="2"/>
  <c r="J20" i="2"/>
  <c r="J2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<sst xmlns="http://schemas.openxmlformats.org/spreadsheetml/2006/main" count="496" uniqueCount="198">
  <si>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</si>
  <si>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</si>
  <si>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</si>
  <si>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</si>
  <si>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</si>
  <si>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</si>
  <si>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</si>
  <si>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</si>
  <si>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</si>
  <si>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</si>
  <si>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</si>
  <si>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</si>
  <si>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</si>
  <si>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</si>
  <si>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</si>
  <si>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</si>
  <si>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</si>
  <si>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</si>
  <si>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</si>
  <si>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</si>
  <si>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</si>
  <si>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</si>
  <si>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</si>
  <si>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</si>
  <si>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</si>
  <si>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</si>
  <si>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</si>
  <si>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</si>
  <si>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</si>
  <si>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</si>
  <si>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</si>
  <si>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</si>
  <si>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</si>
  <si>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</si>
  <si>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</si>
  <si>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</si>
  <si>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</si>
  <si>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</si>
  <si>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</si>
  <si>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</si>
  <si>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</si>
  <si>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</si>
  <si>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</si>
  <si>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</si>
  <si>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</si>
  <si>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</si>
  <si>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</si>
  <si>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</si>
  <si>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</si>
  <si>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</si>
  <si>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</si>
  <si>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</si>
  <si>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</si>
  <si>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</si>
  <si>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</si>
  <si>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</si>
  <si>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</si>
  <si>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</si>
  <si>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</si>
  <si>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</si>
  <si>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</si>
  <si>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</si>
  <si>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</si>
  <si>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</si>
  <si>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</si>
  <si>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</si>
  <si>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</si>
  <si>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</si>
  <si>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</si>
  <si>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</si>
  <si>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</si>
  <si>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</si>
  <si>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</si>
  <si>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</si>
  <si>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</si>
  <si>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</si>
  <si>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</si>
  <si>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</si>
  <si>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</si>
  <si>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</si>
  <si>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</si>
  <si>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</si>
  <si>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</si>
  <si>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</si>
  <si>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</si>
  <si>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</si>
  <si>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</si>
  <si>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</si>
  <si>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</si>
  <si>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</si>
  <si>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</si>
  <si>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</si>
  <si>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</si>
  <si>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</si>
  <si>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</si>
  <si>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</si>
  <si>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</si>
  <si>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</si>
  <si>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</si>
  <si>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</si>
  <si>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</si>
  <si>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</si>
  <si>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</si>
  <si>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</si>
  <si>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</si>
  <si>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</si>
  <si>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</si>
  <si>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</si>
  <si>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</si>
  <si>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</si>
  <si>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</si>
  <si>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</si>
  <si>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</si>
  <si>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</si>
  <si>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</si>
  <si>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</si>
  <si>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</si>
  <si>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</si>
  <si>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</si>
  <si>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</si>
  <si>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</si>
  <si>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</si>
  <si>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</si>
  <si>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</si>
  <si>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</si>
  <si>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</si>
  <si>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</si>
  <si>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</si>
  <si>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</si>
  <si>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</si>
  <si>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</si>
  <si>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</si>
  <si>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</si>
  <si>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</si>
  <si>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</si>
  <si>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</si>
  <si>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</si>
  <si>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</si>
  <si>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</si>
  <si>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</si>
  <si>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</si>
  <si>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</si>
  <si>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</si>
  <si>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</si>
  <si>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</si>
  <si>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</si>
  <si>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</si>
  <si>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</si>
  <si>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</si>
  <si>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</si>
  <si>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</si>
  <si>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</si>
  <si>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</si>
  <si>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</si>
  <si>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</si>
  <si>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</si>
  <si>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</si>
  <si>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</si>
  <si>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</si>
  <si>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</si>
  <si>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</si>
  <si>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</si>
  <si>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</si>
  <si>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</si>
  <si>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</si>
  <si>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</si>
  <si>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</si>
  <si>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</si>
  <si>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</si>
  <si>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</si>
  <si>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</si>
  <si>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</si>
  <si>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</si>
  <si>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</si>
  <si>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</si>
  <si>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</si>
  <si>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PARACETAMOL</t>
  </si>
  <si>
    <t>500MG</t>
  </si>
  <si>
    <t>1LITER</t>
  </si>
  <si>
    <t>MACRO SET</t>
  </si>
  <si>
    <t>METOCLOPRAMIDE</t>
  </si>
  <si>
    <t>URINALYSIS</t>
  </si>
  <si>
    <t>NAKCL</t>
  </si>
  <si>
    <t>A09.9</t>
  </si>
  <si>
    <t>E86.1</t>
  </si>
  <si>
    <t>METRONIDAZOLE</t>
  </si>
  <si>
    <t>10ML</t>
  </si>
  <si>
    <t>FECALYSIS</t>
  </si>
  <si>
    <t>RANITIDINE</t>
  </si>
  <si>
    <t>PLAIN NS SOLUTION</t>
  </si>
  <si>
    <t>ABOCATH 20</t>
  </si>
  <si>
    <t>D5 0.9 NACL</t>
  </si>
  <si>
    <t>CEFUROXIME</t>
  </si>
  <si>
    <t>750MG</t>
  </si>
  <si>
    <t>50G</t>
  </si>
  <si>
    <t>300ML</t>
  </si>
  <si>
    <t>D5LR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</si>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</sst>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173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2045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755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174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3200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algorithmName="SHA-512" hashValue="Xxiu4yNzrEnj1VhgkOkJT7KLX27autZ5B7jz2WzKiUe2oo0KeYUjHDnCP0eXckAeauHPF39XppEdsLVw++0fnw==" saltValue="F03DZEc/E5JhlzPDzWVnNg==" spinCount="100000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3:F43"/>
  </mergeCells>
  <dataValidations count="1">
    <dataValidation type="decimal" operator="greaterThanOrEqual" allowBlank="1" showInputMessage="1" showErrorMessage="1" sqref="E42 E44:F47 E49:F54 D58:F67 E39:E40 E32 E23:F27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8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167</v>
      </c>
      <c r="E11" s="27" t="s">
        <v>193</v>
      </c>
      <c r="F11" s="55">
        <v>3</v>
      </c>
      <c r="G11" s="55">
        <v>5</v>
      </c>
      <c r="H11" s="55">
        <v>6</v>
      </c>
      <c r="I11" s="55">
        <v>60</v>
      </c>
      <c r="J11" s="55">
        <f>H11*I11</f>
        <v>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175</v>
      </c>
      <c r="E12" s="27" t="s">
        <v>194</v>
      </c>
      <c r="F12" s="55">
        <v>2</v>
      </c>
      <c r="G12" s="55">
        <v>3</v>
      </c>
      <c r="H12" s="55">
        <v>5</v>
      </c>
      <c r="I12" s="55">
        <v>50</v>
      </c>
      <c r="J12" s="55">
        <f t="shared" ref="J12:J21" si="0">H12*I12</f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175</v>
      </c>
      <c r="E13" s="27" t="s">
        <v>186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175</v>
      </c>
      <c r="E14" s="27" t="s">
        <v>195</v>
      </c>
      <c r="F14" s="55">
        <v>6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167</v>
      </c>
      <c r="E15" s="27" t="s">
        <v>177</v>
      </c>
      <c r="F15" s="55">
        <v>3</v>
      </c>
      <c r="G15" s="55">
        <v>4</v>
      </c>
      <c r="H15" s="55">
        <v>5</v>
      </c>
      <c r="I15" s="55">
        <v>75</v>
      </c>
      <c r="J15" s="55">
        <f t="shared" si="0"/>
        <v>375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168</v>
      </c>
      <c r="E16" s="27" t="s">
        <v>178</v>
      </c>
      <c r="F16" s="55">
        <v>1</v>
      </c>
      <c r="G16" s="55">
        <v>2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168</v>
      </c>
      <c r="E17" s="27" t="s">
        <v>178</v>
      </c>
      <c r="F17" s="55">
        <v>1</v>
      </c>
      <c r="G17" s="55">
        <v>2</v>
      </c>
      <c r="H17" s="55">
        <v>3</v>
      </c>
      <c r="I17" s="55">
        <v>100</v>
      </c>
      <c r="J17" s="55">
        <f t="shared" si="0"/>
        <v>300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189</v>
      </c>
      <c r="D18" s="27" t="s">
        <v>168</v>
      </c>
      <c r="E18" s="27" t="s">
        <v>178</v>
      </c>
      <c r="F18" s="55">
        <v>2</v>
      </c>
      <c r="G18" s="55">
        <v>1</v>
      </c>
      <c r="H18" s="55">
        <v>2</v>
      </c>
      <c r="I18" s="55">
        <v>100</v>
      </c>
      <c r="J18" s="55">
        <f t="shared" si="0"/>
        <v>200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171</v>
      </c>
      <c r="E16" s="55">
        <v>1</v>
      </c>
      <c r="F16" s="55">
        <v>90</v>
      </c>
      <c r="G16" s="55">
        <f>F16*E16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171</v>
      </c>
      <c r="E17" s="55">
        <v>1</v>
      </c>
      <c r="F17" s="55">
        <v>40</v>
      </c>
      <c r="G17" s="55">
        <f t="shared" ref="G17:G21" si="0">F17*E17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520</v>
      </c>
      <c r="H13" s="55">
        <v>20</v>
      </c>
      <c r="I13" s="55"/>
      <c r="J13" s="55">
        <v>75</v>
      </c>
      <c r="K13" s="55"/>
      <c r="L13" s="55"/>
      <c r="M13" s="55"/>
      <c r="N13" s="55"/>
      <c r="P13" s="88">
        <f>SUM(D13:N13)</f>
        <v>655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520</v>
      </c>
      <c r="H30" s="88">
        <f t="shared" si="1"/>
        <v>20</v>
      </c>
      <c r="I30" s="88">
        <f t="shared" si="1"/>
        <v>0</v>
      </c>
      <c r="J30" s="88">
        <f t="shared" si="1"/>
        <v>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2018-06-01T07:03:28Z</dcterms:modified>
</cp:coreProperties>
</file>