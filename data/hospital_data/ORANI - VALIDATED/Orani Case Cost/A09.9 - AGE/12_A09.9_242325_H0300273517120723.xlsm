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16" i="9"/>
  <c r="J12" i="2"/>
  <c r="J13" i="2"/>
  <c r="J14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<sst xmlns="http://schemas.openxmlformats.org/spreadsheetml/2006/main" count="482" uniqueCount="191">
  <si>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</si>
  <si>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</si>
  <si>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</si>
  <si>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</si>
  <si>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</si>
  <si>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</si>
  <si>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</si>
  <si>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</si>
  <si>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</si>
  <si>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</si>
  <si>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</si>
  <si>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</si>
  <si>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</si>
  <si>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</si>
  <si>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</si>
  <si>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</si>
  <si>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</si>
  <si>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</si>
  <si>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</si>
  <si>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</si>
  <si>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</si>
  <si>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</si>
  <si>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</si>
  <si>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</si>
  <si>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</si>
  <si>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</si>
  <si>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</si>
  <si>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</si>
  <si>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</si>
  <si>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</si>
  <si>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</si>
  <si>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</si>
  <si>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</si>
  <si>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</si>
  <si>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</si>
  <si>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</si>
  <si>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</si>
  <si>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</si>
  <si>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</si>
  <si>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</si>
  <si>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</si>
  <si>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</si>
  <si>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</si>
  <si>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</si>
  <si>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</si>
  <si>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</si>
  <si>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</si>
  <si>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</si>
  <si>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</si>
  <si>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</si>
  <si>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</si>
  <si>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</si>
  <si>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</si>
  <si>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</si>
  <si>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</si>
  <si>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</si>
  <si>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</si>
  <si>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</si>
  <si>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</si>
  <si>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</si>
  <si>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</si>
  <si>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</si>
  <si>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</si>
  <si>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</si>
  <si>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</si>
  <si>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</si>
  <si>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</si>
  <si>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</si>
  <si>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</si>
  <si>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</si>
  <si>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</si>
  <si>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</si>
  <si>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</si>
  <si>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</si>
  <si>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</si>
  <si>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</si>
  <si>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</si>
  <si>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</si>
  <si>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</si>
  <si>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</si>
  <si>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</si>
  <si>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</si>
  <si>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</si>
  <si>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</si>
  <si>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</si>
  <si>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</si>
  <si>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</si>
  <si>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</si>
  <si>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</si>
  <si>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</si>
  <si>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</si>
  <si>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</si>
  <si>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</si>
  <si>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</si>
  <si>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</si>
  <si>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</si>
  <si>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</si>
  <si>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</si>
  <si>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</si>
  <si>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</si>
  <si>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</si>
  <si>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</si>
  <si>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</si>
  <si>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</si>
  <si>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</si>
  <si>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</si>
  <si>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</si>
  <si>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</si>
  <si>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</si>
  <si>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</si>
  <si>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</si>
  <si>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</si>
  <si>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</si>
  <si>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</si>
  <si>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</si>
  <si>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</si>
  <si>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</si>
  <si>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</si>
  <si>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</si>
  <si>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</si>
  <si>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</si>
  <si>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</si>
  <si>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</si>
  <si>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</si>
  <si>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</si>
  <si>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</si>
  <si>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</si>
  <si>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</si>
  <si>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</si>
  <si>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</si>
  <si>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</si>
  <si>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</si>
  <si>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</si>
  <si>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</si>
  <si>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</si>
  <si>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</si>
  <si>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</si>
  <si>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</si>
  <si>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</si>
  <si>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</si>
  <si>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</si>
  <si>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</si>
  <si>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</si>
  <si>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</si>
  <si>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</si>
  <si>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</si>
  <si>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</si>
  <si>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</si>
  <si>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</si>
  <si>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</si>
  <si>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</si>
  <si>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</si>
  <si>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</si>
  <si>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</si>
  <si>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</si>
  <si>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</si>
  <si>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</si>
  <si>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</si>
  <si>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</si>
  <si>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</si>
  <si>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</si>
  <si>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</si>
  <si>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</si>
  <si>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</si>
  <si>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</si>
  <si>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</si>
  <si>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</si>
  <si>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</si>
  <si>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</si>
  <si>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A09.9</t>
  </si>
  <si>
    <t>E86.1</t>
  </si>
  <si>
    <t>FECALYSIS</t>
  </si>
  <si>
    <t>URINALYSIS</t>
  </si>
  <si>
    <t>METRONIDAZOLE</t>
  </si>
  <si>
    <t>VIAL</t>
  </si>
  <si>
    <t>500MG</t>
  </si>
  <si>
    <t>HYOSCINE U-BUTYL BROMIDE</t>
  </si>
  <si>
    <t>AMPULE</t>
  </si>
  <si>
    <t>20MG</t>
  </si>
  <si>
    <t>RANITIDINE</t>
  </si>
  <si>
    <t>25MG</t>
  </si>
  <si>
    <t>D5LR</t>
  </si>
  <si>
    <t>BOTTLE</t>
  </si>
  <si>
    <t>1 LITTER</t>
  </si>
  <si>
    <t>ABOCATH GAUGE 20</t>
  </si>
  <si>
    <t>PC</t>
  </si>
  <si>
    <t>MACRO SET</t>
  </si>
  <si>
    <t>PLASTER 1/2</t>
  </si>
  <si>
    <t>SYRINGE 3CC</t>
  </si>
  <si>
    <t>ROD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</si>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</sst>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1610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255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189</v>
      </c>
      <c r="D62" s="55">
        <v>900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3965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A15" sqref="A15:XF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3</v>
      </c>
      <c r="G11" s="55">
        <v>4</v>
      </c>
      <c r="H11" s="55">
        <v>8</v>
      </c>
      <c r="I11" s="55">
        <v>75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177</v>
      </c>
      <c r="E13" s="27" t="s">
        <v>180</v>
      </c>
      <c r="F13" s="55">
        <v>2</v>
      </c>
      <c r="G13" s="55">
        <v>3</v>
      </c>
      <c r="H13" s="55">
        <v>4</v>
      </c>
      <c r="I13" s="55">
        <v>50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182</v>
      </c>
      <c r="E14" s="27" t="s">
        <v>183</v>
      </c>
      <c r="F14" s="55">
        <v>2</v>
      </c>
      <c r="G14" s="55">
        <v>4</v>
      </c>
      <c r="H14" s="55">
        <v>5</v>
      </c>
      <c r="I14" s="55">
        <v>100</v>
      </c>
      <c r="J14" s="55">
        <f t="shared" si="0"/>
        <v>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185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186</v>
      </c>
      <c r="D17" s="70" t="s">
        <v>185</v>
      </c>
      <c r="E17" s="55">
        <v>1</v>
      </c>
      <c r="F17" s="55">
        <v>40</v>
      </c>
      <c r="G17" s="55">
        <f t="shared" ref="G17:G19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185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185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6" t="s">
        <v>76</v>
      </c>
      <c r="C20" s="137"/>
      <c r="D20" s="137"/>
      <c r="E20" s="137"/>
      <c r="F20" s="137"/>
      <c r="G20" s="138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29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332</v>
      </c>
      <c r="H13" s="55"/>
      <c r="I13" s="55"/>
      <c r="J13" s="55">
        <v>15</v>
      </c>
      <c r="K13" s="55"/>
      <c r="L13" s="55"/>
      <c r="M13" s="55"/>
      <c r="N13" s="55"/>
      <c r="P13" s="88">
        <f>SUM(D13:N13)</f>
        <v>387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332</v>
      </c>
      <c r="H30" s="88">
        <f t="shared" si="1"/>
        <v>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387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2018-06-01T07:37:07Z</dcterms:modified>
</cp:coreProperties>
</file>