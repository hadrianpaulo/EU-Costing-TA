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16" i="9"/>
  <c r="J12" i="2"/>
  <c r="J13" i="2"/>
  <c r="J14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6" i="1"/>
  <c r="E66" i="1"/>
  <c r="D6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<sst xmlns="http://schemas.openxmlformats.org/spreadsheetml/2006/main" count="482" uniqueCount="190">
  <si>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</si>
  <si>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</si>
  <si>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</si>
  <si>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</si>
  <si>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</si>
  <si>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</si>
  <si>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</si>
  <si>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</si>
  <si>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</si>
  <si>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</si>
  <si>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</si>
  <si>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</si>
  <si>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</si>
  <si>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</si>
  <si>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</si>
  <si>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</si>
  <si>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</si>
  <si>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</si>
  <si>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</si>
  <si>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</si>
  <si>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</si>
  <si>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</si>
  <si>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</si>
  <si>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</si>
  <si>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</si>
  <si>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</si>
  <si>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</si>
  <si>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</si>
  <si>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</si>
  <si>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</si>
  <si>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</si>
  <si>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</si>
  <si>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</si>
  <si>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</si>
  <si>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</si>
  <si>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</si>
  <si>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</si>
  <si>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</si>
  <si>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</si>
  <si>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</si>
  <si>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</si>
  <si>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</si>
  <si>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</si>
  <si>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</si>
  <si>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</si>
  <si>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</si>
  <si>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</si>
  <si>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</si>
  <si>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</si>
  <si>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</si>
  <si>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</si>
  <si>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</si>
  <si>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</si>
  <si>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</si>
  <si>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</si>
  <si>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</si>
  <si>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</si>
  <si>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</si>
  <si>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</si>
  <si>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</si>
  <si>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</si>
  <si>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</si>
  <si>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</si>
  <si>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</si>
  <si>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</si>
  <si>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</si>
  <si>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</si>
  <si>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</si>
  <si>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</si>
  <si>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</si>
  <si>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</si>
  <si>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</si>
  <si>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</si>
  <si>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</si>
  <si>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</si>
  <si>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</si>
  <si>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</si>
  <si>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</si>
  <si>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</si>
  <si>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</si>
  <si>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</si>
  <si>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</si>
  <si>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</si>
  <si>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</si>
  <si>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</si>
  <si>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</si>
  <si>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</si>
  <si>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</si>
  <si>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</si>
  <si>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</si>
  <si>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</si>
  <si>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</si>
  <si>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</si>
  <si>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</si>
  <si>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</si>
  <si>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</si>
  <si>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</si>
  <si>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</si>
  <si>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</si>
  <si>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</si>
  <si>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</si>
  <si>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</si>
  <si>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</si>
  <si>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</si>
  <si>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</si>
  <si>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</si>
  <si>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</si>
  <si>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</si>
  <si>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</si>
  <si>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</si>
  <si>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</si>
  <si>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</si>
  <si>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</si>
  <si>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</si>
  <si>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</si>
  <si>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</si>
  <si>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</si>
  <si>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</si>
  <si>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</si>
  <si>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</si>
  <si>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</si>
  <si>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</si>
  <si>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</si>
  <si>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</si>
  <si>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</si>
  <si>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</si>
  <si>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</si>
  <si>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</si>
  <si>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</si>
  <si>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</si>
  <si>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</si>
  <si>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</si>
  <si>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</si>
  <si>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</si>
  <si>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</si>
  <si>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</si>
  <si>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</si>
  <si>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</si>
  <si>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</si>
  <si>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</si>
  <si>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</si>
  <si>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</si>
  <si>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</si>
  <si>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</si>
  <si>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</si>
  <si>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</si>
  <si>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</si>
  <si>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</si>
  <si>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</si>
  <si>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</si>
  <si>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</si>
  <si>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</si>
  <si>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</si>
  <si>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</si>
  <si>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</si>
  <si>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</si>
  <si>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</si>
  <si>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</si>
  <si>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</si>
  <si>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</si>
  <si>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</si>
  <si>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</si>
  <si>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</si>
  <si>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</si>
  <si>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</si>
  <si>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</si>
  <si>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</si>
  <si>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</si>
  <si>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</si>
  <si>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</si>
  <si>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</si>
  <si>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</si>
  <si>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</si>
  <si>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</si>
  <si>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</si>
  <si>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500MG</t>
  </si>
  <si>
    <t>A09.9</t>
  </si>
  <si>
    <t>E86.1</t>
  </si>
  <si>
    <t>5ML</t>
  </si>
  <si>
    <t>SYRUP</t>
  </si>
  <si>
    <t>ABOCATH 24</t>
  </si>
  <si>
    <t>MICRO SET</t>
  </si>
  <si>
    <t>CEFUROXIME</t>
  </si>
  <si>
    <t>ROD</t>
  </si>
  <si>
    <t>AMBROXOL</t>
  </si>
  <si>
    <t>SALBUTAMOL</t>
  </si>
  <si>
    <t>2.5ML</t>
  </si>
  <si>
    <t>D5 0.3 NACL</t>
  </si>
  <si>
    <t>500CC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</si>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</sst>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3"/>
  <sheetViews>
    <sheetView topLeftCell="A45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44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4" t="s">
        <v>45</v>
      </c>
      <c r="C39" s="13"/>
      <c r="D39" s="13"/>
      <c r="E39" s="16"/>
      <c r="F39" s="1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53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1</v>
      </c>
      <c r="C41" s="31" t="s">
        <v>164</v>
      </c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2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3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4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20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164</v>
      </c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5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6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/>
      <c r="C52" s="25"/>
      <c r="D52" s="25"/>
      <c r="E52" s="25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57.75" customHeight="1" thickBot="1" x14ac:dyDescent="0.35">
      <c r="A54" s="1"/>
      <c r="B54" s="17" t="s">
        <v>55</v>
      </c>
      <c r="C54" s="17" t="s">
        <v>51</v>
      </c>
      <c r="D54" s="17" t="s">
        <v>56</v>
      </c>
      <c r="E54" s="18" t="s">
        <v>57</v>
      </c>
      <c r="F54" s="19" t="s">
        <v>21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2">
        <v>1</v>
      </c>
      <c r="C55" s="27" t="s">
        <v>165</v>
      </c>
      <c r="D55" s="55">
        <v>1290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2</v>
      </c>
      <c r="C56" s="27" t="s">
        <v>166</v>
      </c>
      <c r="D56" s="55">
        <v>360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3</v>
      </c>
      <c r="C57" s="27" t="s">
        <v>174</v>
      </c>
      <c r="D57" s="55">
        <v>1200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4</v>
      </c>
      <c r="C58" s="27" t="s">
        <v>183</v>
      </c>
      <c r="D58" s="55">
        <v>900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5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6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7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8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9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10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4.9000000000000004" customHeight="1" thickBot="1" x14ac:dyDescent="0.35">
      <c r="A65" s="1"/>
      <c r="B65" s="1"/>
      <c r="C65" s="1"/>
      <c r="D65" s="58"/>
      <c r="E65" s="58"/>
      <c r="F65" s="5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Top="1" x14ac:dyDescent="0.3">
      <c r="A66" s="1"/>
      <c r="B66" s="11"/>
      <c r="C66" s="4" t="s">
        <v>22</v>
      </c>
      <c r="D66" s="59">
        <f>SUM(D55:D65)</f>
        <v>3750</v>
      </c>
      <c r="E66" s="59">
        <f>SUM(E55:E65)</f>
        <v>0</v>
      </c>
      <c r="F66" s="59">
        <f>SUM(F55:F65)</f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</sheetData>
  <sheetProtection algorithmName="SHA-512" hashValue="egs6F+NFW9xdqVmb5EIThodmgU/65+kW1eVtw5SH4jBNth6gNPYeP4ovJWw3+YuUxh8L7LfBCNckaGIS8Cq+1Q==" saltValue="AdpoGCqOZvyMThUIyt+yjQ==" spinCount="100000" sheet="1" objects="1" scenarios="1" formatColumns="0" formatRows="0" sort="0" autoFilter="0"/>
  <mergeCells count="12">
    <mergeCell ref="B45:F45"/>
    <mergeCell ref="B38:F38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0:F40"/>
  </mergeCells>
  <dataValidations count="1">
    <dataValidation type="decimal" operator="greaterThanOrEqual" allowBlank="1" showInputMessage="1" showErrorMessage="1" sqref="E39 E41:F44 E46:F51 E34 E36:E37 E32 E23:F27 E55:F64 D55:D58 D60:D6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4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167</v>
      </c>
      <c r="E11" s="27" t="s">
        <v>175</v>
      </c>
      <c r="F11" s="55">
        <v>3</v>
      </c>
      <c r="G11" s="55">
        <v>4</v>
      </c>
      <c r="H11" s="55">
        <v>9</v>
      </c>
      <c r="I11" s="55">
        <v>60</v>
      </c>
      <c r="J11" s="55">
        <f>H11*I11</f>
        <v>540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179</v>
      </c>
      <c r="E12" s="27" t="s">
        <v>178</v>
      </c>
      <c r="F12" s="55">
        <v>3</v>
      </c>
      <c r="G12" s="55">
        <v>1</v>
      </c>
      <c r="H12" s="55">
        <v>1</v>
      </c>
      <c r="I12" s="55">
        <v>50</v>
      </c>
      <c r="J12" s="55">
        <f t="shared" ref="J12:J14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167</v>
      </c>
      <c r="E13" s="27" t="s">
        <v>186</v>
      </c>
      <c r="F13" s="55">
        <v>4</v>
      </c>
      <c r="G13" s="55">
        <v>1</v>
      </c>
      <c r="H13" s="55">
        <v>1</v>
      </c>
      <c r="I13" s="55">
        <v>20</v>
      </c>
      <c r="J13" s="55">
        <f t="shared" si="0"/>
        <v>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168</v>
      </c>
      <c r="E14" s="27" t="s">
        <v>188</v>
      </c>
      <c r="F14" s="55">
        <v>2</v>
      </c>
      <c r="G14" s="55">
        <v>3</v>
      </c>
      <c r="H14" s="55">
        <v>4</v>
      </c>
      <c r="I14" s="55">
        <v>90</v>
      </c>
      <c r="J14" s="55">
        <f t="shared" si="0"/>
        <v>360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4" sqref="C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171</v>
      </c>
      <c r="E17" s="55">
        <v>1</v>
      </c>
      <c r="F17" s="55">
        <v>40</v>
      </c>
      <c r="G17" s="55">
        <f t="shared" ref="G17:G23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6</v>
      </c>
      <c r="F19" s="55">
        <v>10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9</v>
      </c>
      <c r="F20" s="55">
        <v>10</v>
      </c>
      <c r="G20" s="55">
        <f t="shared" si="0"/>
        <v>90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540</v>
      </c>
      <c r="H13" s="55">
        <v>15</v>
      </c>
      <c r="I13" s="55"/>
      <c r="J13" s="55">
        <v>65</v>
      </c>
      <c r="K13" s="55"/>
      <c r="L13" s="55"/>
      <c r="M13" s="55"/>
      <c r="N13" s="55"/>
      <c r="P13" s="88">
        <f>SUM(D13:N13)</f>
        <v>650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540</v>
      </c>
      <c r="H30" s="88">
        <f t="shared" si="1"/>
        <v>15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2018-06-01T07:36:23Z</dcterms:modified>
</cp:coreProperties>
</file>