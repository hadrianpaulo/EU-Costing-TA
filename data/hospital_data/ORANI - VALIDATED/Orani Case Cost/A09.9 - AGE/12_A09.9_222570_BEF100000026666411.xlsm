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Drugs&amp;Med'!$C$11:$C$14</definedName>
    <definedName name="_xlnm.Print_Area" localSheetId="0">'1.1 Case data_general'!$B$1:$F$70</definedName>
    <definedName name="_xlnm.Print_Area" localSheetId="1">'1.2 Drugs&amp;Med'!$B$2:$J$15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21" i="9"/>
  <c r="G16" i="9"/>
  <c r="J12" i="2" l="1"/>
  <c r="J13" i="2"/>
  <c r="J14" i="2"/>
  <c r="J11" i="2"/>
  <c r="G35" i="9"/>
  <c r="G29" i="9"/>
  <c r="G30" i="9"/>
  <c r="G31" i="9"/>
  <c r="G32" i="9"/>
  <c r="G33" i="9"/>
  <c r="G34" i="9"/>
  <c r="G28" i="9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<sst xmlns="http://schemas.openxmlformats.org/spreadsheetml/2006/main" count="485" uniqueCount="193">
  <si>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</si>
  <si>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</si>
  <si>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</si>
  <si>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</si>
  <si>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</si>
  <si>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</si>
  <si>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</si>
  <si>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</si>
  <si>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</si>
  <si>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</si>
  <si>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</si>
  <si>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</si>
  <si>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</si>
  <si>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</si>
  <si>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</si>
  <si>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</si>
  <si>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</si>
  <si>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</si>
  <si>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</si>
  <si>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</si>
  <si>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</si>
  <si>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</si>
  <si>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</si>
  <si>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</si>
  <si>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</si>
  <si>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</si>
  <si>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</si>
  <si>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</si>
  <si>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</si>
  <si>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</si>
  <si>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</si>
  <si>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</si>
  <si>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</si>
  <si>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</si>
  <si>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</si>
  <si>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</si>
  <si>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</si>
  <si>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</si>
  <si>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</si>
  <si>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</si>
  <si>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</si>
  <si>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</si>
  <si>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</si>
  <si>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</si>
  <si>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</si>
  <si>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</si>
  <si>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</si>
  <si>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</si>
  <si>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</si>
  <si>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</si>
  <si>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</si>
  <si>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</si>
  <si>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</si>
  <si>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</si>
  <si>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</si>
  <si>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</si>
  <si>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</si>
  <si>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</si>
  <si>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</si>
  <si>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</si>
  <si>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</si>
  <si>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</si>
  <si>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</si>
  <si>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</si>
  <si>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</si>
  <si>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</si>
  <si>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</si>
  <si>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</si>
  <si>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</si>
  <si>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</si>
  <si>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</si>
  <si>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</si>
  <si>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</si>
  <si>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</si>
  <si>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</si>
  <si>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</si>
  <si>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</si>
  <si>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</si>
  <si>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</si>
  <si>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</si>
  <si>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</si>
  <si>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</si>
  <si>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</si>
  <si>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</si>
  <si>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</si>
  <si>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</si>
  <si>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</si>
  <si>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</si>
  <si>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</si>
  <si>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</si>
  <si>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</si>
  <si>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</si>
  <si>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</si>
  <si>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</si>
  <si>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</si>
  <si>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</si>
  <si>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</si>
  <si>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</si>
  <si>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</si>
  <si>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</si>
  <si>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</si>
  <si>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</si>
  <si>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</si>
  <si>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</si>
  <si>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</si>
  <si>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</si>
  <si>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</si>
  <si>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</si>
  <si>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</si>
  <si>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</si>
  <si>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</si>
  <si>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</si>
  <si>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</si>
  <si>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</si>
  <si>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</si>
  <si>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</si>
  <si>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</si>
  <si>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</si>
  <si>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</si>
  <si>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</si>
  <si>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</si>
  <si>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</si>
  <si>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</si>
  <si>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</si>
  <si>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</si>
  <si>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</si>
  <si>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</si>
  <si>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</si>
  <si>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</si>
  <si>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</si>
  <si>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</si>
  <si>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</si>
  <si>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</si>
  <si>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</si>
  <si>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</si>
  <si>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</si>
  <si>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</si>
  <si>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</si>
  <si>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</si>
  <si>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</si>
  <si>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</si>
  <si>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</si>
  <si>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</si>
  <si>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</si>
  <si>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</si>
  <si>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</si>
  <si>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</si>
  <si>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</si>
  <si>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</si>
  <si>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</si>
  <si>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</si>
  <si>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</si>
  <si>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</si>
  <si>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</si>
  <si>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</si>
  <si>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</si>
  <si>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</si>
  <si>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</si>
  <si>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</si>
  <si>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</si>
  <si>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</si>
  <si>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</si>
  <si>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</si>
  <si>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</si>
  <si>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</si>
  <si>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</si>
  <si>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</si>
  <si>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</si>
  <si>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SYRINGE 3CC</t>
  </si>
  <si>
    <t>PC</t>
  </si>
  <si>
    <t>BOTTLE</t>
  </si>
  <si>
    <t>1LITER</t>
  </si>
  <si>
    <t>CBC PLATELET COUNT</t>
  </si>
  <si>
    <t>SYRINGE 5CC</t>
  </si>
  <si>
    <t>AMPULE</t>
  </si>
  <si>
    <t>D5 LR</t>
  </si>
  <si>
    <t>URINALYSIS</t>
  </si>
  <si>
    <t>VIAL</t>
  </si>
  <si>
    <t>PLASTER</t>
  </si>
  <si>
    <t>A09.9</t>
  </si>
  <si>
    <t>E86.1</t>
  </si>
  <si>
    <t>NAKCL</t>
  </si>
  <si>
    <t>METOCLOPRAMIDE</t>
  </si>
  <si>
    <t>MULTIVITAMINS</t>
  </si>
  <si>
    <t>BACILLUS CLAUSII</t>
  </si>
  <si>
    <t>3MG</t>
  </si>
  <si>
    <t>SYRUP</t>
  </si>
  <si>
    <t>1ML</t>
  </si>
  <si>
    <t>2ML</t>
  </si>
  <si>
    <t>ABOCATH G24</t>
  </si>
  <si>
    <t>MICRO SET</t>
  </si>
  <si>
    <t>URINE COLLECTOR</t>
  </si>
  <si>
    <t>AGE W/ MODERATE DEHYDRATION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</si>
</sst>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7" zoomScaleNormal="100" workbookViewId="0">
      <selection activeCell="D73" sqref="D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180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172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181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164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44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45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53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164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164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55</v>
      </c>
      <c r="C58" s="17" t="s">
        <v>51</v>
      </c>
      <c r="D58" s="17" t="s">
        <v>56</v>
      </c>
      <c r="E58" s="18" t="s">
        <v>57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165</v>
      </c>
      <c r="D59" s="55">
        <v>930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166</v>
      </c>
      <c r="D60" s="55">
        <v>655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167</v>
      </c>
      <c r="D61" s="55">
        <v>300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1885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5"/>
  <sheetViews>
    <sheetView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W/ MODERATE DEHYDRATION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4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174</v>
      </c>
      <c r="E11" s="27" t="s">
        <v>185</v>
      </c>
      <c r="F11" s="55">
        <v>1</v>
      </c>
      <c r="G11" s="55">
        <v>2</v>
      </c>
      <c r="H11" s="55">
        <v>2</v>
      </c>
      <c r="I11" s="55">
        <v>50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186</v>
      </c>
      <c r="E12" s="27" t="s">
        <v>187</v>
      </c>
      <c r="F12" s="55">
        <v>1</v>
      </c>
      <c r="G12" s="55">
        <v>1</v>
      </c>
      <c r="H12" s="55">
        <v>1</v>
      </c>
      <c r="I12" s="55">
        <v>65</v>
      </c>
      <c r="J12" s="55">
        <f t="shared" ref="J12:J14" si="0">H12*I12</f>
        <v>65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177</v>
      </c>
      <c r="E13" s="27" t="s">
        <v>188</v>
      </c>
      <c r="F13" s="55">
        <v>2</v>
      </c>
      <c r="G13" s="55">
        <v>1</v>
      </c>
      <c r="H13" s="55">
        <v>2</v>
      </c>
      <c r="I13" s="55">
        <v>65</v>
      </c>
      <c r="J13" s="55">
        <f t="shared" si="0"/>
        <v>130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175</v>
      </c>
      <c r="D14" s="27" t="s">
        <v>170</v>
      </c>
      <c r="E14" s="27" t="s">
        <v>171</v>
      </c>
      <c r="F14" s="55">
        <v>1</v>
      </c>
      <c r="G14" s="55">
        <v>3</v>
      </c>
      <c r="H14" s="55">
        <v>4</v>
      </c>
      <c r="I14" s="55">
        <v>100</v>
      </c>
      <c r="J14" s="55">
        <f t="shared" si="0"/>
        <v>400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25">
      <c r="A15" s="33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</row>
    <row r="16" spans="1:20" ht="15.75" customHeight="1" x14ac:dyDescent="0.25"/>
    <row r="17" ht="15.75" customHeight="1" x14ac:dyDescent="0.25"/>
    <row r="18" ht="15.75" customHeight="1" x14ac:dyDescent="0.25"/>
    <row r="19" ht="15.75" customHeight="1" x14ac:dyDescent="0.25"/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14 J11:J14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169</v>
      </c>
      <c r="E16" s="55">
        <v>1</v>
      </c>
      <c r="F16" s="55">
        <v>100</v>
      </c>
      <c r="G16" s="55">
        <f>E16*F16</f>
        <v>100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169</v>
      </c>
      <c r="E17" s="55">
        <v>1</v>
      </c>
      <c r="F17" s="55">
        <v>40</v>
      </c>
      <c r="G17" s="55">
        <f t="shared" ref="G17:G21" si="0">E17*F17</f>
        <v>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169</v>
      </c>
      <c r="E18" s="55">
        <v>1</v>
      </c>
      <c r="F18" s="55">
        <v>40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168</v>
      </c>
      <c r="D19" s="70" t="s">
        <v>169</v>
      </c>
      <c r="E19" s="55">
        <v>2</v>
      </c>
      <c r="F19" s="55">
        <v>10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173</v>
      </c>
      <c r="D20" s="70" t="s">
        <v>169</v>
      </c>
      <c r="E20" s="55">
        <v>1</v>
      </c>
      <c r="F20" s="55">
        <v>10</v>
      </c>
      <c r="G20" s="55">
        <f t="shared" si="0"/>
        <v>10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191</v>
      </c>
      <c r="D21" s="70" t="s">
        <v>169</v>
      </c>
      <c r="E21" s="55">
        <v>1</v>
      </c>
      <c r="F21" s="55">
        <v>25</v>
      </c>
      <c r="G21" s="55">
        <f t="shared" si="0"/>
        <v>25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>
        <f>E28*F28</f>
        <v>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>
        <f t="shared" ref="G29:G35" si="1">E29*F29</f>
        <v>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>
        <f t="shared" si="1"/>
        <v>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>
        <f t="shared" si="1"/>
        <v>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>
        <f t="shared" si="1"/>
        <v>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>
        <f t="shared" si="1"/>
        <v>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>
        <f t="shared" si="1"/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>
        <f t="shared" si="1"/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W/ MODERATE DEHYDRATION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480</v>
      </c>
      <c r="H13" s="55">
        <v>15</v>
      </c>
      <c r="I13" s="55"/>
      <c r="J13" s="55">
        <v>45</v>
      </c>
      <c r="K13" s="55"/>
      <c r="L13" s="55"/>
      <c r="M13" s="55"/>
      <c r="N13" s="55"/>
      <c r="P13" s="88">
        <f>SUM(D13:N13)</f>
        <v>570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480</v>
      </c>
      <c r="H30" s="88">
        <f t="shared" si="1"/>
        <v>15</v>
      </c>
      <c r="I30" s="88">
        <f t="shared" si="1"/>
        <v>0</v>
      </c>
      <c r="J30" s="88">
        <f t="shared" si="1"/>
        <v>45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570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2018-06-01T07:26:10Z</dcterms:modified>
</cp:coreProperties>
</file>