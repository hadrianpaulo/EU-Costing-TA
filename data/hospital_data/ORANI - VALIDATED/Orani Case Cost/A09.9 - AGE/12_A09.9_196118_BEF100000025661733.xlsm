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Drugs&amp;Med'!$C$11:$C$25</definedName>
    <definedName name="_xlnm.Print_Area" localSheetId="0">'1.1 Case data_general'!$B$1:$F$69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0" i="9" l="1"/>
  <c r="G17" i="9"/>
  <c r="G18" i="9"/>
  <c r="G19" i="9"/>
  <c r="G16" i="9"/>
  <c r="J21" i="2" l="1"/>
  <c r="J20" i="2"/>
  <c r="J19" i="2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<sst xmlns="http://schemas.openxmlformats.org/spreadsheetml/2006/main" count="490" uniqueCount="193">
  <si>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</si>
  <si>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</si>
  <si>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</si>
  <si>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</si>
  <si>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</si>
  <si>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</si>
  <si>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</si>
  <si>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</si>
  <si>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</si>
  <si>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</si>
  <si>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</si>
  <si>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</si>
  <si>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</si>
  <si>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</si>
  <si>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</si>
  <si>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</si>
  <si>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</si>
  <si>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</si>
  <si>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</si>
  <si>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</si>
  <si>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</si>
  <si>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</si>
  <si>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</si>
  <si>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</si>
  <si>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</si>
  <si>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</si>
  <si>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</si>
  <si>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</si>
  <si>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</si>
  <si>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</si>
  <si>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</si>
  <si>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</si>
  <si>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</si>
  <si>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</si>
  <si>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</si>
  <si>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</si>
  <si>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</si>
  <si>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</si>
  <si>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</si>
  <si>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</si>
  <si>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</si>
  <si>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</si>
  <si>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</si>
  <si>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</si>
  <si>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</si>
  <si>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</si>
  <si>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</si>
  <si>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</si>
  <si>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</si>
  <si>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</si>
  <si>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</si>
  <si>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</si>
  <si>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</si>
  <si>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</si>
  <si>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</si>
  <si>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</si>
  <si>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</si>
  <si>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</si>
  <si>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</si>
  <si>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</si>
  <si>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</si>
  <si>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</si>
  <si>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</si>
  <si>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</si>
  <si>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</si>
  <si>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</si>
  <si>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</si>
  <si>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</si>
  <si>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</si>
  <si>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</si>
  <si>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</si>
  <si>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</si>
  <si>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</si>
  <si>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</si>
  <si>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</si>
  <si>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</si>
  <si>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</si>
  <si>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</si>
  <si>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</si>
  <si>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</si>
  <si>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</si>
  <si>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</si>
  <si>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</si>
  <si>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</si>
  <si>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</si>
  <si>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</si>
  <si>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</si>
  <si>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</si>
  <si>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</si>
  <si>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</si>
  <si>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</si>
  <si>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</si>
  <si>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</si>
  <si>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</si>
  <si>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</si>
  <si>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</si>
  <si>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</si>
  <si>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</si>
  <si>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</si>
  <si>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</si>
  <si>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</si>
  <si>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</si>
  <si>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</si>
  <si>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</si>
  <si>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</si>
  <si>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</si>
  <si>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</si>
  <si>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</si>
  <si>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</si>
  <si>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</si>
  <si>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</si>
  <si>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</si>
  <si>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</si>
  <si>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</si>
  <si>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</si>
  <si>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</si>
  <si>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</si>
  <si>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</si>
  <si>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</si>
  <si>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</si>
  <si>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</si>
  <si>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</si>
  <si>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</si>
  <si>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</si>
  <si>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</si>
  <si>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</si>
  <si>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</si>
  <si>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</si>
  <si>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</si>
  <si>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</si>
  <si>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</si>
  <si>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</si>
  <si>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</si>
  <si>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</si>
  <si>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</si>
  <si>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</si>
  <si>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</si>
  <si>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</si>
  <si>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</si>
  <si>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</si>
  <si>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</si>
  <si>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</si>
  <si>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</si>
  <si>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</si>
  <si>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</si>
  <si>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</si>
  <si>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</si>
  <si>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</si>
  <si>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</si>
  <si>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</si>
  <si>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</si>
  <si>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</si>
  <si>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</si>
  <si>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</si>
  <si>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</si>
  <si>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</si>
  <si>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</si>
  <si>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</si>
  <si>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</si>
  <si>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</si>
  <si>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</si>
  <si>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</si>
  <si>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</si>
  <si>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</si>
  <si>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</si>
  <si>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</si>
  <si>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</si>
  <si>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</si>
  <si>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AMPULE</t>
  </si>
  <si>
    <t>SYRINGE 3CC</t>
  </si>
  <si>
    <t>PC</t>
  </si>
  <si>
    <t>BOTTLE</t>
  </si>
  <si>
    <t>VIAL</t>
  </si>
  <si>
    <t>30MG</t>
  </si>
  <si>
    <t>D5 0.3 NACL</t>
  </si>
  <si>
    <t>MICRO SET</t>
  </si>
  <si>
    <t>SYRINGE 5CC</t>
  </si>
  <si>
    <t>METOCLOPRAMIDE</t>
  </si>
  <si>
    <t>RANITIDINE</t>
  </si>
  <si>
    <t>HNBB</t>
  </si>
  <si>
    <t>10MG</t>
  </si>
  <si>
    <t>A09.9</t>
  </si>
  <si>
    <t>E86.1</t>
  </si>
  <si>
    <t>ABOCATH 24</t>
  </si>
  <si>
    <t xml:space="preserve"> AMPULE</t>
  </si>
  <si>
    <t>METRONIDAZOLE</t>
  </si>
  <si>
    <t>300MG</t>
  </si>
  <si>
    <t>COTRIMOXAZOLE</t>
  </si>
  <si>
    <t>BACILLUS CLAUSI</t>
  </si>
  <si>
    <t>5ML</t>
  </si>
  <si>
    <t>500CC</t>
  </si>
  <si>
    <t>PLASTER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</si>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</sst>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4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/>
      <c r="D35" s="23"/>
      <c r="E35" s="57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164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2510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167</v>
      </c>
      <c r="D60" s="55">
        <v>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3010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19" sqref="C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184</v>
      </c>
      <c r="E11" s="27" t="s">
        <v>173</v>
      </c>
      <c r="F11" s="55">
        <v>3</v>
      </c>
      <c r="G11" s="55">
        <v>3</v>
      </c>
      <c r="H11" s="55">
        <v>6</v>
      </c>
      <c r="I11" s="55">
        <v>50</v>
      </c>
      <c r="J11" s="55">
        <f>H11*I11</f>
        <v>300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172</v>
      </c>
      <c r="E12" s="27" t="s">
        <v>186</v>
      </c>
      <c r="F12" s="55">
        <v>3</v>
      </c>
      <c r="G12" s="55">
        <v>4</v>
      </c>
      <c r="H12" s="55">
        <v>5</v>
      </c>
      <c r="I12" s="55">
        <v>75</v>
      </c>
      <c r="J12" s="55">
        <f t="shared" ref="J12:J21" si="0">H12*I12</f>
        <v>375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168</v>
      </c>
      <c r="E13" s="27" t="s">
        <v>180</v>
      </c>
      <c r="F13" s="55">
        <v>3</v>
      </c>
      <c r="G13" s="55">
        <v>3</v>
      </c>
      <c r="H13" s="55">
        <v>4</v>
      </c>
      <c r="I13" s="55">
        <v>100</v>
      </c>
      <c r="J13" s="55">
        <f t="shared" si="0"/>
        <v>400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171</v>
      </c>
      <c r="E14" s="27" t="s">
        <v>189</v>
      </c>
      <c r="F14" s="55">
        <v>2</v>
      </c>
      <c r="G14" s="55">
        <v>5</v>
      </c>
      <c r="H14" s="55">
        <v>5</v>
      </c>
      <c r="I14" s="55">
        <v>50</v>
      </c>
      <c r="J14" s="55">
        <f t="shared" si="0"/>
        <v>250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171</v>
      </c>
      <c r="E15" s="27" t="s">
        <v>189</v>
      </c>
      <c r="F15" s="55">
        <v>3</v>
      </c>
      <c r="G15" s="55">
        <v>3</v>
      </c>
      <c r="H15" s="55">
        <v>5</v>
      </c>
      <c r="I15" s="55">
        <v>65</v>
      </c>
      <c r="J15" s="55">
        <f t="shared" si="0"/>
        <v>325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177</v>
      </c>
      <c r="D16" s="27" t="s">
        <v>168</v>
      </c>
      <c r="E16" s="27" t="s">
        <v>189</v>
      </c>
      <c r="F16" s="55">
        <v>1</v>
      </c>
      <c r="G16" s="55">
        <v>2</v>
      </c>
      <c r="H16" s="55">
        <v>2</v>
      </c>
      <c r="I16" s="55">
        <v>50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174</v>
      </c>
      <c r="D17" s="27" t="s">
        <v>171</v>
      </c>
      <c r="E17" s="27" t="s">
        <v>190</v>
      </c>
      <c r="F17" s="55">
        <v>2</v>
      </c>
      <c r="G17" s="55">
        <v>5</v>
      </c>
      <c r="H17" s="55">
        <v>6</v>
      </c>
      <c r="I17" s="55">
        <v>90</v>
      </c>
      <c r="J17" s="55">
        <f t="shared" si="0"/>
        <v>540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topLeftCell="A10" workbookViewId="0">
      <selection activeCell="E17" sqref="E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170</v>
      </c>
      <c r="E16" s="55">
        <v>3</v>
      </c>
      <c r="F16" s="55">
        <v>10</v>
      </c>
      <c r="G16" s="55">
        <f>E16*F16</f>
        <v>30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176</v>
      </c>
      <c r="D17" s="70" t="s">
        <v>170</v>
      </c>
      <c r="E17" s="55">
        <v>1</v>
      </c>
      <c r="F17" s="55">
        <v>10</v>
      </c>
      <c r="G17" s="55">
        <f t="shared" ref="G17:G20" si="0"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183</v>
      </c>
      <c r="D18" s="70" t="s">
        <v>170</v>
      </c>
      <c r="E18" s="5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175</v>
      </c>
      <c r="D19" s="70" t="s">
        <v>170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191</v>
      </c>
      <c r="D20" s="70" t="s">
        <v>170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2" workbookViewId="0">
      <selection activeCell="C14" sqref="C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45</v>
      </c>
      <c r="F13" s="55"/>
      <c r="G13" s="55">
        <v>420</v>
      </c>
      <c r="H13" s="55">
        <v>25</v>
      </c>
      <c r="I13" s="55"/>
      <c r="J13" s="55">
        <v>50</v>
      </c>
      <c r="K13" s="55"/>
      <c r="L13" s="55"/>
      <c r="M13" s="55"/>
      <c r="N13" s="55"/>
      <c r="P13" s="88">
        <f>SUM(D13:N13)</f>
        <v>540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45</v>
      </c>
      <c r="F30" s="88">
        <f t="shared" si="1"/>
        <v>0</v>
      </c>
      <c r="G30" s="88">
        <f t="shared" si="1"/>
        <v>420</v>
      </c>
      <c r="H30" s="88">
        <f t="shared" si="1"/>
        <v>25</v>
      </c>
      <c r="I30" s="88">
        <f t="shared" si="1"/>
        <v>0</v>
      </c>
      <c r="J30" s="88">
        <f t="shared" si="1"/>
        <v>50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2018-06-01T07:12:00Z</dcterms:modified>
</cp:coreProperties>
</file>