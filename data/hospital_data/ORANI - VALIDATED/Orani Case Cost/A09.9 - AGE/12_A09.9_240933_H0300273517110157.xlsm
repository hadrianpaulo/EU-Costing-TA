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20" i="2" l="1"/>
  <c r="J19" i="2"/>
  <c r="G17" i="9"/>
  <c r="G18" i="9"/>
  <c r="G19" i="9"/>
  <c r="G20" i="9"/>
  <c r="G16" i="9" l="1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7" i="1"/>
  <c r="E67" i="1"/>
  <c r="D6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<sst xmlns="http://schemas.openxmlformats.org/spreadsheetml/2006/main" count="479" uniqueCount="189">
  <si>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</si>
  <si>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</si>
  <si>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</si>
  <si>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</si>
  <si>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</si>
  <si>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</si>
  <si>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</si>
  <si>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</si>
  <si>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</si>
  <si>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</si>
  <si>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</si>
  <si>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</si>
  <si>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</si>
  <si>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</si>
  <si>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</si>
  <si>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</si>
  <si>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</si>
  <si>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</si>
  <si>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</si>
  <si>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</si>
  <si>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</si>
  <si>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</si>
  <si>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</si>
  <si>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</si>
  <si>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</si>
  <si>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</si>
  <si>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</si>
  <si>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</si>
  <si>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</si>
  <si>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</si>
  <si>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</si>
  <si>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</si>
  <si>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</si>
  <si>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</si>
  <si>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</si>
  <si>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</si>
  <si>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</si>
  <si>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</si>
  <si>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</si>
  <si>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</si>
  <si>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</si>
  <si>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</si>
  <si>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</si>
  <si>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</si>
  <si>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</si>
  <si>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</si>
  <si>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</si>
  <si>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</si>
  <si>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</si>
  <si>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</si>
  <si>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</si>
  <si>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</si>
  <si>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</si>
  <si>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</si>
  <si>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</si>
  <si>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</si>
  <si>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</si>
  <si>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</si>
  <si>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</si>
  <si>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</si>
  <si>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</si>
  <si>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</si>
  <si>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</si>
  <si>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</si>
  <si>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</si>
  <si>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</si>
  <si>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</si>
  <si>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</si>
  <si>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</si>
  <si>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</si>
  <si>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</si>
  <si>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</si>
  <si>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</si>
  <si>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</si>
  <si>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</si>
  <si>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</si>
  <si>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</si>
  <si>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</si>
  <si>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</si>
  <si>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</si>
  <si>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</si>
  <si>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</si>
  <si>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</si>
  <si>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</si>
  <si>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</si>
  <si>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</si>
  <si>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</si>
  <si>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</si>
  <si>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</si>
  <si>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</si>
  <si>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</si>
  <si>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</si>
  <si>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</si>
  <si>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</si>
  <si>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</si>
  <si>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</si>
  <si>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</si>
  <si>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</si>
  <si>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</si>
  <si>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</si>
  <si>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</si>
  <si>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</si>
  <si>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</si>
  <si>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</si>
  <si>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</si>
  <si>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</si>
  <si>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</si>
  <si>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</si>
  <si>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</si>
  <si>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</si>
  <si>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</si>
  <si>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</si>
  <si>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</si>
  <si>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</si>
  <si>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</si>
  <si>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</si>
  <si>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</si>
  <si>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</si>
  <si>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</si>
  <si>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</si>
  <si>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</si>
  <si>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</si>
  <si>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</si>
  <si>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</si>
  <si>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</si>
  <si>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</si>
  <si>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</si>
  <si>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</si>
  <si>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</si>
  <si>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</si>
  <si>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</si>
  <si>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</si>
  <si>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</si>
  <si>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</si>
  <si>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</si>
  <si>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</si>
  <si>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</si>
  <si>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</si>
  <si>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</si>
  <si>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</si>
  <si>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</si>
  <si>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</si>
  <si>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</si>
  <si>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</si>
  <si>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</si>
  <si>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</si>
  <si>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</si>
  <si>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</si>
  <si>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</si>
  <si>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</si>
  <si>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</si>
  <si>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</si>
  <si>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</si>
  <si>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</si>
  <si>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</si>
  <si>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</si>
  <si>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</si>
  <si>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</si>
  <si>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</si>
  <si>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</si>
  <si>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</si>
  <si>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</si>
  <si>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</si>
  <si>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</si>
  <si>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</si>
  <si>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</si>
  <si>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</si>
  <si>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</si>
  <si>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</si>
  <si>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SYRINGE 3CC</t>
  </si>
  <si>
    <t>PC</t>
  </si>
  <si>
    <t>BOTTLE</t>
  </si>
  <si>
    <t>1LITER</t>
  </si>
  <si>
    <t>PLASTER 1/2</t>
  </si>
  <si>
    <t>E86.1</t>
  </si>
  <si>
    <t>VIAL</t>
  </si>
  <si>
    <t>SYRINGE 5CC</t>
  </si>
  <si>
    <t>D5 0.3 NACL</t>
  </si>
  <si>
    <t>CBC PLATELET COUNT</t>
  </si>
  <si>
    <t>XRAY</t>
  </si>
  <si>
    <t>ABOCATH G20</t>
  </si>
  <si>
    <t>MACRO SET</t>
  </si>
  <si>
    <t>ROD</t>
  </si>
  <si>
    <t>A09.9</t>
  </si>
  <si>
    <t>FECALYSIS</t>
  </si>
  <si>
    <t>CHEST APL</t>
  </si>
  <si>
    <t>CHLORAMPHENICOL</t>
  </si>
  <si>
    <t>1G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</si>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</sst>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4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174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184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168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178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185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44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14" t="s">
        <v>45</v>
      </c>
      <c r="C40" s="13"/>
      <c r="D40" s="13"/>
      <c r="E40" s="16"/>
      <c r="F40" s="1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5" t="s">
        <v>53</v>
      </c>
      <c r="C41" s="116"/>
      <c r="D41" s="116"/>
      <c r="E41" s="116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1</v>
      </c>
      <c r="C42" s="31" t="s">
        <v>164</v>
      </c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2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3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4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20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 t="s">
        <v>164</v>
      </c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5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6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/>
      <c r="C53" s="25"/>
      <c r="D53" s="25"/>
      <c r="E53" s="25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57.75" customHeight="1" thickBot="1" x14ac:dyDescent="0.35">
      <c r="A55" s="1"/>
      <c r="B55" s="17" t="s">
        <v>55</v>
      </c>
      <c r="C55" s="17" t="s">
        <v>51</v>
      </c>
      <c r="D55" s="17" t="s">
        <v>56</v>
      </c>
      <c r="E55" s="18" t="s">
        <v>57</v>
      </c>
      <c r="F55" s="19" t="s">
        <v>21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2">
        <v>1</v>
      </c>
      <c r="C56" s="27" t="s">
        <v>165</v>
      </c>
      <c r="D56" s="55">
        <v>450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2</v>
      </c>
      <c r="C57" s="27" t="s">
        <v>166</v>
      </c>
      <c r="D57" s="55">
        <v>255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3</v>
      </c>
      <c r="C58" s="27" t="s">
        <v>167</v>
      </c>
      <c r="D58" s="55">
        <v>1200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4</v>
      </c>
      <c r="C59" s="27" t="s">
        <v>182</v>
      </c>
      <c r="D59" s="55">
        <v>900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5</v>
      </c>
      <c r="C60" s="27" t="s">
        <v>179</v>
      </c>
      <c r="D60" s="55">
        <v>320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6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7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8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9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10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4.9000000000000004" customHeight="1" thickBot="1" x14ac:dyDescent="0.35">
      <c r="A66" s="1"/>
      <c r="B66" s="1"/>
      <c r="C66" s="1"/>
      <c r="D66" s="58"/>
      <c r="E66" s="58"/>
      <c r="F66" s="58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thickTop="1" x14ac:dyDescent="0.3">
      <c r="A67" s="1"/>
      <c r="B67" s="11"/>
      <c r="C67" s="4" t="s">
        <v>22</v>
      </c>
      <c r="D67" s="59">
        <f>SUM(D56:D66)</f>
        <v>3125</v>
      </c>
      <c r="E67" s="59">
        <f>SUM(E56:E66)</f>
        <v>0</v>
      </c>
      <c r="F67" s="59">
        <f>SUM(F56:F66)</f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</sheetData>
  <sheetProtection password="C2E9" sheet="1" objects="1" scenarios="1" formatColumns="0" formatRows="0" sort="0" autoFilter="0"/>
  <mergeCells count="12">
    <mergeCell ref="B46:F46"/>
    <mergeCell ref="B39:F39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1:F41"/>
  </mergeCells>
  <dataValidations count="1">
    <dataValidation type="decimal" operator="greaterThanOrEqual" allowBlank="1" showInputMessage="1" showErrorMessage="1" sqref="E32 E38 E40 E23:F27 E42:F45 E47:F52 D56:F65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3" sqref="H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186</v>
      </c>
      <c r="D11" s="27" t="s">
        <v>175</v>
      </c>
      <c r="E11" s="27" t="s">
        <v>187</v>
      </c>
      <c r="F11" s="55">
        <v>3</v>
      </c>
      <c r="G11" s="55">
        <v>4</v>
      </c>
      <c r="H11" s="55">
        <v>2</v>
      </c>
      <c r="I11" s="55">
        <v>60</v>
      </c>
      <c r="J11" s="55">
        <f>H11*I11</f>
        <v>120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177</v>
      </c>
      <c r="D12" s="27" t="s">
        <v>171</v>
      </c>
      <c r="E12" s="27" t="s">
        <v>172</v>
      </c>
      <c r="F12" s="55">
        <v>1</v>
      </c>
      <c r="G12" s="55">
        <v>3</v>
      </c>
      <c r="H12" s="55">
        <v>1</v>
      </c>
      <c r="I12" s="55">
        <v>100</v>
      </c>
      <c r="J12" s="55">
        <f t="shared" ref="J12:J20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E21" sqref="E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180</v>
      </c>
      <c r="D16" s="70" t="s">
        <v>170</v>
      </c>
      <c r="E16" s="55">
        <v>1</v>
      </c>
      <c r="F16" s="55">
        <v>100</v>
      </c>
      <c r="G16" s="55">
        <f>E16*F16</f>
        <v>100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170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173</v>
      </c>
      <c r="D18" s="70" t="s">
        <v>170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169</v>
      </c>
      <c r="D19" s="70" t="s">
        <v>170</v>
      </c>
      <c r="E19" s="55">
        <v>3</v>
      </c>
      <c r="F19" s="55">
        <v>10</v>
      </c>
      <c r="G19" s="55">
        <f t="shared" si="0"/>
        <v>30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176</v>
      </c>
      <c r="D20" s="70" t="s">
        <v>170</v>
      </c>
      <c r="E20" s="55">
        <v>2</v>
      </c>
      <c r="F20" s="55">
        <v>10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615</v>
      </c>
      <c r="H13" s="55">
        <v>15</v>
      </c>
      <c r="I13" s="55"/>
      <c r="J13" s="55">
        <v>45</v>
      </c>
      <c r="K13" s="55"/>
      <c r="L13" s="55"/>
      <c r="M13" s="55"/>
      <c r="N13" s="55"/>
      <c r="P13" s="88">
        <f>SUM(D13:N13)</f>
        <v>705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615</v>
      </c>
      <c r="H30" s="88">
        <f t="shared" si="1"/>
        <v>15</v>
      </c>
      <c r="I30" s="88">
        <f t="shared" si="1"/>
        <v>0</v>
      </c>
      <c r="J30" s="88">
        <f t="shared" si="1"/>
        <v>45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705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2018-06-01T07:30:02Z</dcterms:modified>
</cp:coreProperties>
</file>