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Drugs&amp;Med'!$C$11:$C$15</definedName>
    <definedName name="_xlnm.Print_Area" localSheetId="0">'1.1 Case data_general'!$B$1:$F$71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J16" i="2" l="1"/>
  <c r="G21" i="9" l="1"/>
  <c r="G17" i="9"/>
  <c r="G18" i="9"/>
  <c r="G19" i="9"/>
  <c r="G20" i="9"/>
  <c r="G16" i="9"/>
  <c r="J12" i="2" l="1"/>
  <c r="J13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<sst xmlns="http://schemas.openxmlformats.org/spreadsheetml/2006/main" count="492" uniqueCount="197">
  <si>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</si>
  <si>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</si>
  <si>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</si>
  <si>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</si>
  <si>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</si>
  <si>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</si>
  <si>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</si>
  <si>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</si>
  <si>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</si>
  <si>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</si>
  <si>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</si>
  <si>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</si>
  <si>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</si>
  <si>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</si>
  <si>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</si>
  <si>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</si>
  <si>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</si>
  <si>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</si>
  <si>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</si>
  <si>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</si>
  <si>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</si>
  <si>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</si>
  <si>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</si>
  <si>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</si>
  <si>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</si>
  <si>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</si>
  <si>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</si>
  <si>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</si>
  <si>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</si>
  <si>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</si>
  <si>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</si>
  <si>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</si>
  <si>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</si>
  <si>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</si>
  <si>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</si>
  <si>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</si>
  <si>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</si>
  <si>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</si>
  <si>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</si>
  <si>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</si>
  <si>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</si>
  <si>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</si>
  <si>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</si>
  <si>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</si>
  <si>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</si>
  <si>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</si>
  <si>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</si>
  <si>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</si>
  <si>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</si>
  <si>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</si>
  <si>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</si>
  <si>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</si>
  <si>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</si>
  <si>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</si>
  <si>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</si>
  <si>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</si>
  <si>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</si>
  <si>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</si>
  <si>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</si>
  <si>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</si>
  <si>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</si>
  <si>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</si>
  <si>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</si>
  <si>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</si>
  <si>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</si>
  <si>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</si>
  <si>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</si>
  <si>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</si>
  <si>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</si>
  <si>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</si>
  <si>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</si>
  <si>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</si>
  <si>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</si>
  <si>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</si>
  <si>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</si>
  <si>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</si>
  <si>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</si>
  <si>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</si>
  <si>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</si>
  <si>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</si>
  <si>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</si>
  <si>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</si>
  <si>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</si>
  <si>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</si>
  <si>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</si>
  <si>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</si>
  <si>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</si>
  <si>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</si>
  <si>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</si>
  <si>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</si>
  <si>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</si>
  <si>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</si>
  <si>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</si>
  <si>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</si>
  <si>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</si>
  <si>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</si>
  <si>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</si>
  <si>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</si>
  <si>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</si>
  <si>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</si>
  <si>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</si>
  <si>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</si>
  <si>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</si>
  <si>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</si>
  <si>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</si>
  <si>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</si>
  <si>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</si>
  <si>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</si>
  <si>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</si>
  <si>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</si>
  <si>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</si>
  <si>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</si>
  <si>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</si>
  <si>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</si>
  <si>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</si>
  <si>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</si>
  <si>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</si>
  <si>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</si>
  <si>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</si>
  <si>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</si>
  <si>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</si>
  <si>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</si>
  <si>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</si>
  <si>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</si>
  <si>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</si>
  <si>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</si>
  <si>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</si>
  <si>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</si>
  <si>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</si>
  <si>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</si>
  <si>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</si>
  <si>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</si>
  <si>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</si>
  <si>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</si>
  <si>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</si>
  <si>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</si>
  <si>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</si>
  <si>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</si>
  <si>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</si>
  <si>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</si>
  <si>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</si>
  <si>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</si>
  <si>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</si>
  <si>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</si>
  <si>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</si>
  <si>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</si>
  <si>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</si>
  <si>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</si>
  <si>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</si>
  <si>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</si>
  <si>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</si>
  <si>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</si>
  <si>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</si>
  <si>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</si>
  <si>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</si>
  <si>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</si>
  <si>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</si>
  <si>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</si>
  <si>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</si>
  <si>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</si>
  <si>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</si>
  <si>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</si>
  <si>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</si>
  <si>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</si>
  <si>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</si>
  <si>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</si>
  <si>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</si>
  <si>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</si>
  <si>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</si>
  <si>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500MG</t>
  </si>
  <si>
    <t>AMPULE</t>
  </si>
  <si>
    <t>SYRINGE 3CC</t>
  </si>
  <si>
    <t>PC</t>
  </si>
  <si>
    <t>BOTTLE</t>
  </si>
  <si>
    <t>MACRO SET</t>
  </si>
  <si>
    <t>PLASTER 1/2</t>
  </si>
  <si>
    <t>CBC PLATELET COUNT</t>
  </si>
  <si>
    <t>VIAL</t>
  </si>
  <si>
    <t>SYRINGE 5CC</t>
  </si>
  <si>
    <t>10ML</t>
  </si>
  <si>
    <t>A09.9</t>
  </si>
  <si>
    <t>E86.1</t>
  </si>
  <si>
    <t>NAKCL</t>
  </si>
  <si>
    <t>SYRUP</t>
  </si>
  <si>
    <t>METRONIDAZOLE</t>
  </si>
  <si>
    <t>BACILLUS CLAUSI</t>
  </si>
  <si>
    <t>5ML</t>
  </si>
  <si>
    <t>FECALYSIS</t>
  </si>
  <si>
    <t>220MG</t>
  </si>
  <si>
    <t>ZINC SULFATE</t>
  </si>
  <si>
    <t>CEFUROXIME</t>
  </si>
  <si>
    <t>ABOCATH GAUGE 22</t>
  </si>
  <si>
    <t>DICYCLOVERINE</t>
  </si>
  <si>
    <t>DISPOSABLE FACE MASK</t>
  </si>
  <si>
    <t>D5 0.3 NACL</t>
  </si>
  <si>
    <t>770CC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</si>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</sst>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B18" sqref="B18:F1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176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2020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166</v>
      </c>
      <c r="D61" s="55">
        <v>705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3025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D24" sqref="D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177</v>
      </c>
      <c r="E11" s="27" t="s">
        <v>188</v>
      </c>
      <c r="F11" s="55">
        <v>3</v>
      </c>
      <c r="G11" s="55">
        <v>3</v>
      </c>
      <c r="H11" s="55">
        <v>5</v>
      </c>
      <c r="I11" s="55">
        <v>75</v>
      </c>
      <c r="J11" s="55">
        <f>H11*I11</f>
        <v>375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173</v>
      </c>
      <c r="E12" s="27" t="s">
        <v>186</v>
      </c>
      <c r="F12" s="55">
        <v>3</v>
      </c>
      <c r="G12" s="55">
        <v>4</v>
      </c>
      <c r="H12" s="55">
        <v>10</v>
      </c>
      <c r="I12" s="55">
        <v>65</v>
      </c>
      <c r="J12" s="55">
        <f t="shared" ref="J12:J16" si="0">H12*I12</f>
        <v>650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183</v>
      </c>
      <c r="E13" s="27" t="s">
        <v>179</v>
      </c>
      <c r="F13" s="55">
        <v>1</v>
      </c>
      <c r="G13" s="55">
        <v>3</v>
      </c>
      <c r="H13" s="55">
        <v>2</v>
      </c>
      <c r="I13" s="55">
        <v>75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183</v>
      </c>
      <c r="E14" s="27" t="s">
        <v>179</v>
      </c>
      <c r="F14" s="55">
        <v>3</v>
      </c>
      <c r="G14" s="55">
        <v>3</v>
      </c>
      <c r="H14" s="55">
        <v>8</v>
      </c>
      <c r="I14" s="55">
        <v>50</v>
      </c>
      <c r="J14" s="55"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170</v>
      </c>
      <c r="E15" s="27" t="s">
        <v>169</v>
      </c>
      <c r="F15" s="55">
        <v>3</v>
      </c>
      <c r="G15" s="55">
        <v>2</v>
      </c>
      <c r="H15" s="55">
        <v>4</v>
      </c>
      <c r="I15" s="55">
        <v>60</v>
      </c>
      <c r="J15" s="55">
        <f t="shared" si="0"/>
        <v>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173</v>
      </c>
      <c r="E16" s="27" t="s">
        <v>195</v>
      </c>
      <c r="F16" s="55">
        <v>1</v>
      </c>
      <c r="G16" s="55">
        <v>3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11" workbookViewId="0">
      <selection activeCell="C30" sqref="C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172</v>
      </c>
      <c r="E17" s="55">
        <v>2</v>
      </c>
      <c r="F17" s="55">
        <v>20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172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172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390</v>
      </c>
      <c r="H13" s="55">
        <v>15</v>
      </c>
      <c r="I13" s="55"/>
      <c r="J13" s="55">
        <v>50</v>
      </c>
      <c r="K13" s="55"/>
      <c r="L13" s="55"/>
      <c r="M13" s="55"/>
      <c r="N13" s="55"/>
      <c r="P13" s="88">
        <f>SUM(D13:N13)</f>
        <v>485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390</v>
      </c>
      <c r="H30" s="88">
        <f t="shared" si="1"/>
        <v>15</v>
      </c>
      <c r="I30" s="88">
        <f t="shared" si="1"/>
        <v>0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2018-06-01T07:01:33Z</dcterms:modified>
</cp:coreProperties>
</file>