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3" i="9" l="1"/>
  <c r="G17" i="9"/>
  <c r="G18" i="9"/>
  <c r="G19" i="9"/>
  <c r="G20" i="9"/>
  <c r="G21" i="9"/>
  <c r="G22" i="9"/>
  <c r="G16" i="9"/>
  <c r="J18" i="2"/>
  <c r="J12" i="2"/>
  <c r="J13" i="2"/>
  <c r="J14" i="2"/>
  <c r="J15" i="2"/>
  <c r="J16" i="2"/>
  <c r="J17" i="2"/>
  <c r="J11" i="2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<sst xmlns="http://schemas.openxmlformats.org/spreadsheetml/2006/main" count="501" uniqueCount="201">
  <si>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</si>
  <si>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</si>
  <si>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</si>
  <si>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</si>
  <si>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</si>
  <si>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</si>
  <si>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</si>
  <si>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</si>
  <si>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</si>
  <si>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</si>
  <si>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</si>
  <si>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</si>
  <si>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</si>
  <si>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</si>
  <si>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</si>
  <si>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</si>
  <si>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</si>
  <si>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</si>
  <si>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</si>
  <si>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</si>
  <si>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</si>
  <si>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</si>
  <si>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</si>
  <si>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</si>
  <si>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</si>
  <si>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</si>
  <si>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</si>
  <si>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</si>
  <si>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</si>
  <si>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</si>
  <si>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</si>
  <si>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</si>
  <si>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</si>
  <si>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</si>
  <si>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</si>
  <si>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</si>
  <si>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</si>
  <si>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</si>
  <si>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</si>
  <si>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</si>
  <si>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</si>
  <si>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</si>
  <si>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</si>
  <si>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</si>
  <si>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</si>
  <si>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</si>
  <si>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</si>
  <si>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</si>
  <si>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</si>
  <si>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</si>
  <si>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</si>
  <si>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</si>
  <si>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</si>
  <si>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</si>
  <si>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</si>
  <si>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</si>
  <si>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</si>
  <si>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</si>
  <si>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</si>
  <si>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</si>
  <si>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</si>
  <si>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</si>
  <si>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</si>
  <si>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</si>
  <si>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</si>
  <si>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</si>
  <si>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</si>
  <si>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</si>
  <si>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</si>
  <si>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</si>
  <si>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</si>
  <si>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</si>
  <si>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</si>
  <si>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</si>
  <si>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</si>
  <si>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</si>
  <si>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</si>
  <si>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</si>
  <si>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</si>
  <si>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</si>
  <si>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</si>
  <si>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</si>
  <si>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</si>
  <si>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</si>
  <si>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</si>
  <si>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</si>
  <si>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</si>
  <si>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</si>
  <si>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</si>
  <si>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</si>
  <si>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</si>
  <si>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</si>
  <si>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</si>
  <si>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</si>
  <si>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</si>
  <si>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</si>
  <si>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</si>
  <si>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</si>
  <si>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</si>
  <si>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</si>
  <si>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</si>
  <si>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</si>
  <si>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</si>
  <si>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</si>
  <si>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</si>
  <si>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</si>
  <si>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</si>
  <si>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</si>
  <si>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</si>
  <si>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</si>
  <si>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</si>
  <si>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</si>
  <si>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</si>
  <si>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</si>
  <si>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</si>
  <si>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</si>
  <si>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</si>
  <si>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</si>
  <si>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</si>
  <si>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</si>
  <si>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</si>
  <si>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</si>
  <si>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</si>
  <si>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</si>
  <si>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</si>
  <si>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</si>
  <si>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</si>
  <si>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</si>
  <si>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</si>
  <si>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</si>
  <si>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</si>
  <si>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</si>
  <si>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</si>
  <si>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</si>
  <si>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</si>
  <si>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</si>
  <si>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</si>
  <si>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</si>
  <si>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</si>
  <si>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</si>
  <si>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</si>
  <si>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</si>
  <si>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</si>
  <si>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</si>
  <si>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</si>
  <si>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</si>
  <si>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</si>
  <si>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</si>
  <si>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</si>
  <si>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</si>
  <si>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</si>
  <si>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</si>
  <si>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</si>
  <si>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</si>
  <si>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</si>
  <si>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</si>
  <si>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</si>
  <si>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</si>
  <si>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</si>
  <si>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</si>
  <si>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</si>
  <si>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</si>
  <si>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</si>
  <si>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</si>
  <si>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</si>
  <si>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</si>
  <si>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</si>
  <si>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</si>
  <si>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</si>
  <si>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CBC PLATELET COUNT</t>
  </si>
  <si>
    <t>ROOM AND BOARD</t>
  </si>
  <si>
    <t>AMPULE</t>
  </si>
  <si>
    <t>40MG</t>
  </si>
  <si>
    <t>PARACETAMOL</t>
  </si>
  <si>
    <t>OMEPRAZOLE</t>
  </si>
  <si>
    <t>500MG</t>
  </si>
  <si>
    <t>1LITER</t>
  </si>
  <si>
    <t>CEFTRIAXONE</t>
  </si>
  <si>
    <t>1G</t>
  </si>
  <si>
    <t>METOCLOPRAMIDE</t>
  </si>
  <si>
    <t>URINALYSIS</t>
  </si>
  <si>
    <t>NAKCL</t>
  </si>
  <si>
    <t>A09.9</t>
  </si>
  <si>
    <t>E86.1</t>
  </si>
  <si>
    <t>METRONIDAZOLE</t>
  </si>
  <si>
    <t>HYOSCINE</t>
  </si>
  <si>
    <t>10ML</t>
  </si>
  <si>
    <t>D5 NORMOSOL M</t>
  </si>
  <si>
    <t>DISTILLED WATER FOR INJECTION</t>
  </si>
  <si>
    <t>50CC</t>
  </si>
  <si>
    <t>IV CATHETER G#22</t>
  </si>
  <si>
    <t>PIECE</t>
  </si>
  <si>
    <t>IV SET Macroset</t>
  </si>
  <si>
    <t>PLASTER</t>
  </si>
  <si>
    <t>ROLL</t>
  </si>
  <si>
    <t>5CC SYRINGE</t>
  </si>
  <si>
    <t>3CC SYRINGE</t>
  </si>
  <si>
    <t>IV CATHETER G24</t>
  </si>
  <si>
    <t>SOLUSET</t>
  </si>
  <si>
    <t>INJECTION PLUG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</si>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</sst>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169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3655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545</v>
      </c>
      <c r="E58" s="55">
        <v>285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170</v>
      </c>
      <c r="D59" s="55"/>
      <c r="E59" s="55">
        <v>300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4200</v>
      </c>
      <c r="E68" s="59">
        <f>SUM(E57:E67)</f>
        <v>585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2:F42"/>
  </mergeCells>
  <dataValidations count="1">
    <dataValidation type="decimal" operator="greaterThanOrEqual" allowBlank="1" showInputMessage="1" showErrorMessage="1" sqref="E41 E43:F46 E48:F53 D57:F66 E38:E39 E32 E23:F27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C19" sqref="C19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167</v>
      </c>
      <c r="E11" s="27" t="s">
        <v>175</v>
      </c>
      <c r="F11" s="55">
        <v>3</v>
      </c>
      <c r="G11" s="55">
        <v>4</v>
      </c>
      <c r="H11" s="55">
        <v>9</v>
      </c>
      <c r="I11" s="55">
        <v>75</v>
      </c>
      <c r="J11" s="55">
        <f>H11*I11</f>
        <v>675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171</v>
      </c>
      <c r="E12" s="27" t="s">
        <v>175</v>
      </c>
      <c r="F12" s="55">
        <v>1</v>
      </c>
      <c r="G12" s="55">
        <v>1</v>
      </c>
      <c r="H12" s="55">
        <v>1</v>
      </c>
      <c r="I12" s="55">
        <v>5</v>
      </c>
      <c r="J12" s="55">
        <f t="shared" ref="J12:J18" si="0">H12*I12</f>
        <v>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171</v>
      </c>
      <c r="E13" s="27" t="s">
        <v>186</v>
      </c>
      <c r="F13" s="55">
        <v>1</v>
      </c>
      <c r="G13" s="55">
        <v>2</v>
      </c>
      <c r="H13" s="55">
        <v>2</v>
      </c>
      <c r="I13" s="55">
        <v>100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167</v>
      </c>
      <c r="E14" s="27" t="s">
        <v>172</v>
      </c>
      <c r="F14" s="55">
        <v>1</v>
      </c>
      <c r="G14" s="55">
        <v>4</v>
      </c>
      <c r="H14" s="55">
        <v>4</v>
      </c>
      <c r="I14" s="55">
        <v>200</v>
      </c>
      <c r="J14" s="55">
        <f t="shared" si="0"/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171</v>
      </c>
      <c r="E15" s="27" t="s">
        <v>186</v>
      </c>
      <c r="F15" s="55">
        <v>1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167</v>
      </c>
      <c r="E16" s="27" t="s">
        <v>178</v>
      </c>
      <c r="F16" s="55">
        <v>2</v>
      </c>
      <c r="G16" s="55">
        <v>2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168</v>
      </c>
      <c r="E17" s="27" t="s">
        <v>176</v>
      </c>
      <c r="F17" s="55">
        <v>1</v>
      </c>
      <c r="G17" s="55">
        <v>3</v>
      </c>
      <c r="H17" s="55">
        <v>6</v>
      </c>
      <c r="I17" s="55">
        <v>100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168</v>
      </c>
      <c r="E18" s="27" t="s">
        <v>189</v>
      </c>
      <c r="F18" s="55">
        <v>1</v>
      </c>
      <c r="G18" s="55">
        <v>2</v>
      </c>
      <c r="H18" s="55">
        <v>2</v>
      </c>
      <c r="I18" s="55">
        <v>85</v>
      </c>
      <c r="J18" s="55">
        <f t="shared" si="0"/>
        <v>170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191</v>
      </c>
      <c r="E16" s="55">
        <v>1</v>
      </c>
      <c r="F16" s="55">
        <v>90</v>
      </c>
      <c r="G16" s="55">
        <f>F16*E16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191</v>
      </c>
      <c r="E17" s="55">
        <v>1</v>
      </c>
      <c r="F17" s="55">
        <v>40</v>
      </c>
      <c r="G17" s="55">
        <f t="shared" ref="G17:G23" si="0">F17*E17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194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191</v>
      </c>
      <c r="E19" s="55">
        <v>16</v>
      </c>
      <c r="F19" s="55">
        <v>10</v>
      </c>
      <c r="G19" s="55">
        <f t="shared" si="0"/>
        <v>160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196</v>
      </c>
      <c r="D20" s="70" t="s">
        <v>191</v>
      </c>
      <c r="E20" s="55">
        <v>17</v>
      </c>
      <c r="F20" s="55">
        <v>10</v>
      </c>
      <c r="G20" s="55">
        <f t="shared" si="0"/>
        <v>170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191</v>
      </c>
      <c r="E21" s="55">
        <v>1</v>
      </c>
      <c r="F21" s="55">
        <v>90</v>
      </c>
      <c r="G21" s="55">
        <f t="shared" si="0"/>
        <v>90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198</v>
      </c>
      <c r="D22" s="70" t="s">
        <v>191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199</v>
      </c>
      <c r="D23" s="70" t="s">
        <v>191</v>
      </c>
      <c r="E23" s="55">
        <v>1</v>
      </c>
      <c r="F23" s="55">
        <v>65</v>
      </c>
      <c r="G23" s="55">
        <f t="shared" si="0"/>
        <v>65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20" sqref="C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390</v>
      </c>
      <c r="H13" s="55">
        <v>20</v>
      </c>
      <c r="I13" s="55"/>
      <c r="J13" s="55">
        <v>45</v>
      </c>
      <c r="K13" s="55"/>
      <c r="L13" s="55"/>
      <c r="M13" s="55"/>
      <c r="N13" s="55"/>
      <c r="P13" s="88">
        <f>SUM(D13:N13)</f>
        <v>485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390</v>
      </c>
      <c r="H30" s="88">
        <f t="shared" si="1"/>
        <v>20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2018-06-01T07:02:39Z</dcterms:modified>
</cp:coreProperties>
</file>