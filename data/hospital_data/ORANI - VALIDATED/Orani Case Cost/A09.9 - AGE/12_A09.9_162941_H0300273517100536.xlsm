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<sst xmlns="http://schemas.openxmlformats.org/spreadsheetml/2006/main" count="496" uniqueCount="203">
  <si>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</si>
  <si>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</si>
  <si>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</si>
  <si>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</si>
  <si>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</si>
  <si>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</si>
  <si>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</si>
  <si>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</si>
  <si>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</si>
  <si>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</si>
  <si>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</si>
  <si>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</si>
  <si>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</si>
  <si>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</si>
  <si>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</si>
  <si>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</si>
  <si>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</si>
  <si>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</si>
  <si>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</si>
  <si>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</si>
  <si>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</si>
  <si>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</si>
  <si>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</si>
  <si>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</si>
  <si>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</si>
  <si>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</si>
  <si>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</si>
  <si>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</si>
  <si>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</si>
  <si>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</si>
  <si>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</si>
  <si>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</si>
  <si>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</si>
  <si>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</si>
  <si>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</si>
  <si>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</si>
  <si>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</si>
  <si>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</si>
  <si>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</si>
  <si>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</si>
  <si>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</si>
  <si>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</si>
  <si>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</si>
  <si>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</si>
  <si>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</si>
  <si>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</si>
  <si>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</si>
  <si>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</si>
  <si>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</si>
  <si>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</si>
  <si>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</si>
  <si>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</si>
  <si>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</si>
  <si>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</si>
  <si>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</si>
  <si>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</si>
  <si>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</si>
  <si>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</si>
  <si>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</si>
  <si>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</si>
  <si>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</si>
  <si>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</si>
  <si>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</si>
  <si>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</si>
  <si>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</si>
  <si>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</si>
  <si>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</si>
  <si>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</si>
  <si>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</si>
  <si>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</si>
  <si>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</si>
  <si>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</si>
  <si>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</si>
  <si>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</si>
  <si>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</si>
  <si>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</si>
  <si>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</si>
  <si>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</si>
  <si>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</si>
  <si>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</si>
  <si>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</si>
  <si>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</si>
  <si>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</si>
  <si>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</si>
  <si>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</si>
  <si>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</si>
  <si>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</si>
  <si>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</si>
  <si>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</si>
  <si>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</si>
  <si>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</si>
  <si>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</si>
  <si>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</si>
  <si>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</si>
  <si>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</si>
  <si>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</si>
  <si>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</si>
  <si>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</si>
  <si>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</si>
  <si>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</si>
  <si>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</si>
  <si>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</si>
  <si>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</si>
  <si>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</si>
  <si>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</si>
  <si>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</si>
  <si>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</si>
  <si>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</si>
  <si>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</si>
  <si>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</si>
  <si>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</si>
  <si>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</si>
  <si>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</si>
  <si>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</si>
  <si>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</si>
  <si>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</si>
  <si>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</si>
  <si>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</si>
  <si>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</si>
  <si>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</si>
  <si>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</si>
  <si>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</si>
  <si>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</si>
  <si>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</si>
  <si>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</si>
  <si>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</si>
  <si>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</si>
  <si>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</si>
  <si>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</si>
  <si>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</si>
  <si>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</si>
  <si>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</si>
  <si>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</si>
  <si>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</si>
  <si>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</si>
  <si>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</si>
  <si>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</si>
  <si>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</si>
  <si>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</si>
  <si>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</si>
  <si>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</si>
  <si>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</si>
  <si>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</si>
  <si>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</si>
  <si>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</si>
  <si>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</si>
  <si>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</si>
  <si>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</si>
  <si>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</si>
  <si>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</si>
  <si>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</si>
  <si>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</si>
  <si>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</si>
  <si>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</si>
  <si>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</si>
  <si>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</si>
  <si>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</si>
  <si>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</si>
  <si>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</si>
  <si>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</si>
  <si>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</si>
  <si>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</si>
  <si>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</si>
  <si>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</si>
  <si>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</si>
  <si>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</si>
  <si>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</si>
  <si>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</si>
  <si>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500MG</t>
  </si>
  <si>
    <t>AMPULE</t>
  </si>
  <si>
    <t>SYRINGE 3CC</t>
  </si>
  <si>
    <t>PC</t>
  </si>
  <si>
    <t>BOTTLE</t>
  </si>
  <si>
    <t>1LITER</t>
  </si>
  <si>
    <t>MACRO SET</t>
  </si>
  <si>
    <t>PLASTER 1/2</t>
  </si>
  <si>
    <t>E86.1</t>
  </si>
  <si>
    <t>CHEST PA</t>
  </si>
  <si>
    <t>CBC PLATELET COUNT</t>
  </si>
  <si>
    <t>GLUCOSE</t>
  </si>
  <si>
    <t>BUN</t>
  </si>
  <si>
    <t>CREATININE</t>
  </si>
  <si>
    <t>CHOLESTEROL</t>
  </si>
  <si>
    <t>URIC ACID</t>
  </si>
  <si>
    <t>TRIGLYCERIDES</t>
  </si>
  <si>
    <t>VIAL</t>
  </si>
  <si>
    <t>MULTIVITAMINS</t>
  </si>
  <si>
    <t>CAPSULE</t>
  </si>
  <si>
    <t>ABOCATH G20</t>
  </si>
  <si>
    <t>SYRINGE 5CC</t>
  </si>
  <si>
    <t>METRONIDAZOLE</t>
  </si>
  <si>
    <t>OMEPRAZOLE</t>
  </si>
  <si>
    <t>40MG</t>
  </si>
  <si>
    <t>HDL</t>
  </si>
  <si>
    <t>LDL</t>
  </si>
  <si>
    <t>XRAY</t>
  </si>
  <si>
    <t>HYOSCINE</t>
  </si>
  <si>
    <t>10ML</t>
  </si>
  <si>
    <t>PARACETAMOL</t>
  </si>
  <si>
    <t>150MG</t>
  </si>
  <si>
    <t>PLAIN LR SOLUTION</t>
  </si>
  <si>
    <t>A09.9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</si>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</sst>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39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39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57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194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177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164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164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165</v>
      </c>
      <c r="D65" s="55">
        <v>2276</v>
      </c>
      <c r="E65" s="55">
        <v>569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166</v>
      </c>
      <c r="D66" s="55">
        <v>1276</v>
      </c>
      <c r="E66" s="55">
        <v>319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167</v>
      </c>
      <c r="D67" s="55">
        <v>240</v>
      </c>
      <c r="E67" s="55">
        <v>60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195</v>
      </c>
      <c r="D68" s="55">
        <v>128</v>
      </c>
      <c r="E68" s="55">
        <v>32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3920</v>
      </c>
      <c r="E76" s="59">
        <f>SUM(E65:E75)</f>
        <v>980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zoomScale="90" zoomScaleNormal="90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185</v>
      </c>
      <c r="E11" s="27" t="s">
        <v>168</v>
      </c>
      <c r="F11" s="55">
        <v>3</v>
      </c>
      <c r="G11" s="55">
        <v>4</v>
      </c>
      <c r="H11" s="55">
        <v>11</v>
      </c>
      <c r="I11" s="55">
        <v>75</v>
      </c>
      <c r="J11" s="55">
        <f>H11*I11</f>
        <v>825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169</v>
      </c>
      <c r="E12" s="27" t="s">
        <v>197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8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185</v>
      </c>
      <c r="E13" s="27" t="s">
        <v>192</v>
      </c>
      <c r="F13" s="55">
        <v>1</v>
      </c>
      <c r="G13" s="55">
        <v>1</v>
      </c>
      <c r="H13" s="55">
        <v>4</v>
      </c>
      <c r="I13" s="55">
        <v>200</v>
      </c>
      <c r="J13" s="55">
        <f t="shared" si="0"/>
        <v>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185</v>
      </c>
      <c r="E14" s="27" t="s">
        <v>199</v>
      </c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187</v>
      </c>
      <c r="E15" s="27" t="s">
        <v>168</v>
      </c>
      <c r="F15" s="55">
        <v>1</v>
      </c>
      <c r="G15" s="55">
        <v>2</v>
      </c>
      <c r="H15" s="55">
        <v>2</v>
      </c>
      <c r="I15" s="55">
        <v>50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 t="s">
        <v>172</v>
      </c>
      <c r="E16" s="27" t="s">
        <v>173</v>
      </c>
      <c r="F16" s="55">
        <v>2</v>
      </c>
      <c r="G16" s="55">
        <v>4</v>
      </c>
      <c r="H16" s="55">
        <v>6</v>
      </c>
      <c r="I16" s="55">
        <v>100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3" zoomScale="90" zoomScaleNormal="9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171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17</v>
      </c>
      <c r="F19" s="55">
        <v>10</v>
      </c>
      <c r="G19" s="55">
        <f t="shared" si="0"/>
        <v>170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171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540</v>
      </c>
      <c r="H13" s="55">
        <v>20</v>
      </c>
      <c r="I13" s="55"/>
      <c r="J13" s="55">
        <v>65</v>
      </c>
      <c r="K13" s="55"/>
      <c r="L13" s="55"/>
      <c r="M13" s="55"/>
      <c r="N13" s="55"/>
      <c r="P13" s="88">
        <f>SUM(D13:N13)</f>
        <v>655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540</v>
      </c>
      <c r="H30" s="88">
        <f t="shared" si="1"/>
        <v>20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2018-06-01T07:05:39Z</dcterms:modified>
</cp:coreProperties>
</file>