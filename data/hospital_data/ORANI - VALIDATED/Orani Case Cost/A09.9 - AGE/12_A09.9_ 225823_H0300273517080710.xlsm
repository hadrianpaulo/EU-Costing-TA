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/>
  <c r="J13" i="2"/>
  <c r="J14" i="2"/>
  <c r="J15" i="2"/>
  <c r="J16" i="2"/>
  <c r="J17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<sst xmlns="http://schemas.openxmlformats.org/spreadsheetml/2006/main" count="491" uniqueCount="197">
  <si>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</si>
  <si>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</si>
  <si>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</si>
  <si>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</si>
  <si>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</si>
  <si>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</si>
  <si>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</si>
  <si>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</si>
  <si>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</si>
  <si>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</si>
  <si>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</si>
  <si>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</si>
  <si>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</si>
  <si>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</si>
  <si>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</si>
  <si>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</si>
  <si>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</si>
  <si>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</si>
  <si>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</si>
  <si>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</si>
  <si>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</si>
  <si>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</si>
  <si>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</si>
  <si>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</si>
  <si>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</si>
  <si>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</si>
  <si>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</si>
  <si>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</si>
  <si>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</si>
  <si>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</si>
  <si>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</si>
  <si>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</si>
  <si>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</si>
  <si>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</si>
  <si>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</si>
  <si>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</si>
  <si>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</si>
  <si>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</si>
  <si>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</si>
  <si>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</si>
  <si>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</si>
  <si>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</si>
  <si>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</si>
  <si>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</si>
  <si>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</si>
  <si>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</si>
  <si>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</si>
  <si>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</si>
  <si>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</si>
  <si>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</si>
  <si>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</si>
  <si>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</si>
  <si>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</si>
  <si>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</si>
  <si>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</si>
  <si>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</si>
  <si>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</si>
  <si>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</si>
  <si>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</si>
  <si>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</si>
  <si>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</si>
  <si>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</si>
  <si>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</si>
  <si>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</si>
  <si>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</si>
  <si>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</si>
  <si>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</si>
  <si>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</si>
  <si>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</si>
  <si>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</si>
  <si>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</si>
  <si>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</si>
  <si>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</si>
  <si>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</si>
  <si>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</si>
  <si>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</si>
  <si>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</si>
  <si>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</si>
  <si>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</si>
  <si>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</si>
  <si>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</si>
  <si>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</si>
  <si>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</si>
  <si>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</si>
  <si>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</si>
  <si>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</si>
  <si>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</si>
  <si>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</si>
  <si>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</si>
  <si>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</si>
  <si>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</si>
  <si>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</si>
  <si>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</si>
  <si>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</si>
  <si>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</si>
  <si>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</si>
  <si>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</si>
  <si>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</si>
  <si>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</si>
  <si>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</si>
  <si>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</si>
  <si>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</si>
  <si>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</si>
  <si>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</si>
  <si>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</si>
  <si>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</si>
  <si>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</si>
  <si>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</si>
  <si>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</si>
  <si>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</si>
  <si>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</si>
  <si>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</si>
  <si>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</si>
  <si>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</si>
  <si>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</si>
  <si>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</si>
  <si>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</si>
  <si>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</si>
  <si>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</si>
  <si>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</si>
  <si>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</si>
  <si>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</si>
  <si>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</si>
  <si>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</si>
  <si>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</si>
  <si>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</si>
  <si>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</si>
  <si>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</si>
  <si>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</si>
  <si>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</si>
  <si>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</si>
  <si>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</si>
  <si>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</si>
  <si>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</si>
  <si>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</si>
  <si>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</si>
  <si>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</si>
  <si>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</si>
  <si>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</si>
  <si>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</si>
  <si>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</si>
  <si>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</si>
  <si>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</si>
  <si>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</si>
  <si>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</si>
  <si>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</si>
  <si>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</si>
  <si>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</si>
  <si>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</si>
  <si>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</si>
  <si>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</si>
  <si>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</si>
  <si>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</si>
  <si>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</si>
  <si>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</si>
  <si>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</si>
  <si>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</si>
  <si>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</si>
  <si>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</si>
  <si>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</si>
  <si>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</si>
  <si>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</si>
  <si>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</si>
  <si>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</si>
  <si>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</si>
  <si>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</si>
  <si>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</si>
  <si>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</si>
  <si>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</si>
  <si>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</si>
  <si>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</si>
  <si>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</si>
  <si>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</si>
  <si>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</si>
  <si>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</si>
  <si>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</si>
  <si>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PARACETAMOL</t>
  </si>
  <si>
    <t>1LITER</t>
  </si>
  <si>
    <t>URINALYSIS</t>
  </si>
  <si>
    <t>A09.9</t>
  </si>
  <si>
    <t>E86.1</t>
  </si>
  <si>
    <t>METRONIDAZOLE</t>
  </si>
  <si>
    <t>FECALYSIS</t>
  </si>
  <si>
    <t>SYRUP</t>
  </si>
  <si>
    <t>ABOCATH 24</t>
  </si>
  <si>
    <t>MICRO SET</t>
  </si>
  <si>
    <t>2.5ML</t>
  </si>
  <si>
    <t>D5 0.3 NACL</t>
  </si>
  <si>
    <t>130MG</t>
  </si>
  <si>
    <t>NEBULE</t>
  </si>
  <si>
    <t>110MG</t>
  </si>
  <si>
    <t>PLAIN LR</t>
  </si>
  <si>
    <t>350MG</t>
  </si>
  <si>
    <t>AMPICILLIN</t>
  </si>
  <si>
    <t>MULTIVITAMINS</t>
  </si>
  <si>
    <t>BASILLUS CLAUSI</t>
  </si>
  <si>
    <t>ACUTE GASTROENTERITIS WITH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</si>
</sst>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2" zoomScale="90" zoomScaleNormal="90" workbookViewId="0">
      <selection activeCell="B22" sqref="B22:F2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182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173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3040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255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174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3895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algorithmName="SHA-512" hashValue="HV287GP2XtAONb1alIL3iCOU1PyXyxCC+DMo2Imtm+TezGWu3mWAVJH8Xy+p9dqYHLKRapWGlKJatdtCD0umTw==" saltValue="FkKNGnElx5+GFmWg40Vkmw==" spinCount="100000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1:F41"/>
  </mergeCells>
  <dataValidations count="1">
    <dataValidation type="decimal" operator="greaterThanOrEqual" allowBlank="1" showInputMessage="1" showErrorMessage="1" sqref="E40 E42:F45 E47:F52 D56:F65 E38 E32 E23:F27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7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 WITH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193</v>
      </c>
      <c r="D11" s="27" t="s">
        <v>167</v>
      </c>
      <c r="E11" s="27" t="s">
        <v>192</v>
      </c>
      <c r="F11" s="55">
        <v>3</v>
      </c>
      <c r="G11" s="55">
        <v>4</v>
      </c>
      <c r="H11" s="55">
        <v>8</v>
      </c>
      <c r="I11" s="55">
        <v>40</v>
      </c>
      <c r="J11" s="55">
        <f>H11*I11</f>
        <v>320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175</v>
      </c>
      <c r="E12" s="27" t="s">
        <v>190</v>
      </c>
      <c r="F12" s="55">
        <v>6</v>
      </c>
      <c r="G12" s="55">
        <v>3</v>
      </c>
      <c r="H12" s="55">
        <v>8</v>
      </c>
      <c r="I12" s="55">
        <v>50</v>
      </c>
      <c r="J12" s="55">
        <f t="shared" ref="J12:J17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167</v>
      </c>
      <c r="E13" s="27" t="s">
        <v>188</v>
      </c>
      <c r="F13" s="55">
        <v>3</v>
      </c>
      <c r="G13" s="55">
        <v>6</v>
      </c>
      <c r="H13" s="55">
        <v>10</v>
      </c>
      <c r="I13" s="55">
        <v>75</v>
      </c>
      <c r="J13" s="55">
        <f t="shared" si="0"/>
        <v>750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183</v>
      </c>
      <c r="E14" s="27" t="s">
        <v>186</v>
      </c>
      <c r="F14" s="55">
        <v>1</v>
      </c>
      <c r="G14" s="55">
        <v>3</v>
      </c>
      <c r="H14" s="55">
        <v>3</v>
      </c>
      <c r="I14" s="55">
        <v>50</v>
      </c>
      <c r="J14" s="55">
        <f t="shared" si="0"/>
        <v>150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189</v>
      </c>
      <c r="E15" s="27"/>
      <c r="F15" s="55">
        <v>3</v>
      </c>
      <c r="G15" s="55">
        <v>4</v>
      </c>
      <c r="H15" s="55">
        <v>6</v>
      </c>
      <c r="I15" s="55">
        <v>65</v>
      </c>
      <c r="J15" s="55">
        <f t="shared" si="0"/>
        <v>390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168</v>
      </c>
      <c r="E16" s="27" t="s">
        <v>177</v>
      </c>
      <c r="F16" s="55">
        <v>1</v>
      </c>
      <c r="G16" s="55">
        <v>2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168</v>
      </c>
      <c r="E17" s="27" t="s">
        <v>177</v>
      </c>
      <c r="F17" s="55">
        <v>1</v>
      </c>
      <c r="G17" s="55">
        <v>4</v>
      </c>
      <c r="H17" s="55">
        <v>6</v>
      </c>
      <c r="I17" s="55">
        <v>100</v>
      </c>
      <c r="J17" s="55">
        <f t="shared" si="0"/>
        <v>600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 WITH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171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5</v>
      </c>
      <c r="F19" s="55">
        <v>10</v>
      </c>
      <c r="G19" s="55">
        <f t="shared" si="0"/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 WITH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575</v>
      </c>
      <c r="H13" s="55">
        <v>30</v>
      </c>
      <c r="I13" s="55"/>
      <c r="J13" s="55">
        <v>115</v>
      </c>
      <c r="K13" s="55"/>
      <c r="L13" s="55"/>
      <c r="M13" s="55"/>
      <c r="N13" s="55"/>
      <c r="P13" s="88">
        <f>SUM(D13:N13)</f>
        <v>770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575</v>
      </c>
      <c r="H30" s="88">
        <f t="shared" si="1"/>
        <v>30</v>
      </c>
      <c r="I30" s="88">
        <f t="shared" si="1"/>
        <v>0</v>
      </c>
      <c r="J30" s="88">
        <f t="shared" si="1"/>
        <v>115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2018-06-01T06:41:24Z</dcterms:modified>
</cp:coreProperties>
</file>