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Drugs&amp;Med'!$C$11:$C$17</definedName>
    <definedName name="_xlnm.Print_Area" localSheetId="0">'1.1 Case data_general'!$B$1:$F$70</definedName>
    <definedName name="_xlnm.Print_Area" localSheetId="1">'1.2 Drugs&amp;Med'!$B$2:$J$18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<sst xmlns="http://schemas.openxmlformats.org/spreadsheetml/2006/main" count="491" uniqueCount="196">
  <si>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</si>
  <si>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</si>
  <si>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</si>
  <si>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</si>
  <si>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</si>
  <si>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</si>
  <si>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</si>
  <si>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</si>
  <si>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</si>
  <si>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</si>
  <si>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</si>
  <si>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</si>
  <si>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</si>
  <si>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</si>
  <si>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</si>
  <si>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</si>
  <si>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</si>
  <si>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</si>
  <si>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</si>
  <si>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</si>
  <si>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</si>
  <si>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</si>
  <si>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</si>
  <si>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</si>
  <si>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</si>
  <si>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</si>
  <si>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</si>
  <si>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</si>
  <si>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</si>
  <si>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</si>
  <si>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</si>
  <si>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</si>
  <si>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</si>
  <si>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</si>
  <si>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</si>
  <si>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</si>
  <si>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</si>
  <si>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</si>
  <si>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</si>
  <si>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</si>
  <si>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</si>
  <si>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</si>
  <si>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</si>
  <si>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</si>
  <si>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</si>
  <si>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</si>
  <si>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</si>
  <si>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</si>
  <si>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</si>
  <si>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</si>
  <si>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</si>
  <si>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</si>
  <si>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</si>
  <si>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</si>
  <si>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</si>
  <si>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</si>
  <si>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</si>
  <si>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</si>
  <si>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</si>
  <si>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</si>
  <si>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</si>
  <si>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</si>
  <si>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</si>
  <si>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</si>
  <si>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</si>
  <si>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</si>
  <si>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</si>
  <si>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</si>
  <si>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</si>
  <si>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</si>
  <si>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</si>
  <si>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</si>
  <si>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</si>
  <si>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</si>
  <si>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</si>
  <si>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</si>
  <si>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</si>
  <si>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</si>
  <si>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</si>
  <si>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</si>
  <si>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</si>
  <si>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</si>
  <si>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</si>
  <si>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</si>
  <si>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</si>
  <si>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</si>
  <si>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</si>
  <si>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</si>
  <si>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</si>
  <si>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</si>
  <si>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</si>
  <si>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</si>
  <si>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</si>
  <si>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</si>
  <si>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</si>
  <si>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</si>
  <si>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</si>
  <si>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</si>
  <si>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</si>
  <si>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</si>
  <si>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</si>
  <si>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</si>
  <si>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</si>
  <si>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</si>
  <si>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</si>
  <si>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</si>
  <si>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</si>
  <si>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</si>
  <si>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</si>
  <si>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</si>
  <si>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</si>
  <si>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</si>
  <si>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</si>
  <si>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</si>
  <si>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</si>
  <si>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</si>
  <si>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</si>
  <si>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</si>
  <si>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</si>
  <si>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</si>
  <si>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</si>
  <si>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</si>
  <si>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</si>
  <si>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</si>
  <si>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</si>
  <si>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</si>
  <si>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</si>
  <si>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</si>
  <si>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</si>
  <si>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</si>
  <si>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</si>
  <si>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</si>
  <si>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</si>
  <si>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</si>
  <si>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</si>
  <si>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</si>
  <si>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</si>
  <si>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</si>
  <si>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</si>
  <si>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</si>
  <si>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</si>
  <si>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</si>
  <si>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</si>
  <si>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</si>
  <si>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</si>
  <si>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</si>
  <si>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</si>
  <si>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</si>
  <si>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</si>
  <si>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</si>
  <si>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</si>
  <si>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</si>
  <si>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</si>
  <si>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</si>
  <si>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</si>
  <si>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</si>
  <si>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</si>
  <si>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</si>
  <si>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</si>
  <si>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</si>
  <si>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</si>
  <si>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</si>
  <si>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</si>
  <si>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</si>
  <si>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</si>
  <si>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</si>
  <si>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</si>
  <si>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</si>
  <si>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</si>
  <si>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SYRINGE 3CC</t>
  </si>
  <si>
    <t>PC</t>
  </si>
  <si>
    <t>BOTTLE</t>
  </si>
  <si>
    <t>1LITER</t>
  </si>
  <si>
    <t>MACRO SET</t>
  </si>
  <si>
    <t>PLASTER 1/2</t>
  </si>
  <si>
    <t>A09.9</t>
  </si>
  <si>
    <t>E86.1</t>
  </si>
  <si>
    <t>CBC PLATELET COUNT</t>
  </si>
  <si>
    <t>FECALYSIS</t>
  </si>
  <si>
    <t>METOCLOPROMIDE</t>
  </si>
  <si>
    <t>5ML</t>
  </si>
  <si>
    <t>VIAL</t>
  </si>
  <si>
    <t>SYRINGE 5CC</t>
  </si>
  <si>
    <t>PARACETAMOL</t>
  </si>
  <si>
    <t>40MG</t>
  </si>
  <si>
    <t>NAKCL</t>
  </si>
  <si>
    <t>METRONIDAZOLE</t>
  </si>
  <si>
    <t>OMEPRAZOLE</t>
  </si>
  <si>
    <t>300MG</t>
  </si>
  <si>
    <t>10ML</t>
  </si>
  <si>
    <t>50MG</t>
  </si>
  <si>
    <t>BACCILLUS CLAUSI</t>
  </si>
  <si>
    <t>D5 0.9 NACL</t>
  </si>
  <si>
    <t>D5 NORMOSOL M</t>
  </si>
  <si>
    <t>ABOCATH 22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</si>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</sst>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3260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940</v>
      </c>
      <c r="E60" s="55">
        <v>320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/>
      <c r="E61" s="55">
        <v>300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4200</v>
      </c>
      <c r="E70" s="59">
        <f>SUM(E59:E69)</f>
        <v>620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A18" sqref="A18:XFD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181</v>
      </c>
      <c r="E11" s="27" t="s">
        <v>190</v>
      </c>
      <c r="F11" s="55">
        <v>2</v>
      </c>
      <c r="G11" s="55">
        <v>4</v>
      </c>
      <c r="H11" s="55">
        <v>9</v>
      </c>
      <c r="I11" s="55">
        <v>75</v>
      </c>
      <c r="J11" s="55">
        <f>H11*I11</f>
        <v>675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168</v>
      </c>
      <c r="E12" s="27" t="s">
        <v>189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7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181</v>
      </c>
      <c r="E13" s="27" t="s">
        <v>184</v>
      </c>
      <c r="F13" s="55">
        <v>1</v>
      </c>
      <c r="G13" s="55">
        <v>4</v>
      </c>
      <c r="H13" s="55">
        <v>4</v>
      </c>
      <c r="I13" s="55">
        <v>200</v>
      </c>
      <c r="J13" s="55">
        <f t="shared" si="0"/>
        <v>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168</v>
      </c>
      <c r="E14" s="27" t="s">
        <v>188</v>
      </c>
      <c r="F14" s="55">
        <v>4</v>
      </c>
      <c r="G14" s="55">
        <v>1</v>
      </c>
      <c r="H14" s="55">
        <v>4</v>
      </c>
      <c r="I14" s="55">
        <v>50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171</v>
      </c>
      <c r="E15" s="27" t="s">
        <v>180</v>
      </c>
      <c r="F15" s="55">
        <v>3</v>
      </c>
      <c r="G15" s="55">
        <v>3</v>
      </c>
      <c r="H15" s="55">
        <v>9</v>
      </c>
      <c r="I15" s="55">
        <v>65</v>
      </c>
      <c r="J15" s="55">
        <f t="shared" si="0"/>
        <v>585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171</v>
      </c>
      <c r="E16" s="27" t="s">
        <v>172</v>
      </c>
      <c r="F16" s="55">
        <v>1</v>
      </c>
      <c r="G16" s="55">
        <v>2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171</v>
      </c>
      <c r="E17" s="27" t="s">
        <v>172</v>
      </c>
      <c r="F17" s="55">
        <v>1</v>
      </c>
      <c r="G17" s="55">
        <v>3</v>
      </c>
      <c r="H17" s="55">
        <v>4</v>
      </c>
      <c r="I17" s="55">
        <v>100</v>
      </c>
      <c r="J17" s="55">
        <f t="shared" si="0"/>
        <v>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3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170</v>
      </c>
      <c r="E17" s="55">
        <v>3</v>
      </c>
      <c r="F17" s="55">
        <v>10</v>
      </c>
      <c r="G17" s="55">
        <f t="shared" ref="G17:G20" si="0">E17*F17</f>
        <v>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170</v>
      </c>
      <c r="E19" s="55">
        <v>1</v>
      </c>
      <c r="F19" s="55">
        <v>100</v>
      </c>
      <c r="G19" s="55">
        <f t="shared" si="0"/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392</v>
      </c>
      <c r="H13" s="55">
        <v>15</v>
      </c>
      <c r="I13" s="55"/>
      <c r="J13" s="55">
        <v>40</v>
      </c>
      <c r="K13" s="55"/>
      <c r="L13" s="55"/>
      <c r="M13" s="55"/>
      <c r="N13" s="55"/>
      <c r="P13" s="88">
        <f>SUM(D13:N13)</f>
        <v>477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392</v>
      </c>
      <c r="H30" s="88">
        <f t="shared" si="1"/>
        <v>15</v>
      </c>
      <c r="I30" s="88">
        <f t="shared" si="1"/>
        <v>0</v>
      </c>
      <c r="J30" s="88">
        <f t="shared" si="1"/>
        <v>40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477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2018-06-01T07:41:07Z</dcterms:modified>
</cp:coreProperties>
</file>