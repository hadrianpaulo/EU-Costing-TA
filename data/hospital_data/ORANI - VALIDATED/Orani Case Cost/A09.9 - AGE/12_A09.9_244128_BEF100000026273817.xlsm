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Supplies_Medical'!$C$15:$C$42</definedName>
    <definedName name="Drugs">'1.2 Drugs&amp;Med'!$C$11:$C$14</definedName>
    <definedName name="_xlnm.Print_Area" localSheetId="0">'1.1 Case data_general'!$B$1:$F$73</definedName>
    <definedName name="_xlnm.Print_Area" localSheetId="1">'1.2 Drugs&amp;Med'!$B$2:$J$15</definedName>
  </definedNames>
  <calcPr calcId="145621"/>
</workbook>
</file>

<file path=xl/calcChain.xml><?xml version="1.0" encoding="utf-8"?>
<calcChain xmlns="http://schemas.openxmlformats.org/spreadsheetml/2006/main">
  <c r="G17" i="9" l="1"/>
  <c r="G18" i="9"/>
  <c r="G19" i="9"/>
  <c r="G20" i="9"/>
  <c r="G16" i="9"/>
  <c r="J12" i="2" l="1"/>
  <c r="J13" i="2"/>
  <c r="J14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<sst xmlns="http://schemas.openxmlformats.org/spreadsheetml/2006/main" count="486" uniqueCount="193">
  <si>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</si>
  <si>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</si>
  <si>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</si>
  <si>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</si>
  <si>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</si>
  <si>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</si>
  <si>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</si>
  <si>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</si>
  <si>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</si>
  <si>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</si>
  <si>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</si>
  <si>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</si>
  <si>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</si>
  <si>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</si>
  <si>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</si>
  <si>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</si>
  <si>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</si>
  <si>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</si>
  <si>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</si>
  <si>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</si>
  <si>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</si>
  <si>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</si>
  <si>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</si>
  <si>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</si>
  <si>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</si>
  <si>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</si>
  <si>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</si>
  <si>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</si>
  <si>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</si>
  <si>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</si>
  <si>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</si>
  <si>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</si>
  <si>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</si>
  <si>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</si>
  <si>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</si>
  <si>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</si>
  <si>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</si>
  <si>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</si>
  <si>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</si>
  <si>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</si>
  <si>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</si>
  <si>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</si>
  <si>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</si>
  <si>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</si>
  <si>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</si>
  <si>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</si>
  <si>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</si>
  <si>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</si>
  <si>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</si>
  <si>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</si>
  <si>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</si>
  <si>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</si>
  <si>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</si>
  <si>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</si>
  <si>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</si>
  <si>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</si>
  <si>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</si>
  <si>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</si>
  <si>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</si>
  <si>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</si>
  <si>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</si>
  <si>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</si>
  <si>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</si>
  <si>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</si>
  <si>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</si>
  <si>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</si>
  <si>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</si>
  <si>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</si>
  <si>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</si>
  <si>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</si>
  <si>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</si>
  <si>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</si>
  <si>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</si>
  <si>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</si>
  <si>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</si>
  <si>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</si>
  <si>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</si>
  <si>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</si>
  <si>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</si>
  <si>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</si>
  <si>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</si>
  <si>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</si>
  <si>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</si>
  <si>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</si>
  <si>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</si>
  <si>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</si>
  <si>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</si>
  <si>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</si>
  <si>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</si>
  <si>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</si>
  <si>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</si>
  <si>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</si>
  <si>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</si>
  <si>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</si>
  <si>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</si>
  <si>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</si>
  <si>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</si>
  <si>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</si>
  <si>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</si>
  <si>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</si>
  <si>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</si>
  <si>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</si>
  <si>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</si>
  <si>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</si>
  <si>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</si>
  <si>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</si>
  <si>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</si>
  <si>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</si>
  <si>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</si>
  <si>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</si>
  <si>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</si>
  <si>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</si>
  <si>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</si>
  <si>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</si>
  <si>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</si>
  <si>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</si>
  <si>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</si>
  <si>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</si>
  <si>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</si>
  <si>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</si>
  <si>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</si>
  <si>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</si>
  <si>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</si>
  <si>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</si>
  <si>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</si>
  <si>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</si>
  <si>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</si>
  <si>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</si>
  <si>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</si>
  <si>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</si>
  <si>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</si>
  <si>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</si>
  <si>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</si>
  <si>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</si>
  <si>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</si>
  <si>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</si>
  <si>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</si>
  <si>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</si>
  <si>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</si>
  <si>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</si>
  <si>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</si>
  <si>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</si>
  <si>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</si>
  <si>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</si>
  <si>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</si>
  <si>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</si>
  <si>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</si>
  <si>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</si>
  <si>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</si>
  <si>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</si>
  <si>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</si>
  <si>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</si>
  <si>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</si>
  <si>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</si>
  <si>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</si>
  <si>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</si>
  <si>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</si>
  <si>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</si>
  <si>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</si>
  <si>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</si>
  <si>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</si>
  <si>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</si>
  <si>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</si>
  <si>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</si>
  <si>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</si>
  <si>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</si>
  <si>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</si>
  <si>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</si>
  <si>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URINALYSIS</t>
  </si>
  <si>
    <t>AMPULE</t>
  </si>
  <si>
    <t>SYRINGE 3CC</t>
  </si>
  <si>
    <t>PC</t>
  </si>
  <si>
    <t>BOTTLE</t>
  </si>
  <si>
    <t>1LITER</t>
  </si>
  <si>
    <t>PLASTER 1/2</t>
  </si>
  <si>
    <t>VIAL</t>
  </si>
  <si>
    <t>5ML</t>
  </si>
  <si>
    <t>D5 0.3 NACL</t>
  </si>
  <si>
    <t>SYRINGE 5CC</t>
  </si>
  <si>
    <t>ABOCATH GAUGE 24</t>
  </si>
  <si>
    <t>MICRO SET</t>
  </si>
  <si>
    <t>NAKCL</t>
  </si>
  <si>
    <t>250MG</t>
  </si>
  <si>
    <t>A09.9</t>
  </si>
  <si>
    <t>E86.1</t>
  </si>
  <si>
    <t>BUN</t>
  </si>
  <si>
    <t>CREATININE</t>
  </si>
  <si>
    <t>FECALYSIS</t>
  </si>
  <si>
    <t>CBC PLATELET COUNT</t>
  </si>
  <si>
    <t>METOCLOPRAMIDE</t>
  </si>
  <si>
    <t>METRONIDAZOLE</t>
  </si>
  <si>
    <t>CHLORAMPHENICOL</t>
  </si>
  <si>
    <t>AGE W/ MODERATE DEHYDRATION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</si>
</sst>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21</xdr:row>
          <xdr:rowOff>28575</xdr:rowOff>
        </xdr:from>
        <xdr:to>
          <xdr:col>1</xdr:col>
          <xdr:colOff>762000</xdr:colOff>
          <xdr:row>21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21</xdr:row>
          <xdr:rowOff>28575</xdr:rowOff>
        </xdr:from>
        <xdr:to>
          <xdr:col>1</xdr:col>
          <xdr:colOff>1533525</xdr:colOff>
          <xdr:row>21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28575</xdr:rowOff>
        </xdr:from>
        <xdr:to>
          <xdr:col>1</xdr:col>
          <xdr:colOff>771525</xdr:colOff>
          <xdr:row>32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32</xdr:row>
          <xdr:rowOff>28575</xdr:rowOff>
        </xdr:from>
        <xdr:to>
          <xdr:col>1</xdr:col>
          <xdr:colOff>1543050</xdr:colOff>
          <xdr:row>32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opLeftCell="A54" zoomScaleNormal="10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192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183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184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168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185</v>
      </c>
      <c r="D35" s="23"/>
      <c r="E35" s="57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30">
        <v>3</v>
      </c>
      <c r="C36" s="31" t="s">
        <v>186</v>
      </c>
      <c r="D36" s="23"/>
      <c r="E36" s="57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30">
        <v>4</v>
      </c>
      <c r="C37" s="31" t="s">
        <v>181</v>
      </c>
      <c r="D37" s="23"/>
      <c r="E37" s="57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30">
        <v>5</v>
      </c>
      <c r="C38" s="31" t="s">
        <v>187</v>
      </c>
      <c r="D38" s="23"/>
      <c r="E38" s="57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30">
        <v>6</v>
      </c>
      <c r="C39" s="31" t="s">
        <v>188</v>
      </c>
      <c r="D39" s="23"/>
      <c r="E39" s="57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8" t="s">
        <v>19</v>
      </c>
      <c r="C40" s="119"/>
      <c r="D40" s="116"/>
      <c r="E40" s="119"/>
      <c r="F40" s="11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1</v>
      </c>
      <c r="C41" s="27" t="s">
        <v>164</v>
      </c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2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3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4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8" t="s">
        <v>44</v>
      </c>
      <c r="C45" s="119"/>
      <c r="D45" s="116"/>
      <c r="E45" s="119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14" t="s">
        <v>45</v>
      </c>
      <c r="C46" s="13"/>
      <c r="D46" s="13"/>
      <c r="E46" s="16"/>
      <c r="F46" s="1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5" t="s">
        <v>53</v>
      </c>
      <c r="C47" s="116"/>
      <c r="D47" s="116"/>
      <c r="E47" s="116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1</v>
      </c>
      <c r="C48" s="31" t="s">
        <v>164</v>
      </c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2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5" t="s">
        <v>20</v>
      </c>
      <c r="C52" s="116"/>
      <c r="D52" s="116"/>
      <c r="E52" s="116"/>
      <c r="F52" s="11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1</v>
      </c>
      <c r="C53" s="27" t="s">
        <v>164</v>
      </c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2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5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6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/>
      <c r="C59" s="25"/>
      <c r="D59" s="25"/>
      <c r="E59" s="25"/>
      <c r="F59" s="2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57.75" customHeight="1" thickBot="1" x14ac:dyDescent="0.35">
      <c r="A61" s="1"/>
      <c r="B61" s="17" t="s">
        <v>55</v>
      </c>
      <c r="C61" s="17" t="s">
        <v>51</v>
      </c>
      <c r="D61" s="17" t="s">
        <v>56</v>
      </c>
      <c r="E61" s="18" t="s">
        <v>57</v>
      </c>
      <c r="F61" s="19" t="s">
        <v>21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2">
        <v>1</v>
      </c>
      <c r="C62" s="27" t="s">
        <v>165</v>
      </c>
      <c r="D62" s="55">
        <v>1165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2</v>
      </c>
      <c r="C63" s="27" t="s">
        <v>166</v>
      </c>
      <c r="D63" s="55">
        <v>1065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3</v>
      </c>
      <c r="C64" s="27" t="s">
        <v>167</v>
      </c>
      <c r="D64" s="55">
        <v>100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4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5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6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7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8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9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10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SUM(D62:D72)</f>
        <v>2330</v>
      </c>
      <c r="E73" s="59">
        <f>SUM(E62:E72)</f>
        <v>0</v>
      </c>
      <c r="F73" s="59">
        <f>SUM(F62:F72)</f>
        <v>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password="C2E9" sheet="1" objects="1" scenarios="1" formatColumns="0" formatRows="0" sort="0" autoFilter="0"/>
  <mergeCells count="12">
    <mergeCell ref="B52:F52"/>
    <mergeCell ref="B45:F45"/>
    <mergeCell ref="B12:F12"/>
    <mergeCell ref="B13:F13"/>
    <mergeCell ref="B14:F14"/>
    <mergeCell ref="B15:F15"/>
    <mergeCell ref="B18:F18"/>
    <mergeCell ref="B22:F22"/>
    <mergeCell ref="B33:F33"/>
    <mergeCell ref="B28:F28"/>
    <mergeCell ref="B40:F40"/>
    <mergeCell ref="B47:F47"/>
  </mergeCells>
  <dataValidations count="1">
    <dataValidation type="decimal" operator="greaterThanOrEqual" allowBlank="1" showInputMessage="1" showErrorMessage="1" sqref="E32 E41:E44 E46 E23:F27 E48:F51 E53:F58 D62:F71 E34:E39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0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61</xdr:row>
                    <xdr:rowOff>19050</xdr:rowOff>
                  </from>
                  <to>
                    <xdr:col>1</xdr:col>
                    <xdr:colOff>733425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5"/>
  <sheetViews>
    <sheetView topLeftCell="A6" workbookViewId="0">
      <selection activeCell="A15" sqref="A15:XFD15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AGE W/ MODERATE DEHYDRATION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4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189</v>
      </c>
      <c r="D11" s="27" t="s">
        <v>169</v>
      </c>
      <c r="E11" s="27" t="s">
        <v>176</v>
      </c>
      <c r="F11" s="55">
        <v>1</v>
      </c>
      <c r="G11" s="55">
        <v>1</v>
      </c>
      <c r="H11" s="55">
        <v>1</v>
      </c>
      <c r="I11" s="55">
        <v>50</v>
      </c>
      <c r="J11" s="55">
        <f>H11*I11</f>
        <v>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190</v>
      </c>
      <c r="D12" s="27" t="s">
        <v>175</v>
      </c>
      <c r="E12" s="27" t="s">
        <v>182</v>
      </c>
      <c r="F12" s="55">
        <v>3</v>
      </c>
      <c r="G12" s="55">
        <v>2</v>
      </c>
      <c r="H12" s="55">
        <v>5</v>
      </c>
      <c r="I12" s="55">
        <v>75</v>
      </c>
      <c r="J12" s="55">
        <f t="shared" ref="J12:J14" si="0">H12*I12</f>
        <v>375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191</v>
      </c>
      <c r="D13" s="27" t="s">
        <v>175</v>
      </c>
      <c r="E13" s="27" t="s">
        <v>182</v>
      </c>
      <c r="F13" s="55">
        <v>2</v>
      </c>
      <c r="G13" s="55">
        <v>2</v>
      </c>
      <c r="H13" s="55">
        <v>5</v>
      </c>
      <c r="I13" s="55">
        <v>60</v>
      </c>
      <c r="J13" s="55">
        <f t="shared" si="0"/>
        <v>300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177</v>
      </c>
      <c r="D14" s="27" t="s">
        <v>172</v>
      </c>
      <c r="E14" s="27" t="s">
        <v>173</v>
      </c>
      <c r="F14" s="55">
        <v>1</v>
      </c>
      <c r="G14" s="55">
        <v>2</v>
      </c>
      <c r="H14" s="55">
        <v>2</v>
      </c>
      <c r="I14" s="55">
        <v>100</v>
      </c>
      <c r="J14" s="55">
        <f t="shared" si="0"/>
        <v>200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25">
      <c r="A15" s="33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</row>
    <row r="16" spans="1:20" ht="15.75" customHeight="1" x14ac:dyDescent="0.25"/>
    <row r="17" ht="15.75" customHeight="1" x14ac:dyDescent="0.25"/>
    <row r="18" ht="15.75" customHeight="1" x14ac:dyDescent="0.25"/>
    <row r="19" ht="15.75" customHeight="1" x14ac:dyDescent="0.25"/>
    <row r="20" ht="15.75" customHeight="1" x14ac:dyDescent="0.25"/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4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66"/>
  <sheetViews>
    <sheetView topLeftCell="A7" workbookViewId="0">
      <selection activeCell="A21" sqref="A21:XFD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AGE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5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170</v>
      </c>
      <c r="D16" s="70" t="s">
        <v>171</v>
      </c>
      <c r="E16" s="55">
        <v>4</v>
      </c>
      <c r="F16" s="55">
        <v>10</v>
      </c>
      <c r="G16" s="55">
        <f>E16*F16</f>
        <v>40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178</v>
      </c>
      <c r="D17" s="70" t="s">
        <v>171</v>
      </c>
      <c r="E17" s="55">
        <v>2</v>
      </c>
      <c r="F17" s="55">
        <v>10</v>
      </c>
      <c r="G17" s="55">
        <f t="shared" ref="G17:G20" si="0">E17*F17</f>
        <v>20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179</v>
      </c>
      <c r="D18" s="70" t="s">
        <v>171</v>
      </c>
      <c r="E18" s="55">
        <v>1</v>
      </c>
      <c r="F18" s="55">
        <v>100</v>
      </c>
      <c r="G18" s="55">
        <f t="shared" si="0"/>
        <v>100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180</v>
      </c>
      <c r="D19" s="70" t="s">
        <v>171</v>
      </c>
      <c r="E19" s="55">
        <v>1</v>
      </c>
      <c r="F19" s="55">
        <v>40</v>
      </c>
      <c r="G19" s="55">
        <f t="shared" si="0"/>
        <v>40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174</v>
      </c>
      <c r="D20" s="70" t="s">
        <v>171</v>
      </c>
      <c r="E20" s="55">
        <v>1</v>
      </c>
      <c r="F20" s="55">
        <v>40</v>
      </c>
      <c r="G20" s="55">
        <f t="shared" si="0"/>
        <v>40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136" t="s">
        <v>76</v>
      </c>
      <c r="C21" s="137"/>
      <c r="D21" s="137"/>
      <c r="E21" s="137"/>
      <c r="F21" s="137"/>
      <c r="G21" s="138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1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2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3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4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5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6</v>
      </c>
      <c r="C27" s="69"/>
      <c r="D27" s="70"/>
      <c r="E27" s="55"/>
      <c r="F27" s="55"/>
      <c r="G27" s="55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7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8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9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10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136" t="s">
        <v>29</v>
      </c>
      <c r="C32" s="137"/>
      <c r="D32" s="137"/>
      <c r="E32" s="137"/>
      <c r="F32" s="137"/>
      <c r="G32" s="138"/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1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2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3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4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5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6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7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8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9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10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A43" s="44"/>
      <c r="B43" s="39"/>
      <c r="C43" s="44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A44" s="44"/>
      <c r="B44" s="39"/>
      <c r="C44" s="44"/>
      <c r="D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5.75" customHeight="1" x14ac:dyDescent="0.25"/>
    <row r="46" spans="1:16" ht="15.75" customHeight="1" x14ac:dyDescent="0.25"/>
    <row r="47" spans="1:16" ht="15.75" customHeight="1" x14ac:dyDescent="0.25"/>
    <row r="48" spans="1:16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</sheetData>
  <sheetProtection password="C2E9" sheet="1" objects="1" scenarios="1" formatColumns="0" formatRows="0" sort="0" autoFilter="0"/>
  <mergeCells count="9">
    <mergeCell ref="B7:G7"/>
    <mergeCell ref="B21:G21"/>
    <mergeCell ref="B32:G32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2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21</xdr:row>
                    <xdr:rowOff>28575</xdr:rowOff>
                  </from>
                  <to>
                    <xdr:col>1</xdr:col>
                    <xdr:colOff>762000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21</xdr:row>
                    <xdr:rowOff>28575</xdr:rowOff>
                  </from>
                  <to>
                    <xdr:col>1</xdr:col>
                    <xdr:colOff>1533525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32</xdr:row>
                    <xdr:rowOff>28575</xdr:rowOff>
                  </from>
                  <to>
                    <xdr:col>1</xdr:col>
                    <xdr:colOff>771525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32</xdr:row>
                    <xdr:rowOff>28575</xdr:rowOff>
                  </from>
                  <to>
                    <xdr:col>1</xdr:col>
                    <xdr:colOff>1543050</xdr:colOff>
                    <xdr:row>32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AGE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20</v>
      </c>
      <c r="F13" s="55"/>
      <c r="G13" s="55">
        <v>240</v>
      </c>
      <c r="H13" s="55">
        <v>10</v>
      </c>
      <c r="I13" s="55"/>
      <c r="J13" s="55">
        <v>25</v>
      </c>
      <c r="K13" s="55"/>
      <c r="L13" s="55"/>
      <c r="M13" s="55"/>
      <c r="N13" s="55"/>
      <c r="P13" s="88">
        <f>SUM(D13:N13)</f>
        <v>295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20</v>
      </c>
      <c r="F30" s="88">
        <f t="shared" si="1"/>
        <v>0</v>
      </c>
      <c r="G30" s="88">
        <f t="shared" si="1"/>
        <v>240</v>
      </c>
      <c r="H30" s="88">
        <f t="shared" si="1"/>
        <v>10</v>
      </c>
      <c r="I30" s="88">
        <f t="shared" si="1"/>
        <v>0</v>
      </c>
      <c r="J30" s="88">
        <f t="shared" si="1"/>
        <v>25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295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2018-06-01T07:39:07Z</dcterms:modified>
</cp:coreProperties>
</file>