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Drugs&amp;Med'!$C$11:$C$15</definedName>
    <definedName name="_xlnm.Print_Area" localSheetId="0">'1.1 Case data_general'!$B$1:$F$70</definedName>
    <definedName name="_xlnm.Print_Area" localSheetId="1">'1.2 Drugs&amp;Med'!$B$2:$J$16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<sst xmlns="http://schemas.openxmlformats.org/spreadsheetml/2006/main" count="487" uniqueCount="195">
  <si>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</si>
  <si>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</si>
  <si>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</si>
  <si>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</si>
  <si>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</si>
  <si>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</si>
  <si>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</si>
  <si>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</si>
  <si>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</si>
  <si>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</si>
  <si>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</si>
  <si>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</si>
  <si>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</si>
  <si>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</si>
  <si>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</si>
  <si>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</si>
  <si>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</si>
  <si>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</si>
  <si>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</si>
  <si>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</si>
  <si>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</si>
  <si>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</si>
  <si>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</si>
  <si>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</si>
  <si>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</si>
  <si>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</si>
  <si>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</si>
  <si>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</si>
  <si>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</si>
  <si>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</si>
  <si>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</si>
  <si>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</si>
  <si>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</si>
  <si>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</si>
  <si>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</si>
  <si>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</si>
  <si>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</si>
  <si>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</si>
  <si>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</si>
  <si>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</si>
  <si>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</si>
  <si>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</si>
  <si>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</si>
  <si>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</si>
  <si>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</si>
  <si>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</si>
  <si>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</si>
  <si>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</si>
  <si>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</si>
  <si>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</si>
  <si>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</si>
  <si>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</si>
  <si>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</si>
  <si>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</si>
  <si>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</si>
  <si>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</si>
  <si>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</si>
  <si>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</si>
  <si>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</si>
  <si>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</si>
  <si>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</si>
  <si>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</si>
  <si>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</si>
  <si>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</si>
  <si>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</si>
  <si>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</si>
  <si>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</si>
  <si>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</si>
  <si>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</si>
  <si>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</si>
  <si>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</si>
  <si>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</si>
  <si>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</si>
  <si>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</si>
  <si>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</si>
  <si>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</si>
  <si>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</si>
  <si>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</si>
  <si>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</si>
  <si>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</si>
  <si>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</si>
  <si>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</si>
  <si>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</si>
  <si>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</si>
  <si>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</si>
  <si>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</si>
  <si>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</si>
  <si>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</si>
  <si>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</si>
  <si>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</si>
  <si>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</si>
  <si>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</si>
  <si>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</si>
  <si>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</si>
  <si>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</si>
  <si>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</si>
  <si>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</si>
  <si>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</si>
  <si>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</si>
  <si>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</si>
  <si>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</si>
  <si>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</si>
  <si>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</si>
  <si>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</si>
  <si>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</si>
  <si>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</si>
  <si>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</si>
  <si>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</si>
  <si>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</si>
  <si>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</si>
  <si>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</si>
  <si>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</si>
  <si>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</si>
  <si>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</si>
  <si>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</si>
  <si>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</si>
  <si>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</si>
  <si>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</si>
  <si>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</si>
  <si>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</si>
  <si>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</si>
  <si>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</si>
  <si>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</si>
  <si>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</si>
  <si>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</si>
  <si>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</si>
  <si>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</si>
  <si>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</si>
  <si>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</si>
  <si>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</si>
  <si>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</si>
  <si>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</si>
  <si>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</si>
  <si>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</si>
  <si>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</si>
  <si>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</si>
  <si>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</si>
  <si>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</si>
  <si>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</si>
  <si>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</si>
  <si>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</si>
  <si>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</si>
  <si>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</si>
  <si>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</si>
  <si>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</si>
  <si>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</si>
  <si>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</si>
  <si>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</si>
  <si>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</si>
  <si>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</si>
  <si>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</si>
  <si>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</si>
  <si>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</si>
  <si>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</si>
  <si>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</si>
  <si>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</si>
  <si>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</si>
  <si>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</si>
  <si>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</si>
  <si>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</si>
  <si>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</si>
  <si>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</si>
  <si>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</si>
  <si>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</si>
  <si>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</si>
  <si>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</si>
  <si>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</si>
  <si>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</si>
  <si>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</si>
  <si>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</si>
  <si>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</si>
  <si>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</si>
  <si>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</si>
  <si>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</si>
  <si>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PLASTER 1/2</t>
  </si>
  <si>
    <t>A09.9</t>
  </si>
  <si>
    <t>E86.1</t>
  </si>
  <si>
    <t>CBC PLATELET COUNT</t>
  </si>
  <si>
    <t>FECALYSIS</t>
  </si>
  <si>
    <t>CHEST APL</t>
  </si>
  <si>
    <t>XRAY</t>
  </si>
  <si>
    <t>METOCLOPROMIDE</t>
  </si>
  <si>
    <t>3MG</t>
  </si>
  <si>
    <t>RANITIDINE</t>
  </si>
  <si>
    <t>12ML</t>
  </si>
  <si>
    <t>5ML</t>
  </si>
  <si>
    <t xml:space="preserve">ERCEFLORA </t>
  </si>
  <si>
    <t>CEFUROXIME</t>
  </si>
  <si>
    <t>VIAL</t>
  </si>
  <si>
    <t>400MG</t>
  </si>
  <si>
    <t>D5 0.3 NACL</t>
  </si>
  <si>
    <t>500ML</t>
  </si>
  <si>
    <t>SYRINGE 5CC</t>
  </si>
  <si>
    <t>MICRO SET</t>
  </si>
  <si>
    <t>ABOCATH GAUGE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</si>
</sst>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179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2040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255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180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168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2915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A16" sqref="A16:XFD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170</v>
      </c>
      <c r="E11" s="27" t="s">
        <v>182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170</v>
      </c>
      <c r="E12" s="27" t="s">
        <v>184</v>
      </c>
      <c r="F12" s="55">
        <v>2</v>
      </c>
      <c r="G12" s="55">
        <v>4</v>
      </c>
      <c r="H12" s="55">
        <v>6</v>
      </c>
      <c r="I12" s="55">
        <v>50</v>
      </c>
      <c r="J12" s="55">
        <f t="shared" ref="J12:J15" si="0">H12*I12</f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173</v>
      </c>
      <c r="E13" s="27" t="s">
        <v>185</v>
      </c>
      <c r="F13" s="55">
        <v>3</v>
      </c>
      <c r="G13" s="55">
        <v>4</v>
      </c>
      <c r="H13" s="55">
        <v>10</v>
      </c>
      <c r="I13" s="55">
        <v>65</v>
      </c>
      <c r="J13" s="55">
        <f t="shared" si="0"/>
        <v>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188</v>
      </c>
      <c r="E14" s="27" t="s">
        <v>189</v>
      </c>
      <c r="F14" s="55">
        <v>3</v>
      </c>
      <c r="G14" s="55">
        <v>3</v>
      </c>
      <c r="H14" s="55">
        <v>7</v>
      </c>
      <c r="I14" s="55">
        <v>60</v>
      </c>
      <c r="J14" s="55">
        <f t="shared" si="0"/>
        <v>420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173</v>
      </c>
      <c r="E15" s="27" t="s">
        <v>191</v>
      </c>
      <c r="F15" s="55">
        <v>2</v>
      </c>
      <c r="G15" s="55">
        <v>3</v>
      </c>
      <c r="H15" s="55">
        <v>4</v>
      </c>
      <c r="I15" s="55">
        <v>100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2</v>
      </c>
      <c r="F16" s="55">
        <v>10</v>
      </c>
      <c r="G16" s="55">
        <f>E16*F16</f>
        <v>20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172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172</v>
      </c>
      <c r="E19" s="55">
        <v>1</v>
      </c>
      <c r="F19" s="55">
        <v>100</v>
      </c>
      <c r="G19" s="55">
        <f t="shared" si="0"/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450</v>
      </c>
      <c r="H13" s="55">
        <v>15</v>
      </c>
      <c r="I13" s="55"/>
      <c r="J13" s="55">
        <v>40</v>
      </c>
      <c r="K13" s="55"/>
      <c r="L13" s="55"/>
      <c r="M13" s="55"/>
      <c r="N13" s="55"/>
      <c r="P13" s="88">
        <f>SUM(D13:N13)</f>
        <v>535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450</v>
      </c>
      <c r="H30" s="88">
        <f t="shared" si="1"/>
        <v>15</v>
      </c>
      <c r="I30" s="88">
        <f t="shared" si="1"/>
        <v>0</v>
      </c>
      <c r="J30" s="88">
        <f t="shared" si="1"/>
        <v>40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2018-06-01T07:40:22Z</dcterms:modified>
</cp:coreProperties>
</file>