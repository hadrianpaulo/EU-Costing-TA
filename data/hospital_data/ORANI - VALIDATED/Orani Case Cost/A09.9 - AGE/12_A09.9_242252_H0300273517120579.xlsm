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data_general'!$B$1:$F$66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21" i="9" l="1"/>
  <c r="J12" i="2"/>
  <c r="J13" i="2"/>
  <c r="J14" i="2"/>
  <c r="J15" i="2"/>
  <c r="J16" i="2"/>
  <c r="J20" i="2" l="1"/>
  <c r="J19" i="2"/>
  <c r="G17" i="9"/>
  <c r="G18" i="9"/>
  <c r="G19" i="9"/>
  <c r="G20" i="9"/>
  <c r="G16" i="9" l="1"/>
  <c r="J17" i="2" l="1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6" i="1"/>
  <c r="E66" i="1"/>
  <c r="D66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<sst xmlns="http://schemas.openxmlformats.org/spreadsheetml/2006/main" count="481" uniqueCount="189">
  <si>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</si>
  <si>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</si>
  <si>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</si>
  <si>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</si>
  <si>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</si>
  <si>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</si>
  <si>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</si>
  <si>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</si>
  <si>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</si>
  <si>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</si>
  <si>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</si>
  <si>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</si>
  <si>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</si>
  <si>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</si>
  <si>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</si>
  <si>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</si>
  <si>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</si>
  <si>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</si>
  <si>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</si>
  <si>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</si>
  <si>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</si>
  <si>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</si>
  <si>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</si>
  <si>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</si>
  <si>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</si>
  <si>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</si>
  <si>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</si>
  <si>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</si>
  <si>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</si>
  <si>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</si>
  <si>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</si>
  <si>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</si>
  <si>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</si>
  <si>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</si>
  <si>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</si>
  <si>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</si>
  <si>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</si>
  <si>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</si>
  <si>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</si>
  <si>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</si>
  <si>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</si>
  <si>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</si>
  <si>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</si>
  <si>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</si>
  <si>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</si>
  <si>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</si>
  <si>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</si>
  <si>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</si>
  <si>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</si>
  <si>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</si>
  <si>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</si>
  <si>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</si>
  <si>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</si>
  <si>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</si>
  <si>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</si>
  <si>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</si>
  <si>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</si>
  <si>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</si>
  <si>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</si>
  <si>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</si>
  <si>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</si>
  <si>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</si>
  <si>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</si>
  <si>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</si>
  <si>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</si>
  <si>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</si>
  <si>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</si>
  <si>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</si>
  <si>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</si>
  <si>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</si>
  <si>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</si>
  <si>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</si>
  <si>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</si>
  <si>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</si>
  <si>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</si>
  <si>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</si>
  <si>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</si>
  <si>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</si>
  <si>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</si>
  <si>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</si>
  <si>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</si>
  <si>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</si>
  <si>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</si>
  <si>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</si>
  <si>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</si>
  <si>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</si>
  <si>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</si>
  <si>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</si>
  <si>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</si>
  <si>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</si>
  <si>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</si>
  <si>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</si>
  <si>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</si>
  <si>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</si>
  <si>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</si>
  <si>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</si>
  <si>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</si>
  <si>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</si>
  <si>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</si>
  <si>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</si>
  <si>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</si>
  <si>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</si>
  <si>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</si>
  <si>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</si>
  <si>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</si>
  <si>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</si>
  <si>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</si>
  <si>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</si>
  <si>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</si>
  <si>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</si>
  <si>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</si>
  <si>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</si>
  <si>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</si>
  <si>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</si>
  <si>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</si>
  <si>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</si>
  <si>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</si>
  <si>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</si>
  <si>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</si>
  <si>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</si>
  <si>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</si>
  <si>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</si>
  <si>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</si>
  <si>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</si>
  <si>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</si>
  <si>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</si>
  <si>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</si>
  <si>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</si>
  <si>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</si>
  <si>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</si>
  <si>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</si>
  <si>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</si>
  <si>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</si>
  <si>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</si>
  <si>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</si>
  <si>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</si>
  <si>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</si>
  <si>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</si>
  <si>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</si>
  <si>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</si>
  <si>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</si>
  <si>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</si>
  <si>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</si>
  <si>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</si>
  <si>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</si>
  <si>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</si>
  <si>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</si>
  <si>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</si>
  <si>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</si>
  <si>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</si>
  <si>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</si>
  <si>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</si>
  <si>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</si>
  <si>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</si>
  <si>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</si>
  <si>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</si>
  <si>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</si>
  <si>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</si>
  <si>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</si>
  <si>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</si>
  <si>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</si>
  <si>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</si>
  <si>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</si>
  <si>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</si>
  <si>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</si>
  <si>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</si>
  <si>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</si>
  <si>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</si>
  <si>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SYRINGE 3CC</t>
  </si>
  <si>
    <t>PC</t>
  </si>
  <si>
    <t>BOTTLE</t>
  </si>
  <si>
    <t>1LITER</t>
  </si>
  <si>
    <t>PLASTER 1/2</t>
  </si>
  <si>
    <t>E86.1</t>
  </si>
  <si>
    <t>VIAL</t>
  </si>
  <si>
    <t>SYRINGE 5CC</t>
  </si>
  <si>
    <t>PARACETAMOL</t>
  </si>
  <si>
    <t>AMPULE</t>
  </si>
  <si>
    <t>D5 0.3 NACL</t>
  </si>
  <si>
    <t>ABOCATH G24</t>
  </si>
  <si>
    <t>MICRO SET</t>
  </si>
  <si>
    <t>DISPOSABLE FACE MASK</t>
  </si>
  <si>
    <t>CBC PLATELET COUNT</t>
  </si>
  <si>
    <t>NAKCL</t>
  </si>
  <si>
    <t>A09.9</t>
  </si>
  <si>
    <t>200MG</t>
  </si>
  <si>
    <t>METRONIDAZOLE</t>
  </si>
  <si>
    <t>5ML</t>
  </si>
  <si>
    <t>AGE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</si>
</sst>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3"/>
  <sheetViews>
    <sheetView topLeftCell="A51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173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183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164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44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4" t="s">
        <v>45</v>
      </c>
      <c r="C39" s="13"/>
      <c r="D39" s="13"/>
      <c r="E39" s="16"/>
      <c r="F39" s="13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5" t="s">
        <v>53</v>
      </c>
      <c r="C40" s="116"/>
      <c r="D40" s="116"/>
      <c r="E40" s="116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20"/>
      <c r="B41" s="30">
        <v>1</v>
      </c>
      <c r="C41" s="31" t="s">
        <v>164</v>
      </c>
      <c r="D41" s="32"/>
      <c r="E41" s="57"/>
      <c r="F41" s="5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30">
        <v>2</v>
      </c>
      <c r="C42" s="31"/>
      <c r="D42" s="32"/>
      <c r="E42" s="57"/>
      <c r="F42" s="5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26">
        <v>3</v>
      </c>
      <c r="C43" s="27"/>
      <c r="D43" s="28"/>
      <c r="E43" s="55"/>
      <c r="F43" s="55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26">
        <v>4</v>
      </c>
      <c r="C44" s="27"/>
      <c r="D44" s="28"/>
      <c r="E44" s="55"/>
      <c r="F44" s="5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20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 t="s">
        <v>164</v>
      </c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5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6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5"/>
      <c r="C52" s="25"/>
      <c r="D52" s="25"/>
      <c r="E52" s="25"/>
      <c r="F52" s="2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57.75" customHeight="1" thickBot="1" x14ac:dyDescent="0.35">
      <c r="A54" s="1"/>
      <c r="B54" s="17" t="s">
        <v>55</v>
      </c>
      <c r="C54" s="17" t="s">
        <v>51</v>
      </c>
      <c r="D54" s="17" t="s">
        <v>56</v>
      </c>
      <c r="E54" s="18" t="s">
        <v>57</v>
      </c>
      <c r="F54" s="19" t="s">
        <v>21</v>
      </c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2">
        <v>1</v>
      </c>
      <c r="C55" s="27" t="s">
        <v>165</v>
      </c>
      <c r="D55" s="55">
        <v>1200</v>
      </c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0">
        <v>2</v>
      </c>
      <c r="C56" s="27" t="s">
        <v>166</v>
      </c>
      <c r="D56" s="55">
        <v>605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3</v>
      </c>
      <c r="C57" s="27" t="s">
        <v>167</v>
      </c>
      <c r="D57" s="55">
        <v>300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4</v>
      </c>
      <c r="C58" s="27"/>
      <c r="D58" s="55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5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6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7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8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9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10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4.9000000000000004" customHeight="1" thickBot="1" x14ac:dyDescent="0.35">
      <c r="A65" s="1"/>
      <c r="B65" s="1"/>
      <c r="C65" s="1"/>
      <c r="D65" s="58"/>
      <c r="E65" s="58"/>
      <c r="F65" s="58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thickTop="1" x14ac:dyDescent="0.3">
      <c r="A66" s="1"/>
      <c r="B66" s="11"/>
      <c r="C66" s="4" t="s">
        <v>22</v>
      </c>
      <c r="D66" s="59">
        <f>SUM(D55:D65)</f>
        <v>2105</v>
      </c>
      <c r="E66" s="59">
        <f>SUM(E55:E65)</f>
        <v>0</v>
      </c>
      <c r="F66" s="59">
        <f>SUM(F55:F65)</f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</sheetData>
  <sheetProtection password="C2E9" sheet="1" objects="1" scenarios="1" formatColumns="0" formatRows="0" sort="0" autoFilter="0"/>
  <mergeCells count="12">
    <mergeCell ref="B45:F45"/>
    <mergeCell ref="B38:F38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0:F40"/>
  </mergeCells>
  <dataValidations count="1">
    <dataValidation type="decimal" operator="greaterThanOrEqual" allowBlank="1" showInputMessage="1" showErrorMessage="1" sqref="E32 E37 E39 E23:F27 E41:F44 E46:F51 D55:F64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13" sqref="H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176</v>
      </c>
      <c r="D11" s="27" t="s">
        <v>177</v>
      </c>
      <c r="E11" s="27" t="s">
        <v>185</v>
      </c>
      <c r="F11" s="55">
        <v>6</v>
      </c>
      <c r="G11" s="55">
        <v>1</v>
      </c>
      <c r="H11" s="55">
        <v>1</v>
      </c>
      <c r="I11" s="55">
        <v>50</v>
      </c>
      <c r="J11" s="55">
        <f>H11*I11</f>
        <v>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186</v>
      </c>
      <c r="D12" s="27" t="s">
        <v>174</v>
      </c>
      <c r="E12" s="27" t="s">
        <v>187</v>
      </c>
      <c r="F12" s="55">
        <v>3</v>
      </c>
      <c r="G12" s="55">
        <v>4</v>
      </c>
      <c r="H12" s="55">
        <v>7</v>
      </c>
      <c r="I12" s="55">
        <v>75</v>
      </c>
      <c r="J12" s="55">
        <f t="shared" ref="J12:J16" si="0">H12*I12</f>
        <v>525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178</v>
      </c>
      <c r="D13" s="27" t="s">
        <v>170</v>
      </c>
      <c r="E13" s="27" t="s">
        <v>171</v>
      </c>
      <c r="F13" s="55">
        <v>2</v>
      </c>
      <c r="G13" s="55">
        <v>2</v>
      </c>
      <c r="H13" s="55">
        <v>4</v>
      </c>
      <c r="I13" s="55">
        <v>100</v>
      </c>
      <c r="J13" s="55">
        <f t="shared" si="0"/>
        <v>400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ref="J17:J20" si="1">H17*I17</f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1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1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1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G21" sqref="G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179</v>
      </c>
      <c r="D16" s="70" t="s">
        <v>169</v>
      </c>
      <c r="E16" s="55">
        <v>1</v>
      </c>
      <c r="F16" s="55">
        <v>100</v>
      </c>
      <c r="G16" s="55">
        <f>E16*F16</f>
        <v>100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180</v>
      </c>
      <c r="D17" s="70" t="s">
        <v>169</v>
      </c>
      <c r="E17" s="55">
        <v>1</v>
      </c>
      <c r="F17" s="55">
        <v>40</v>
      </c>
      <c r="G17" s="55">
        <f t="shared" ref="G17:G21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172</v>
      </c>
      <c r="D18" s="70" t="s">
        <v>169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168</v>
      </c>
      <c r="D19" s="70" t="s">
        <v>169</v>
      </c>
      <c r="E19" s="55">
        <v>3</v>
      </c>
      <c r="F19" s="55">
        <v>10</v>
      </c>
      <c r="G19" s="55">
        <f t="shared" si="0"/>
        <v>30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175</v>
      </c>
      <c r="D20" s="70" t="s">
        <v>169</v>
      </c>
      <c r="E20" s="55">
        <v>1</v>
      </c>
      <c r="F20" s="55">
        <v>10</v>
      </c>
      <c r="G20" s="55">
        <f t="shared" si="0"/>
        <v>10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181</v>
      </c>
      <c r="D21" s="70" t="s">
        <v>169</v>
      </c>
      <c r="E21" s="55">
        <v>1</v>
      </c>
      <c r="F21" s="55">
        <v>5</v>
      </c>
      <c r="G21" s="55">
        <f t="shared" si="0"/>
        <v>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8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480</v>
      </c>
      <c r="H13" s="55">
        <v>15</v>
      </c>
      <c r="I13" s="55"/>
      <c r="J13" s="55">
        <v>45</v>
      </c>
      <c r="K13" s="55"/>
      <c r="L13" s="55"/>
      <c r="M13" s="55"/>
      <c r="N13" s="55"/>
      <c r="P13" s="88">
        <f>SUM(D13:N13)</f>
        <v>570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480</v>
      </c>
      <c r="H30" s="88">
        <f t="shared" si="1"/>
        <v>15</v>
      </c>
      <c r="I30" s="88">
        <f t="shared" si="1"/>
        <v>0</v>
      </c>
      <c r="J30" s="88">
        <f t="shared" si="1"/>
        <v>45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2018-06-01T07:34:23Z</dcterms:modified>
</cp:coreProperties>
</file>