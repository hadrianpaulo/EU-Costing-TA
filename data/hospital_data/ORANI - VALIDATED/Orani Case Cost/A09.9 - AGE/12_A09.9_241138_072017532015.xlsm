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<sst xmlns="http://schemas.openxmlformats.org/spreadsheetml/2006/main" count="495" uniqueCount="198">
  <si>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</si>
  <si>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</si>
  <si>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</si>
  <si>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</si>
  <si>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</si>
  <si>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</si>
  <si>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</si>
  <si>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</si>
  <si>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</si>
  <si>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</si>
  <si>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</si>
  <si>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</si>
  <si>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</si>
  <si>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</si>
  <si>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</si>
  <si>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</si>
  <si>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</si>
  <si>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</si>
  <si>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</si>
  <si>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</si>
  <si>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</si>
  <si>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</si>
  <si>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</si>
  <si>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</si>
  <si>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</si>
  <si>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</si>
  <si>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</si>
  <si>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</si>
  <si>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</si>
  <si>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</si>
  <si>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</si>
  <si>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</si>
  <si>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</si>
  <si>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</si>
  <si>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</si>
  <si>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</si>
  <si>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</si>
  <si>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</si>
  <si>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</si>
  <si>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</si>
  <si>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</si>
  <si>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</si>
  <si>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</si>
  <si>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</si>
  <si>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</si>
  <si>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</si>
  <si>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</si>
  <si>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</si>
  <si>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</si>
  <si>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</si>
  <si>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</si>
  <si>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</si>
  <si>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</si>
  <si>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</si>
  <si>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</si>
  <si>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</si>
  <si>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</si>
  <si>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</si>
  <si>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</si>
  <si>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</si>
  <si>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</si>
  <si>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</si>
  <si>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</si>
  <si>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</si>
  <si>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</si>
  <si>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</si>
  <si>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</si>
  <si>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</si>
  <si>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</si>
  <si>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</si>
  <si>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</si>
  <si>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</si>
  <si>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</si>
  <si>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</si>
  <si>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</si>
  <si>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</si>
  <si>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</si>
  <si>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</si>
  <si>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</si>
  <si>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</si>
  <si>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</si>
  <si>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</si>
  <si>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</si>
  <si>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</si>
  <si>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</si>
  <si>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</si>
  <si>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</si>
  <si>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</si>
  <si>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</si>
  <si>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</si>
  <si>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</si>
  <si>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</si>
  <si>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</si>
  <si>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</si>
  <si>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</si>
  <si>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</si>
  <si>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</si>
  <si>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</si>
  <si>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</si>
  <si>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</si>
  <si>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</si>
  <si>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</si>
  <si>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</si>
  <si>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</si>
  <si>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</si>
  <si>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</si>
  <si>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</si>
  <si>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</si>
  <si>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</si>
  <si>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</si>
  <si>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</si>
  <si>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</si>
  <si>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</si>
  <si>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</si>
  <si>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</si>
  <si>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</si>
  <si>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</si>
  <si>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</si>
  <si>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</si>
  <si>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</si>
  <si>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</si>
  <si>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</si>
  <si>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</si>
  <si>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</si>
  <si>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</si>
  <si>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</si>
  <si>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</si>
  <si>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</si>
  <si>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</si>
  <si>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</si>
  <si>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</si>
  <si>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</si>
  <si>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</si>
  <si>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</si>
  <si>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</si>
  <si>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</si>
  <si>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</si>
  <si>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</si>
  <si>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</si>
  <si>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</si>
  <si>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</si>
  <si>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</si>
  <si>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</si>
  <si>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</si>
  <si>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</si>
  <si>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</si>
  <si>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</si>
  <si>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</si>
  <si>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</si>
  <si>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</si>
  <si>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</si>
  <si>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</si>
  <si>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</si>
  <si>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</si>
  <si>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</si>
  <si>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</si>
  <si>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</si>
  <si>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</si>
  <si>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</si>
  <si>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</si>
  <si>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</si>
  <si>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</si>
  <si>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</si>
  <si>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</si>
  <si>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</si>
  <si>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</si>
  <si>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</si>
  <si>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</si>
  <si>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</si>
  <si>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TABLET</t>
  </si>
  <si>
    <t>500MG</t>
  </si>
  <si>
    <t>SYRINGE 3CC</t>
  </si>
  <si>
    <t>PC</t>
  </si>
  <si>
    <t>BOTTLE</t>
  </si>
  <si>
    <t>1LITER</t>
  </si>
  <si>
    <t>MACRO SET</t>
  </si>
  <si>
    <t>PLASTER 1/2</t>
  </si>
  <si>
    <t>E86.1</t>
  </si>
  <si>
    <t>CBC PLATELET COUNT</t>
  </si>
  <si>
    <t>BUN</t>
  </si>
  <si>
    <t>CREATININE</t>
  </si>
  <si>
    <t>URIC ACID</t>
  </si>
  <si>
    <t>NAKCL</t>
  </si>
  <si>
    <t>CEFUROXIME</t>
  </si>
  <si>
    <t>VIAL</t>
  </si>
  <si>
    <t>750MG</t>
  </si>
  <si>
    <t>ABOCATH G20</t>
  </si>
  <si>
    <t>SYRINGE 5CC</t>
  </si>
  <si>
    <t>METRONIDAZOLE</t>
  </si>
  <si>
    <t>OMEPRAZOLE</t>
  </si>
  <si>
    <t>40MG</t>
  </si>
  <si>
    <t>KETOANALOGUE</t>
  </si>
  <si>
    <t>600MG</t>
  </si>
  <si>
    <t>VITAMIN B COMPLEX</t>
  </si>
  <si>
    <t>100MG</t>
  </si>
  <si>
    <t>D5 NORMOSOL M</t>
  </si>
  <si>
    <t>AGE W/ MODERATE DEHYDRATION</t>
  </si>
  <si>
    <t>A09.9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</si>
</sst>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39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39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7" zoomScaleNormal="100" workbookViewId="0">
      <selection activeCell="C26" sqref="C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164</v>
      </c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164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164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165</v>
      </c>
      <c r="D62" s="55">
        <v>2593.6</v>
      </c>
      <c r="E62" s="55">
        <v>648.4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166</v>
      </c>
      <c r="D63" s="55">
        <v>688</v>
      </c>
      <c r="E63" s="55">
        <v>172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167</v>
      </c>
      <c r="D64" s="55">
        <v>320</v>
      </c>
      <c r="E64" s="55">
        <v>80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3601.6</v>
      </c>
      <c r="E73" s="59">
        <f>SUM(E62:E72)</f>
        <v>900.4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zoomScale="90" zoomScaleNormal="90"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169</v>
      </c>
      <c r="E11" s="27" t="s">
        <v>170</v>
      </c>
      <c r="F11" s="55">
        <v>3</v>
      </c>
      <c r="G11" s="55">
        <v>3</v>
      </c>
      <c r="H11" s="55">
        <v>6</v>
      </c>
      <c r="I11" s="55">
        <v>5</v>
      </c>
      <c r="J11" s="55">
        <f>H11*I11</f>
        <v>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184</v>
      </c>
      <c r="E12" s="27" t="s">
        <v>190</v>
      </c>
      <c r="F12" s="55">
        <v>1</v>
      </c>
      <c r="G12" s="55">
        <v>5</v>
      </c>
      <c r="H12" s="55">
        <v>5</v>
      </c>
      <c r="I12" s="55">
        <v>200</v>
      </c>
      <c r="J12" s="55">
        <f t="shared" ref="J12:J18" si="0">H12*I12</f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169</v>
      </c>
      <c r="E13" s="27" t="s">
        <v>192</v>
      </c>
      <c r="F13" s="55">
        <v>2</v>
      </c>
      <c r="G13" s="55">
        <v>4</v>
      </c>
      <c r="H13" s="55">
        <v>7</v>
      </c>
      <c r="I13" s="55">
        <v>65</v>
      </c>
      <c r="J13" s="55">
        <f t="shared" si="0"/>
        <v>455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184</v>
      </c>
      <c r="E14" s="27" t="s">
        <v>185</v>
      </c>
      <c r="F14" s="55">
        <v>3</v>
      </c>
      <c r="G14" s="55">
        <v>3</v>
      </c>
      <c r="H14" s="55">
        <v>7</v>
      </c>
      <c r="I14" s="55">
        <v>60</v>
      </c>
      <c r="J14" s="55">
        <f t="shared" si="0"/>
        <v>420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169</v>
      </c>
      <c r="E15" s="27" t="s">
        <v>192</v>
      </c>
      <c r="F15" s="55">
        <v>2</v>
      </c>
      <c r="G15" s="55">
        <v>2</v>
      </c>
      <c r="H15" s="55">
        <v>3</v>
      </c>
      <c r="I15" s="55">
        <v>65</v>
      </c>
      <c r="J15" s="55">
        <f t="shared" si="0"/>
        <v>195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169</v>
      </c>
      <c r="E16" s="27" t="s">
        <v>194</v>
      </c>
      <c r="F16" s="55">
        <v>2</v>
      </c>
      <c r="G16" s="55">
        <v>1</v>
      </c>
      <c r="H16" s="55">
        <v>2</v>
      </c>
      <c r="I16" s="55">
        <v>1</v>
      </c>
      <c r="J16" s="55">
        <f t="shared" si="0"/>
        <v>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173</v>
      </c>
      <c r="E17" s="27" t="s">
        <v>174</v>
      </c>
      <c r="F17" s="55">
        <v>2</v>
      </c>
      <c r="G17" s="55">
        <v>4</v>
      </c>
      <c r="H17" s="55">
        <v>7</v>
      </c>
      <c r="I17" s="55">
        <v>100</v>
      </c>
      <c r="J17" s="55">
        <f t="shared" si="0"/>
        <v>700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zoomScale="90" zoomScaleNormal="90" workbookViewId="0">
      <selection activeCell="E21" sqref="E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172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172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172</v>
      </c>
      <c r="E19" s="55">
        <v>18</v>
      </c>
      <c r="F19" s="55">
        <v>10</v>
      </c>
      <c r="G19" s="55">
        <f t="shared" si="0"/>
        <v>180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172</v>
      </c>
      <c r="E20" s="55">
        <v>9</v>
      </c>
      <c r="F20" s="55">
        <v>10</v>
      </c>
      <c r="G20" s="55">
        <f t="shared" si="0"/>
        <v>90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I13" sqref="I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640</v>
      </c>
      <c r="H13" s="55">
        <v>20</v>
      </c>
      <c r="I13" s="55"/>
      <c r="J13" s="55">
        <v>85</v>
      </c>
      <c r="K13" s="55"/>
      <c r="L13" s="55"/>
      <c r="M13" s="55"/>
      <c r="N13" s="55"/>
      <c r="P13" s="88">
        <f>SUM(D13:N13)</f>
        <v>785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640</v>
      </c>
      <c r="H30" s="88">
        <f t="shared" si="1"/>
        <v>20</v>
      </c>
      <c r="I30" s="88">
        <f t="shared" si="1"/>
        <v>0</v>
      </c>
      <c r="J30" s="88">
        <f t="shared" si="1"/>
        <v>85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2018-06-01T07:32:59Z</dcterms:modified>
</cp:coreProperties>
</file>