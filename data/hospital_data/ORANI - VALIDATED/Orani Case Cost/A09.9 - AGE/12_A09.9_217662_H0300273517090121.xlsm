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16" i="9"/>
  <c r="J12" i="2"/>
  <c r="J13" i="2"/>
  <c r="J14" i="2"/>
  <c r="J15" i="2"/>
  <c r="J16" i="2"/>
  <c r="J17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<sst xmlns="http://schemas.openxmlformats.org/spreadsheetml/2006/main" count="485" uniqueCount="191">
  <si>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</si>
  <si>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</si>
  <si>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</si>
  <si>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</si>
  <si>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</si>
  <si>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</si>
  <si>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</si>
  <si>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</si>
  <si>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</si>
  <si>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</si>
  <si>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</si>
  <si>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</si>
  <si>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</si>
  <si>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</si>
  <si>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</si>
  <si>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</si>
  <si>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</si>
  <si>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</si>
  <si>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</si>
  <si>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</si>
  <si>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</si>
  <si>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</si>
  <si>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</si>
  <si>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</si>
  <si>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</si>
  <si>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</si>
  <si>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</si>
  <si>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</si>
  <si>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</si>
  <si>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</si>
  <si>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</si>
  <si>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</si>
  <si>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</si>
  <si>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</si>
  <si>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</si>
  <si>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</si>
  <si>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</si>
  <si>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</si>
  <si>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</si>
  <si>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</si>
  <si>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</si>
  <si>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</si>
  <si>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</si>
  <si>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</si>
  <si>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</si>
  <si>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</si>
  <si>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</si>
  <si>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</si>
  <si>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</si>
  <si>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</si>
  <si>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</si>
  <si>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</si>
  <si>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</si>
  <si>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</si>
  <si>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</si>
  <si>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</si>
  <si>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</si>
  <si>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</si>
  <si>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</si>
  <si>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</si>
  <si>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</si>
  <si>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</si>
  <si>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</si>
  <si>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</si>
  <si>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</si>
  <si>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</si>
  <si>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</si>
  <si>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</si>
  <si>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</si>
  <si>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</si>
  <si>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</si>
  <si>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</si>
  <si>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</si>
  <si>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</si>
  <si>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</si>
  <si>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</si>
  <si>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</si>
  <si>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</si>
  <si>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</si>
  <si>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</si>
  <si>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</si>
  <si>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</si>
  <si>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</si>
  <si>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</si>
  <si>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</si>
  <si>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</si>
  <si>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</si>
  <si>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</si>
  <si>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</si>
  <si>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</si>
  <si>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</si>
  <si>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</si>
  <si>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</si>
  <si>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</si>
  <si>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</si>
  <si>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</si>
  <si>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</si>
  <si>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</si>
  <si>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</si>
  <si>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</si>
  <si>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</si>
  <si>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</si>
  <si>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</si>
  <si>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</si>
  <si>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</si>
  <si>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</si>
  <si>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</si>
  <si>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</si>
  <si>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</si>
  <si>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</si>
  <si>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</si>
  <si>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</si>
  <si>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</si>
  <si>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</si>
  <si>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</si>
  <si>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</si>
  <si>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</si>
  <si>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</si>
  <si>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</si>
  <si>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</si>
  <si>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</si>
  <si>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</si>
  <si>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</si>
  <si>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</si>
  <si>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</si>
  <si>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</si>
  <si>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</si>
  <si>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</si>
  <si>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</si>
  <si>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</si>
  <si>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</si>
  <si>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</si>
  <si>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</si>
  <si>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</si>
  <si>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</si>
  <si>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</si>
  <si>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</si>
  <si>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</si>
  <si>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</si>
  <si>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</si>
  <si>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</si>
  <si>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</si>
  <si>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</si>
  <si>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</si>
  <si>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</si>
  <si>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</si>
  <si>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</si>
  <si>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</si>
  <si>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</si>
  <si>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</si>
  <si>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</si>
  <si>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</si>
  <si>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</si>
  <si>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</si>
  <si>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</si>
  <si>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</si>
  <si>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</si>
  <si>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</si>
  <si>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</si>
  <si>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</si>
  <si>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</si>
  <si>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</si>
  <si>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</si>
  <si>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</si>
  <si>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</si>
  <si>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</si>
  <si>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</si>
  <si>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</si>
  <si>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</si>
  <si>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</si>
  <si>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</si>
  <si>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</si>
  <si>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</si>
  <si>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ROOM AND BOARD</t>
  </si>
  <si>
    <t>URINALYSIS</t>
  </si>
  <si>
    <t>A09.9</t>
  </si>
  <si>
    <t>E86.1</t>
  </si>
  <si>
    <t>METRONIDAZOLE</t>
  </si>
  <si>
    <t>FECALYSIS</t>
  </si>
  <si>
    <t>BACILLUS CLAUSI</t>
  </si>
  <si>
    <t>ZINC SULFATE</t>
  </si>
  <si>
    <t>2ML</t>
  </si>
  <si>
    <t>3ML</t>
  </si>
  <si>
    <t>SYRUP</t>
  </si>
  <si>
    <t>500ML</t>
  </si>
  <si>
    <t>D5 IMB</t>
  </si>
  <si>
    <t>ABOCATH 24</t>
  </si>
  <si>
    <t>MICRO SET</t>
  </si>
  <si>
    <t>500MG</t>
  </si>
  <si>
    <t>D5 0.3 NACL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</si>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</sst>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8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/>
      <c r="D36" s="23"/>
      <c r="E36" s="57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1690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100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173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2190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algorithmName="SHA-512" hashValue="WZjx47/UYfrocwMkgtzwEgsPwvc+46iorkAmjMgx1rEOMKk0VDJN0Wu+nhHxWI4S1vMITc6B6w4gpKxLZrpy5g==" saltValue="T/vGQ9mwEEqbOdgTvSG/yg==" spinCount="100000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2:F42"/>
  </mergeCells>
  <dataValidations count="1">
    <dataValidation type="decimal" operator="greaterThanOrEqual" allowBlank="1" showInputMessage="1" showErrorMessage="1" sqref="E41 E43:F46 E48:F53 D57:F66 E38:E39 E32 E23:F27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5" zoomScaleNormal="85" workbookViewId="0">
      <selection activeCell="J11" sqref="J11:J1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188</v>
      </c>
      <c r="F11" s="55">
        <v>3</v>
      </c>
      <c r="G11" s="55">
        <v>4</v>
      </c>
      <c r="H11" s="55">
        <v>8</v>
      </c>
      <c r="I11" s="55">
        <v>75</v>
      </c>
      <c r="J11" s="55">
        <f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167</v>
      </c>
      <c r="E12" s="27" t="s">
        <v>181</v>
      </c>
      <c r="F12" s="55">
        <v>3</v>
      </c>
      <c r="G12" s="55">
        <v>3</v>
      </c>
      <c r="H12" s="55">
        <v>6</v>
      </c>
      <c r="I12" s="55">
        <v>65</v>
      </c>
      <c r="J12" s="55">
        <f t="shared" ref="J12:J17" si="0">H12*I12</f>
        <v>390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183</v>
      </c>
      <c r="E13" s="27" t="s">
        <v>182</v>
      </c>
      <c r="F13" s="55">
        <v>1</v>
      </c>
      <c r="G13" s="55">
        <v>3</v>
      </c>
      <c r="H13" s="55">
        <v>1</v>
      </c>
      <c r="I13" s="55">
        <v>90</v>
      </c>
      <c r="J13" s="55">
        <f t="shared" si="0"/>
        <v>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168</v>
      </c>
      <c r="E14" s="27" t="s">
        <v>184</v>
      </c>
      <c r="F14" s="55">
        <v>1</v>
      </c>
      <c r="G14" s="55">
        <v>3</v>
      </c>
      <c r="H14" s="55">
        <v>3</v>
      </c>
      <c r="I14" s="55">
        <v>90</v>
      </c>
      <c r="J14" s="55">
        <f t="shared" si="0"/>
        <v>270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168</v>
      </c>
      <c r="E15" s="27" t="s">
        <v>184</v>
      </c>
      <c r="F15" s="55">
        <v>1</v>
      </c>
      <c r="G15" s="55">
        <v>1</v>
      </c>
      <c r="H15" s="55">
        <v>1</v>
      </c>
      <c r="I15" s="55">
        <v>90</v>
      </c>
      <c r="J15" s="55">
        <f t="shared" si="0"/>
        <v>90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D22" sqref="D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171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171</v>
      </c>
      <c r="E17" s="55">
        <v>1</v>
      </c>
      <c r="F17" s="55">
        <v>40</v>
      </c>
      <c r="G17" s="55">
        <f t="shared" ref="G17:G23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171</v>
      </c>
      <c r="E19" s="55">
        <v>3</v>
      </c>
      <c r="F19" s="55">
        <v>10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172</v>
      </c>
      <c r="D20" s="70" t="s">
        <v>171</v>
      </c>
      <c r="E20" s="55">
        <v>5</v>
      </c>
      <c r="F20" s="55">
        <v>10</v>
      </c>
      <c r="G20" s="55">
        <f t="shared" si="0"/>
        <v>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520</v>
      </c>
      <c r="H13" s="55">
        <v>20</v>
      </c>
      <c r="I13" s="55"/>
      <c r="J13" s="55">
        <v>75</v>
      </c>
      <c r="K13" s="55"/>
      <c r="L13" s="55"/>
      <c r="M13" s="55"/>
      <c r="N13" s="55"/>
      <c r="P13" s="88">
        <f>SUM(D13:N13)</f>
        <v>655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520</v>
      </c>
      <c r="H30" s="88">
        <f t="shared" si="1"/>
        <v>20</v>
      </c>
      <c r="I30" s="88">
        <f t="shared" si="1"/>
        <v>0</v>
      </c>
      <c r="J30" s="88">
        <f t="shared" si="1"/>
        <v>75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2018-06-01T07:22:31Z</dcterms:modified>
</cp:coreProperties>
</file>