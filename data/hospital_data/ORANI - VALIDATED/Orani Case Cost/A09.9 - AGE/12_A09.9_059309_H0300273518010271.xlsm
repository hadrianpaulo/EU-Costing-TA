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Drugs&amp;Med'!$C$11:$C$16</definedName>
    <definedName name="_xlnm.Print_Area" localSheetId="0">'1.1 Case data_general'!$B$1:$F$71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<sst xmlns="http://schemas.openxmlformats.org/spreadsheetml/2006/main" count="492" uniqueCount="197">
  <si>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</si>
  <si>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</si>
  <si>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</si>
  <si>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</si>
  <si>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</si>
  <si>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</si>
  <si>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</si>
  <si>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</si>
  <si>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</si>
  <si>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</si>
  <si>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</si>
  <si>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</si>
  <si>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</si>
  <si>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</si>
  <si>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</si>
  <si>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</si>
  <si>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</si>
  <si>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</si>
  <si>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</si>
  <si>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</si>
  <si>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</si>
  <si>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</si>
  <si>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</si>
  <si>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</si>
  <si>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</si>
  <si>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</si>
  <si>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</si>
  <si>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</si>
  <si>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</si>
  <si>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</si>
  <si>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</si>
  <si>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</si>
  <si>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</si>
  <si>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</si>
  <si>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</si>
  <si>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</si>
  <si>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</si>
  <si>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</si>
  <si>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</si>
  <si>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</si>
  <si>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</si>
  <si>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</si>
  <si>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</si>
  <si>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</si>
  <si>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</si>
  <si>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</si>
  <si>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</si>
  <si>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</si>
  <si>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</si>
  <si>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</si>
  <si>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</si>
  <si>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</si>
  <si>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</si>
  <si>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</si>
  <si>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</si>
  <si>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</si>
  <si>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</si>
  <si>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</si>
  <si>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</si>
  <si>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</si>
  <si>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</si>
  <si>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</si>
  <si>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</si>
  <si>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</si>
  <si>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</si>
  <si>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</si>
  <si>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</si>
  <si>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</si>
  <si>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</si>
  <si>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</si>
  <si>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</si>
  <si>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</si>
  <si>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</si>
  <si>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</si>
  <si>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</si>
  <si>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</si>
  <si>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</si>
  <si>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</si>
  <si>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</si>
  <si>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</si>
  <si>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</si>
  <si>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</si>
  <si>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</si>
  <si>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</si>
  <si>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</si>
  <si>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</si>
  <si>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</si>
  <si>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</si>
  <si>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</si>
  <si>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</si>
  <si>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</si>
  <si>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</si>
  <si>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</si>
  <si>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</si>
  <si>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</si>
  <si>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</si>
  <si>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</si>
  <si>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</si>
  <si>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</si>
  <si>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</si>
  <si>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</si>
  <si>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</si>
  <si>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</si>
  <si>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</si>
  <si>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</si>
  <si>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</si>
  <si>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</si>
  <si>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</si>
  <si>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</si>
  <si>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</si>
  <si>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</si>
  <si>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</si>
  <si>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</si>
  <si>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</si>
  <si>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</si>
  <si>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</si>
  <si>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</si>
  <si>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</si>
  <si>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</si>
  <si>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</si>
  <si>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</si>
  <si>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</si>
  <si>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</si>
  <si>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</si>
  <si>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</si>
  <si>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</si>
  <si>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</si>
  <si>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</si>
  <si>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</si>
  <si>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</si>
  <si>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</si>
  <si>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</si>
  <si>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</si>
  <si>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</si>
  <si>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</si>
  <si>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</si>
  <si>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</si>
  <si>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</si>
  <si>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</si>
  <si>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</si>
  <si>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</si>
  <si>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</si>
  <si>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</si>
  <si>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</si>
  <si>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</si>
  <si>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</si>
  <si>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</si>
  <si>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</si>
  <si>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</si>
  <si>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</si>
  <si>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</si>
  <si>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</si>
  <si>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</si>
  <si>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</si>
  <si>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</si>
  <si>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</si>
  <si>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</si>
  <si>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</si>
  <si>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</si>
  <si>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</si>
  <si>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</si>
  <si>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</si>
  <si>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</si>
  <si>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</si>
  <si>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</si>
  <si>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</si>
  <si>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</si>
  <si>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</si>
  <si>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</si>
  <si>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</si>
  <si>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</si>
  <si>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</si>
  <si>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</si>
  <si>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</si>
  <si>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</si>
  <si>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</si>
  <si>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</si>
  <si>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</si>
  <si>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CBC PLATELET COUNT</t>
  </si>
  <si>
    <t>20ML</t>
  </si>
  <si>
    <t>VIAL</t>
  </si>
  <si>
    <t>A09.9</t>
  </si>
  <si>
    <t>E86.1</t>
  </si>
  <si>
    <t>NAKCL</t>
  </si>
  <si>
    <t>FECALYSIS</t>
  </si>
  <si>
    <t>METRONIDAZOLE</t>
  </si>
  <si>
    <t>CHLORAMPHENICOL</t>
  </si>
  <si>
    <t>1GRAM</t>
  </si>
  <si>
    <t>HYOSCINE U-BUTYL BROMIDE</t>
  </si>
  <si>
    <t>20MG</t>
  </si>
  <si>
    <t>RANITIDINE</t>
  </si>
  <si>
    <t>25MG</t>
  </si>
  <si>
    <t>OMEPRAZOLE</t>
  </si>
  <si>
    <t>D5LR</t>
  </si>
  <si>
    <t>SYRINGE 5CC</t>
  </si>
  <si>
    <t>DISPOSABLE FACE MASK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</si>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</sst>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E25" sqref="E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183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168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184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3876</v>
      </c>
      <c r="E60" s="55">
        <v>969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324</v>
      </c>
      <c r="E61" s="55">
        <v>831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/>
      <c r="E62" s="55">
        <v>400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4200</v>
      </c>
      <c r="E71" s="59">
        <f>SUM(E60:E70)</f>
        <v>2200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8" sqref="C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180</v>
      </c>
      <c r="E11" s="27" t="s">
        <v>169</v>
      </c>
      <c r="F11" s="55">
        <v>3</v>
      </c>
      <c r="G11" s="55">
        <v>5</v>
      </c>
      <c r="H11" s="55">
        <v>18</v>
      </c>
      <c r="I11" s="55">
        <v>60</v>
      </c>
      <c r="J11" s="55">
        <f>H11*I11</f>
        <v>1080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180</v>
      </c>
      <c r="E12" s="27" t="s">
        <v>187</v>
      </c>
      <c r="F12" s="55">
        <v>2</v>
      </c>
      <c r="G12" s="55">
        <v>2</v>
      </c>
      <c r="H12" s="55">
        <v>6</v>
      </c>
      <c r="I12" s="55">
        <v>60</v>
      </c>
      <c r="J12" s="55">
        <f t="shared" ref="J12:J16" si="0">H12*I12</f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170</v>
      </c>
      <c r="E13" s="27" t="s">
        <v>189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170</v>
      </c>
      <c r="E14" s="27" t="s">
        <v>191</v>
      </c>
      <c r="F14" s="55">
        <v>2</v>
      </c>
      <c r="G14" s="55">
        <v>5</v>
      </c>
      <c r="H14" s="55">
        <v>12</v>
      </c>
      <c r="I14" s="55">
        <v>50</v>
      </c>
      <c r="J14" s="55">
        <f t="shared" si="0"/>
        <v>600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180</v>
      </c>
      <c r="E15" s="27" t="s">
        <v>179</v>
      </c>
      <c r="F15" s="55">
        <v>1</v>
      </c>
      <c r="G15" s="55">
        <v>3</v>
      </c>
      <c r="H15" s="55">
        <v>6</v>
      </c>
      <c r="I15" s="55">
        <v>200</v>
      </c>
      <c r="J15" s="55">
        <f t="shared" si="0"/>
        <v>1200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173</v>
      </c>
      <c r="E16" s="27" t="s">
        <v>174</v>
      </c>
      <c r="F16" s="55">
        <v>2</v>
      </c>
      <c r="G16" s="55">
        <v>4</v>
      </c>
      <c r="H16" s="55">
        <v>10</v>
      </c>
      <c r="I16" s="55">
        <v>100</v>
      </c>
      <c r="J16" s="55">
        <f t="shared" si="0"/>
        <v>1000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7" workbookViewId="0">
      <selection activeCell="A22" sqref="A22:XF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172</v>
      </c>
      <c r="E16" s="55">
        <v>11</v>
      </c>
      <c r="F16" s="55">
        <v>10</v>
      </c>
      <c r="G16" s="55">
        <f>E16*F16</f>
        <v>110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171</v>
      </c>
      <c r="D17" s="70" t="s">
        <v>172</v>
      </c>
      <c r="E17" s="55">
        <v>7</v>
      </c>
      <c r="F17" s="55">
        <v>10</v>
      </c>
      <c r="G17" s="55">
        <f t="shared" ref="G17:G21" si="0">E17*F17</f>
        <v>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172</v>
      </c>
      <c r="E18" s="55">
        <v>2</v>
      </c>
      <c r="F18" s="55">
        <v>100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172</v>
      </c>
      <c r="E20" s="55">
        <v>2</v>
      </c>
      <c r="F20" s="55">
        <v>40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172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480</v>
      </c>
      <c r="H13" s="55">
        <v>20</v>
      </c>
      <c r="I13" s="55"/>
      <c r="J13" s="55">
        <v>25</v>
      </c>
      <c r="K13" s="55"/>
      <c r="L13" s="55"/>
      <c r="M13" s="55"/>
      <c r="N13" s="55"/>
      <c r="P13" s="88">
        <f>SUM(D13:N13)</f>
        <v>565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20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2018-06-01T06:50:19Z</dcterms:modified>
</cp:coreProperties>
</file>