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15" i="2"/>
  <c r="J12" i="2"/>
  <c r="J13" i="2"/>
  <c r="J14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<sst xmlns="http://schemas.openxmlformats.org/spreadsheetml/2006/main" count="489" uniqueCount="194">
  <si>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</si>
  <si>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</si>
  <si>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</si>
  <si>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</si>
  <si>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</si>
  <si>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</si>
  <si>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</si>
  <si>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</si>
  <si>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</si>
  <si>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</si>
  <si>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</si>
  <si>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</si>
  <si>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</si>
  <si>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</si>
  <si>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</si>
  <si>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</si>
  <si>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</si>
  <si>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</si>
  <si>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</si>
  <si>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</si>
  <si>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</si>
  <si>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</si>
  <si>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</si>
  <si>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</si>
  <si>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</si>
  <si>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</si>
  <si>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</si>
  <si>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</si>
  <si>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</si>
  <si>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</si>
  <si>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</si>
  <si>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</si>
  <si>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</si>
  <si>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</si>
  <si>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</si>
  <si>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</si>
  <si>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</si>
  <si>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</si>
  <si>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</si>
  <si>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</si>
  <si>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</si>
  <si>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</si>
  <si>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</si>
  <si>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</si>
  <si>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</si>
  <si>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</si>
  <si>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</si>
  <si>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</si>
  <si>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</si>
  <si>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</si>
  <si>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</si>
  <si>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</si>
  <si>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</si>
  <si>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</si>
  <si>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</si>
  <si>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</si>
  <si>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</si>
  <si>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</si>
  <si>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</si>
  <si>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</si>
  <si>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</si>
  <si>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</si>
  <si>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</si>
  <si>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</si>
  <si>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</si>
  <si>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</si>
  <si>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</si>
  <si>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</si>
  <si>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</si>
  <si>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</si>
  <si>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</si>
  <si>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</si>
  <si>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</si>
  <si>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</si>
  <si>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</si>
  <si>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</si>
  <si>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</si>
  <si>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</si>
  <si>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</si>
  <si>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</si>
  <si>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</si>
  <si>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</si>
  <si>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</si>
  <si>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</si>
  <si>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</si>
  <si>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</si>
  <si>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</si>
  <si>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</si>
  <si>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</si>
  <si>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</si>
  <si>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</si>
  <si>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</si>
  <si>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</si>
  <si>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</si>
  <si>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</si>
  <si>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</si>
  <si>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</si>
  <si>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</si>
  <si>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</si>
  <si>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</si>
  <si>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</si>
  <si>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</si>
  <si>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</si>
  <si>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</si>
  <si>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</si>
  <si>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</si>
  <si>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</si>
  <si>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</si>
  <si>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</si>
  <si>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</si>
  <si>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</si>
  <si>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</si>
  <si>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</si>
  <si>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</si>
  <si>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</si>
  <si>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</si>
  <si>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</si>
  <si>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</si>
  <si>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</si>
  <si>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</si>
  <si>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</si>
  <si>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</si>
  <si>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</si>
  <si>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</si>
  <si>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</si>
  <si>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</si>
  <si>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</si>
  <si>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</si>
  <si>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</si>
  <si>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</si>
  <si>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</si>
  <si>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</si>
  <si>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</si>
  <si>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</si>
  <si>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</si>
  <si>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</si>
  <si>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</si>
  <si>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</si>
  <si>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</si>
  <si>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</si>
  <si>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</si>
  <si>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</si>
  <si>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</si>
  <si>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</si>
  <si>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</si>
  <si>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</si>
  <si>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</si>
  <si>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</si>
  <si>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</si>
  <si>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</si>
  <si>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</si>
  <si>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</si>
  <si>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</si>
  <si>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</si>
  <si>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</si>
  <si>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</si>
  <si>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</si>
  <si>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</si>
  <si>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</si>
  <si>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</si>
  <si>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</si>
  <si>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</si>
  <si>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</si>
  <si>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</si>
  <si>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</si>
  <si>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</si>
  <si>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</si>
  <si>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</si>
  <si>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</si>
  <si>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</si>
  <si>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</si>
  <si>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</si>
  <si>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</si>
  <si>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</si>
  <si>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AMPULE</t>
  </si>
  <si>
    <t>500MG</t>
  </si>
  <si>
    <t>1LITER</t>
  </si>
  <si>
    <t>MACRO SET</t>
  </si>
  <si>
    <t>URINALYSIS</t>
  </si>
  <si>
    <t>A09.9</t>
  </si>
  <si>
    <t>E86.1</t>
  </si>
  <si>
    <t>FECALYSIS</t>
  </si>
  <si>
    <t>RBS</t>
  </si>
  <si>
    <t>RANITIDINE</t>
  </si>
  <si>
    <t>25ML</t>
  </si>
  <si>
    <t>TABLET</t>
  </si>
  <si>
    <t>PLAIN NS SOLUTION</t>
  </si>
  <si>
    <t xml:space="preserve">D5 LR </t>
  </si>
  <si>
    <t>ABOCATH 20</t>
  </si>
  <si>
    <t>CIPROFLOXACIN</t>
  </si>
  <si>
    <t>DISTILLED WATER FOR INJECTION</t>
  </si>
  <si>
    <t>50CC</t>
  </si>
  <si>
    <t>INJECTION PLUG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</si>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</sst>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="90" zoomScaleNormal="90" workbookViewId="0">
      <selection activeCell="C75" sqref="C7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178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172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164</v>
      </c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1165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340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300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1805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algorithmName="SHA-512" hashValue="FtuoS3si/g+XcboNXzi9lpHPysCkbV4JXY5zVr3GxKDix/1MSNPQiS5fBwm0KjO4EuJs3ba0yoJg0O/Zht2EBw==" saltValue="VwKzXnj0YCJehJ0fMTsteQ==" spinCount="100000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3:F43"/>
  </mergeCells>
  <dataValidations count="1">
    <dataValidation type="decimal" operator="greaterThanOrEqual" allowBlank="1" showInputMessage="1" showErrorMessage="1" sqref="E42 E44:F47 E49:F54 D58:F67 E39:E40 E32 E23:F27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zoomScale="85" zoomScaleNormal="85" workbookViewId="0">
      <selection activeCell="D19" sqref="D19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174</v>
      </c>
      <c r="E11" s="27" t="s">
        <v>184</v>
      </c>
      <c r="F11" s="55">
        <v>2</v>
      </c>
      <c r="G11" s="55">
        <v>4</v>
      </c>
      <c r="H11" s="55">
        <v>6</v>
      </c>
      <c r="I11" s="55">
        <v>50</v>
      </c>
      <c r="J11" s="55">
        <f>H11*I11</f>
        <v>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185</v>
      </c>
      <c r="E12" s="27" t="s">
        <v>175</v>
      </c>
      <c r="F12" s="55">
        <v>2</v>
      </c>
      <c r="G12" s="55">
        <v>2</v>
      </c>
      <c r="H12" s="55">
        <v>3</v>
      </c>
      <c r="I12" s="55">
        <v>5</v>
      </c>
      <c r="J12" s="55">
        <f t="shared" ref="J12:J15" si="0">H12*I12</f>
        <v>15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167</v>
      </c>
      <c r="E13" s="27" t="s">
        <v>176</v>
      </c>
      <c r="F13" s="55">
        <v>2</v>
      </c>
      <c r="G13" s="55">
        <v>2</v>
      </c>
      <c r="H13" s="55">
        <v>3</v>
      </c>
      <c r="I13" s="55">
        <v>100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167</v>
      </c>
      <c r="E14" s="27" t="s">
        <v>176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167</v>
      </c>
      <c r="E15" s="27" t="s">
        <v>191</v>
      </c>
      <c r="F15" s="55">
        <v>1</v>
      </c>
      <c r="G15" s="55">
        <v>1</v>
      </c>
      <c r="H15" s="55">
        <v>1</v>
      </c>
      <c r="I15" s="55">
        <v>85</v>
      </c>
      <c r="J15" s="55">
        <f t="shared" si="0"/>
        <v>85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43" sqref="C4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170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170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168</v>
      </c>
      <c r="D18" s="70" t="s">
        <v>170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170</v>
      </c>
      <c r="E19" s="55">
        <v>6</v>
      </c>
      <c r="F19" s="55">
        <v>10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171</v>
      </c>
      <c r="D20" s="70" t="s">
        <v>170</v>
      </c>
      <c r="E20" s="55">
        <v>7</v>
      </c>
      <c r="F20" s="55">
        <v>10</v>
      </c>
      <c r="G20" s="55">
        <f t="shared" si="0"/>
        <v>70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192</v>
      </c>
      <c r="D21" s="70" t="s">
        <v>170</v>
      </c>
      <c r="E21" s="55">
        <v>1</v>
      </c>
      <c r="F21" s="55">
        <v>65</v>
      </c>
      <c r="G21" s="55">
        <f t="shared" si="0"/>
        <v>65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480</v>
      </c>
      <c r="H13" s="55">
        <v>15</v>
      </c>
      <c r="I13" s="55"/>
      <c r="J13" s="55">
        <v>65</v>
      </c>
      <c r="K13" s="55"/>
      <c r="L13" s="55"/>
      <c r="M13" s="55"/>
      <c r="N13" s="55"/>
      <c r="P13" s="88">
        <f>SUM(D13:N13)</f>
        <v>590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480</v>
      </c>
      <c r="H30" s="88">
        <f t="shared" si="1"/>
        <v>15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2018-06-01T07:21:49Z</dcterms:modified>
</cp:coreProperties>
</file>