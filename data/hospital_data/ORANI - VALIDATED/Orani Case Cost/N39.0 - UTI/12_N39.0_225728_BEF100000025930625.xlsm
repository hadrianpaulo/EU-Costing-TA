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4" i="2"/>
  <c r="J15" i="2"/>
  <c r="J16" i="2"/>
  <c r="J17" i="2"/>
  <c r="J18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G5" i="11" s="1" a="1"/>
  <c r="G5" i="11" s="1"/>
  <c r="F3" i="11" a="1"/>
  <c r="F3" i="11" s="1"/>
  <c r="F4" i="11" s="1" a="1"/>
  <c r="F4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<sst xmlns="http://schemas.openxmlformats.org/spreadsheetml/2006/main" count="482" uniqueCount="191">
  <si>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</si>
  <si>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</si>
  <si>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</si>
  <si>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</si>
  <si>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</si>
  <si>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</si>
  <si>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</si>
  <si>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</si>
  <si>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</si>
  <si>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</si>
  <si>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</si>
  <si>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</si>
  <si>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</si>
  <si>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</si>
  <si>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</si>
  <si>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</si>
  <si>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</si>
  <si>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</si>
  <si>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</si>
  <si>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</si>
  <si>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</si>
  <si>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</si>
  <si>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</si>
  <si>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</si>
  <si>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</si>
  <si>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</si>
  <si>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</si>
  <si>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</si>
  <si>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</si>
  <si>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</si>
  <si>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</si>
  <si>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</si>
  <si>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</si>
  <si>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</si>
  <si>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</si>
  <si>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</si>
  <si>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</si>
  <si>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</si>
  <si>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</si>
  <si>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</si>
  <si>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</si>
  <si>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</si>
  <si>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</si>
  <si>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</si>
  <si>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</si>
  <si>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</si>
  <si>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</si>
  <si>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</si>
  <si>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</si>
  <si>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</si>
  <si>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</si>
  <si>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</si>
  <si>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</si>
  <si>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</si>
  <si>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</si>
  <si>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</si>
  <si>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</si>
  <si>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</si>
  <si>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</si>
  <si>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</si>
  <si>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</si>
  <si>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</si>
  <si>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</si>
  <si>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</si>
  <si>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</si>
  <si>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</si>
  <si>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</si>
  <si>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</si>
  <si>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</si>
  <si>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</si>
  <si>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</si>
  <si>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</si>
  <si>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</si>
  <si>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</si>
  <si>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</si>
  <si>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</si>
  <si>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</si>
  <si>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</si>
  <si>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</si>
  <si>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</si>
  <si>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</si>
  <si>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</si>
  <si>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</si>
  <si>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</si>
  <si>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</si>
  <si>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</si>
  <si>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</si>
  <si>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</si>
  <si>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</si>
  <si>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</si>
  <si>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</si>
  <si>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</si>
  <si>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</si>
  <si>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</si>
  <si>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</si>
  <si>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</si>
  <si>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</si>
  <si>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</si>
  <si>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</si>
  <si>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</si>
  <si>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</si>
  <si>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</si>
  <si>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</si>
  <si>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</si>
  <si>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</si>
  <si>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</si>
  <si>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</si>
  <si>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</si>
  <si>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</si>
  <si>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</si>
  <si>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</si>
  <si>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</si>
  <si>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</si>
  <si>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</si>
  <si>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</si>
  <si>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</si>
  <si>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</si>
  <si>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</si>
  <si>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</si>
  <si>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</si>
  <si>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</si>
  <si>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</si>
  <si>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</si>
  <si>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</si>
  <si>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</si>
  <si>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</si>
  <si>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</si>
  <si>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</si>
  <si>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</si>
  <si>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</si>
  <si>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</si>
  <si>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</si>
  <si>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</si>
  <si>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</si>
  <si>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</si>
  <si>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</si>
  <si>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</si>
  <si>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</si>
  <si>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</si>
  <si>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</si>
  <si>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</si>
  <si>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</si>
  <si>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</si>
  <si>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</si>
  <si>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</si>
  <si>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</si>
  <si>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</si>
  <si>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</si>
  <si>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</si>
  <si>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</si>
  <si>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</si>
  <si>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</si>
  <si>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</si>
  <si>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</si>
  <si>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</si>
  <si>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</si>
  <si>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</si>
  <si>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</si>
  <si>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</si>
  <si>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</si>
  <si>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</si>
  <si>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</si>
  <si>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</si>
  <si>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</si>
  <si>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</si>
  <si>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</si>
  <si>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</si>
  <si>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</si>
  <si>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</si>
  <si>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AMPULE</t>
  </si>
  <si>
    <t>SYRINGE 3CC</t>
  </si>
  <si>
    <t>PC</t>
  </si>
  <si>
    <t>BOTTLE</t>
  </si>
  <si>
    <t>1LITER</t>
  </si>
  <si>
    <t>ABOCATH GAUGE 20</t>
  </si>
  <si>
    <t>MACRO SET</t>
  </si>
  <si>
    <t>PLASTER 1/2</t>
  </si>
  <si>
    <t>VIAL</t>
  </si>
  <si>
    <t>PARACETAMOL</t>
  </si>
  <si>
    <t>300MG</t>
  </si>
  <si>
    <t>SYRINGE 5CC</t>
  </si>
  <si>
    <t>N39.0</t>
  </si>
  <si>
    <t>E86.1</t>
  </si>
  <si>
    <t>BUN</t>
  </si>
  <si>
    <t>CREATININE</t>
  </si>
  <si>
    <t>NAKCL</t>
  </si>
  <si>
    <t>PREGNANCY TEST</t>
  </si>
  <si>
    <t>CEFTRIAXONE</t>
  </si>
  <si>
    <t>2G</t>
  </si>
  <si>
    <t>PLAIN NS SOLUTION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</si>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</sst>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57" zoomScaleNormal="100" workbookViewId="0">
      <selection activeCell="B39" sqref="B39:F3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183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184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186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185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164</v>
      </c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44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45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53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 t="s">
        <v>164</v>
      </c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 t="s">
        <v>164</v>
      </c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55</v>
      </c>
      <c r="C60" s="17" t="s">
        <v>51</v>
      </c>
      <c r="D60" s="17" t="s">
        <v>56</v>
      </c>
      <c r="E60" s="18" t="s">
        <v>57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165</v>
      </c>
      <c r="D61" s="55">
        <v>1390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166</v>
      </c>
      <c r="D62" s="55">
        <v>770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167</v>
      </c>
      <c r="D63" s="55">
        <v>200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2360</v>
      </c>
      <c r="E72" s="59">
        <f>SUM(E61:E71)</f>
        <v>0</v>
      </c>
      <c r="F72" s="59">
        <f>SUM(F61:F71)</f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password="C2E9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177</v>
      </c>
      <c r="E11" s="27" t="s">
        <v>188</v>
      </c>
      <c r="F11" s="55">
        <v>2</v>
      </c>
      <c r="G11" s="55">
        <v>3</v>
      </c>
      <c r="H11" s="55">
        <v>5</v>
      </c>
      <c r="I11" s="55">
        <v>100</v>
      </c>
      <c r="J11" s="55">
        <f>H11*I11</f>
        <v>500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169</v>
      </c>
      <c r="E12" s="27" t="s">
        <v>179</v>
      </c>
      <c r="F12" s="55">
        <v>1</v>
      </c>
      <c r="G12" s="55">
        <v>1</v>
      </c>
      <c r="H12" s="55">
        <v>1</v>
      </c>
      <c r="I12" s="55">
        <v>50</v>
      </c>
      <c r="J12" s="55">
        <f t="shared" ref="J12:J18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172</v>
      </c>
      <c r="E13" s="27" t="s">
        <v>173</v>
      </c>
      <c r="F13" s="55">
        <v>2</v>
      </c>
      <c r="G13" s="55">
        <v>3</v>
      </c>
      <c r="H13" s="55">
        <v>6</v>
      </c>
      <c r="I13" s="55">
        <v>100</v>
      </c>
      <c r="J13" s="55">
        <f t="shared" si="0"/>
        <v>600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174</v>
      </c>
      <c r="D16" s="70" t="s">
        <v>171</v>
      </c>
      <c r="E16" s="55">
        <v>1</v>
      </c>
      <c r="F16" s="55">
        <v>100</v>
      </c>
      <c r="G16" s="55">
        <f>E16*F16</f>
        <v>100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171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171</v>
      </c>
      <c r="E18" s="55">
        <v>4</v>
      </c>
      <c r="F18" s="55">
        <v>10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180</v>
      </c>
      <c r="D19" s="70" t="s">
        <v>171</v>
      </c>
      <c r="E19" s="55">
        <v>2</v>
      </c>
      <c r="F19" s="55">
        <v>10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171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410</v>
      </c>
      <c r="H13" s="55">
        <v>10</v>
      </c>
      <c r="I13" s="55"/>
      <c r="J13" s="55">
        <v>30</v>
      </c>
      <c r="K13" s="55"/>
      <c r="L13" s="55"/>
      <c r="M13" s="55"/>
      <c r="N13" s="55"/>
      <c r="P13" s="88">
        <f>SUM(D13:N13)</f>
        <v>470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410</v>
      </c>
      <c r="H30" s="88">
        <f t="shared" si="1"/>
        <v>10</v>
      </c>
      <c r="I30" s="88">
        <f t="shared" si="1"/>
        <v>0</v>
      </c>
      <c r="J30" s="88">
        <f t="shared" si="1"/>
        <v>30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2018-06-01T08:23:22Z</dcterms:modified>
</cp:coreProperties>
</file>