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Drugs&amp;Med'!$C$11:$C$15</definedName>
    <definedName name="_xlnm.Print_Area" localSheetId="0">'1.1 Case data_general'!$B$1:$F$69</definedName>
    <definedName name="_xlnm.Print_Area" localSheetId="1">'1.2 Drugs&amp;Med'!$B$2:$J$16</definedName>
  </definedNames>
  <calcPr calcId="145621"/>
</workbook>
</file>

<file path=xl/calcChain.xml><?xml version="1.0" encoding="utf-8"?>
<calcChain xmlns="http://schemas.openxmlformats.org/spreadsheetml/2006/main">
  <c r="G21" i="9" l="1"/>
  <c r="G20" i="9"/>
  <c r="G17" i="9"/>
  <c r="G18" i="9"/>
  <c r="G19" i="9"/>
  <c r="G16" i="9"/>
  <c r="J12" i="2" l="1"/>
  <c r="J13" i="2"/>
  <c r="J14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<sst xmlns="http://schemas.openxmlformats.org/spreadsheetml/2006/main" count="487" uniqueCount="193">
  <si>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</si>
  <si>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</si>
  <si>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</si>
  <si>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</si>
  <si>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</si>
  <si>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</si>
  <si>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</si>
  <si>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</si>
  <si>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</si>
  <si>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</si>
  <si>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</si>
  <si>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</si>
  <si>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</si>
  <si>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</si>
  <si>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</si>
  <si>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</si>
  <si>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</si>
  <si>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</si>
  <si>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</si>
  <si>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</si>
  <si>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</si>
  <si>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</si>
  <si>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</si>
  <si>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</si>
  <si>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</si>
  <si>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</si>
  <si>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</si>
  <si>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</si>
  <si>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</si>
  <si>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</si>
  <si>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</si>
  <si>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</si>
  <si>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</si>
  <si>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</si>
  <si>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</si>
  <si>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</si>
  <si>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</si>
  <si>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</si>
  <si>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</si>
  <si>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</si>
  <si>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</si>
  <si>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</si>
  <si>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</si>
  <si>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</si>
  <si>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</si>
  <si>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</si>
  <si>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</si>
  <si>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</si>
  <si>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</si>
  <si>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</si>
  <si>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</si>
  <si>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</si>
  <si>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</si>
  <si>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</si>
  <si>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</si>
  <si>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</si>
  <si>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</si>
  <si>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</si>
  <si>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</si>
  <si>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</si>
  <si>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</si>
  <si>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</si>
  <si>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</si>
  <si>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</si>
  <si>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</si>
  <si>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</si>
  <si>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</si>
  <si>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</si>
  <si>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</si>
  <si>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</si>
  <si>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</si>
  <si>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</si>
  <si>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</si>
  <si>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</si>
  <si>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</si>
  <si>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</si>
  <si>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</si>
  <si>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</si>
  <si>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</si>
  <si>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</si>
  <si>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</si>
  <si>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</si>
  <si>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</si>
  <si>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</si>
  <si>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</si>
  <si>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</si>
  <si>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</si>
  <si>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</si>
  <si>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</si>
  <si>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</si>
  <si>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</si>
  <si>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</si>
  <si>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</si>
  <si>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</si>
  <si>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</si>
  <si>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</si>
  <si>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</si>
  <si>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</si>
  <si>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</si>
  <si>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</si>
  <si>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</si>
  <si>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</si>
  <si>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</si>
  <si>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</si>
  <si>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</si>
  <si>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</si>
  <si>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</si>
  <si>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</si>
  <si>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</si>
  <si>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</si>
  <si>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</si>
  <si>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</si>
  <si>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</si>
  <si>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</si>
  <si>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</si>
  <si>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</si>
  <si>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</si>
  <si>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</si>
  <si>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</si>
  <si>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</si>
  <si>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</si>
  <si>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</si>
  <si>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</si>
  <si>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</si>
  <si>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</si>
  <si>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</si>
  <si>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</si>
  <si>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</si>
  <si>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</si>
  <si>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</si>
  <si>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</si>
  <si>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</si>
  <si>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</si>
  <si>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</si>
  <si>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</si>
  <si>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</si>
  <si>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</si>
  <si>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</si>
  <si>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</si>
  <si>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</si>
  <si>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</si>
  <si>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</si>
  <si>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</si>
  <si>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</si>
  <si>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</si>
  <si>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</si>
  <si>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</si>
  <si>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</si>
  <si>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</si>
  <si>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</si>
  <si>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</si>
  <si>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</si>
  <si>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</si>
  <si>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</si>
  <si>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</si>
  <si>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</si>
  <si>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</si>
  <si>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</si>
  <si>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</si>
  <si>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</si>
  <si>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</si>
  <si>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</si>
  <si>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</si>
  <si>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</si>
  <si>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</si>
  <si>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</si>
  <si>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</si>
  <si>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</si>
  <si>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</si>
  <si>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</si>
  <si>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</si>
  <si>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</si>
  <si>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</si>
  <si>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1LITER</t>
  </si>
  <si>
    <t>ABOCATH GAUGE 20</t>
  </si>
  <si>
    <t>MACRO SET</t>
  </si>
  <si>
    <t>PLASTER 1/2</t>
  </si>
  <si>
    <t>E86.1</t>
  </si>
  <si>
    <t>CEFUROXIME</t>
  </si>
  <si>
    <t>VIAL</t>
  </si>
  <si>
    <t>40MG</t>
  </si>
  <si>
    <t>OMEPRAZOLE</t>
  </si>
  <si>
    <t>10ML</t>
  </si>
  <si>
    <t>D5 NORMOSOL M</t>
  </si>
  <si>
    <t>METOCLOPRAMIDE</t>
  </si>
  <si>
    <t>500CC</t>
  </si>
  <si>
    <t>CREATININE</t>
  </si>
  <si>
    <t>N39.0</t>
  </si>
  <si>
    <t>750MG</t>
  </si>
  <si>
    <t>PLAIN NS SOLUTION</t>
  </si>
  <si>
    <t>SYRINGE 5CC</t>
  </si>
  <si>
    <t>DISPOSABLE FACE MASK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</si>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</sst>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1445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535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2180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workbookViewId="0">
      <selection activeCell="A16" sqref="A16:XFD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179</v>
      </c>
      <c r="E11" s="27" t="s">
        <v>180</v>
      </c>
      <c r="F11" s="55">
        <v>1</v>
      </c>
      <c r="G11" s="55">
        <v>2</v>
      </c>
      <c r="H11" s="55">
        <v>2</v>
      </c>
      <c r="I11" s="55">
        <v>200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169</v>
      </c>
      <c r="E12" s="27" t="s">
        <v>182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5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179</v>
      </c>
      <c r="E13" s="27" t="s">
        <v>188</v>
      </c>
      <c r="F13" s="55">
        <v>3</v>
      </c>
      <c r="G13" s="55">
        <v>3</v>
      </c>
      <c r="H13" s="55">
        <v>4</v>
      </c>
      <c r="I13" s="55">
        <v>60</v>
      </c>
      <c r="J13" s="55">
        <f t="shared" si="0"/>
        <v>240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172</v>
      </c>
      <c r="E14" s="27" t="s">
        <v>185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172</v>
      </c>
      <c r="E15" s="27" t="s">
        <v>173</v>
      </c>
      <c r="F15" s="55">
        <v>2</v>
      </c>
      <c r="G15" s="55">
        <v>2</v>
      </c>
      <c r="H15" s="55">
        <v>4</v>
      </c>
      <c r="I15" s="55">
        <v>100</v>
      </c>
      <c r="J15" s="55">
        <f t="shared" si="0"/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3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171</v>
      </c>
      <c r="E17" s="55">
        <v>1</v>
      </c>
      <c r="F17" s="55">
        <v>100</v>
      </c>
      <c r="G17" s="55">
        <f t="shared" ref="G17:G21" si="0"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190</v>
      </c>
      <c r="D20" s="70" t="s">
        <v>171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191</v>
      </c>
      <c r="D21" s="70" t="s">
        <v>171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400</v>
      </c>
      <c r="H13" s="55">
        <v>10</v>
      </c>
      <c r="I13" s="55"/>
      <c r="J13" s="55">
        <v>30</v>
      </c>
      <c r="K13" s="55"/>
      <c r="L13" s="55"/>
      <c r="M13" s="55"/>
      <c r="N13" s="55"/>
      <c r="P13" s="88">
        <f>SUM(D13:N13)</f>
        <v>460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400</v>
      </c>
      <c r="H30" s="88">
        <f t="shared" si="1"/>
        <v>10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2018-06-01T07:51:16Z</dcterms:modified>
</cp:coreProperties>
</file>