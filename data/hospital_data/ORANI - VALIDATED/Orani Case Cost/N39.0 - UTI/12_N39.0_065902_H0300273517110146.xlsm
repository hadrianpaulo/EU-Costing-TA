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9" i="9"/>
  <c r="G18" i="9"/>
  <c r="G17" i="9"/>
  <c r="G16" i="9"/>
  <c r="J14" i="2"/>
  <c r="J13" i="2"/>
  <c r="J12" i="2"/>
  <c r="J11" i="2"/>
  <c r="J15" i="2" l="1"/>
  <c r="J16" i="2"/>
  <c r="J17" i="2"/>
  <c r="J18" i="2"/>
  <c r="J19" i="2"/>
  <c r="J20" i="2"/>
  <c r="J21" i="2"/>
  <c r="J22" i="2"/>
  <c r="J23" i="2"/>
  <c r="G13" i="10"/>
  <c r="E13" i="10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G5" i="11" s="1" a="1"/>
  <c r="G5" i="11" s="1"/>
  <c r="F3" i="11" a="1"/>
  <c r="F3" i="11" s="1"/>
  <c r="F4" i="11" s="1" a="1"/>
  <c r="F4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<sst xmlns="http://schemas.openxmlformats.org/spreadsheetml/2006/main" count="486" uniqueCount="191">
  <si>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</si>
  <si>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</si>
  <si>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</si>
  <si>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</si>
  <si>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</si>
  <si>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</si>
  <si>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</si>
  <si>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</si>
  <si>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</si>
  <si>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</si>
  <si>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</si>
  <si>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</si>
  <si>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</si>
  <si>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</si>
  <si>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</si>
  <si>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</si>
  <si>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</si>
  <si>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</si>
  <si>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</si>
  <si>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</si>
  <si>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</si>
  <si>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</si>
  <si>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</si>
  <si>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</si>
  <si>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</si>
  <si>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</si>
  <si>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</si>
  <si>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</si>
  <si>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</si>
  <si>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</si>
  <si>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</si>
  <si>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</si>
  <si>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</si>
  <si>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</si>
  <si>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</si>
  <si>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</si>
  <si>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</si>
  <si>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</si>
  <si>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</si>
  <si>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</si>
  <si>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</si>
  <si>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</si>
  <si>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</si>
  <si>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</si>
  <si>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</si>
  <si>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</si>
  <si>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</si>
  <si>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</si>
  <si>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</si>
  <si>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</si>
  <si>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</si>
  <si>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</si>
  <si>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</si>
  <si>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</si>
  <si>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</si>
  <si>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</si>
  <si>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</si>
  <si>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</si>
  <si>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</si>
  <si>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</si>
  <si>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</si>
  <si>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</si>
  <si>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</si>
  <si>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</si>
  <si>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</si>
  <si>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</si>
  <si>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</si>
  <si>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</si>
  <si>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</si>
  <si>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</si>
  <si>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</si>
  <si>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</si>
  <si>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</si>
  <si>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</si>
  <si>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</si>
  <si>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</si>
  <si>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</si>
  <si>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</si>
  <si>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</si>
  <si>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</si>
  <si>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</si>
  <si>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</si>
  <si>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</si>
  <si>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</si>
  <si>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</si>
  <si>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</si>
  <si>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</si>
  <si>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</si>
  <si>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</si>
  <si>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</si>
  <si>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</si>
  <si>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</si>
  <si>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</si>
  <si>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</si>
  <si>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</si>
  <si>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</si>
  <si>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</si>
  <si>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</si>
  <si>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</si>
  <si>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</si>
  <si>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</si>
  <si>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</si>
  <si>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</si>
  <si>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</si>
  <si>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</si>
  <si>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</si>
  <si>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</si>
  <si>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</si>
  <si>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</si>
  <si>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</si>
  <si>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</si>
  <si>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</si>
  <si>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</si>
  <si>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</si>
  <si>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</si>
  <si>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</si>
  <si>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</si>
  <si>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</si>
  <si>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</si>
  <si>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</si>
  <si>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</si>
  <si>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</si>
  <si>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</si>
  <si>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</si>
  <si>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</si>
  <si>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</si>
  <si>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</si>
  <si>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</si>
  <si>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</si>
  <si>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</si>
  <si>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</si>
  <si>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</si>
  <si>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</si>
  <si>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</si>
  <si>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</si>
  <si>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</si>
  <si>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</si>
  <si>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</si>
  <si>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</si>
  <si>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</si>
  <si>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</si>
  <si>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</si>
  <si>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</si>
  <si>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</si>
  <si>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</si>
  <si>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</si>
  <si>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</si>
  <si>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</si>
  <si>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</si>
  <si>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</si>
  <si>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</si>
  <si>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</si>
  <si>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</si>
  <si>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</si>
  <si>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</si>
  <si>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</si>
  <si>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</si>
  <si>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</si>
  <si>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</si>
  <si>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</si>
  <si>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</si>
  <si>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</si>
  <si>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</si>
  <si>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</si>
  <si>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</si>
  <si>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ROOM AND BOARD</t>
  </si>
  <si>
    <t>N39.0</t>
  </si>
  <si>
    <t>Visit in the ward</t>
  </si>
  <si>
    <t>CEFTRIAXONE</t>
  </si>
  <si>
    <t>RANITIDINE</t>
  </si>
  <si>
    <t>METOCLOPRAMIDE</t>
  </si>
  <si>
    <t>OMEPRAZOLE</t>
  </si>
  <si>
    <t>VIAL</t>
  </si>
  <si>
    <t>1G</t>
  </si>
  <si>
    <t>AMPULE</t>
  </si>
  <si>
    <t>50MG</t>
  </si>
  <si>
    <t>10MG</t>
  </si>
  <si>
    <t>40MG</t>
  </si>
  <si>
    <t>PLR</t>
  </si>
  <si>
    <t>BOTTLE</t>
  </si>
  <si>
    <t>1LITER</t>
  </si>
  <si>
    <t>500CC</t>
  </si>
  <si>
    <t>PIECE</t>
  </si>
  <si>
    <t>IV SET MACROSET</t>
  </si>
  <si>
    <t>ADHESIVE PLASTER 1/2</t>
  </si>
  <si>
    <t>ROLL</t>
  </si>
  <si>
    <t>3CC SYRINGE</t>
  </si>
  <si>
    <t>5CC SYRINGE</t>
  </si>
  <si>
    <t>IV CATHETER G#20</t>
  </si>
  <si>
    <t>UTI W/ MODERATE DEHYDRATION</t>
  </si>
  <si>
    <t>E86.1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</si>
</sst>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C34" sqref="C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189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163</v>
      </c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163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164</v>
      </c>
      <c r="D60" s="55">
        <v>2350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165</v>
      </c>
      <c r="D61" s="55">
        <v>400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2750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0" sqref="J10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172</v>
      </c>
      <c r="E11" s="27" t="s">
        <v>173</v>
      </c>
      <c r="F11" s="55">
        <v>2</v>
      </c>
      <c r="G11" s="55">
        <v>5</v>
      </c>
      <c r="H11" s="55">
        <v>8</v>
      </c>
      <c r="I11" s="55">
        <v>100</v>
      </c>
      <c r="J11" s="55">
        <f t="shared" ref="J11:J14" si="0"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169</v>
      </c>
      <c r="D12" s="27" t="s">
        <v>174</v>
      </c>
      <c r="E12" s="27" t="s">
        <v>175</v>
      </c>
      <c r="F12" s="55">
        <v>2</v>
      </c>
      <c r="G12" s="55">
        <v>5</v>
      </c>
      <c r="H12" s="55">
        <v>9</v>
      </c>
      <c r="I12" s="55">
        <v>50</v>
      </c>
      <c r="J12" s="55">
        <f t="shared" si="0"/>
        <v>450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170</v>
      </c>
      <c r="D13" s="27" t="s">
        <v>174</v>
      </c>
      <c r="E13" s="27" t="s">
        <v>176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171</v>
      </c>
      <c r="D14" s="27" t="s">
        <v>172</v>
      </c>
      <c r="E14" s="27" t="s">
        <v>177</v>
      </c>
      <c r="F14" s="55">
        <v>1</v>
      </c>
      <c r="G14" s="55">
        <v>2</v>
      </c>
      <c r="H14" s="55">
        <v>1</v>
      </c>
      <c r="I14" s="55">
        <v>200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179</v>
      </c>
      <c r="E15" s="27" t="s">
        <v>180</v>
      </c>
      <c r="F15" s="55">
        <v>2</v>
      </c>
      <c r="G15" s="55">
        <v>3</v>
      </c>
      <c r="H15" s="55">
        <v>4</v>
      </c>
      <c r="I15" s="55">
        <v>100</v>
      </c>
      <c r="J15" s="55">
        <f t="shared" ref="J15:J23" si="1">H15*I15</f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178</v>
      </c>
      <c r="D16" s="27" t="s">
        <v>179</v>
      </c>
      <c r="E16" s="27" t="s">
        <v>181</v>
      </c>
      <c r="F16" s="55">
        <v>2</v>
      </c>
      <c r="G16" s="55">
        <v>1</v>
      </c>
      <c r="H16" s="55">
        <v>2</v>
      </c>
      <c r="I16" s="55">
        <v>90</v>
      </c>
      <c r="J16" s="55">
        <f t="shared" si="1"/>
        <v>180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1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1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1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1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4" sqref="D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182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182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185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182</v>
      </c>
      <c r="E19" s="55">
        <v>7</v>
      </c>
      <c r="F19" s="55">
        <v>10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182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167</v>
      </c>
      <c r="D13" s="55"/>
      <c r="E13" s="55">
        <f>10*4</f>
        <v>40</v>
      </c>
      <c r="F13" s="55"/>
      <c r="G13" s="55">
        <f>24*4*60/12</f>
        <v>480</v>
      </c>
      <c r="H13" s="55"/>
      <c r="I13" s="55"/>
      <c r="J13" s="55">
        <v>20</v>
      </c>
      <c r="K13" s="55"/>
      <c r="L13" s="55"/>
      <c r="M13" s="55"/>
      <c r="N13" s="55"/>
      <c r="P13" s="88">
        <f>SUM(D13:N13)</f>
        <v>540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2018-06-01T07:56:48Z</dcterms:modified>
</cp:coreProperties>
</file>