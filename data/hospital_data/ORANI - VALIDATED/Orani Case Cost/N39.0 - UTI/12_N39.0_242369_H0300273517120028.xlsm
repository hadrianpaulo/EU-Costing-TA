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Supplies_Medical'!$C$15:$C$43</definedName>
    <definedName name="Drugs">'1.2 Drugs&amp;Med'!$C$11:$C$25</definedName>
    <definedName name="_xlnm.Print_Area" localSheetId="0">'1.1 Case data_general'!$B$1:$F$76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21" i="9" l="1"/>
  <c r="G17" i="9"/>
  <c r="G18" i="9"/>
  <c r="G19" i="9"/>
  <c r="G20" i="9"/>
  <c r="G16" i="9"/>
  <c r="J21" i="2" l="1"/>
  <c r="J20" i="2"/>
  <c r="J19" i="2"/>
  <c r="J12" i="2" l="1"/>
  <c r="J13" i="2"/>
  <c r="J14" i="2"/>
  <c r="J15" i="2"/>
  <c r="J16" i="2"/>
  <c r="J17" i="2"/>
  <c r="J1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6" i="1"/>
  <c r="E76" i="1"/>
  <c r="D76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<sst xmlns="http://schemas.openxmlformats.org/spreadsheetml/2006/main" count="496" uniqueCount="201">
  <si>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</si>
  <si>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</si>
  <si>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</si>
  <si>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</si>
  <si>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</si>
  <si>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</si>
  <si>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</si>
  <si>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</si>
  <si>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</si>
  <si>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</si>
  <si>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</si>
  <si>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</si>
  <si>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</si>
  <si>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</si>
  <si>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</si>
  <si>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</si>
  <si>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</si>
  <si>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</si>
  <si>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</si>
  <si>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</si>
  <si>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</si>
  <si>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</si>
  <si>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</si>
  <si>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</si>
  <si>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</si>
  <si>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</si>
  <si>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</si>
  <si>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</si>
  <si>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</si>
  <si>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</si>
  <si>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</si>
  <si>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</si>
  <si>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</si>
  <si>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</si>
  <si>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</si>
  <si>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</si>
  <si>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</si>
  <si>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</si>
  <si>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</si>
  <si>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</si>
  <si>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</si>
  <si>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</si>
  <si>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</si>
  <si>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</si>
  <si>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</si>
  <si>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</si>
  <si>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</si>
  <si>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</si>
  <si>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</si>
  <si>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</si>
  <si>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</si>
  <si>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</si>
  <si>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</si>
  <si>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</si>
  <si>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</si>
  <si>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</si>
  <si>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</si>
  <si>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</si>
  <si>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</si>
  <si>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</si>
  <si>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</si>
  <si>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</si>
  <si>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</si>
  <si>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</si>
  <si>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</si>
  <si>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</si>
  <si>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</si>
  <si>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</si>
  <si>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</si>
  <si>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</si>
  <si>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</si>
  <si>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</si>
  <si>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</si>
  <si>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</si>
  <si>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</si>
  <si>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</si>
  <si>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</si>
  <si>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</si>
  <si>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</si>
  <si>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</si>
  <si>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</si>
  <si>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</si>
  <si>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</si>
  <si>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</si>
  <si>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</si>
  <si>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</si>
  <si>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</si>
  <si>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</si>
  <si>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</si>
  <si>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</si>
  <si>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</si>
  <si>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</si>
  <si>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</si>
  <si>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</si>
  <si>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</si>
  <si>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</si>
  <si>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</si>
  <si>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</si>
  <si>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</si>
  <si>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</si>
  <si>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</si>
  <si>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</si>
  <si>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</si>
  <si>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</si>
  <si>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</si>
  <si>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</si>
  <si>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</si>
  <si>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</si>
  <si>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</si>
  <si>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</si>
  <si>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</si>
  <si>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</si>
  <si>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</si>
  <si>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</si>
  <si>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</si>
  <si>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</si>
  <si>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</si>
  <si>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</si>
  <si>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</si>
  <si>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</si>
  <si>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</si>
  <si>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</si>
  <si>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</si>
  <si>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</si>
  <si>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</si>
  <si>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</si>
  <si>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</si>
  <si>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</si>
  <si>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</si>
  <si>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</si>
  <si>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</si>
  <si>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</si>
  <si>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</si>
  <si>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</si>
  <si>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</si>
  <si>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</si>
  <si>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</si>
  <si>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</si>
  <si>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</si>
  <si>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</si>
  <si>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</si>
  <si>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</si>
  <si>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</si>
  <si>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</si>
  <si>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</si>
  <si>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</si>
  <si>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</si>
  <si>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</si>
  <si>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</si>
  <si>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</si>
  <si>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</si>
  <si>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</si>
  <si>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</si>
  <si>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</si>
  <si>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</si>
  <si>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</si>
  <si>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</si>
  <si>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</si>
  <si>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</si>
  <si>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</si>
  <si>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</si>
  <si>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</si>
  <si>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</si>
  <si>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</si>
  <si>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</si>
  <si>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</si>
  <si>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</si>
  <si>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</si>
  <si>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TABLET</t>
  </si>
  <si>
    <t>AMPULE</t>
  </si>
  <si>
    <t>SYRINGE 3CC</t>
  </si>
  <si>
    <t>PC</t>
  </si>
  <si>
    <t>BOTTLE</t>
  </si>
  <si>
    <t>1LITER</t>
  </si>
  <si>
    <t>ABOCATH GAUGE 20</t>
  </si>
  <si>
    <t>MACRO SET</t>
  </si>
  <si>
    <t>PLASTER 1/2</t>
  </si>
  <si>
    <t>VIAL</t>
  </si>
  <si>
    <t>SYRINGE 5CC</t>
  </si>
  <si>
    <t>50MG</t>
  </si>
  <si>
    <t>PLAIN NS SOLUTION</t>
  </si>
  <si>
    <t>D5LR</t>
  </si>
  <si>
    <t>E86.1</t>
  </si>
  <si>
    <t>300MG</t>
  </si>
  <si>
    <t>CEFUROXIME</t>
  </si>
  <si>
    <t>GLUCOSE</t>
  </si>
  <si>
    <t>CREATININE</t>
  </si>
  <si>
    <t>CHOLESTEROL</t>
  </si>
  <si>
    <t>TRIGLYCERIDES</t>
  </si>
  <si>
    <t>RBS</t>
  </si>
  <si>
    <t>N39.0</t>
  </si>
  <si>
    <t>750MG</t>
  </si>
  <si>
    <t>BUN</t>
  </si>
  <si>
    <t>URIC ACID</t>
  </si>
  <si>
    <t>ROD</t>
  </si>
  <si>
    <t>TRAMADOL</t>
  </si>
  <si>
    <t>VITAMIN B COMPLEX</t>
  </si>
  <si>
    <t>100MG</t>
  </si>
  <si>
    <t>ALLOPURINOL</t>
  </si>
  <si>
    <t>URINE COLLECTOR</t>
  </si>
  <si>
    <t>UTI W/ MODERATE DEHYDRATION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</si>
</sst>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55</xdr:row>
          <xdr:rowOff>19050</xdr:rowOff>
        </xdr:from>
        <xdr:to>
          <xdr:col>1</xdr:col>
          <xdr:colOff>733425</xdr:colOff>
          <xdr:row>55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55</xdr:row>
          <xdr:rowOff>19050</xdr:rowOff>
        </xdr:from>
        <xdr:to>
          <xdr:col>1</xdr:col>
          <xdr:colOff>1504950</xdr:colOff>
          <xdr:row>55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64</xdr:row>
          <xdr:rowOff>19050</xdr:rowOff>
        </xdr:from>
        <xdr:to>
          <xdr:col>1</xdr:col>
          <xdr:colOff>733425</xdr:colOff>
          <xdr:row>64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64</xdr:row>
          <xdr:rowOff>19050</xdr:rowOff>
        </xdr:from>
        <xdr:to>
          <xdr:col>1</xdr:col>
          <xdr:colOff>1504950</xdr:colOff>
          <xdr:row>64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22</xdr:row>
          <xdr:rowOff>28575</xdr:rowOff>
        </xdr:from>
        <xdr:to>
          <xdr:col>1</xdr:col>
          <xdr:colOff>762000</xdr:colOff>
          <xdr:row>22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22</xdr:row>
          <xdr:rowOff>28575</xdr:rowOff>
        </xdr:from>
        <xdr:to>
          <xdr:col>1</xdr:col>
          <xdr:colOff>1533525</xdr:colOff>
          <xdr:row>22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28575</xdr:rowOff>
        </xdr:from>
        <xdr:to>
          <xdr:col>1</xdr:col>
          <xdr:colOff>771525</xdr:colOff>
          <xdr:row>33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33</xdr:row>
          <xdr:rowOff>28575</xdr:rowOff>
        </xdr:from>
        <xdr:to>
          <xdr:col>1</xdr:col>
          <xdr:colOff>1543050</xdr:colOff>
          <xdr:row>33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3"/>
  <sheetViews>
    <sheetView topLeftCell="A57" zoomScaleNormal="10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200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9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190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182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142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185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192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30">
        <v>3</v>
      </c>
      <c r="C36" s="31" t="s">
        <v>186</v>
      </c>
      <c r="D36" s="23"/>
      <c r="E36" s="57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30">
        <v>4</v>
      </c>
      <c r="C37" s="31" t="s">
        <v>187</v>
      </c>
      <c r="D37" s="23"/>
      <c r="E37" s="57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30">
        <v>5</v>
      </c>
      <c r="C38" s="31" t="s">
        <v>193</v>
      </c>
      <c r="D38" s="23"/>
      <c r="E38" s="57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30">
        <v>6</v>
      </c>
      <c r="C39" s="31" t="s">
        <v>188</v>
      </c>
      <c r="D39" s="23"/>
      <c r="E39" s="57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30">
        <v>7</v>
      </c>
      <c r="C40" s="31" t="s">
        <v>189</v>
      </c>
      <c r="D40" s="23"/>
      <c r="E40" s="57">
        <v>3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30">
        <v>8</v>
      </c>
      <c r="C41" s="31"/>
      <c r="D41" s="23"/>
      <c r="E41" s="57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30">
        <v>9</v>
      </c>
      <c r="C42" s="31"/>
      <c r="D42" s="23"/>
      <c r="E42" s="57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19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</v>
      </c>
      <c r="C44" s="27" t="s">
        <v>164</v>
      </c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2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3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4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8" t="s">
        <v>44</v>
      </c>
      <c r="C48" s="119"/>
      <c r="D48" s="116"/>
      <c r="E48" s="119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14" t="s">
        <v>45</v>
      </c>
      <c r="C49" s="13"/>
      <c r="D49" s="13"/>
      <c r="E49" s="16"/>
      <c r="F49" s="13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53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30">
        <v>1</v>
      </c>
      <c r="C51" s="31" t="s">
        <v>164</v>
      </c>
      <c r="D51" s="32"/>
      <c r="E51" s="57"/>
      <c r="F51" s="5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30">
        <v>2</v>
      </c>
      <c r="C52" s="31"/>
      <c r="D52" s="32"/>
      <c r="E52" s="57"/>
      <c r="F52" s="5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thickBot="1" x14ac:dyDescent="0.35">
      <c r="A55" s="1"/>
      <c r="B55" s="115" t="s">
        <v>20</v>
      </c>
      <c r="C55" s="116"/>
      <c r="D55" s="116"/>
      <c r="E55" s="116"/>
      <c r="F55" s="117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1</v>
      </c>
      <c r="C56" s="27" t="s">
        <v>164</v>
      </c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2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3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4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5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6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5"/>
      <c r="C62" s="25"/>
      <c r="D62" s="25"/>
      <c r="E62" s="25"/>
      <c r="F62" s="2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57.75" customHeight="1" thickBot="1" x14ac:dyDescent="0.35">
      <c r="A64" s="1"/>
      <c r="B64" s="17" t="s">
        <v>55</v>
      </c>
      <c r="C64" s="17" t="s">
        <v>51</v>
      </c>
      <c r="D64" s="17" t="s">
        <v>56</v>
      </c>
      <c r="E64" s="18" t="s">
        <v>57</v>
      </c>
      <c r="F64" s="19" t="s">
        <v>21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2">
        <v>1</v>
      </c>
      <c r="C65" s="27" t="s">
        <v>165</v>
      </c>
      <c r="D65" s="55">
        <v>2328.8000000000002</v>
      </c>
      <c r="E65" s="55">
        <v>582.20000000000005</v>
      </c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2</v>
      </c>
      <c r="C66" s="27" t="s">
        <v>166</v>
      </c>
      <c r="D66" s="55">
        <v>664</v>
      </c>
      <c r="E66" s="55">
        <v>166</v>
      </c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3</v>
      </c>
      <c r="C67" s="27" t="s">
        <v>167</v>
      </c>
      <c r="D67" s="55">
        <v>1600</v>
      </c>
      <c r="E67" s="55">
        <v>400</v>
      </c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4</v>
      </c>
      <c r="C68" s="27" t="s">
        <v>194</v>
      </c>
      <c r="D68" s="55">
        <v>1200</v>
      </c>
      <c r="E68" s="55">
        <v>300</v>
      </c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5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6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7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8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9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10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4.9000000000000004" customHeight="1" thickBot="1" x14ac:dyDescent="0.35">
      <c r="A75" s="1"/>
      <c r="B75" s="1"/>
      <c r="C75" s="1"/>
      <c r="D75" s="58"/>
      <c r="E75" s="58"/>
      <c r="F75" s="58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thickTop="1" x14ac:dyDescent="0.3">
      <c r="A76" s="1"/>
      <c r="B76" s="11"/>
      <c r="C76" s="4" t="s">
        <v>22</v>
      </c>
      <c r="D76" s="59">
        <f>SUM(D65:D75)</f>
        <v>5792.8</v>
      </c>
      <c r="E76" s="59">
        <f>SUM(E65:E75)</f>
        <v>1448.2</v>
      </c>
      <c r="F76" s="59">
        <f>SUM(F65:F75)</f>
        <v>0</v>
      </c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</sheetData>
  <sheetProtection password="C2E9" sheet="1" objects="1" scenarios="1" formatColumns="0" formatRows="0" sort="0" autoFilter="0"/>
  <mergeCells count="12">
    <mergeCell ref="B55:F55"/>
    <mergeCell ref="B48:F48"/>
    <mergeCell ref="B12:F12"/>
    <mergeCell ref="B13:F13"/>
    <mergeCell ref="B14:F14"/>
    <mergeCell ref="B15:F15"/>
    <mergeCell ref="B18:F18"/>
    <mergeCell ref="B22:F22"/>
    <mergeCell ref="B33:F33"/>
    <mergeCell ref="B28:F28"/>
    <mergeCell ref="B43:F43"/>
    <mergeCell ref="B50:F50"/>
  </mergeCells>
  <dataValidations count="1">
    <dataValidation type="decimal" operator="greaterThanOrEqual" allowBlank="1" showInputMessage="1" showErrorMessage="1" sqref="E32 E44:E47 E49 E23:F27 E51:F54 E56:F61 D65:F74 E34:E4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3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55</xdr:row>
                    <xdr:rowOff>19050</xdr:rowOff>
                  </from>
                  <to>
                    <xdr:col>1</xdr:col>
                    <xdr:colOff>733425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55</xdr:row>
                    <xdr:rowOff>19050</xdr:rowOff>
                  </from>
                  <to>
                    <xdr:col>1</xdr:col>
                    <xdr:colOff>1504950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64</xdr:row>
                    <xdr:rowOff>19050</xdr:rowOff>
                  </from>
                  <to>
                    <xdr:col>1</xdr:col>
                    <xdr:colOff>733425</xdr:colOff>
                    <xdr:row>64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64</xdr:row>
                    <xdr:rowOff>19050</xdr:rowOff>
                  </from>
                  <to>
                    <xdr:col>1</xdr:col>
                    <xdr:colOff>1504950</xdr:colOff>
                    <xdr:row>64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H12" sqref="H1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UTI W/ MODERATE DEHYDRATION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7.25" customHeight="1" x14ac:dyDescent="0.3">
      <c r="B11" s="42">
        <v>1</v>
      </c>
      <c r="C11" s="27" t="s">
        <v>184</v>
      </c>
      <c r="D11" s="27" t="s">
        <v>177</v>
      </c>
      <c r="E11" s="27" t="s">
        <v>191</v>
      </c>
      <c r="F11" s="55">
        <v>3</v>
      </c>
      <c r="G11" s="55">
        <v>6</v>
      </c>
      <c r="H11" s="55">
        <v>15</v>
      </c>
      <c r="I11" s="55">
        <v>60</v>
      </c>
      <c r="J11" s="55">
        <f>H11*I11</f>
        <v>900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195</v>
      </c>
      <c r="D12" s="27" t="s">
        <v>169</v>
      </c>
      <c r="E12" s="27" t="s">
        <v>179</v>
      </c>
      <c r="F12" s="55">
        <v>1</v>
      </c>
      <c r="G12" s="55">
        <v>1</v>
      </c>
      <c r="H12" s="55">
        <v>1</v>
      </c>
      <c r="I12" s="55">
        <v>75</v>
      </c>
      <c r="J12" s="55">
        <f t="shared" ref="J12:J21" si="0">H12*I12</f>
        <v>75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196</v>
      </c>
      <c r="D13" s="27" t="s">
        <v>168</v>
      </c>
      <c r="E13" s="27" t="s">
        <v>197</v>
      </c>
      <c r="F13" s="55">
        <v>2</v>
      </c>
      <c r="G13" s="55">
        <v>4</v>
      </c>
      <c r="H13" s="55">
        <v>8</v>
      </c>
      <c r="I13" s="55">
        <v>3</v>
      </c>
      <c r="J13" s="55">
        <f t="shared" si="0"/>
        <v>24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198</v>
      </c>
      <c r="D14" s="27" t="s">
        <v>168</v>
      </c>
      <c r="E14" s="27" t="s">
        <v>183</v>
      </c>
      <c r="F14" s="55">
        <v>1</v>
      </c>
      <c r="G14" s="55">
        <v>4</v>
      </c>
      <c r="H14" s="55">
        <v>4</v>
      </c>
      <c r="I14" s="55">
        <v>3</v>
      </c>
      <c r="J14" s="55">
        <f t="shared" si="0"/>
        <v>12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181</v>
      </c>
      <c r="D15" s="27" t="s">
        <v>172</v>
      </c>
      <c r="E15" s="27" t="s">
        <v>173</v>
      </c>
      <c r="F15" s="55">
        <v>1</v>
      </c>
      <c r="G15" s="55">
        <v>1</v>
      </c>
      <c r="H15" s="55">
        <v>3</v>
      </c>
      <c r="I15" s="55">
        <v>100</v>
      </c>
      <c r="J15" s="55">
        <f t="shared" si="0"/>
        <v>300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180</v>
      </c>
      <c r="D16" s="27" t="s">
        <v>172</v>
      </c>
      <c r="E16" s="27" t="s">
        <v>173</v>
      </c>
      <c r="F16" s="55">
        <v>2</v>
      </c>
      <c r="G16" s="55">
        <v>4</v>
      </c>
      <c r="H16" s="55">
        <v>12</v>
      </c>
      <c r="I16" s="55">
        <v>100</v>
      </c>
      <c r="J16" s="55">
        <f t="shared" si="0"/>
        <v>1200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67"/>
  <sheetViews>
    <sheetView workbookViewId="0">
      <selection activeCell="B59" sqref="B5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UTI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6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170</v>
      </c>
      <c r="D16" s="70" t="s">
        <v>171</v>
      </c>
      <c r="E16" s="55">
        <v>2</v>
      </c>
      <c r="F16" s="55">
        <v>10</v>
      </c>
      <c r="G16" s="55">
        <f>E16*F16</f>
        <v>20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178</v>
      </c>
      <c r="D17" s="70" t="s">
        <v>171</v>
      </c>
      <c r="E17" s="55">
        <v>1</v>
      </c>
      <c r="F17" s="55">
        <v>10</v>
      </c>
      <c r="G17" s="55">
        <f t="shared" ref="G17:G21" si="0">E17*F17</f>
        <v>10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174</v>
      </c>
      <c r="D18" s="70" t="s">
        <v>171</v>
      </c>
      <c r="E18" s="55">
        <v>1</v>
      </c>
      <c r="F18" s="55">
        <v>200</v>
      </c>
      <c r="G18" s="55">
        <f t="shared" si="0"/>
        <v>200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175</v>
      </c>
      <c r="D19" s="70" t="s">
        <v>171</v>
      </c>
      <c r="E19" s="55">
        <v>1</v>
      </c>
      <c r="F19" s="55">
        <v>40</v>
      </c>
      <c r="G19" s="55">
        <f t="shared" si="0"/>
        <v>40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176</v>
      </c>
      <c r="D20" s="70" t="s">
        <v>171</v>
      </c>
      <c r="E20" s="55">
        <v>2</v>
      </c>
      <c r="F20" s="55">
        <v>40</v>
      </c>
      <c r="G20" s="55">
        <f t="shared" si="0"/>
        <v>80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199</v>
      </c>
      <c r="D21" s="70" t="s">
        <v>171</v>
      </c>
      <c r="E21" s="55">
        <v>1</v>
      </c>
      <c r="F21" s="55">
        <v>50</v>
      </c>
      <c r="G21" s="55">
        <f t="shared" si="0"/>
        <v>50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136" t="s">
        <v>76</v>
      </c>
      <c r="C22" s="137"/>
      <c r="D22" s="137"/>
      <c r="E22" s="137"/>
      <c r="F22" s="137"/>
      <c r="G22" s="138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1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2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3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4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5</v>
      </c>
      <c r="C27" s="69"/>
      <c r="D27" s="70"/>
      <c r="E27" s="55"/>
      <c r="F27" s="55"/>
      <c r="G27" s="55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6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7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8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9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10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136" t="s">
        <v>29</v>
      </c>
      <c r="C33" s="137"/>
      <c r="D33" s="137"/>
      <c r="E33" s="137"/>
      <c r="F33" s="137"/>
      <c r="G33" s="138"/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1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2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3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4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5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6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7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8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9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B43" s="68">
        <v>10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A44" s="44"/>
      <c r="B44" s="39"/>
      <c r="C44" s="44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4.25" customHeight="1" x14ac:dyDescent="0.3">
      <c r="A45" s="44"/>
      <c r="B45" s="39"/>
      <c r="C45" s="44"/>
      <c r="D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</row>
    <row r="46" spans="1:16" ht="15.75" customHeight="1" x14ac:dyDescent="0.25"/>
    <row r="47" spans="1:16" ht="15.75" customHeight="1" x14ac:dyDescent="0.25"/>
    <row r="48" spans="1:1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</sheetData>
  <sheetProtection password="C2E9" sheet="1" objects="1" scenarios="1" formatColumns="0" formatRows="0" sort="0" autoFilter="0"/>
  <mergeCells count="9">
    <mergeCell ref="B7:G7"/>
    <mergeCell ref="B22:G22"/>
    <mergeCell ref="B33:G33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3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22</xdr:row>
                    <xdr:rowOff>28575</xdr:rowOff>
                  </from>
                  <to>
                    <xdr:col>1</xdr:col>
                    <xdr:colOff>762000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22</xdr:row>
                    <xdr:rowOff>28575</xdr:rowOff>
                  </from>
                  <to>
                    <xdr:col>1</xdr:col>
                    <xdr:colOff>1533525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33</xdr:row>
                    <xdr:rowOff>28575</xdr:rowOff>
                  </from>
                  <to>
                    <xdr:col>1</xdr:col>
                    <xdr:colOff>771525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33</xdr:row>
                    <xdr:rowOff>28575</xdr:rowOff>
                  </from>
                  <to>
                    <xdr:col>1</xdr:col>
                    <xdr:colOff>1543050</xdr:colOff>
                    <xdr:row>33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2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UTI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40</v>
      </c>
      <c r="F13" s="55"/>
      <c r="G13" s="55">
        <v>460</v>
      </c>
      <c r="H13" s="55">
        <v>20</v>
      </c>
      <c r="I13" s="55"/>
      <c r="J13" s="55">
        <v>75</v>
      </c>
      <c r="K13" s="55"/>
      <c r="L13" s="55"/>
      <c r="M13" s="55"/>
      <c r="N13" s="55"/>
      <c r="P13" s="88">
        <f>SUM(D13:N13)</f>
        <v>595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40</v>
      </c>
      <c r="F30" s="88">
        <f t="shared" si="1"/>
        <v>0</v>
      </c>
      <c r="G30" s="88">
        <f t="shared" si="1"/>
        <v>460</v>
      </c>
      <c r="H30" s="88">
        <f t="shared" si="1"/>
        <v>20</v>
      </c>
      <c r="I30" s="88">
        <f t="shared" si="1"/>
        <v>0</v>
      </c>
      <c r="J30" s="88">
        <f t="shared" si="1"/>
        <v>75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595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2018-06-01T08:58:03Z</dcterms:modified>
</cp:coreProperties>
</file>