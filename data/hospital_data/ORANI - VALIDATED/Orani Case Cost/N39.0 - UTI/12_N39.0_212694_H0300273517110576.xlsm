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6" i="2"/>
  <c r="J15" i="2"/>
  <c r="G20" i="9"/>
  <c r="G19" i="9"/>
  <c r="G18" i="9"/>
  <c r="G17" i="9"/>
  <c r="G16" i="9"/>
  <c r="J20" i="2"/>
  <c r="J19" i="2"/>
  <c r="J18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<sst xmlns="http://schemas.openxmlformats.org/spreadsheetml/2006/main" count="492" uniqueCount="199">
  <si>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</si>
  <si>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</si>
  <si>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</si>
  <si>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</si>
  <si>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</si>
  <si>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</si>
  <si>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</si>
  <si>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</si>
  <si>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</si>
  <si>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</si>
  <si>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</si>
  <si>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</si>
  <si>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</si>
  <si>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</si>
  <si>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</si>
  <si>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</si>
  <si>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</si>
  <si>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</si>
  <si>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</si>
  <si>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</si>
  <si>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</si>
  <si>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</si>
  <si>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</si>
  <si>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</si>
  <si>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</si>
  <si>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</si>
  <si>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</si>
  <si>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</si>
  <si>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</si>
  <si>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</si>
  <si>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</si>
  <si>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</si>
  <si>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</si>
  <si>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</si>
  <si>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</si>
  <si>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</si>
  <si>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</si>
  <si>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</si>
  <si>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</si>
  <si>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</si>
  <si>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</si>
  <si>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</si>
  <si>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</si>
  <si>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</si>
  <si>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</si>
  <si>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</si>
  <si>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</si>
  <si>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</si>
  <si>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</si>
  <si>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</si>
  <si>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</si>
  <si>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</si>
  <si>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</si>
  <si>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</si>
  <si>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</si>
  <si>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</si>
  <si>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</si>
  <si>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</si>
  <si>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</si>
  <si>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</si>
  <si>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</si>
  <si>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</si>
  <si>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</si>
  <si>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</si>
  <si>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</si>
  <si>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</si>
  <si>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</si>
  <si>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</si>
  <si>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</si>
  <si>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</si>
  <si>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</si>
  <si>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</si>
  <si>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</si>
  <si>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</si>
  <si>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</si>
  <si>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</si>
  <si>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</si>
  <si>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</si>
  <si>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</si>
  <si>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</si>
  <si>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</si>
  <si>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</si>
  <si>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</si>
  <si>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</si>
  <si>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</si>
  <si>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</si>
  <si>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</si>
  <si>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</si>
  <si>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</si>
  <si>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</si>
  <si>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</si>
  <si>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</si>
  <si>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</si>
  <si>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</si>
  <si>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</si>
  <si>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</si>
  <si>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</si>
  <si>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</si>
  <si>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</si>
  <si>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</si>
  <si>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</si>
  <si>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</si>
  <si>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</si>
  <si>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</si>
  <si>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</si>
  <si>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</si>
  <si>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</si>
  <si>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</si>
  <si>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</si>
  <si>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</si>
  <si>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</si>
  <si>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</si>
  <si>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</si>
  <si>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</si>
  <si>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</si>
  <si>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</si>
  <si>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</si>
  <si>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</si>
  <si>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</si>
  <si>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</si>
  <si>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</si>
  <si>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</si>
  <si>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</si>
  <si>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</si>
  <si>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</si>
  <si>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</si>
  <si>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</si>
  <si>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</si>
  <si>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</si>
  <si>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</si>
  <si>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</si>
  <si>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</si>
  <si>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</si>
  <si>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</si>
  <si>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</si>
  <si>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</si>
  <si>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</si>
  <si>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</si>
  <si>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</si>
  <si>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</si>
  <si>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</si>
  <si>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</si>
  <si>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</si>
  <si>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</si>
  <si>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</si>
  <si>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</si>
  <si>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</si>
  <si>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</si>
  <si>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</si>
  <si>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</si>
  <si>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</si>
  <si>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</si>
  <si>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</si>
  <si>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</si>
  <si>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</si>
  <si>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</si>
  <si>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</si>
  <si>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</si>
  <si>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</si>
  <si>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</si>
  <si>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</si>
  <si>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</si>
  <si>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</si>
  <si>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</si>
  <si>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N39.0</t>
  </si>
  <si>
    <t>LABORATORY</t>
  </si>
  <si>
    <t>XRAY</t>
  </si>
  <si>
    <t>MEDICINES</t>
  </si>
  <si>
    <t>ROOM AND BOARD</t>
  </si>
  <si>
    <t>ROD</t>
  </si>
  <si>
    <t>URINALYSIS</t>
  </si>
  <si>
    <t>AMPICILLIN</t>
  </si>
  <si>
    <t>GENTAMYCIN</t>
  </si>
  <si>
    <t>PARACETAMOL</t>
  </si>
  <si>
    <t>SALBUTAMOL</t>
  </si>
  <si>
    <t>Visit in the ward</t>
  </si>
  <si>
    <t>CHEST APL</t>
  </si>
  <si>
    <t>NAKCL</t>
  </si>
  <si>
    <t>VIAL</t>
  </si>
  <si>
    <t>240MG</t>
  </si>
  <si>
    <t>AMPULE</t>
  </si>
  <si>
    <t>70MG</t>
  </si>
  <si>
    <t>150MG</t>
  </si>
  <si>
    <t>NEBULE</t>
  </si>
  <si>
    <t>2.5MG/2.5ML</t>
  </si>
  <si>
    <t>BOTTLE</t>
  </si>
  <si>
    <t>D5 0.3NACL</t>
  </si>
  <si>
    <t>D5 IMB</t>
  </si>
  <si>
    <t>500CC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</si>
  <si>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</si>
  <si>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</si>
  <si>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</si>
  <si>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</si>
  <si>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</si>
  <si>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</si>
  <si>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</si>
  <si>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DISPOSABLE FACE MASK</t>
  </si>
  <si>
    <t>UTI W/ MODERATE DEHYDRATION</t>
  </si>
  <si>
    <t>E86.1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</si>
</sst>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115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19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176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9" t="s">
        <v>43</v>
      </c>
      <c r="C49" s="120"/>
      <c r="D49" s="117"/>
      <c r="E49" s="120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52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6" t="s">
        <v>20</v>
      </c>
      <c r="C56" s="117"/>
      <c r="D56" s="117"/>
      <c r="E56" s="117"/>
      <c r="F56" s="118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320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1435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 t="s">
        <v>168</v>
      </c>
      <c r="D69" s="55">
        <v>1200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 t="s">
        <v>169</v>
      </c>
      <c r="D70" s="55">
        <v>900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4355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178</v>
      </c>
      <c r="E11" s="27" t="s">
        <v>179</v>
      </c>
      <c r="F11" s="55">
        <v>4</v>
      </c>
      <c r="G11" s="55">
        <v>4</v>
      </c>
      <c r="H11" s="55">
        <v>15</v>
      </c>
      <c r="I11" s="55">
        <v>40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180</v>
      </c>
      <c r="E12" s="27" t="s">
        <v>181</v>
      </c>
      <c r="F12" s="55">
        <v>1</v>
      </c>
      <c r="G12" s="55">
        <v>4</v>
      </c>
      <c r="H12" s="55">
        <v>4</v>
      </c>
      <c r="I12" s="55">
        <v>40</v>
      </c>
      <c r="J12" s="55">
        <f t="shared" ref="J12:J20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180</v>
      </c>
      <c r="E13" s="27" t="s">
        <v>182</v>
      </c>
      <c r="F13" s="55">
        <v>6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183</v>
      </c>
      <c r="E14" s="27" t="s">
        <v>184</v>
      </c>
      <c r="F14" s="55">
        <v>2</v>
      </c>
      <c r="G14" s="55">
        <v>2</v>
      </c>
      <c r="H14" s="55">
        <v>3</v>
      </c>
      <c r="I14" s="55">
        <v>20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185</v>
      </c>
      <c r="E15" s="27" t="s">
        <v>188</v>
      </c>
      <c r="F15" s="55">
        <v>1</v>
      </c>
      <c r="G15" s="55">
        <v>2</v>
      </c>
      <c r="H15" s="55">
        <v>2</v>
      </c>
      <c r="I15" s="55">
        <v>90</v>
      </c>
      <c r="J15" s="55">
        <f t="shared" ref="J15:J16" si="1">H15*I15</f>
        <v>180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185</v>
      </c>
      <c r="E16" s="27" t="s">
        <v>188</v>
      </c>
      <c r="F16" s="55">
        <v>1</v>
      </c>
      <c r="G16" s="55">
        <v>2</v>
      </c>
      <c r="H16" s="55">
        <v>2</v>
      </c>
      <c r="I16" s="55">
        <v>90</v>
      </c>
      <c r="J16" s="55">
        <f t="shared" si="1"/>
        <v>180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190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190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190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196</v>
      </c>
      <c r="D21" s="70" t="s">
        <v>190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E26" sqref="E2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175</v>
      </c>
      <c r="D13" s="55"/>
      <c r="E13" s="55">
        <f>10*3</f>
        <v>30</v>
      </c>
      <c r="F13" s="55"/>
      <c r="G13" s="55">
        <f>24*3*60/6</f>
        <v>720</v>
      </c>
      <c r="H13" s="55"/>
      <c r="I13" s="55"/>
      <c r="J13" s="55">
        <f>5*3</f>
        <v>15</v>
      </c>
      <c r="K13" s="55"/>
      <c r="L13" s="55"/>
      <c r="M13" s="55"/>
      <c r="N13" s="55"/>
      <c r="P13" s="88">
        <f>SUM(D13:N13)</f>
        <v>765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720</v>
      </c>
      <c r="H30" s="88">
        <f t="shared" si="1"/>
        <v>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2018-06-01T08:13:32Z</dcterms:modified>
</cp:coreProperties>
</file>