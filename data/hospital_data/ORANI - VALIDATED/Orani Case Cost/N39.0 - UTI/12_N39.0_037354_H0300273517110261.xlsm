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20" i="2" l="1"/>
  <c r="J19" i="2"/>
  <c r="J18" i="2"/>
  <c r="J17" i="2"/>
  <c r="J16" i="2"/>
  <c r="J15" i="2"/>
  <c r="J14" i="2"/>
  <c r="J13" i="2"/>
  <c r="J12" i="2"/>
  <c r="J11" i="2"/>
  <c r="G20" i="9"/>
  <c r="G19" i="9"/>
  <c r="G18" i="9"/>
  <c r="G17" i="9"/>
  <c r="G16" i="9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<sst xmlns="http://schemas.openxmlformats.org/spreadsheetml/2006/main" count="495" uniqueCount="199">
  <si>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</si>
  <si>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</si>
  <si>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</si>
  <si>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</si>
  <si>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</si>
  <si>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</si>
  <si>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</si>
  <si>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</si>
  <si>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</si>
  <si>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</si>
  <si>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</si>
  <si>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</si>
  <si>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</si>
  <si>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</si>
  <si>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</si>
  <si>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</si>
  <si>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</si>
  <si>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</si>
  <si>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</si>
  <si>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</si>
  <si>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</si>
  <si>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</si>
  <si>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</si>
  <si>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</si>
  <si>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</si>
  <si>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</si>
  <si>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</si>
  <si>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</si>
  <si>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</si>
  <si>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</si>
  <si>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</si>
  <si>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</si>
  <si>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</si>
  <si>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</si>
  <si>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</si>
  <si>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</si>
  <si>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</si>
  <si>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</si>
  <si>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</si>
  <si>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</si>
  <si>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</si>
  <si>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</si>
  <si>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</si>
  <si>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</si>
  <si>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</si>
  <si>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</si>
  <si>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</si>
  <si>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</si>
  <si>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</si>
  <si>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</si>
  <si>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</si>
  <si>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</si>
  <si>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</si>
  <si>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</si>
  <si>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</si>
  <si>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</si>
  <si>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</si>
  <si>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</si>
  <si>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</si>
  <si>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</si>
  <si>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</si>
  <si>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</si>
  <si>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</si>
  <si>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</si>
  <si>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</si>
  <si>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</si>
  <si>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</si>
  <si>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</si>
  <si>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</si>
  <si>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</si>
  <si>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</si>
  <si>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</si>
  <si>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</si>
  <si>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</si>
  <si>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</si>
  <si>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</si>
  <si>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</si>
  <si>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</si>
  <si>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</si>
  <si>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</si>
  <si>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</si>
  <si>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</si>
  <si>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</si>
  <si>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</si>
  <si>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</si>
  <si>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</si>
  <si>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</si>
  <si>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</si>
  <si>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</si>
  <si>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</si>
  <si>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</si>
  <si>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</si>
  <si>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</si>
  <si>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</si>
  <si>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</si>
  <si>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</si>
  <si>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</si>
  <si>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</si>
  <si>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</si>
  <si>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</si>
  <si>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</si>
  <si>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</si>
  <si>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</si>
  <si>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</si>
  <si>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</si>
  <si>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</si>
  <si>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</si>
  <si>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</si>
  <si>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</si>
  <si>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</si>
  <si>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</si>
  <si>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</si>
  <si>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</si>
  <si>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</si>
  <si>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</si>
  <si>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</si>
  <si>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</si>
  <si>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</si>
  <si>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</si>
  <si>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</si>
  <si>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</si>
  <si>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</si>
  <si>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</si>
  <si>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</si>
  <si>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</si>
  <si>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</si>
  <si>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</si>
  <si>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</si>
  <si>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</si>
  <si>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</si>
  <si>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</si>
  <si>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</si>
  <si>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</si>
  <si>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</si>
  <si>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</si>
  <si>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</si>
  <si>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</si>
  <si>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</si>
  <si>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</si>
  <si>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</si>
  <si>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</si>
  <si>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</si>
  <si>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</si>
  <si>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</si>
  <si>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</si>
  <si>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</si>
  <si>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</si>
  <si>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</si>
  <si>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</si>
  <si>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</si>
  <si>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</si>
  <si>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</si>
  <si>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</si>
  <si>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</si>
  <si>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</si>
  <si>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</si>
  <si>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</si>
  <si>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</si>
  <si>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</si>
  <si>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</si>
  <si>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</si>
  <si>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</si>
  <si>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</si>
  <si>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</si>
  <si>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</si>
  <si>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</si>
  <si>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</si>
  <si>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N39.0</t>
  </si>
  <si>
    <t>XRAY</t>
  </si>
  <si>
    <t>CHEST PA</t>
  </si>
  <si>
    <t>ABO - RH TYPING</t>
  </si>
  <si>
    <t>RBS</t>
  </si>
  <si>
    <t>URINALYSIS</t>
  </si>
  <si>
    <t>OMEPRAZOLE</t>
  </si>
  <si>
    <t>AMPICILLIN</t>
  </si>
  <si>
    <t>MULTIVITAMINS</t>
  </si>
  <si>
    <t>PARACETAMOL</t>
  </si>
  <si>
    <t>Visit in the ward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</si>
  <si>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</si>
  <si>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</si>
  <si>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</si>
  <si>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</si>
  <si>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</si>
  <si>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</si>
  <si>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</si>
  <si>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VIAL</t>
  </si>
  <si>
    <t>20MG</t>
  </si>
  <si>
    <t>500MG</t>
  </si>
  <si>
    <t>CAPSULE</t>
  </si>
  <si>
    <t>AMPULE</t>
  </si>
  <si>
    <t>150MG</t>
  </si>
  <si>
    <t>PLR</t>
  </si>
  <si>
    <t>BOTTLE</t>
  </si>
  <si>
    <t>1LITER</t>
  </si>
  <si>
    <t>D5LR</t>
  </si>
  <si>
    <t>PNSS</t>
  </si>
  <si>
    <t>AMINO ACID</t>
  </si>
  <si>
    <t>UTI W/ MODERATE DEHYDRATION</t>
  </si>
  <si>
    <t>E86.1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</si>
</sst>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C21" sqref="C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 t="s">
        <v>163</v>
      </c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163</v>
      </c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165</v>
      </c>
      <c r="D60" s="55">
        <v>305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320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3460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500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4585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185</v>
      </c>
      <c r="E11" s="27" t="s">
        <v>186</v>
      </c>
      <c r="F11" s="55">
        <v>1</v>
      </c>
      <c r="G11" s="55">
        <v>6</v>
      </c>
      <c r="H11" s="55">
        <v>6</v>
      </c>
      <c r="I11" s="55">
        <v>100</v>
      </c>
      <c r="J11" s="55">
        <f>I11*H11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185</v>
      </c>
      <c r="E12" s="27" t="s">
        <v>187</v>
      </c>
      <c r="F12" s="55">
        <v>4</v>
      </c>
      <c r="G12" s="55">
        <v>6</v>
      </c>
      <c r="H12" s="55">
        <v>20</v>
      </c>
      <c r="I12" s="55">
        <v>40</v>
      </c>
      <c r="J12" s="55">
        <f t="shared" ref="J12:J20" si="0">I12*H12</f>
        <v>800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188</v>
      </c>
      <c r="E13" s="27" t="s">
        <v>187</v>
      </c>
      <c r="F13" s="55">
        <v>1</v>
      </c>
      <c r="G13" s="55">
        <v>6</v>
      </c>
      <c r="H13" s="55">
        <v>6</v>
      </c>
      <c r="I13" s="55">
        <v>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189</v>
      </c>
      <c r="E14" s="27" t="s">
        <v>190</v>
      </c>
      <c r="F14" s="55">
        <v>6</v>
      </c>
      <c r="G14" s="55">
        <v>2</v>
      </c>
      <c r="H14" s="55">
        <v>2</v>
      </c>
      <c r="I14" s="55">
        <v>50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192</v>
      </c>
      <c r="E15" s="27" t="s">
        <v>193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192</v>
      </c>
      <c r="E16" s="27" t="s">
        <v>193</v>
      </c>
      <c r="F16" s="55">
        <v>2</v>
      </c>
      <c r="G16" s="55">
        <v>4</v>
      </c>
      <c r="H16" s="55">
        <v>7</v>
      </c>
      <c r="I16" s="55">
        <v>100</v>
      </c>
      <c r="J16" s="55">
        <f t="shared" si="0"/>
        <v>700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192</v>
      </c>
      <c r="E17" s="27" t="s">
        <v>193</v>
      </c>
      <c r="F17" s="55">
        <v>1</v>
      </c>
      <c r="G17" s="55">
        <v>1</v>
      </c>
      <c r="H17" s="55">
        <v>1</v>
      </c>
      <c r="I17" s="55">
        <v>100</v>
      </c>
      <c r="J17" s="55">
        <f t="shared" si="0"/>
        <v>100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196</v>
      </c>
      <c r="D18" s="27" t="s">
        <v>189</v>
      </c>
      <c r="E18" s="27"/>
      <c r="F18" s="55">
        <v>1</v>
      </c>
      <c r="G18" s="55">
        <v>1</v>
      </c>
      <c r="H18" s="55">
        <v>1</v>
      </c>
      <c r="I18" s="55">
        <v>500</v>
      </c>
      <c r="J18" s="55">
        <f t="shared" si="0"/>
        <v>500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179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179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182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179</v>
      </c>
      <c r="E19" s="55">
        <v>6</v>
      </c>
      <c r="F19" s="55">
        <v>10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179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26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177</v>
      </c>
      <c r="D13" s="55"/>
      <c r="E13" s="55">
        <f>10*5</f>
        <v>50</v>
      </c>
      <c r="F13" s="55"/>
      <c r="G13" s="55">
        <f>24*5*60/15</f>
        <v>480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555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2018-06-01T07:52:57Z</dcterms:modified>
</cp:coreProperties>
</file>