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21" i="2" l="1"/>
  <c r="J20" i="2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<sst xmlns="http://schemas.openxmlformats.org/spreadsheetml/2006/main" count="483" uniqueCount="191">
  <si>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</si>
  <si>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</si>
  <si>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</si>
  <si>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</si>
  <si>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</si>
  <si>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</si>
  <si>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</si>
  <si>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</si>
  <si>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</si>
  <si>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</si>
  <si>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</si>
  <si>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</si>
  <si>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</si>
  <si>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</si>
  <si>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</si>
  <si>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</si>
  <si>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</si>
  <si>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</si>
  <si>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</si>
  <si>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</si>
  <si>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</si>
  <si>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</si>
  <si>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</si>
  <si>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</si>
  <si>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</si>
  <si>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</si>
  <si>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</si>
  <si>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</si>
  <si>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</si>
  <si>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</si>
  <si>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</si>
  <si>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</si>
  <si>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</si>
  <si>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</si>
  <si>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</si>
  <si>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</si>
  <si>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</si>
  <si>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</si>
  <si>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</si>
  <si>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</si>
  <si>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</si>
  <si>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</si>
  <si>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</si>
  <si>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</si>
  <si>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</si>
  <si>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</si>
  <si>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</si>
  <si>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</si>
  <si>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</si>
  <si>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</si>
  <si>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</si>
  <si>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</si>
  <si>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</si>
  <si>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</si>
  <si>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</si>
  <si>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</si>
  <si>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</si>
  <si>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</si>
  <si>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</si>
  <si>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</si>
  <si>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</si>
  <si>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</si>
  <si>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</si>
  <si>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</si>
  <si>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</si>
  <si>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</si>
  <si>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</si>
  <si>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</si>
  <si>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</si>
  <si>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</si>
  <si>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</si>
  <si>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</si>
  <si>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</si>
  <si>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</si>
  <si>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</si>
  <si>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</si>
  <si>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</si>
  <si>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</si>
  <si>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</si>
  <si>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</si>
  <si>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</si>
  <si>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</si>
  <si>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</si>
  <si>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</si>
  <si>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</si>
  <si>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</si>
  <si>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</si>
  <si>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</si>
  <si>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</si>
  <si>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</si>
  <si>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</si>
  <si>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</si>
  <si>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</si>
  <si>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</si>
  <si>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</si>
  <si>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</si>
  <si>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</si>
  <si>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</si>
  <si>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</si>
  <si>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</si>
  <si>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</si>
  <si>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</si>
  <si>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</si>
  <si>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</si>
  <si>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</si>
  <si>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</si>
  <si>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</si>
  <si>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</si>
  <si>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</si>
  <si>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</si>
  <si>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</si>
  <si>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</si>
  <si>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</si>
  <si>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</si>
  <si>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</si>
  <si>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</si>
  <si>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</si>
  <si>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</si>
  <si>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</si>
  <si>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</si>
  <si>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</si>
  <si>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</si>
  <si>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</si>
  <si>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</si>
  <si>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</si>
  <si>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</si>
  <si>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</si>
  <si>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</si>
  <si>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</si>
  <si>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</si>
  <si>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</si>
  <si>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</si>
  <si>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</si>
  <si>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</si>
  <si>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</si>
  <si>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</si>
  <si>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</si>
  <si>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</si>
  <si>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</si>
  <si>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</si>
  <si>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</si>
  <si>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</si>
  <si>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</si>
  <si>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</si>
  <si>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</si>
  <si>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</si>
  <si>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</si>
  <si>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</si>
  <si>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</si>
  <si>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</si>
  <si>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</si>
  <si>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</si>
  <si>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</si>
  <si>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</si>
  <si>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</si>
  <si>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</si>
  <si>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</si>
  <si>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</si>
  <si>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</si>
  <si>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</si>
  <si>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</si>
  <si>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</si>
  <si>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</si>
  <si>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</si>
  <si>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</si>
  <si>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</si>
  <si>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</si>
  <si>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</si>
  <si>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SYRINGE 3CC</t>
  </si>
  <si>
    <t>PC</t>
  </si>
  <si>
    <t>BOTTLE</t>
  </si>
  <si>
    <t>1LITER</t>
  </si>
  <si>
    <t>MACRO SET</t>
  </si>
  <si>
    <t>PLASTER 1/2</t>
  </si>
  <si>
    <t>CBC PLATELET COUNT</t>
  </si>
  <si>
    <t>XRAY</t>
  </si>
  <si>
    <t>VIAL</t>
  </si>
  <si>
    <t>SYRINGE 5CC</t>
  </si>
  <si>
    <t>PLAIN NS SOLUTION</t>
  </si>
  <si>
    <t>E86.1</t>
  </si>
  <si>
    <t>NAKCL</t>
  </si>
  <si>
    <t>5ML</t>
  </si>
  <si>
    <t>CEFUROXIME</t>
  </si>
  <si>
    <t>ABOCATH GAUGE 22</t>
  </si>
  <si>
    <t>HYDROCORTISONE</t>
  </si>
  <si>
    <t>N39.0</t>
  </si>
  <si>
    <t>750MG</t>
  </si>
  <si>
    <t>100MG</t>
  </si>
  <si>
    <t>CHEST PA</t>
  </si>
  <si>
    <t>SALBUTAMOL + IPRATROPIUM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</si>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</sst>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4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179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180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188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2200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605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167</v>
      </c>
      <c r="D60" s="55">
        <v>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175</v>
      </c>
      <c r="D61" s="55">
        <v>320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3325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2" sqref="H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182</v>
      </c>
      <c r="D11" s="27" t="s">
        <v>176</v>
      </c>
      <c r="E11" s="27" t="s">
        <v>186</v>
      </c>
      <c r="F11" s="55">
        <v>3</v>
      </c>
      <c r="G11" s="55">
        <v>3</v>
      </c>
      <c r="H11" s="55">
        <v>11</v>
      </c>
      <c r="I11" s="55">
        <v>60</v>
      </c>
      <c r="J11" s="55">
        <f>H11*I11</f>
        <v>660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170</v>
      </c>
      <c r="E12" s="27" t="s">
        <v>181</v>
      </c>
      <c r="F12" s="55">
        <v>4</v>
      </c>
      <c r="G12" s="55">
        <v>3</v>
      </c>
      <c r="H12" s="55">
        <v>10</v>
      </c>
      <c r="I12" s="55">
        <v>40</v>
      </c>
      <c r="J12" s="55">
        <f t="shared" ref="J12:J21" si="0">H12*I12</f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176</v>
      </c>
      <c r="E13" s="27" t="s">
        <v>187</v>
      </c>
      <c r="F13" s="55">
        <v>1</v>
      </c>
      <c r="G13" s="55">
        <v>1</v>
      </c>
      <c r="H13" s="55">
        <v>1</v>
      </c>
      <c r="I13" s="55">
        <v>120</v>
      </c>
      <c r="J13" s="55">
        <f t="shared" si="0"/>
        <v>120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170</v>
      </c>
      <c r="E14" s="27" t="s">
        <v>171</v>
      </c>
      <c r="F14" s="55">
        <v>2</v>
      </c>
      <c r="G14" s="55">
        <v>3</v>
      </c>
      <c r="H14" s="55">
        <v>8</v>
      </c>
      <c r="I14" s="55">
        <v>100</v>
      </c>
      <c r="J14" s="55">
        <f t="shared" si="0"/>
        <v>800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168</v>
      </c>
      <c r="D16" s="70" t="s">
        <v>169</v>
      </c>
      <c r="E16" s="55">
        <v>3</v>
      </c>
      <c r="F16" s="55">
        <v>10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169</v>
      </c>
      <c r="E17" s="55">
        <v>1</v>
      </c>
      <c r="F17" s="55">
        <v>10</v>
      </c>
      <c r="G17" s="55">
        <f t="shared" ref="G17:G20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169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172</v>
      </c>
      <c r="D19" s="70" t="s">
        <v>169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169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3" sqref="J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410</v>
      </c>
      <c r="H13" s="55">
        <v>15</v>
      </c>
      <c r="I13" s="55"/>
      <c r="J13" s="55">
        <v>45</v>
      </c>
      <c r="K13" s="55"/>
      <c r="L13" s="55"/>
      <c r="M13" s="55"/>
      <c r="N13" s="55"/>
      <c r="P13" s="88">
        <f>SUM(D13:N13)</f>
        <v>490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410</v>
      </c>
      <c r="H30" s="88">
        <f t="shared" si="1"/>
        <v>15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2018-06-01T08:02:10Z</dcterms:modified>
</cp:coreProperties>
</file>