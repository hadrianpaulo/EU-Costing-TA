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2" i="9"/>
  <c r="G23" i="9"/>
  <c r="G24" i="9"/>
  <c r="G16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<sst xmlns="http://schemas.openxmlformats.org/spreadsheetml/2006/main" count="487" uniqueCount="197">
  <si>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</si>
  <si>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</si>
  <si>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</si>
  <si>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</si>
  <si>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</si>
  <si>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</si>
  <si>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</si>
  <si>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</si>
  <si>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</si>
  <si>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</si>
  <si>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</si>
  <si>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</si>
  <si>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</si>
  <si>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</si>
  <si>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</si>
  <si>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</si>
  <si>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</si>
  <si>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</si>
  <si>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</si>
  <si>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</si>
  <si>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</si>
  <si>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</si>
  <si>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</si>
  <si>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</si>
  <si>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</si>
  <si>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</si>
  <si>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</si>
  <si>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</si>
  <si>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</si>
  <si>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</si>
  <si>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</si>
  <si>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</si>
  <si>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</si>
  <si>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</si>
  <si>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</si>
  <si>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</si>
  <si>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</si>
  <si>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</si>
  <si>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</si>
  <si>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</si>
  <si>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</si>
  <si>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</si>
  <si>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</si>
  <si>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</si>
  <si>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</si>
  <si>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</si>
  <si>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</si>
  <si>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</si>
  <si>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</si>
  <si>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</si>
  <si>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</si>
  <si>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</si>
  <si>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</si>
  <si>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</si>
  <si>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</si>
  <si>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</si>
  <si>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</si>
  <si>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</si>
  <si>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</si>
  <si>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</si>
  <si>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</si>
  <si>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</si>
  <si>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</si>
  <si>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</si>
  <si>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</si>
  <si>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</si>
  <si>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</si>
  <si>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</si>
  <si>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</si>
  <si>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</si>
  <si>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</si>
  <si>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</si>
  <si>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</si>
  <si>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</si>
  <si>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</si>
  <si>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</si>
  <si>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</si>
  <si>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</si>
  <si>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</si>
  <si>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</si>
  <si>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</si>
  <si>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</si>
  <si>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</si>
  <si>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</si>
  <si>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</si>
  <si>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</si>
  <si>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</si>
  <si>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</si>
  <si>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</si>
  <si>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</si>
  <si>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</si>
  <si>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</si>
  <si>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</si>
  <si>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</si>
  <si>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</si>
  <si>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</si>
  <si>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</si>
  <si>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</si>
  <si>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</si>
  <si>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</si>
  <si>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</si>
  <si>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</si>
  <si>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</si>
  <si>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</si>
  <si>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</si>
  <si>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</si>
  <si>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</si>
  <si>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</si>
  <si>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</si>
  <si>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</si>
  <si>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</si>
  <si>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</si>
  <si>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</si>
  <si>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</si>
  <si>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</si>
  <si>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</si>
  <si>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</si>
  <si>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</si>
  <si>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</si>
  <si>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</si>
  <si>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</si>
  <si>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</si>
  <si>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</si>
  <si>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</si>
  <si>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</si>
  <si>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</si>
  <si>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</si>
  <si>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</si>
  <si>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</si>
  <si>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</si>
  <si>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</si>
  <si>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</si>
  <si>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</si>
  <si>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</si>
  <si>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</si>
  <si>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</si>
  <si>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</si>
  <si>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</si>
  <si>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</si>
  <si>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</si>
  <si>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</si>
  <si>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</si>
  <si>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</si>
  <si>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</si>
  <si>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</si>
  <si>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</si>
  <si>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</si>
  <si>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</si>
  <si>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</si>
  <si>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</si>
  <si>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</si>
  <si>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</si>
  <si>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</si>
  <si>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</si>
  <si>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</si>
  <si>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</si>
  <si>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</si>
  <si>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</si>
  <si>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</si>
  <si>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</si>
  <si>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</si>
  <si>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</si>
  <si>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</si>
  <si>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</si>
  <si>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</si>
  <si>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</si>
  <si>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</si>
  <si>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</si>
  <si>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</si>
  <si>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SYRINGE 3CC</t>
  </si>
  <si>
    <t>PC</t>
  </si>
  <si>
    <t>BOTTLE</t>
  </si>
  <si>
    <t>1LITER</t>
  </si>
  <si>
    <t>PLASTER 1/2</t>
  </si>
  <si>
    <t>E86.1</t>
  </si>
  <si>
    <t>N39.0</t>
  </si>
  <si>
    <t>CEFUROXIME</t>
  </si>
  <si>
    <t>VIAL</t>
  </si>
  <si>
    <t>SYRINGE 5CC</t>
  </si>
  <si>
    <t>MICRO SET</t>
  </si>
  <si>
    <t>CHEST PA</t>
  </si>
  <si>
    <t>GLUCOSE</t>
  </si>
  <si>
    <t>BUN</t>
  </si>
  <si>
    <t>CREATININE</t>
  </si>
  <si>
    <t>CHOLESTEROL</t>
  </si>
  <si>
    <t>URIC ACID</t>
  </si>
  <si>
    <t>TRIGLYCERIDES</t>
  </si>
  <si>
    <t>RBS</t>
  </si>
  <si>
    <t>NAKCL</t>
  </si>
  <si>
    <t>CBC PLATELET COUNT</t>
  </si>
  <si>
    <t>XRAY</t>
  </si>
  <si>
    <t>750MG</t>
  </si>
  <si>
    <t>SAMBONG FORTE</t>
  </si>
  <si>
    <t>TABLET</t>
  </si>
  <si>
    <t>PLAIN NS SOLUTION</t>
  </si>
  <si>
    <t>ABOCATH G20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</si>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</sst>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60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174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181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182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183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 t="s">
        <v>184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 t="s">
        <v>185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 t="s">
        <v>186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30">
        <v>8</v>
      </c>
      <c r="C41" s="31" t="s">
        <v>187</v>
      </c>
      <c r="D41" s="23"/>
      <c r="E41" s="57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30">
        <v>9</v>
      </c>
      <c r="C42" s="31" t="s">
        <v>188</v>
      </c>
      <c r="D42" s="23"/>
      <c r="E42" s="57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30">
        <v>10</v>
      </c>
      <c r="C43" s="31" t="s">
        <v>189</v>
      </c>
      <c r="D43" s="23"/>
      <c r="E43" s="57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19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 t="s">
        <v>180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8" t="s">
        <v>44</v>
      </c>
      <c r="C49" s="119"/>
      <c r="D49" s="116"/>
      <c r="E49" s="119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4" t="s">
        <v>45</v>
      </c>
      <c r="C50" s="13"/>
      <c r="D50" s="13"/>
      <c r="E50" s="16"/>
      <c r="F50" s="1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53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1</v>
      </c>
      <c r="C52" s="31" t="s">
        <v>164</v>
      </c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2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5" t="s">
        <v>20</v>
      </c>
      <c r="C56" s="116"/>
      <c r="D56" s="116"/>
      <c r="E56" s="116"/>
      <c r="F56" s="11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1</v>
      </c>
      <c r="C57" s="27" t="s">
        <v>164</v>
      </c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2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5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6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5"/>
      <c r="C63" s="25"/>
      <c r="D63" s="25"/>
      <c r="E63" s="25"/>
      <c r="F63" s="2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57.75" customHeight="1" thickBot="1" x14ac:dyDescent="0.35">
      <c r="A65" s="1"/>
      <c r="B65" s="17" t="s">
        <v>55</v>
      </c>
      <c r="C65" s="17" t="s">
        <v>51</v>
      </c>
      <c r="D65" s="17" t="s">
        <v>56</v>
      </c>
      <c r="E65" s="18" t="s">
        <v>57</v>
      </c>
      <c r="F65" s="19" t="s">
        <v>21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2">
        <v>1</v>
      </c>
      <c r="C66" s="27" t="s">
        <v>165</v>
      </c>
      <c r="D66" s="55">
        <v>2240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2</v>
      </c>
      <c r="C67" s="27" t="s">
        <v>166</v>
      </c>
      <c r="D67" s="55">
        <v>1365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3</v>
      </c>
      <c r="C68" s="27" t="s">
        <v>167</v>
      </c>
      <c r="D68" s="55">
        <v>500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4</v>
      </c>
      <c r="C69" s="27" t="s">
        <v>190</v>
      </c>
      <c r="D69" s="55">
        <v>160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5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6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7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8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9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10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SUM(D66:D76)</f>
        <v>4265</v>
      </c>
      <c r="E77" s="59">
        <f>SUM(E66:E76)</f>
        <v>0</v>
      </c>
      <c r="F77" s="59">
        <f>SUM(F66:F76)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password="C2E9" sheet="1" objects="1" scenarios="1" formatColumns="0" formatRows="0" sort="0" autoFilter="0"/>
  <mergeCells count="12">
    <mergeCell ref="B56:F56"/>
    <mergeCell ref="B49:F49"/>
    <mergeCell ref="B12:F12"/>
    <mergeCell ref="B13:F13"/>
    <mergeCell ref="B14:F14"/>
    <mergeCell ref="B15:F15"/>
    <mergeCell ref="B18:F18"/>
    <mergeCell ref="B22:F22"/>
    <mergeCell ref="B33:F33"/>
    <mergeCell ref="B28:F28"/>
    <mergeCell ref="B44:F44"/>
    <mergeCell ref="B51:F51"/>
  </mergeCells>
  <dataValidations count="1">
    <dataValidation type="decimal" operator="greaterThanOrEqual" allowBlank="1" showInputMessage="1" showErrorMessage="1" sqref="E32 E45:E48 E50 E23:F27 E52:F55 E57:F62 D66:F75 E34:E4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3" sqref="H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176</v>
      </c>
      <c r="D11" s="27" t="s">
        <v>177</v>
      </c>
      <c r="E11" s="27" t="s">
        <v>191</v>
      </c>
      <c r="F11" s="55">
        <v>3</v>
      </c>
      <c r="G11" s="55">
        <v>6</v>
      </c>
      <c r="H11" s="55">
        <v>18</v>
      </c>
      <c r="I11" s="55">
        <v>60</v>
      </c>
      <c r="J11" s="55">
        <f>H11*I11</f>
        <v>1080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192</v>
      </c>
      <c r="D12" s="27" t="s">
        <v>193</v>
      </c>
      <c r="E12" s="27"/>
      <c r="F12" s="55">
        <v>3</v>
      </c>
      <c r="G12" s="55">
        <v>4</v>
      </c>
      <c r="H12" s="55">
        <v>10</v>
      </c>
      <c r="I12" s="55">
        <v>15</v>
      </c>
      <c r="J12" s="55">
        <f t="shared" ref="J12:J18" si="0">H12*I12</f>
        <v>150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 t="s">
        <v>171</v>
      </c>
      <c r="E13" s="27" t="s">
        <v>172</v>
      </c>
      <c r="F13" s="55">
        <v>2</v>
      </c>
      <c r="G13" s="55">
        <v>4</v>
      </c>
      <c r="H13" s="55">
        <v>8</v>
      </c>
      <c r="I13" s="55">
        <v>100</v>
      </c>
      <c r="J13" s="55">
        <f t="shared" si="0"/>
        <v>800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E21" sqref="E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195</v>
      </c>
      <c r="D16" s="70" t="s">
        <v>170</v>
      </c>
      <c r="E16" s="55">
        <v>1</v>
      </c>
      <c r="F16" s="55">
        <v>100</v>
      </c>
      <c r="G16" s="55">
        <f>E16*F16</f>
        <v>100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170</v>
      </c>
      <c r="E17" s="55">
        <v>1</v>
      </c>
      <c r="F17" s="55">
        <v>40</v>
      </c>
      <c r="G17" s="55">
        <f t="shared" ref="G17:G24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173</v>
      </c>
      <c r="D18" s="70" t="s">
        <v>170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169</v>
      </c>
      <c r="D19" s="70" t="s">
        <v>170</v>
      </c>
      <c r="E19" s="55">
        <v>2</v>
      </c>
      <c r="F19" s="55">
        <v>10</v>
      </c>
      <c r="G19" s="55">
        <f t="shared" si="0"/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178</v>
      </c>
      <c r="D20" s="70" t="s">
        <v>170</v>
      </c>
      <c r="E20" s="55">
        <v>1</v>
      </c>
      <c r="F20" s="55">
        <v>10</v>
      </c>
      <c r="G20" s="55">
        <f t="shared" si="0"/>
        <v>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460</v>
      </c>
      <c r="H13" s="55">
        <v>25</v>
      </c>
      <c r="I13" s="55"/>
      <c r="J13" s="55">
        <v>65</v>
      </c>
      <c r="K13" s="55"/>
      <c r="L13" s="55"/>
      <c r="M13" s="55"/>
      <c r="N13" s="55"/>
      <c r="P13" s="88">
        <f>SUM(D13:N13)</f>
        <v>590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460</v>
      </c>
      <c r="H30" s="88">
        <f t="shared" si="1"/>
        <v>25</v>
      </c>
      <c r="I30" s="88">
        <f t="shared" si="1"/>
        <v>0</v>
      </c>
      <c r="J30" s="88">
        <f t="shared" si="1"/>
        <v>65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590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2018-06-01T07:46:34Z</dcterms:modified>
</cp:coreProperties>
</file>