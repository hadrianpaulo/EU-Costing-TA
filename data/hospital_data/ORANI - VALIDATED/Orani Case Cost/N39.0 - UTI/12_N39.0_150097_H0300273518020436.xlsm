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Drugs&amp;Med'!$C$11:$C$14</definedName>
    <definedName name="_xlnm.Print_Area" localSheetId="0">'1.1 Case data_general'!$B$1:$F$70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G20" i="9" l="1"/>
  <c r="G17" i="9"/>
  <c r="G18" i="9"/>
  <c r="G19" i="9"/>
  <c r="G16" i="9"/>
  <c r="J12" i="2" l="1"/>
  <c r="J13" i="2"/>
  <c r="J14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<sst xmlns="http://schemas.openxmlformats.org/spreadsheetml/2006/main" count="483" uniqueCount="191">
  <si>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</si>
  <si>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</si>
  <si>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</si>
  <si>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</si>
  <si>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</si>
  <si>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</si>
  <si>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</si>
  <si>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</si>
  <si>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</si>
  <si>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</si>
  <si>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</si>
  <si>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</si>
  <si>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</si>
  <si>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</si>
  <si>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</si>
  <si>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</si>
  <si>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</si>
  <si>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</si>
  <si>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</si>
  <si>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</si>
  <si>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</si>
  <si>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</si>
  <si>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</si>
  <si>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</si>
  <si>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</si>
  <si>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</si>
  <si>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</si>
  <si>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</si>
  <si>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</si>
  <si>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</si>
  <si>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</si>
  <si>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</si>
  <si>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</si>
  <si>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</si>
  <si>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</si>
  <si>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</si>
  <si>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</si>
  <si>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</si>
  <si>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</si>
  <si>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</si>
  <si>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</si>
  <si>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</si>
  <si>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</si>
  <si>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</si>
  <si>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</si>
  <si>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</si>
  <si>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</si>
  <si>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</si>
  <si>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</si>
  <si>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</si>
  <si>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</si>
  <si>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</si>
  <si>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</si>
  <si>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</si>
  <si>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</si>
  <si>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</si>
  <si>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</si>
  <si>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</si>
  <si>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</si>
  <si>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</si>
  <si>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</si>
  <si>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</si>
  <si>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</si>
  <si>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</si>
  <si>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</si>
  <si>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</si>
  <si>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</si>
  <si>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</si>
  <si>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</si>
  <si>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</si>
  <si>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</si>
  <si>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</si>
  <si>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</si>
  <si>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</si>
  <si>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</si>
  <si>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</si>
  <si>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</si>
  <si>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</si>
  <si>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</si>
  <si>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</si>
  <si>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</si>
  <si>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</si>
  <si>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</si>
  <si>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</si>
  <si>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</si>
  <si>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</si>
  <si>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</si>
  <si>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</si>
  <si>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</si>
  <si>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</si>
  <si>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</si>
  <si>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</si>
  <si>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</si>
  <si>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</si>
  <si>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</si>
  <si>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</si>
  <si>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</si>
  <si>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</si>
  <si>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</si>
  <si>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</si>
  <si>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</si>
  <si>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</si>
  <si>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</si>
  <si>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</si>
  <si>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</si>
  <si>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</si>
  <si>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</si>
  <si>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</si>
  <si>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</si>
  <si>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</si>
  <si>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</si>
  <si>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</si>
  <si>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</si>
  <si>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</si>
  <si>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</si>
  <si>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</si>
  <si>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</si>
  <si>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</si>
  <si>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</si>
  <si>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</si>
  <si>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</si>
  <si>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</si>
  <si>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</si>
  <si>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</si>
  <si>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</si>
  <si>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</si>
  <si>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</si>
  <si>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</si>
  <si>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</si>
  <si>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</si>
  <si>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</si>
  <si>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</si>
  <si>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</si>
  <si>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</si>
  <si>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</si>
  <si>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</si>
  <si>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</si>
  <si>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</si>
  <si>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</si>
  <si>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</si>
  <si>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</si>
  <si>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</si>
  <si>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</si>
  <si>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</si>
  <si>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</si>
  <si>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</si>
  <si>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</si>
  <si>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</si>
  <si>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</si>
  <si>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</si>
  <si>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</si>
  <si>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</si>
  <si>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</si>
  <si>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</si>
  <si>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</si>
  <si>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</si>
  <si>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</si>
  <si>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</si>
  <si>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</si>
  <si>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</si>
  <si>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</si>
  <si>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</si>
  <si>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</si>
  <si>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</si>
  <si>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</si>
  <si>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</si>
  <si>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</si>
  <si>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</si>
  <si>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500MG</t>
  </si>
  <si>
    <t>SYRINGE 3CC</t>
  </si>
  <si>
    <t>PC</t>
  </si>
  <si>
    <t>BOTTLE</t>
  </si>
  <si>
    <t>1LITER</t>
  </si>
  <si>
    <t>ABOCATH GAUGE 20</t>
  </si>
  <si>
    <t>MACRO SET</t>
  </si>
  <si>
    <t>PLASTER 1/2</t>
  </si>
  <si>
    <t>E86.1</t>
  </si>
  <si>
    <t>CBC PLATELET COUNT</t>
  </si>
  <si>
    <t>VIAL</t>
  </si>
  <si>
    <t>AMPICILLIN</t>
  </si>
  <si>
    <t>NAKCL</t>
  </si>
  <si>
    <t>OMEPRAZOLE</t>
  </si>
  <si>
    <t>50MG</t>
  </si>
  <si>
    <t>20MG</t>
  </si>
  <si>
    <t>N39.0</t>
  </si>
  <si>
    <t>RBS</t>
  </si>
  <si>
    <t>TRAMADOL</t>
  </si>
  <si>
    <t>PLAIN LR</t>
  </si>
  <si>
    <t>AMPULE</t>
  </si>
  <si>
    <t>SYRINGE 5CC</t>
  </si>
  <si>
    <t>UTI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</si>
</sst>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164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44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53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164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164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165</v>
      </c>
      <c r="D59" s="55">
        <v>1285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166</v>
      </c>
      <c r="D60" s="55">
        <v>690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167</v>
      </c>
      <c r="D61" s="55">
        <v>200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2175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C22" sqref="C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186</v>
      </c>
      <c r="D11" s="27" t="s">
        <v>188</v>
      </c>
      <c r="E11" s="27" t="s">
        <v>182</v>
      </c>
      <c r="F11" s="55">
        <v>1</v>
      </c>
      <c r="G11" s="55">
        <v>1</v>
      </c>
      <c r="H11" s="55">
        <v>1</v>
      </c>
      <c r="I11" s="55">
        <v>75</v>
      </c>
      <c r="J11" s="55">
        <f>H11*I11</f>
        <v>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178</v>
      </c>
      <c r="E12" s="27" t="s">
        <v>168</v>
      </c>
      <c r="F12" s="55">
        <v>4</v>
      </c>
      <c r="G12" s="55">
        <v>3</v>
      </c>
      <c r="H12" s="55">
        <v>7</v>
      </c>
      <c r="I12" s="55">
        <v>40</v>
      </c>
      <c r="J12" s="55">
        <f t="shared" ref="J12:J14" si="0">H12*I12</f>
        <v>280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178</v>
      </c>
      <c r="E13" s="27" t="s">
        <v>183</v>
      </c>
      <c r="F13" s="55">
        <v>1</v>
      </c>
      <c r="G13" s="55">
        <v>2</v>
      </c>
      <c r="H13" s="55">
        <v>2</v>
      </c>
      <c r="I13" s="55">
        <v>200</v>
      </c>
      <c r="J13" s="55">
        <f t="shared" si="0"/>
        <v>400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171</v>
      </c>
      <c r="E14" s="27" t="s">
        <v>172</v>
      </c>
      <c r="F14" s="55">
        <v>2</v>
      </c>
      <c r="G14" s="55">
        <v>3</v>
      </c>
      <c r="H14" s="55">
        <v>3</v>
      </c>
      <c r="I14" s="55">
        <v>100</v>
      </c>
      <c r="J14" s="55">
        <f t="shared" si="0"/>
        <v>300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topLeftCell="A3" workbookViewId="0">
      <selection activeCell="A21" sqref="A21:XF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169</v>
      </c>
      <c r="D16" s="70" t="s">
        <v>170</v>
      </c>
      <c r="E16" s="55">
        <v>4</v>
      </c>
      <c r="F16" s="55">
        <v>10</v>
      </c>
      <c r="G16" s="55">
        <f>E16*F16</f>
        <v>40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173</v>
      </c>
      <c r="D17" s="70" t="s">
        <v>170</v>
      </c>
      <c r="E17" s="55">
        <v>1</v>
      </c>
      <c r="F17" s="55">
        <v>100</v>
      </c>
      <c r="G17" s="55">
        <f t="shared" ref="G17:G20" si="0">E17*F17</f>
        <v>100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174</v>
      </c>
      <c r="D18" s="70" t="s">
        <v>170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175</v>
      </c>
      <c r="D19" s="70" t="s">
        <v>170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189</v>
      </c>
      <c r="D20" s="70" t="s">
        <v>170</v>
      </c>
      <c r="E20" s="55">
        <v>1</v>
      </c>
      <c r="F20" s="55">
        <v>10</v>
      </c>
      <c r="G20" s="55">
        <f t="shared" si="0"/>
        <v>10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6" t="s">
        <v>76</v>
      </c>
      <c r="C21" s="137"/>
      <c r="D21" s="137"/>
      <c r="E21" s="137"/>
      <c r="F21" s="137"/>
      <c r="G21" s="138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29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410</v>
      </c>
      <c r="H13" s="55">
        <v>10</v>
      </c>
      <c r="I13" s="55"/>
      <c r="J13" s="55">
        <v>30</v>
      </c>
      <c r="K13" s="55"/>
      <c r="L13" s="55"/>
      <c r="M13" s="55"/>
      <c r="N13" s="55"/>
      <c r="P13" s="88">
        <f>SUM(D13:N13)</f>
        <v>470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410</v>
      </c>
      <c r="H30" s="88">
        <f t="shared" si="1"/>
        <v>10</v>
      </c>
      <c r="I30" s="88">
        <f t="shared" si="1"/>
        <v>0</v>
      </c>
      <c r="J30" s="88">
        <f t="shared" si="1"/>
        <v>30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2018-06-01T08:00:05Z</dcterms:modified>
</cp:coreProperties>
</file>