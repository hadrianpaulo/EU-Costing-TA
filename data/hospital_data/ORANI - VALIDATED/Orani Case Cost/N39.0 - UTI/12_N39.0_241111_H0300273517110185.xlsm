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9" i="2" l="1"/>
  <c r="J18" i="2"/>
  <c r="J17" i="2"/>
  <c r="J16" i="2"/>
  <c r="J15" i="2"/>
  <c r="J14" i="2"/>
  <c r="J13" i="2"/>
  <c r="J12" i="2"/>
  <c r="J11" i="2"/>
  <c r="G20" i="9"/>
  <c r="G19" i="9"/>
  <c r="G18" i="9"/>
  <c r="G17" i="9"/>
  <c r="G16" i="9"/>
  <c r="J13" i="10" l="1"/>
  <c r="G13" i="10"/>
  <c r="E13" i="10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<sst xmlns="http://schemas.openxmlformats.org/spreadsheetml/2006/main" count="490" uniqueCount="198">
  <si>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</si>
  <si>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</si>
  <si>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</si>
  <si>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</si>
  <si>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</si>
  <si>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</si>
  <si>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</si>
  <si>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</si>
  <si>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</si>
  <si>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</si>
  <si>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</si>
  <si>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</si>
  <si>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</si>
  <si>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</si>
  <si>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</si>
  <si>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</si>
  <si>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</si>
  <si>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</si>
  <si>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</si>
  <si>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</si>
  <si>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</si>
  <si>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</si>
  <si>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</si>
  <si>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</si>
  <si>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</si>
  <si>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</si>
  <si>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</si>
  <si>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</si>
  <si>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</si>
  <si>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</si>
  <si>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</si>
  <si>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</si>
  <si>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</si>
  <si>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</si>
  <si>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</si>
  <si>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</si>
  <si>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</si>
  <si>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</si>
  <si>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</si>
  <si>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</si>
  <si>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</si>
  <si>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</si>
  <si>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</si>
  <si>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</si>
  <si>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</si>
  <si>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</si>
  <si>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</si>
  <si>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</si>
  <si>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</si>
  <si>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</si>
  <si>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</si>
  <si>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</si>
  <si>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</si>
  <si>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</si>
  <si>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</si>
  <si>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</si>
  <si>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</si>
  <si>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</si>
  <si>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</si>
  <si>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</si>
  <si>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</si>
  <si>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</si>
  <si>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</si>
  <si>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</si>
  <si>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</si>
  <si>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</si>
  <si>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</si>
  <si>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</si>
  <si>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</si>
  <si>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</si>
  <si>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</si>
  <si>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</si>
  <si>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</si>
  <si>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</si>
  <si>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</si>
  <si>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</si>
  <si>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</si>
  <si>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</si>
  <si>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</si>
  <si>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</si>
  <si>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</si>
  <si>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</si>
  <si>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</si>
  <si>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</si>
  <si>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</si>
  <si>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</si>
  <si>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</si>
  <si>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</si>
  <si>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</si>
  <si>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</si>
  <si>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</si>
  <si>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</si>
  <si>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</si>
  <si>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</si>
  <si>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</si>
  <si>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</si>
  <si>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</si>
  <si>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</si>
  <si>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</si>
  <si>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</si>
  <si>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</si>
  <si>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</si>
  <si>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</si>
  <si>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</si>
  <si>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</si>
  <si>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</si>
  <si>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</si>
  <si>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</si>
  <si>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</si>
  <si>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</si>
  <si>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</si>
  <si>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</si>
  <si>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</si>
  <si>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</si>
  <si>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</si>
  <si>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</si>
  <si>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</si>
  <si>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</si>
  <si>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</si>
  <si>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</si>
  <si>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</si>
  <si>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</si>
  <si>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</si>
  <si>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</si>
  <si>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</si>
  <si>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</si>
  <si>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</si>
  <si>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</si>
  <si>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</si>
  <si>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</si>
  <si>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</si>
  <si>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</si>
  <si>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</si>
  <si>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</si>
  <si>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</si>
  <si>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</si>
  <si>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</si>
  <si>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</si>
  <si>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</si>
  <si>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</si>
  <si>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</si>
  <si>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</si>
  <si>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</si>
  <si>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</si>
  <si>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</si>
  <si>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</si>
  <si>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</si>
  <si>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</si>
  <si>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</si>
  <si>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</si>
  <si>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</si>
  <si>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</si>
  <si>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</si>
  <si>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</si>
  <si>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</si>
  <si>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</si>
  <si>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</si>
  <si>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</si>
  <si>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</si>
  <si>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</si>
  <si>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</si>
  <si>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</si>
  <si>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</si>
  <si>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</si>
  <si>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</si>
  <si>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ROOM AND BOARD</t>
  </si>
  <si>
    <t>N39.0</t>
  </si>
  <si>
    <t>LAB</t>
  </si>
  <si>
    <t>XRAY</t>
  </si>
  <si>
    <t>SODIUM</t>
  </si>
  <si>
    <t>POTASSIUM</t>
  </si>
  <si>
    <t>CHLORIDE</t>
  </si>
  <si>
    <t>CHEST APL</t>
  </si>
  <si>
    <t>Visit in the ward</t>
  </si>
  <si>
    <t>PARACETAMOL</t>
  </si>
  <si>
    <t>METOCLOPRAMIDE</t>
  </si>
  <si>
    <t>OMEPRAZOLE</t>
  </si>
  <si>
    <t>ALMAGSULFATE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</si>
  <si>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</si>
  <si>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</si>
  <si>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</si>
  <si>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</si>
  <si>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</si>
  <si>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</si>
  <si>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</si>
  <si>
    <t>CEFUROXIME</t>
  </si>
  <si>
    <t>VIAL</t>
  </si>
  <si>
    <t>500MG</t>
  </si>
  <si>
    <t>AMPULE</t>
  </si>
  <si>
    <t>150MG</t>
  </si>
  <si>
    <t>50MG</t>
  </si>
  <si>
    <t>20MG</t>
  </si>
  <si>
    <t>BOTTLE</t>
  </si>
  <si>
    <t>30CC</t>
  </si>
  <si>
    <t>D5NSS</t>
  </si>
  <si>
    <t>1LITER</t>
  </si>
  <si>
    <t>UTI W/ MODERATE DEHYDRATION</t>
  </si>
  <si>
    <t>E86.1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</si>
</sst>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172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43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52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163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163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320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164</v>
      </c>
      <c r="D61" s="55">
        <v>2910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165</v>
      </c>
      <c r="D62" s="55">
        <v>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4180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186</v>
      </c>
      <c r="E11" s="27" t="s">
        <v>187</v>
      </c>
      <c r="F11" s="55">
        <v>2</v>
      </c>
      <c r="G11" s="55">
        <v>6</v>
      </c>
      <c r="H11" s="55">
        <v>11</v>
      </c>
      <c r="I11" s="55">
        <v>40</v>
      </c>
      <c r="J11" s="55">
        <f>H11*I11</f>
        <v>440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188</v>
      </c>
      <c r="E12" s="27" t="s">
        <v>189</v>
      </c>
      <c r="F12" s="55">
        <v>6</v>
      </c>
      <c r="G12" s="55">
        <v>1</v>
      </c>
      <c r="H12" s="55">
        <v>1</v>
      </c>
      <c r="I12" s="55">
        <v>50</v>
      </c>
      <c r="J12" s="55">
        <f t="shared" ref="J12:J19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186</v>
      </c>
      <c r="E13" s="27" t="s">
        <v>190</v>
      </c>
      <c r="F13" s="55">
        <v>3</v>
      </c>
      <c r="G13" s="55">
        <v>2</v>
      </c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186</v>
      </c>
      <c r="E14" s="27" t="s">
        <v>191</v>
      </c>
      <c r="F14" s="55">
        <v>1</v>
      </c>
      <c r="G14" s="55">
        <v>6</v>
      </c>
      <c r="H14" s="55">
        <v>6</v>
      </c>
      <c r="I14" s="55">
        <v>100</v>
      </c>
      <c r="J14" s="55">
        <f t="shared" si="0"/>
        <v>600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192</v>
      </c>
      <c r="E15" s="27" t="s">
        <v>193</v>
      </c>
      <c r="F15" s="55">
        <v>3</v>
      </c>
      <c r="G15" s="55">
        <v>3</v>
      </c>
      <c r="H15" s="55">
        <v>8</v>
      </c>
      <c r="I15" s="55">
        <v>50</v>
      </c>
      <c r="J15" s="55">
        <f t="shared" si="0"/>
        <v>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192</v>
      </c>
      <c r="E16" s="27" t="s">
        <v>195</v>
      </c>
      <c r="F16" s="55">
        <v>2</v>
      </c>
      <c r="G16" s="55">
        <v>5</v>
      </c>
      <c r="H16" s="55">
        <v>8</v>
      </c>
      <c r="I16" s="55">
        <v>100</v>
      </c>
      <c r="J16" s="55">
        <f t="shared" si="0"/>
        <v>800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179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179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182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183</v>
      </c>
      <c r="D19" s="70" t="s">
        <v>179</v>
      </c>
      <c r="E19" s="55">
        <v>21</v>
      </c>
      <c r="F19" s="55">
        <v>10</v>
      </c>
      <c r="G19" s="55">
        <f t="shared" si="0"/>
        <v>210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184</v>
      </c>
      <c r="D20" s="70" t="s">
        <v>179</v>
      </c>
      <c r="E20" s="55">
        <v>9</v>
      </c>
      <c r="F20" s="55">
        <v>10</v>
      </c>
      <c r="G20" s="55">
        <f t="shared" si="0"/>
        <v>90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H13" sqref="H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f>10*5</f>
        <v>50</v>
      </c>
      <c r="F13" s="55"/>
      <c r="G13" s="55">
        <f>24*5*60/9</f>
        <v>800</v>
      </c>
      <c r="H13" s="55"/>
      <c r="I13" s="55"/>
      <c r="J13" s="55">
        <f>5*5</f>
        <v>25</v>
      </c>
      <c r="K13" s="55"/>
      <c r="L13" s="55"/>
      <c r="M13" s="55"/>
      <c r="N13" s="55"/>
      <c r="P13" s="88">
        <f>SUM(D13:N13)</f>
        <v>875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800</v>
      </c>
      <c r="H30" s="88">
        <f t="shared" si="1"/>
        <v>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875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2018-06-01T08:38:09Z</dcterms:modified>
</cp:coreProperties>
</file>