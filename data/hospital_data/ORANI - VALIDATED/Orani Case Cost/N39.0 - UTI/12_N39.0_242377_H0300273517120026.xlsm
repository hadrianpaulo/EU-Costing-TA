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<sst xmlns="http://schemas.openxmlformats.org/spreadsheetml/2006/main" count="499" uniqueCount="204">
  <si>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</si>
  <si>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</si>
  <si>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</si>
  <si>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</si>
  <si>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</si>
  <si>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</si>
  <si>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</si>
  <si>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</si>
  <si>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</si>
  <si>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</si>
  <si>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</si>
  <si>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</si>
  <si>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</si>
  <si>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</si>
  <si>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</si>
  <si>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</si>
  <si>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</si>
  <si>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</si>
  <si>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</si>
  <si>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</si>
  <si>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</si>
  <si>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</si>
  <si>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</si>
  <si>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</si>
  <si>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</si>
  <si>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</si>
  <si>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</si>
  <si>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</si>
  <si>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</si>
  <si>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</si>
  <si>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</si>
  <si>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</si>
  <si>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</si>
  <si>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</si>
  <si>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</si>
  <si>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</si>
  <si>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</si>
  <si>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</si>
  <si>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</si>
  <si>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</si>
  <si>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</si>
  <si>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</si>
  <si>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</si>
  <si>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</si>
  <si>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</si>
  <si>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</si>
  <si>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</si>
  <si>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</si>
  <si>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</si>
  <si>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</si>
  <si>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</si>
  <si>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</si>
  <si>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</si>
  <si>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</si>
  <si>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</si>
  <si>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</si>
  <si>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</si>
  <si>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</si>
  <si>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</si>
  <si>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</si>
  <si>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</si>
  <si>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</si>
  <si>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</si>
  <si>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</si>
  <si>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</si>
  <si>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</si>
  <si>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</si>
  <si>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</si>
  <si>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</si>
  <si>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</si>
  <si>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</si>
  <si>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</si>
  <si>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</si>
  <si>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</si>
  <si>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</si>
  <si>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</si>
  <si>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</si>
  <si>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</si>
  <si>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</si>
  <si>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</si>
  <si>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</si>
  <si>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</si>
  <si>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</si>
  <si>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</si>
  <si>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</si>
  <si>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</si>
  <si>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</si>
  <si>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</si>
  <si>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</si>
  <si>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</si>
  <si>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</si>
  <si>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</si>
  <si>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</si>
  <si>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</si>
  <si>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</si>
  <si>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</si>
  <si>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</si>
  <si>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</si>
  <si>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</si>
  <si>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</si>
  <si>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</si>
  <si>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</si>
  <si>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</si>
  <si>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</si>
  <si>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</si>
  <si>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</si>
  <si>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</si>
  <si>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</si>
  <si>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</si>
  <si>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</si>
  <si>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</si>
  <si>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</si>
  <si>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</si>
  <si>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</si>
  <si>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</si>
  <si>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</si>
  <si>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</si>
  <si>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</si>
  <si>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</si>
  <si>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</si>
  <si>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</si>
  <si>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</si>
  <si>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</si>
  <si>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</si>
  <si>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</si>
  <si>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</si>
  <si>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</si>
  <si>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</si>
  <si>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</si>
  <si>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</si>
  <si>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</si>
  <si>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</si>
  <si>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</si>
  <si>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</si>
  <si>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</si>
  <si>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</si>
  <si>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</si>
  <si>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</si>
  <si>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</si>
  <si>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</si>
  <si>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</si>
  <si>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</si>
  <si>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</si>
  <si>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</si>
  <si>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</si>
  <si>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</si>
  <si>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</si>
  <si>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</si>
  <si>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</si>
  <si>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</si>
  <si>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</si>
  <si>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</si>
  <si>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</si>
  <si>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</si>
  <si>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</si>
  <si>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</si>
  <si>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</si>
  <si>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</si>
  <si>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</si>
  <si>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</si>
  <si>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</si>
  <si>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</si>
  <si>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</si>
  <si>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</si>
  <si>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</si>
  <si>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</si>
  <si>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</si>
  <si>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</si>
  <si>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</si>
  <si>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</si>
  <si>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500MG</t>
  </si>
  <si>
    <t>AMPULE</t>
  </si>
  <si>
    <t>SYRINGE 3CC</t>
  </si>
  <si>
    <t>PC</t>
  </si>
  <si>
    <t>BOTTLE</t>
  </si>
  <si>
    <t>ABOCATH GAUGE 20</t>
  </si>
  <si>
    <t>MACRO SET</t>
  </si>
  <si>
    <t>PLASTER 1/2</t>
  </si>
  <si>
    <t>CBC PLATELET COUNT</t>
  </si>
  <si>
    <t>XRAY</t>
  </si>
  <si>
    <t>VIAL</t>
  </si>
  <si>
    <t>PARACETAMOL</t>
  </si>
  <si>
    <t>SYRINGE 5CC</t>
  </si>
  <si>
    <t>10ML</t>
  </si>
  <si>
    <t>10MG</t>
  </si>
  <si>
    <t>HYOSCINE</t>
  </si>
  <si>
    <t>E86.1</t>
  </si>
  <si>
    <t>NAKCL</t>
  </si>
  <si>
    <t>METOCLOPROMIDE</t>
  </si>
  <si>
    <t>MULTIVITAMINS</t>
  </si>
  <si>
    <t>CEFUROXIME</t>
  </si>
  <si>
    <t>OMEPRAZOLE</t>
  </si>
  <si>
    <t>CAPSULE</t>
  </si>
  <si>
    <t>40MG</t>
  </si>
  <si>
    <t>N39.0</t>
  </si>
  <si>
    <t>750MG</t>
  </si>
  <si>
    <t>CHEST PA</t>
  </si>
  <si>
    <t>20ML</t>
  </si>
  <si>
    <t>LACTOLOSE</t>
  </si>
  <si>
    <t>30ML</t>
  </si>
  <si>
    <t>DOMPERIDONE</t>
  </si>
  <si>
    <t>D5 LR SOLUTION</t>
  </si>
  <si>
    <t>1LITER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</si>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</sst>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196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3320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655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400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179</v>
      </c>
      <c r="D62" s="55">
        <v>160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4535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20" sqref="H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190</v>
      </c>
      <c r="D11" s="27" t="s">
        <v>180</v>
      </c>
      <c r="E11" s="27" t="s">
        <v>195</v>
      </c>
      <c r="F11" s="55">
        <v>3</v>
      </c>
      <c r="G11" s="55">
        <v>5</v>
      </c>
      <c r="H11" s="55">
        <v>15</v>
      </c>
      <c r="I11" s="55">
        <v>60</v>
      </c>
      <c r="J11" s="55">
        <f>H11*I11</f>
        <v>900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171</v>
      </c>
      <c r="E12" s="27" t="s">
        <v>183</v>
      </c>
      <c r="F12" s="55">
        <v>3</v>
      </c>
      <c r="G12" s="55">
        <v>5</v>
      </c>
      <c r="H12" s="55">
        <v>15</v>
      </c>
      <c r="I12" s="55">
        <v>50</v>
      </c>
      <c r="J12" s="55">
        <f t="shared" ref="J12:J21" si="0">H12*I12</f>
        <v>750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171</v>
      </c>
      <c r="E13" s="27" t="s">
        <v>197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171</v>
      </c>
      <c r="E14" s="27" t="s">
        <v>170</v>
      </c>
      <c r="F14" s="55">
        <v>1</v>
      </c>
      <c r="G14" s="55">
        <v>1</v>
      </c>
      <c r="H14" s="55">
        <v>2</v>
      </c>
      <c r="I14" s="55">
        <v>65</v>
      </c>
      <c r="J14" s="55">
        <f t="shared" si="0"/>
        <v>130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174</v>
      </c>
      <c r="E15" s="27" t="s">
        <v>199</v>
      </c>
      <c r="F15" s="55">
        <v>1</v>
      </c>
      <c r="G15" s="55">
        <v>1</v>
      </c>
      <c r="H15" s="55">
        <v>1</v>
      </c>
      <c r="I15" s="55">
        <v>200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192</v>
      </c>
      <c r="E16" s="27" t="s">
        <v>170</v>
      </c>
      <c r="F16" s="55">
        <v>1</v>
      </c>
      <c r="G16" s="55">
        <v>3</v>
      </c>
      <c r="H16" s="55">
        <v>3</v>
      </c>
      <c r="I16" s="55">
        <v>50</v>
      </c>
      <c r="J16" s="55">
        <f t="shared" si="0"/>
        <v>150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200</v>
      </c>
      <c r="D17" s="27" t="s">
        <v>169</v>
      </c>
      <c r="E17" s="27" t="s">
        <v>184</v>
      </c>
      <c r="F17" s="55">
        <v>3</v>
      </c>
      <c r="G17" s="55">
        <v>2</v>
      </c>
      <c r="H17" s="55">
        <v>5</v>
      </c>
      <c r="I17" s="55">
        <v>12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180</v>
      </c>
      <c r="E18" s="27" t="s">
        <v>193</v>
      </c>
      <c r="F18" s="55">
        <v>1</v>
      </c>
      <c r="G18" s="55">
        <v>1</v>
      </c>
      <c r="H18" s="55">
        <v>1</v>
      </c>
      <c r="I18" s="55">
        <v>200</v>
      </c>
      <c r="J18" s="55">
        <f t="shared" si="0"/>
        <v>200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201</v>
      </c>
      <c r="D19" s="27" t="s">
        <v>174</v>
      </c>
      <c r="E19" s="27" t="s">
        <v>202</v>
      </c>
      <c r="F19" s="55">
        <v>2</v>
      </c>
      <c r="G19" s="55">
        <v>4</v>
      </c>
      <c r="H19" s="55">
        <v>6</v>
      </c>
      <c r="I19" s="55">
        <v>100</v>
      </c>
      <c r="J19" s="55">
        <f t="shared" si="0"/>
        <v>600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173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173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173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173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173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520</v>
      </c>
      <c r="H13" s="55">
        <v>15</v>
      </c>
      <c r="I13" s="55"/>
      <c r="J13" s="55">
        <v>60</v>
      </c>
      <c r="K13" s="55"/>
      <c r="L13" s="55"/>
      <c r="M13" s="55"/>
      <c r="N13" s="55"/>
      <c r="P13" s="88">
        <f>SUM(D13:N13)</f>
        <v>635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520</v>
      </c>
      <c r="H30" s="88">
        <f t="shared" si="1"/>
        <v>15</v>
      </c>
      <c r="I30" s="88">
        <f t="shared" si="1"/>
        <v>0</v>
      </c>
      <c r="J30" s="88">
        <f t="shared" si="1"/>
        <v>60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2018-06-01T08:59:06Z</dcterms:modified>
</cp:coreProperties>
</file>