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2" i="9" l="1"/>
  <c r="G21" i="9"/>
  <c r="G17" i="9"/>
  <c r="G18" i="9"/>
  <c r="G19" i="9"/>
  <c r="G20" i="9"/>
  <c r="G16" i="9"/>
  <c r="J20" i="2" l="1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<sst xmlns="http://schemas.openxmlformats.org/spreadsheetml/2006/main" count="503" uniqueCount="205">
  <si>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</si>
  <si>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</si>
  <si>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</si>
  <si>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</si>
  <si>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</si>
  <si>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</si>
  <si>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</si>
  <si>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</si>
  <si>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</si>
  <si>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</si>
  <si>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</si>
  <si>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</si>
  <si>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</si>
  <si>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</si>
  <si>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</si>
  <si>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</si>
  <si>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</si>
  <si>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</si>
  <si>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</si>
  <si>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</si>
  <si>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</si>
  <si>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</si>
  <si>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</si>
  <si>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</si>
  <si>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</si>
  <si>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</si>
  <si>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</si>
  <si>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</si>
  <si>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</si>
  <si>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</si>
  <si>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</si>
  <si>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</si>
  <si>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</si>
  <si>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</si>
  <si>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</si>
  <si>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</si>
  <si>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</si>
  <si>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</si>
  <si>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</si>
  <si>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</si>
  <si>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</si>
  <si>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</si>
  <si>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</si>
  <si>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</si>
  <si>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</si>
  <si>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</si>
  <si>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</si>
  <si>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</si>
  <si>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</si>
  <si>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</si>
  <si>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</si>
  <si>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</si>
  <si>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</si>
  <si>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</si>
  <si>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</si>
  <si>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</si>
  <si>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</si>
  <si>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</si>
  <si>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</si>
  <si>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</si>
  <si>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</si>
  <si>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</si>
  <si>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</si>
  <si>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</si>
  <si>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</si>
  <si>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</si>
  <si>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</si>
  <si>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</si>
  <si>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</si>
  <si>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</si>
  <si>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</si>
  <si>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</si>
  <si>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</si>
  <si>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</si>
  <si>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</si>
  <si>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</si>
  <si>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</si>
  <si>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</si>
  <si>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</si>
  <si>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</si>
  <si>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</si>
  <si>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</si>
  <si>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</si>
  <si>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</si>
  <si>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</si>
  <si>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</si>
  <si>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</si>
  <si>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</si>
  <si>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</si>
  <si>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</si>
  <si>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</si>
  <si>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</si>
  <si>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</si>
  <si>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</si>
  <si>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</si>
  <si>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</si>
  <si>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</si>
  <si>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</si>
  <si>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</si>
  <si>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</si>
  <si>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</si>
  <si>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</si>
  <si>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</si>
  <si>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</si>
  <si>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</si>
  <si>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</si>
  <si>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</si>
  <si>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</si>
  <si>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</si>
  <si>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</si>
  <si>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</si>
  <si>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</si>
  <si>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</si>
  <si>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</si>
  <si>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</si>
  <si>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</si>
  <si>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</si>
  <si>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</si>
  <si>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</si>
  <si>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</si>
  <si>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</si>
  <si>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</si>
  <si>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</si>
  <si>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</si>
  <si>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</si>
  <si>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</si>
  <si>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</si>
  <si>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</si>
  <si>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</si>
  <si>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</si>
  <si>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</si>
  <si>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</si>
  <si>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</si>
  <si>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</si>
  <si>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</si>
  <si>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</si>
  <si>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</si>
  <si>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</si>
  <si>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</si>
  <si>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</si>
  <si>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</si>
  <si>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</si>
  <si>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</si>
  <si>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</si>
  <si>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</si>
  <si>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</si>
  <si>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</si>
  <si>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</si>
  <si>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</si>
  <si>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</si>
  <si>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</si>
  <si>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</si>
  <si>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</si>
  <si>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</si>
  <si>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</si>
  <si>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</si>
  <si>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</si>
  <si>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</si>
  <si>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</si>
  <si>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</si>
  <si>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</si>
  <si>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</si>
  <si>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</si>
  <si>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</si>
  <si>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</si>
  <si>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</si>
  <si>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</si>
  <si>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</si>
  <si>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</si>
  <si>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</si>
  <si>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</si>
  <si>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</si>
  <si>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</si>
  <si>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</si>
  <si>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</si>
  <si>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</si>
  <si>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</si>
  <si>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</si>
  <si>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E86.1</t>
  </si>
  <si>
    <t>CBC PLATELET COUNT</t>
  </si>
  <si>
    <t>VIAL</t>
  </si>
  <si>
    <t>PARACETAMOL</t>
  </si>
  <si>
    <t>AMPICILLIN</t>
  </si>
  <si>
    <t>40MG</t>
  </si>
  <si>
    <t>NAKCL</t>
  </si>
  <si>
    <t>OMEPRAZOLE</t>
  </si>
  <si>
    <t>300MG</t>
  </si>
  <si>
    <t>500CC</t>
  </si>
  <si>
    <t>CREATININE</t>
  </si>
  <si>
    <t>D5LR</t>
  </si>
  <si>
    <t>N39.0</t>
  </si>
  <si>
    <t>GLUCOSE</t>
  </si>
  <si>
    <t>BUN</t>
  </si>
  <si>
    <t>CHOLESTEROL</t>
  </si>
  <si>
    <t>URIC ACID</t>
  </si>
  <si>
    <t>TRIGLYCERIDES</t>
  </si>
  <si>
    <t>RBS</t>
  </si>
  <si>
    <t>MULTIVITAMINS</t>
  </si>
  <si>
    <t>CAPSULE</t>
  </si>
  <si>
    <t>CALAMINE</t>
  </si>
  <si>
    <t>SOLUSET</t>
  </si>
  <si>
    <t>D5 BALANCED</t>
  </si>
  <si>
    <t>SYRINGE 5CC</t>
  </si>
  <si>
    <t>DISPOSABLE FACE MASK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</si>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</sst>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195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168</v>
      </c>
      <c r="D42" s="23"/>
      <c r="E42" s="55">
        <v>3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196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164</v>
      </c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44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45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53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164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164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55</v>
      </c>
      <c r="C65" s="17" t="s">
        <v>51</v>
      </c>
      <c r="D65" s="17" t="s">
        <v>56</v>
      </c>
      <c r="E65" s="18" t="s">
        <v>57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3700</v>
      </c>
      <c r="E66" s="55">
        <v>925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1550</v>
      </c>
      <c r="E67" s="55">
        <v>470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/>
      <c r="E68" s="55">
        <v>400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5250</v>
      </c>
      <c r="E77" s="59">
        <f>SUM(E66:E76)</f>
        <v>1795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8" sqref="H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180</v>
      </c>
      <c r="E11" s="27" t="s">
        <v>183</v>
      </c>
      <c r="F11" s="55">
        <v>1</v>
      </c>
      <c r="G11" s="55">
        <v>5</v>
      </c>
      <c r="H11" s="55">
        <v>6</v>
      </c>
      <c r="I11" s="55">
        <v>200</v>
      </c>
      <c r="J11" s="55">
        <f>H11*I11</f>
        <v>1200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198</v>
      </c>
      <c r="E12" s="27" t="s">
        <v>169</v>
      </c>
      <c r="F12" s="55">
        <v>1</v>
      </c>
      <c r="G12" s="55">
        <v>4</v>
      </c>
      <c r="H12" s="55">
        <v>6</v>
      </c>
      <c r="I12" s="55">
        <v>50</v>
      </c>
      <c r="J12" s="55">
        <f t="shared" ref="J12:J20" si="0">H12*I12</f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180</v>
      </c>
      <c r="E13" s="27" t="s">
        <v>169</v>
      </c>
      <c r="F13" s="55">
        <v>3</v>
      </c>
      <c r="G13" s="55">
        <v>5</v>
      </c>
      <c r="H13" s="55">
        <v>26</v>
      </c>
      <c r="I13" s="55">
        <v>40</v>
      </c>
      <c r="J13" s="55">
        <f t="shared" si="0"/>
        <v>1040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170</v>
      </c>
      <c r="E14" s="27" t="s">
        <v>186</v>
      </c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173</v>
      </c>
      <c r="E15" s="27" t="s">
        <v>187</v>
      </c>
      <c r="F15" s="55">
        <v>1</v>
      </c>
      <c r="G15" s="55">
        <v>1</v>
      </c>
      <c r="H15" s="55">
        <v>1</v>
      </c>
      <c r="I15" s="55">
        <v>60</v>
      </c>
      <c r="J15" s="55">
        <f t="shared" si="0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174</v>
      </c>
      <c r="F16" s="55">
        <v>2</v>
      </c>
      <c r="G16" s="55">
        <v>3</v>
      </c>
      <c r="H16" s="55">
        <v>10</v>
      </c>
      <c r="I16" s="55">
        <v>100</v>
      </c>
      <c r="J16" s="55">
        <f t="shared" si="0"/>
        <v>1000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173</v>
      </c>
      <c r="E17" s="27" t="s">
        <v>174</v>
      </c>
      <c r="F17" s="55">
        <v>1</v>
      </c>
      <c r="G17" s="55">
        <v>1</v>
      </c>
      <c r="H17" s="55">
        <v>4</v>
      </c>
      <c r="I17" s="55">
        <v>100</v>
      </c>
      <c r="J17" s="55">
        <f t="shared" si="0"/>
        <v>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6</v>
      </c>
      <c r="F16" s="55">
        <v>10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172</v>
      </c>
      <c r="E17" s="55">
        <v>2</v>
      </c>
      <c r="F17" s="55">
        <v>100</v>
      </c>
      <c r="G17" s="55">
        <f t="shared" ref="G17:G22" si="0"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172</v>
      </c>
      <c r="E20" s="55">
        <v>1</v>
      </c>
      <c r="F20" s="55">
        <v>200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202</v>
      </c>
      <c r="D21" s="70" t="s">
        <v>172</v>
      </c>
      <c r="E21" s="55">
        <v>3</v>
      </c>
      <c r="F21" s="55">
        <v>10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 t="s">
        <v>172</v>
      </c>
      <c r="E22" s="55">
        <v>1</v>
      </c>
      <c r="F22" s="55">
        <v>5</v>
      </c>
      <c r="G22" s="55">
        <f t="shared" si="0"/>
        <v>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336</v>
      </c>
      <c r="H13" s="55">
        <v>15</v>
      </c>
      <c r="I13" s="55"/>
      <c r="J13" s="55">
        <v>55</v>
      </c>
      <c r="K13" s="55"/>
      <c r="L13" s="55"/>
      <c r="M13" s="55"/>
      <c r="N13" s="55"/>
      <c r="P13" s="88">
        <f>SUM(D13:N13)</f>
        <v>436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336</v>
      </c>
      <c r="H30" s="88">
        <f t="shared" si="1"/>
        <v>15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436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2018-06-01T09:11:45Z</dcterms:modified>
</cp:coreProperties>
</file>