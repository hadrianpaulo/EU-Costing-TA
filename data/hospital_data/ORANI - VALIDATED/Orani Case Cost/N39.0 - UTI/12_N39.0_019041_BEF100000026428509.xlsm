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<sst xmlns="http://schemas.openxmlformats.org/spreadsheetml/2006/main" count="483" uniqueCount="195">
  <si>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</si>
  <si>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</si>
  <si>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</si>
  <si>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</si>
  <si>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</si>
  <si>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</si>
  <si>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</si>
  <si>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</si>
  <si>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</si>
  <si>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</si>
  <si>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</si>
  <si>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</si>
  <si>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</si>
  <si>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</si>
  <si>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</si>
  <si>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</si>
  <si>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</si>
  <si>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</si>
  <si>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</si>
  <si>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</si>
  <si>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</si>
  <si>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</si>
  <si>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</si>
  <si>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</si>
  <si>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</si>
  <si>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</si>
  <si>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</si>
  <si>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</si>
  <si>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</si>
  <si>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</si>
  <si>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</si>
  <si>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</si>
  <si>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</si>
  <si>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</si>
  <si>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</si>
  <si>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</si>
  <si>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</si>
  <si>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</si>
  <si>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</si>
  <si>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</si>
  <si>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</si>
  <si>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</si>
  <si>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</si>
  <si>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</si>
  <si>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</si>
  <si>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</si>
  <si>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</si>
  <si>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</si>
  <si>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</si>
  <si>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</si>
  <si>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</si>
  <si>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</si>
  <si>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</si>
  <si>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</si>
  <si>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</si>
  <si>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</si>
  <si>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</si>
  <si>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</si>
  <si>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</si>
  <si>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</si>
  <si>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</si>
  <si>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</si>
  <si>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</si>
  <si>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</si>
  <si>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</si>
  <si>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</si>
  <si>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</si>
  <si>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</si>
  <si>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</si>
  <si>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</si>
  <si>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</si>
  <si>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</si>
  <si>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</si>
  <si>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</si>
  <si>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</si>
  <si>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</si>
  <si>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</si>
  <si>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</si>
  <si>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</si>
  <si>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</si>
  <si>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</si>
  <si>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</si>
  <si>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</si>
  <si>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</si>
  <si>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</si>
  <si>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</si>
  <si>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</si>
  <si>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</si>
  <si>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</si>
  <si>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</si>
  <si>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</si>
  <si>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</si>
  <si>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</si>
  <si>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</si>
  <si>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</si>
  <si>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</si>
  <si>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</si>
  <si>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</si>
  <si>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</si>
  <si>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</si>
  <si>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</si>
  <si>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</si>
  <si>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</si>
  <si>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</si>
  <si>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</si>
  <si>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</si>
  <si>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</si>
  <si>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</si>
  <si>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</si>
  <si>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</si>
  <si>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</si>
  <si>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</si>
  <si>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</si>
  <si>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</si>
  <si>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</si>
  <si>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</si>
  <si>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</si>
  <si>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</si>
  <si>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</si>
  <si>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</si>
  <si>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</si>
  <si>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</si>
  <si>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</si>
  <si>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</si>
  <si>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</si>
  <si>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</si>
  <si>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</si>
  <si>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</si>
  <si>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</si>
  <si>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</si>
  <si>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</si>
  <si>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</si>
  <si>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</si>
  <si>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</si>
  <si>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</si>
  <si>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</si>
  <si>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</si>
  <si>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</si>
  <si>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</si>
  <si>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</si>
  <si>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</si>
  <si>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</si>
  <si>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</si>
  <si>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</si>
  <si>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</si>
  <si>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</si>
  <si>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</si>
  <si>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</si>
  <si>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</si>
  <si>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</si>
  <si>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</si>
  <si>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</si>
  <si>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</si>
  <si>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</si>
  <si>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</si>
  <si>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</si>
  <si>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</si>
  <si>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</si>
  <si>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</si>
  <si>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</si>
  <si>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</si>
  <si>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</si>
  <si>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</si>
  <si>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</si>
  <si>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</si>
  <si>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</si>
  <si>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</si>
  <si>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</si>
  <si>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</si>
  <si>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PC</t>
  </si>
  <si>
    <t>BOTTLE</t>
  </si>
  <si>
    <t>1LITER</t>
  </si>
  <si>
    <t>E86.1</t>
  </si>
  <si>
    <t>N39.0</t>
  </si>
  <si>
    <t>CEFUROXIME</t>
  </si>
  <si>
    <t>VIAL</t>
  </si>
  <si>
    <t>PARACETAMOL</t>
  </si>
  <si>
    <t>AMPULE</t>
  </si>
  <si>
    <t>ABOCATH G24</t>
  </si>
  <si>
    <t>MICRO SET</t>
  </si>
  <si>
    <t>GLUCOSE</t>
  </si>
  <si>
    <t>BUN</t>
  </si>
  <si>
    <t>CREATININE</t>
  </si>
  <si>
    <t>CHOLESTEROL</t>
  </si>
  <si>
    <t>URIC ACID</t>
  </si>
  <si>
    <t>TRIGLYCERIDES</t>
  </si>
  <si>
    <t>750MG</t>
  </si>
  <si>
    <t>150MG</t>
  </si>
  <si>
    <t>ALLOPURINOL</t>
  </si>
  <si>
    <t>TABLET</t>
  </si>
  <si>
    <t>300MG</t>
  </si>
  <si>
    <t>PNSS</t>
  </si>
  <si>
    <t>PLASTER</t>
  </si>
  <si>
    <t>ROLL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</si>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</sst>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182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183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184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185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164</v>
      </c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164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164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730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575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167</v>
      </c>
      <c r="D65" s="55">
        <v>200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1505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186</v>
      </c>
      <c r="F11" s="55">
        <v>3</v>
      </c>
      <c r="G11" s="55">
        <v>3</v>
      </c>
      <c r="H11" s="55">
        <v>3</v>
      </c>
      <c r="I11" s="55">
        <v>60</v>
      </c>
      <c r="J11" s="55">
        <f>H11*I11</f>
        <v>180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187</v>
      </c>
      <c r="F12" s="55">
        <v>6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1</v>
      </c>
      <c r="G13" s="55">
        <v>2</v>
      </c>
      <c r="H13" s="55">
        <v>2</v>
      </c>
      <c r="I13" s="55">
        <v>15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170</v>
      </c>
      <c r="E14" s="27" t="s">
        <v>171</v>
      </c>
      <c r="F14" s="55">
        <v>2</v>
      </c>
      <c r="G14" s="55">
        <v>3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G16" sqref="G16:G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178</v>
      </c>
      <c r="D16" s="70" t="s">
        <v>169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169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90</v>
      </c>
      <c r="F13" s="55"/>
      <c r="G13" s="55">
        <v>205</v>
      </c>
      <c r="H13" s="55"/>
      <c r="I13" s="55"/>
      <c r="J13" s="55">
        <v>45</v>
      </c>
      <c r="K13" s="55"/>
      <c r="L13" s="55"/>
      <c r="M13" s="55"/>
      <c r="N13" s="55"/>
      <c r="P13" s="88">
        <f>SUM(D13:N13)</f>
        <v>340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205</v>
      </c>
      <c r="H30" s="88">
        <f t="shared" si="1"/>
        <v>0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2018-06-01T07:47:46Z</dcterms:modified>
</cp:coreProperties>
</file>