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<sst xmlns="http://schemas.openxmlformats.org/spreadsheetml/2006/main" count="491" uniqueCount="198">
  <si>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</si>
  <si>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</si>
  <si>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</si>
  <si>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</si>
  <si>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</si>
  <si>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</si>
  <si>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</si>
  <si>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</si>
  <si>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</si>
  <si>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</si>
  <si>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</si>
  <si>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</si>
  <si>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</si>
  <si>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</si>
  <si>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</si>
  <si>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</si>
  <si>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</si>
  <si>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</si>
  <si>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</si>
  <si>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</si>
  <si>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</si>
  <si>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</si>
  <si>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</si>
  <si>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</si>
  <si>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</si>
  <si>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</si>
  <si>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</si>
  <si>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</si>
  <si>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</si>
  <si>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</si>
  <si>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</si>
  <si>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</si>
  <si>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</si>
  <si>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</si>
  <si>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</si>
  <si>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</si>
  <si>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</si>
  <si>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</si>
  <si>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</si>
  <si>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</si>
  <si>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</si>
  <si>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</si>
  <si>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</si>
  <si>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</si>
  <si>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</si>
  <si>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</si>
  <si>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</si>
  <si>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</si>
  <si>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</si>
  <si>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</si>
  <si>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</si>
  <si>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</si>
  <si>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</si>
  <si>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</si>
  <si>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</si>
  <si>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</si>
  <si>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</si>
  <si>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</si>
  <si>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</si>
  <si>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</si>
  <si>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</si>
  <si>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</si>
  <si>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</si>
  <si>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</si>
  <si>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</si>
  <si>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</si>
  <si>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</si>
  <si>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</si>
  <si>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</si>
  <si>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</si>
  <si>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</si>
  <si>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</si>
  <si>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</si>
  <si>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</si>
  <si>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</si>
  <si>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</si>
  <si>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</si>
  <si>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</si>
  <si>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</si>
  <si>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</si>
  <si>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</si>
  <si>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</si>
  <si>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</si>
  <si>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</si>
  <si>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</si>
  <si>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</si>
  <si>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</si>
  <si>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</si>
  <si>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</si>
  <si>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</si>
  <si>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</si>
  <si>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</si>
  <si>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</si>
  <si>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</si>
  <si>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</si>
  <si>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</si>
  <si>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</si>
  <si>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</si>
  <si>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</si>
  <si>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</si>
  <si>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</si>
  <si>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</si>
  <si>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</si>
  <si>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</si>
  <si>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</si>
  <si>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</si>
  <si>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</si>
  <si>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</si>
  <si>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</si>
  <si>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</si>
  <si>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</si>
  <si>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</si>
  <si>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</si>
  <si>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</si>
  <si>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</si>
  <si>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</si>
  <si>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</si>
  <si>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</si>
  <si>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</si>
  <si>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</si>
  <si>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</si>
  <si>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</si>
  <si>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</si>
  <si>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</si>
  <si>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</si>
  <si>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</si>
  <si>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</si>
  <si>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</si>
  <si>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</si>
  <si>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</si>
  <si>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</si>
  <si>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</si>
  <si>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</si>
  <si>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</si>
  <si>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</si>
  <si>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</si>
  <si>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</si>
  <si>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</si>
  <si>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</si>
  <si>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</si>
  <si>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</si>
  <si>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</si>
  <si>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</si>
  <si>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</si>
  <si>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</si>
  <si>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</si>
  <si>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</si>
  <si>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</si>
  <si>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</si>
  <si>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</si>
  <si>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</si>
  <si>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</si>
  <si>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</si>
  <si>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</si>
  <si>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</si>
  <si>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</si>
  <si>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</si>
  <si>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</si>
  <si>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</si>
  <si>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</si>
  <si>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</si>
  <si>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</si>
  <si>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</si>
  <si>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</si>
  <si>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</si>
  <si>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</si>
  <si>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</si>
  <si>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</si>
  <si>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</si>
  <si>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TABLET</t>
  </si>
  <si>
    <t>500MG</t>
  </si>
  <si>
    <t>FERROUS SULFATE</t>
  </si>
  <si>
    <t>325MG</t>
  </si>
  <si>
    <t>AMPULE</t>
  </si>
  <si>
    <t>SYRINGE 3CC</t>
  </si>
  <si>
    <t>PC</t>
  </si>
  <si>
    <t>BOTTLE</t>
  </si>
  <si>
    <t>1LITER</t>
  </si>
  <si>
    <t>MACRO SET</t>
  </si>
  <si>
    <t>PLASTER 1/2</t>
  </si>
  <si>
    <t>CHEST APL</t>
  </si>
  <si>
    <t>XRAY</t>
  </si>
  <si>
    <t>AMPICILLIN</t>
  </si>
  <si>
    <t>VIAL</t>
  </si>
  <si>
    <t>SYRINGE 5CC</t>
  </si>
  <si>
    <t>HNBB</t>
  </si>
  <si>
    <t>D5LR</t>
  </si>
  <si>
    <t>E86.1</t>
  </si>
  <si>
    <t>NAKCL</t>
  </si>
  <si>
    <t>ABOCATH GAUGE 22</t>
  </si>
  <si>
    <t>CREATININE</t>
  </si>
  <si>
    <t>OMEPRAZOLE</t>
  </si>
  <si>
    <t>40MG</t>
  </si>
  <si>
    <t>250MG</t>
  </si>
  <si>
    <t>N39.0</t>
  </si>
  <si>
    <t>BUN</t>
  </si>
  <si>
    <t>TRANEXAMIC ACID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</si>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</sst>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190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165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180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164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164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2215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790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181</v>
      </c>
      <c r="D63" s="55">
        <v>320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3525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password="C2E9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H12" sqref="H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196</v>
      </c>
      <c r="D11" s="27" t="s">
        <v>173</v>
      </c>
      <c r="E11" s="27" t="s">
        <v>170</v>
      </c>
      <c r="F11" s="55">
        <v>3</v>
      </c>
      <c r="G11" s="55">
        <v>3</v>
      </c>
      <c r="H11" s="55">
        <v>6</v>
      </c>
      <c r="I11" s="55">
        <v>100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183</v>
      </c>
      <c r="E12" s="27" t="s">
        <v>192</v>
      </c>
      <c r="F12" s="55">
        <v>1</v>
      </c>
      <c r="G12" s="55">
        <v>3</v>
      </c>
      <c r="H12" s="55">
        <v>3</v>
      </c>
      <c r="I12" s="55">
        <v>200</v>
      </c>
      <c r="J12" s="55">
        <f t="shared" ref="J12:J21" si="0">H12*I12</f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173</v>
      </c>
      <c r="E13" s="27" t="s">
        <v>193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171</v>
      </c>
      <c r="D14" s="27" t="s">
        <v>169</v>
      </c>
      <c r="E14" s="27" t="s">
        <v>172</v>
      </c>
      <c r="F14" s="55">
        <v>1</v>
      </c>
      <c r="G14" s="55">
        <v>3</v>
      </c>
      <c r="H14" s="55">
        <v>5</v>
      </c>
      <c r="I14" s="55">
        <v>1</v>
      </c>
      <c r="J14" s="55">
        <f t="shared" si="0"/>
        <v>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183</v>
      </c>
      <c r="E15" s="27" t="s">
        <v>170</v>
      </c>
      <c r="F15" s="55">
        <v>2</v>
      </c>
      <c r="G15" s="55">
        <v>2</v>
      </c>
      <c r="H15" s="55">
        <v>3</v>
      </c>
      <c r="I15" s="55">
        <v>150</v>
      </c>
      <c r="J15" s="55">
        <f t="shared" si="0"/>
        <v>450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176</v>
      </c>
      <c r="E16" s="27" t="s">
        <v>177</v>
      </c>
      <c r="F16" s="55">
        <v>2</v>
      </c>
      <c r="G16" s="55">
        <v>2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workbookViewId="0">
      <selection activeCell="B34" sqref="B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175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175</v>
      </c>
      <c r="E17" s="55">
        <v>1</v>
      </c>
      <c r="F17" s="55">
        <v>10</v>
      </c>
      <c r="G17" s="55">
        <f t="shared" ref="G17:G20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175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175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175</v>
      </c>
      <c r="E20" s="55">
        <v>2</v>
      </c>
      <c r="F20" s="55">
        <v>40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15</v>
      </c>
      <c r="I13" s="55"/>
      <c r="J13" s="55">
        <v>35</v>
      </c>
      <c r="K13" s="55"/>
      <c r="L13" s="55"/>
      <c r="M13" s="55"/>
      <c r="N13" s="55"/>
      <c r="P13" s="88">
        <f>SUM(D13:N13)</f>
        <v>430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15</v>
      </c>
      <c r="I30" s="88">
        <f t="shared" si="1"/>
        <v>0</v>
      </c>
      <c r="J30" s="88">
        <f t="shared" si="1"/>
        <v>35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2018-06-01T09:01:31Z</dcterms:modified>
</cp:coreProperties>
</file>