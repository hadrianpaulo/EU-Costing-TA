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Drugs&amp;Med'!$C$11:$C$12</definedName>
    <definedName name="_xlnm.Print_Area" localSheetId="0">'1.1 Case data_general'!$B$1:$F$70</definedName>
    <definedName name="_xlnm.Print_Area" localSheetId="1">'1.2 Drugs&amp;Med'!$B$2:$J$13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<sst xmlns="http://schemas.openxmlformats.org/spreadsheetml/2006/main" count="478" uniqueCount="188">
  <si>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</si>
  <si>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</si>
  <si>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</si>
  <si>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</si>
  <si>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</si>
  <si>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</si>
  <si>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</si>
  <si>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</si>
  <si>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</si>
  <si>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</si>
  <si>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</si>
  <si>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</si>
  <si>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</si>
  <si>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</si>
  <si>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</si>
  <si>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</si>
  <si>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</si>
  <si>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</si>
  <si>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</si>
  <si>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</si>
  <si>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</si>
  <si>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</si>
  <si>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</si>
  <si>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</si>
  <si>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</si>
  <si>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</si>
  <si>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</si>
  <si>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</si>
  <si>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</si>
  <si>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</si>
  <si>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</si>
  <si>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</si>
  <si>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</si>
  <si>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</si>
  <si>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</si>
  <si>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</si>
  <si>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</si>
  <si>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</si>
  <si>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</si>
  <si>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</si>
  <si>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</si>
  <si>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</si>
  <si>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</si>
  <si>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</si>
  <si>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</si>
  <si>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</si>
  <si>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</si>
  <si>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</si>
  <si>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</si>
  <si>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</si>
  <si>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</si>
  <si>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</si>
  <si>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</si>
  <si>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</si>
  <si>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</si>
  <si>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</si>
  <si>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</si>
  <si>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</si>
  <si>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</si>
  <si>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</si>
  <si>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</si>
  <si>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</si>
  <si>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</si>
  <si>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</si>
  <si>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</si>
  <si>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</si>
  <si>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</si>
  <si>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</si>
  <si>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</si>
  <si>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</si>
  <si>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</si>
  <si>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</si>
  <si>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</si>
  <si>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</si>
  <si>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</si>
  <si>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</si>
  <si>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</si>
  <si>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</si>
  <si>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</si>
  <si>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</si>
  <si>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</si>
  <si>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</si>
  <si>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</si>
  <si>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</si>
  <si>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</si>
  <si>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</si>
  <si>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</si>
  <si>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</si>
  <si>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</si>
  <si>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</si>
  <si>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</si>
  <si>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</si>
  <si>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</si>
  <si>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</si>
  <si>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</si>
  <si>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</si>
  <si>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</si>
  <si>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</si>
  <si>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</si>
  <si>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</si>
  <si>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</si>
  <si>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</si>
  <si>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</si>
  <si>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</si>
  <si>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</si>
  <si>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</si>
  <si>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</si>
  <si>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</si>
  <si>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</si>
  <si>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</si>
  <si>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</si>
  <si>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</si>
  <si>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</si>
  <si>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</si>
  <si>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</si>
  <si>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</si>
  <si>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</si>
  <si>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</si>
  <si>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</si>
  <si>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</si>
  <si>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</si>
  <si>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</si>
  <si>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</si>
  <si>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</si>
  <si>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</si>
  <si>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</si>
  <si>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</si>
  <si>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</si>
  <si>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</si>
  <si>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</si>
  <si>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</si>
  <si>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</si>
  <si>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</si>
  <si>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</si>
  <si>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</si>
  <si>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</si>
  <si>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</si>
  <si>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</si>
  <si>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</si>
  <si>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</si>
  <si>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</si>
  <si>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</si>
  <si>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</si>
  <si>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</si>
  <si>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</si>
  <si>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</si>
  <si>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</si>
  <si>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</si>
  <si>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</si>
  <si>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</si>
  <si>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</si>
  <si>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</si>
  <si>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</si>
  <si>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</si>
  <si>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</si>
  <si>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</si>
  <si>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</si>
  <si>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</si>
  <si>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</si>
  <si>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</si>
  <si>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</si>
  <si>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</si>
  <si>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</si>
  <si>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</si>
  <si>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</si>
  <si>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</si>
  <si>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</si>
  <si>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</si>
  <si>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</si>
  <si>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</si>
  <si>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</si>
  <si>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</si>
  <si>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</si>
  <si>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PLASTER 1/2</t>
  </si>
  <si>
    <t>E86.1</t>
  </si>
  <si>
    <t>CBC PLATELET COUNT</t>
  </si>
  <si>
    <t>FECALYSIS</t>
  </si>
  <si>
    <t>XRAY</t>
  </si>
  <si>
    <t>CEFUROXIME</t>
  </si>
  <si>
    <t>D5 0.3 NACL</t>
  </si>
  <si>
    <t>MICRO SET</t>
  </si>
  <si>
    <t>ABOCATH GAUGE 24</t>
  </si>
  <si>
    <t>250MG</t>
  </si>
  <si>
    <t>500CC</t>
  </si>
  <si>
    <t>N39.0</t>
  </si>
  <si>
    <t>CHEST PA</t>
  </si>
  <si>
    <t>SYRINGE 5CC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</si>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</sst>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1630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255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177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167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2405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3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169</v>
      </c>
      <c r="E11" s="27" t="s">
        <v>182</v>
      </c>
      <c r="F11" s="55">
        <v>3</v>
      </c>
      <c r="G11" s="55">
        <v>3</v>
      </c>
      <c r="H11" s="55">
        <v>7</v>
      </c>
      <c r="I11" s="55">
        <v>100</v>
      </c>
      <c r="J11" s="55">
        <f>H11*I11</f>
        <v>700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172</v>
      </c>
      <c r="E12" s="27" t="s">
        <v>183</v>
      </c>
      <c r="F12" s="55">
        <v>2</v>
      </c>
      <c r="G12" s="55">
        <v>3</v>
      </c>
      <c r="H12" s="55">
        <v>7</v>
      </c>
      <c r="I12" s="55">
        <v>100</v>
      </c>
      <c r="J12" s="55">
        <f t="shared" ref="J12" si="0">H12*I12</f>
        <v>700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25">
      <c r="A13" s="33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20" ht="15.75" customHeight="1" x14ac:dyDescent="0.25"/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171</v>
      </c>
      <c r="E17" s="55">
        <v>1</v>
      </c>
      <c r="F17" s="55">
        <v>100</v>
      </c>
      <c r="G17" s="55">
        <f t="shared" ref="G17:G20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173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171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261</v>
      </c>
      <c r="H13" s="55">
        <v>10</v>
      </c>
      <c r="I13" s="55"/>
      <c r="J13" s="55">
        <v>40</v>
      </c>
      <c r="K13" s="55"/>
      <c r="L13" s="55"/>
      <c r="M13" s="55"/>
      <c r="N13" s="55"/>
      <c r="P13" s="88">
        <f>SUM(D13:N13)</f>
        <v>331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261</v>
      </c>
      <c r="H30" s="88">
        <f t="shared" si="1"/>
        <v>10</v>
      </c>
      <c r="I30" s="88">
        <f t="shared" si="1"/>
        <v>0</v>
      </c>
      <c r="J30" s="88">
        <f t="shared" si="1"/>
        <v>40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2018-06-01T08:24:17Z</dcterms:modified>
</cp:coreProperties>
</file>