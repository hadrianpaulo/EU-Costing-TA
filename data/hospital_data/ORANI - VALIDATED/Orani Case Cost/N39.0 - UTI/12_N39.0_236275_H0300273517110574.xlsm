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data_general'!$B$1:$F$80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20" i="9" l="1"/>
  <c r="G19" i="9"/>
  <c r="G18" i="9"/>
  <c r="G17" i="9"/>
  <c r="G16" i="9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3" i="10" l="1"/>
  <c r="G13" i="10"/>
  <c r="E13" i="10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G5" i="11" s="1" a="1"/>
  <c r="G5" i="11" s="1"/>
  <c r="F3" i="11" a="1"/>
  <c r="F3" i="11" s="1"/>
  <c r="F4" i="11" s="1" a="1"/>
  <c r="F4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80" i="1"/>
  <c r="E80" i="1"/>
  <c r="D80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<sst xmlns="http://schemas.openxmlformats.org/spreadsheetml/2006/main" count="513" uniqueCount="211">
  <si>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</si>
  <si>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</si>
  <si>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</si>
  <si>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</si>
  <si>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</si>
  <si>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</si>
  <si>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</si>
  <si>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</si>
  <si>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</si>
  <si>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</si>
  <si>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</si>
  <si>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</si>
  <si>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</si>
  <si>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</si>
  <si>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</si>
  <si>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</si>
  <si>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</si>
  <si>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</si>
  <si>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</si>
  <si>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</si>
  <si>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</si>
  <si>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</si>
  <si>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</si>
  <si>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</si>
  <si>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</si>
  <si>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</si>
  <si>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</si>
  <si>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</si>
  <si>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</si>
  <si>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</si>
  <si>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</si>
  <si>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</si>
  <si>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</si>
  <si>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</si>
  <si>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</si>
  <si>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</si>
  <si>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</si>
  <si>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</si>
  <si>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</si>
  <si>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</si>
  <si>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</si>
  <si>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</si>
  <si>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</si>
  <si>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</si>
  <si>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</si>
  <si>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</si>
  <si>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</si>
  <si>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</si>
  <si>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</si>
  <si>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</si>
  <si>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</si>
  <si>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</si>
  <si>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</si>
  <si>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</si>
  <si>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</si>
  <si>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</si>
  <si>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</si>
  <si>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</si>
  <si>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</si>
  <si>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</si>
  <si>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</si>
  <si>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</si>
  <si>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</si>
  <si>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</si>
  <si>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</si>
  <si>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</si>
  <si>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</si>
  <si>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</si>
  <si>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</si>
  <si>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</si>
  <si>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</si>
  <si>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</si>
  <si>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</si>
  <si>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</si>
  <si>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</si>
  <si>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</si>
  <si>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</si>
  <si>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</si>
  <si>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</si>
  <si>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</si>
  <si>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</si>
  <si>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</si>
  <si>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</si>
  <si>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</si>
  <si>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</si>
  <si>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</si>
  <si>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</si>
  <si>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</si>
  <si>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</si>
  <si>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</si>
  <si>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</si>
  <si>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</si>
  <si>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</si>
  <si>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</si>
  <si>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</si>
  <si>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</si>
  <si>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</si>
  <si>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</si>
  <si>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</si>
  <si>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</si>
  <si>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</si>
  <si>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</si>
  <si>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</si>
  <si>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</si>
  <si>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</si>
  <si>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</si>
  <si>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</si>
  <si>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</si>
  <si>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</si>
  <si>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</si>
  <si>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</si>
  <si>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</si>
  <si>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</si>
  <si>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</si>
  <si>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</si>
  <si>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</si>
  <si>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</si>
  <si>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</si>
  <si>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</si>
  <si>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</si>
  <si>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</si>
  <si>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</si>
  <si>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</si>
  <si>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</si>
  <si>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</si>
  <si>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</si>
  <si>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</si>
  <si>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</si>
  <si>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</si>
  <si>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</si>
  <si>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</si>
  <si>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</si>
  <si>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</si>
  <si>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</si>
  <si>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</si>
  <si>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</si>
  <si>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</si>
  <si>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</si>
  <si>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</si>
  <si>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</si>
  <si>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</si>
  <si>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</si>
  <si>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</si>
  <si>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</si>
  <si>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</si>
  <si>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</si>
  <si>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</si>
  <si>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</si>
  <si>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</si>
  <si>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</si>
  <si>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</si>
  <si>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</si>
  <si>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</si>
  <si>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</si>
  <si>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</si>
  <si>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</si>
  <si>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</si>
  <si>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</si>
  <si>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</si>
  <si>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</si>
  <si>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</si>
  <si>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</si>
  <si>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</si>
  <si>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</si>
  <si>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</si>
  <si>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</si>
  <si>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</si>
  <si>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UTI WITH MODERATE DEHYDRATION</t>
  </si>
  <si>
    <t>N39.0</t>
  </si>
  <si>
    <t>E86.1</t>
  </si>
  <si>
    <t>OXYGEN</t>
  </si>
  <si>
    <t>Visit in the ward</t>
  </si>
  <si>
    <t>CBC PLATELET</t>
  </si>
  <si>
    <t>URINALYSIS</t>
  </si>
  <si>
    <t>TOTAL CHOLESTEROL</t>
  </si>
  <si>
    <t>GLUCOSE</t>
  </si>
  <si>
    <t>BUN</t>
  </si>
  <si>
    <t>CREATININE</t>
  </si>
  <si>
    <t>CHOLESTEROL</t>
  </si>
  <si>
    <t>URIC ACID</t>
  </si>
  <si>
    <t>TRIGLYCERIDES</t>
  </si>
  <si>
    <t>FECALYSIS</t>
  </si>
  <si>
    <t>AMPICILLIN</t>
  </si>
  <si>
    <t>MULTIVITAMINS</t>
  </si>
  <si>
    <t>CEFUROXIME</t>
  </si>
  <si>
    <t>CAPTORIL</t>
  </si>
  <si>
    <t>NAKCL</t>
  </si>
  <si>
    <t>OMEPRAZOLE</t>
  </si>
  <si>
    <t>VIAL</t>
  </si>
  <si>
    <t>20MG</t>
  </si>
  <si>
    <t>500MG</t>
  </si>
  <si>
    <t>CAPSULE</t>
  </si>
  <si>
    <t>1500MG</t>
  </si>
  <si>
    <t>75MG</t>
  </si>
  <si>
    <t>TABLET</t>
  </si>
  <si>
    <t>LOSARTAN</t>
  </si>
  <si>
    <t>50MG</t>
  </si>
  <si>
    <t>AMLODIPINE</t>
  </si>
  <si>
    <t>5MG</t>
  </si>
  <si>
    <t>CATAPRES</t>
  </si>
  <si>
    <t>PNSS</t>
  </si>
  <si>
    <t>BOTTLE</t>
  </si>
  <si>
    <t>1LITER</t>
  </si>
  <si>
    <t>D5LR</t>
  </si>
  <si>
    <t>IV CATHETER G#24</t>
  </si>
  <si>
    <t>PIECE</t>
  </si>
  <si>
    <t>IV SET MACROSET</t>
  </si>
  <si>
    <t>ADHESIVE PLASTER 1/2</t>
  </si>
  <si>
    <t>ROLL</t>
  </si>
  <si>
    <t>3CC SYRINGE</t>
  </si>
  <si>
    <t>5CC SYRINGE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</si>
</sst>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54</xdr:row>
          <xdr:rowOff>19050</xdr:rowOff>
        </xdr:from>
        <xdr:to>
          <xdr:col>1</xdr:col>
          <xdr:colOff>733425</xdr:colOff>
          <xdr:row>54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54</xdr:row>
          <xdr:rowOff>19050</xdr:rowOff>
        </xdr:from>
        <xdr:to>
          <xdr:col>1</xdr:col>
          <xdr:colOff>1504950</xdr:colOff>
          <xdr:row>54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68</xdr:row>
          <xdr:rowOff>19050</xdr:rowOff>
        </xdr:from>
        <xdr:to>
          <xdr:col>1</xdr:col>
          <xdr:colOff>733425</xdr:colOff>
          <xdr:row>68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68</xdr:row>
          <xdr:rowOff>19050</xdr:rowOff>
        </xdr:from>
        <xdr:to>
          <xdr:col>1</xdr:col>
          <xdr:colOff>1504950</xdr:colOff>
          <xdr:row>68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7"/>
  <sheetViews>
    <sheetView topLeftCell="A63" zoomScaleNormal="100" workbookViewId="0">
      <selection activeCell="C97" sqref="B96:C9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167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13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59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60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169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51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163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42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4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186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172</v>
      </c>
      <c r="D35" s="23"/>
      <c r="E35" s="55">
        <v>2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173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174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175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176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 t="s">
        <v>177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 t="s">
        <v>178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 t="s">
        <v>179</v>
      </c>
      <c r="D42" s="23"/>
      <c r="E42" s="55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 t="s">
        <v>180</v>
      </c>
      <c r="D43" s="23"/>
      <c r="E43" s="55">
        <v>1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11</v>
      </c>
      <c r="C44" s="27" t="s">
        <v>181</v>
      </c>
      <c r="D44" s="23"/>
      <c r="E44" s="55">
        <v>1</v>
      </c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12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13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8" t="s">
        <v>19</v>
      </c>
      <c r="C47" s="119"/>
      <c r="D47" s="116"/>
      <c r="E47" s="119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1</v>
      </c>
      <c r="C48" s="27" t="s">
        <v>163</v>
      </c>
      <c r="D48" s="23"/>
      <c r="E48" s="55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2</v>
      </c>
      <c r="C49" s="27"/>
      <c r="D49" s="23"/>
      <c r="E49" s="55"/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3</v>
      </c>
      <c r="C50" s="27"/>
      <c r="D50" s="23"/>
      <c r="E50" s="55"/>
      <c r="F50" s="24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4</v>
      </c>
      <c r="C51" s="27"/>
      <c r="D51" s="23"/>
      <c r="E51" s="55"/>
      <c r="F51" s="24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8" t="s">
        <v>43</v>
      </c>
      <c r="C52" s="119"/>
      <c r="D52" s="116"/>
      <c r="E52" s="119"/>
      <c r="F52" s="11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14" t="s">
        <v>44</v>
      </c>
      <c r="C53" s="13"/>
      <c r="D53" s="13"/>
      <c r="E53" s="16"/>
      <c r="F53" s="13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thickBot="1" x14ac:dyDescent="0.35">
      <c r="A54" s="1"/>
      <c r="B54" s="115" t="s">
        <v>52</v>
      </c>
      <c r="C54" s="116"/>
      <c r="D54" s="116"/>
      <c r="E54" s="116"/>
      <c r="F54" s="11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30">
        <v>1</v>
      </c>
      <c r="C55" s="31" t="s">
        <v>163</v>
      </c>
      <c r="D55" s="32"/>
      <c r="E55" s="57"/>
      <c r="F55" s="57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20"/>
      <c r="B56" s="30">
        <v>2</v>
      </c>
      <c r="C56" s="31"/>
      <c r="D56" s="32"/>
      <c r="E56" s="57"/>
      <c r="F56" s="57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20"/>
      <c r="B57" s="26">
        <v>3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20"/>
      <c r="B58" s="26">
        <v>4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thickBot="1" x14ac:dyDescent="0.35">
      <c r="A59" s="1"/>
      <c r="B59" s="115" t="s">
        <v>20</v>
      </c>
      <c r="C59" s="116"/>
      <c r="D59" s="116"/>
      <c r="E59" s="116"/>
      <c r="F59" s="117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1</v>
      </c>
      <c r="C60" s="27" t="s">
        <v>163</v>
      </c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2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3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6">
        <v>4</v>
      </c>
      <c r="C63" s="27"/>
      <c r="D63" s="28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26">
        <v>5</v>
      </c>
      <c r="C64" s="27"/>
      <c r="D64" s="28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26">
        <v>6</v>
      </c>
      <c r="C65" s="27"/>
      <c r="D65" s="28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25"/>
      <c r="C66" s="25"/>
      <c r="D66" s="25"/>
      <c r="E66" s="25"/>
      <c r="F66" s="2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57.75" customHeight="1" thickBot="1" x14ac:dyDescent="0.35">
      <c r="A68" s="1"/>
      <c r="B68" s="17" t="s">
        <v>54</v>
      </c>
      <c r="C68" s="17" t="s">
        <v>50</v>
      </c>
      <c r="D68" s="17" t="s">
        <v>55</v>
      </c>
      <c r="E68" s="18" t="s">
        <v>56</v>
      </c>
      <c r="F68" s="19" t="s">
        <v>21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2">
        <v>1</v>
      </c>
      <c r="C69" s="27" t="s">
        <v>165</v>
      </c>
      <c r="D69" s="55">
        <v>1815</v>
      </c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2</v>
      </c>
      <c r="C70" s="27" t="s">
        <v>164</v>
      </c>
      <c r="D70" s="55">
        <v>1675</v>
      </c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3</v>
      </c>
      <c r="C71" s="27" t="s">
        <v>170</v>
      </c>
      <c r="D71" s="55">
        <v>125</v>
      </c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4</v>
      </c>
      <c r="C72" s="27" t="s">
        <v>166</v>
      </c>
      <c r="D72" s="55">
        <v>400</v>
      </c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5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6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7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8</v>
      </c>
      <c r="C76" s="27"/>
      <c r="D76" s="55"/>
      <c r="E76" s="55"/>
      <c r="F76" s="5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0">
        <v>9</v>
      </c>
      <c r="C77" s="27"/>
      <c r="D77" s="55"/>
      <c r="E77" s="55"/>
      <c r="F77" s="55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0">
        <v>10</v>
      </c>
      <c r="C78" s="27"/>
      <c r="D78" s="55"/>
      <c r="E78" s="55"/>
      <c r="F78" s="55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4.9000000000000004" customHeight="1" thickBot="1" x14ac:dyDescent="0.35">
      <c r="A79" s="1"/>
      <c r="B79" s="1"/>
      <c r="C79" s="1"/>
      <c r="D79" s="58"/>
      <c r="E79" s="58"/>
      <c r="F79" s="58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thickTop="1" x14ac:dyDescent="0.3">
      <c r="A80" s="1"/>
      <c r="B80" s="11"/>
      <c r="C80" s="4" t="s">
        <v>22</v>
      </c>
      <c r="D80" s="59">
        <f>SUM(D69:D79)</f>
        <v>4015</v>
      </c>
      <c r="E80" s="59">
        <f>SUM(E69:E79)</f>
        <v>0</v>
      </c>
      <c r="F80" s="59">
        <f>SUM(F69:F79)</f>
        <v>0</v>
      </c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  <row r="1016" spans="1:25" ht="13.5" customHeight="1" x14ac:dyDescent="0.3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</row>
    <row r="1017" spans="1:25" ht="13.5" customHeight="1" x14ac:dyDescent="0.3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</row>
  </sheetData>
  <sheetProtection password="C2E9" sheet="1" objects="1" scenarios="1" formatColumns="0" formatRows="0" sort="0" autoFilter="0"/>
  <mergeCells count="12">
    <mergeCell ref="B59:F59"/>
    <mergeCell ref="B52:F52"/>
    <mergeCell ref="B12:F12"/>
    <mergeCell ref="B13:F13"/>
    <mergeCell ref="B14:F14"/>
    <mergeCell ref="B15:F15"/>
    <mergeCell ref="B18:F18"/>
    <mergeCell ref="B22:F22"/>
    <mergeCell ref="B33:F33"/>
    <mergeCell ref="B28:F28"/>
    <mergeCell ref="B47:F47"/>
    <mergeCell ref="B54:F54"/>
  </mergeCells>
  <dataValidations count="1">
    <dataValidation type="decimal" operator="greaterThanOrEqual" allowBlank="1" showInputMessage="1" showErrorMessage="1" sqref="E32 E48:E51 E53 E23:F27 E55:F58 E60:F65 D69:F78 E34:E36 E37:E4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7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54</xdr:row>
                    <xdr:rowOff>19050</xdr:rowOff>
                  </from>
                  <to>
                    <xdr:col>1</xdr:col>
                    <xdr:colOff>733425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54</xdr:row>
                    <xdr:rowOff>19050</xdr:rowOff>
                  </from>
                  <to>
                    <xdr:col>1</xdr:col>
                    <xdr:colOff>1504950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68</xdr:row>
                    <xdr:rowOff>19050</xdr:rowOff>
                  </from>
                  <to>
                    <xdr:col>1</xdr:col>
                    <xdr:colOff>733425</xdr:colOff>
                    <xdr:row>68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68</xdr:row>
                    <xdr:rowOff>19050</xdr:rowOff>
                  </from>
                  <to>
                    <xdr:col>1</xdr:col>
                    <xdr:colOff>1504950</xdr:colOff>
                    <xdr:row>68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11" workbookViewId="0">
      <selection activeCell="H16" sqref="H1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UTI WITH MODERATE DEHYDRATION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63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187</v>
      </c>
      <c r="D11" s="27" t="s">
        <v>188</v>
      </c>
      <c r="E11" s="27" t="s">
        <v>189</v>
      </c>
      <c r="F11" s="55">
        <v>1</v>
      </c>
      <c r="G11" s="55">
        <v>1</v>
      </c>
      <c r="H11" s="55">
        <v>1</v>
      </c>
      <c r="I11" s="55">
        <v>100</v>
      </c>
      <c r="J11" s="55">
        <f>H11*I11</f>
        <v>100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182</v>
      </c>
      <c r="D12" s="27" t="s">
        <v>188</v>
      </c>
      <c r="E12" s="27" t="s">
        <v>190</v>
      </c>
      <c r="F12" s="55">
        <v>4</v>
      </c>
      <c r="G12" s="55">
        <v>2</v>
      </c>
      <c r="H12" s="55">
        <v>2</v>
      </c>
      <c r="I12" s="55">
        <v>40</v>
      </c>
      <c r="J12" s="55">
        <f t="shared" ref="J12:J25" si="0">H12*I12</f>
        <v>80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183</v>
      </c>
      <c r="D13" s="27" t="s">
        <v>191</v>
      </c>
      <c r="E13" s="27" t="s">
        <v>190</v>
      </c>
      <c r="F13" s="55">
        <v>1</v>
      </c>
      <c r="G13" s="55">
        <v>3</v>
      </c>
      <c r="H13" s="55">
        <v>3</v>
      </c>
      <c r="I13" s="55">
        <v>50</v>
      </c>
      <c r="J13" s="55">
        <f t="shared" si="0"/>
        <v>150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184</v>
      </c>
      <c r="D14" s="27" t="s">
        <v>188</v>
      </c>
      <c r="E14" s="27" t="s">
        <v>192</v>
      </c>
      <c r="F14" s="55">
        <v>1</v>
      </c>
      <c r="G14" s="55">
        <v>1</v>
      </c>
      <c r="H14" s="55">
        <v>1</v>
      </c>
      <c r="I14" s="55">
        <v>120</v>
      </c>
      <c r="J14" s="55">
        <f t="shared" si="0"/>
        <v>120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184</v>
      </c>
      <c r="D15" s="27" t="s">
        <v>188</v>
      </c>
      <c r="E15" s="27" t="s">
        <v>190</v>
      </c>
      <c r="F15" s="55">
        <v>3</v>
      </c>
      <c r="G15" s="55">
        <v>4</v>
      </c>
      <c r="H15" s="55">
        <v>4</v>
      </c>
      <c r="I15" s="55">
        <v>60</v>
      </c>
      <c r="J15" s="55">
        <f t="shared" si="0"/>
        <v>240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185</v>
      </c>
      <c r="D16" s="27" t="s">
        <v>194</v>
      </c>
      <c r="E16" s="27" t="s">
        <v>193</v>
      </c>
      <c r="F16" s="55">
        <v>1</v>
      </c>
      <c r="G16" s="55">
        <v>1</v>
      </c>
      <c r="H16" s="55">
        <v>1</v>
      </c>
      <c r="I16" s="55">
        <v>5</v>
      </c>
      <c r="J16" s="55">
        <f t="shared" si="0"/>
        <v>5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195</v>
      </c>
      <c r="D17" s="27" t="s">
        <v>194</v>
      </c>
      <c r="E17" s="27" t="s">
        <v>196</v>
      </c>
      <c r="F17" s="55">
        <v>1</v>
      </c>
      <c r="G17" s="55">
        <v>2</v>
      </c>
      <c r="H17" s="55">
        <v>2</v>
      </c>
      <c r="I17" s="55">
        <v>5</v>
      </c>
      <c r="J17" s="55">
        <f t="shared" si="0"/>
        <v>10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197</v>
      </c>
      <c r="D18" s="27" t="s">
        <v>194</v>
      </c>
      <c r="E18" s="27" t="s">
        <v>198</v>
      </c>
      <c r="F18" s="55">
        <v>1</v>
      </c>
      <c r="G18" s="55">
        <v>2</v>
      </c>
      <c r="H18" s="55">
        <v>2</v>
      </c>
      <c r="I18" s="55">
        <v>5</v>
      </c>
      <c r="J18" s="55">
        <f t="shared" si="0"/>
        <v>10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199</v>
      </c>
      <c r="D19" s="27" t="s">
        <v>194</v>
      </c>
      <c r="E19" s="27" t="s">
        <v>193</v>
      </c>
      <c r="F19" s="55">
        <v>1</v>
      </c>
      <c r="G19" s="55">
        <v>1</v>
      </c>
      <c r="H19" s="55">
        <v>1</v>
      </c>
      <c r="I19" s="55">
        <v>50</v>
      </c>
      <c r="J19" s="55">
        <f t="shared" si="0"/>
        <v>50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200</v>
      </c>
      <c r="D20" s="27" t="s">
        <v>201</v>
      </c>
      <c r="E20" s="27" t="s">
        <v>202</v>
      </c>
      <c r="F20" s="55">
        <v>2</v>
      </c>
      <c r="G20" s="55">
        <v>1</v>
      </c>
      <c r="H20" s="55">
        <v>1</v>
      </c>
      <c r="I20" s="55">
        <v>100</v>
      </c>
      <c r="J20" s="55">
        <f t="shared" si="0"/>
        <v>100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203</v>
      </c>
      <c r="D21" s="27" t="s">
        <v>201</v>
      </c>
      <c r="E21" s="27" t="s">
        <v>202</v>
      </c>
      <c r="F21" s="55">
        <v>2</v>
      </c>
      <c r="G21" s="55">
        <v>3</v>
      </c>
      <c r="H21" s="55">
        <v>6</v>
      </c>
      <c r="I21" s="55">
        <v>100</v>
      </c>
      <c r="J21" s="55">
        <f t="shared" si="0"/>
        <v>600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G28" sqref="B27:G28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UTI WITH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68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71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204</v>
      </c>
      <c r="D16" s="70" t="s">
        <v>205</v>
      </c>
      <c r="E16" s="55">
        <v>1</v>
      </c>
      <c r="F16" s="55">
        <v>90</v>
      </c>
      <c r="G16" s="55">
        <f>E16*F16</f>
        <v>90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206</v>
      </c>
      <c r="D17" s="70" t="s">
        <v>205</v>
      </c>
      <c r="E17" s="55">
        <v>1</v>
      </c>
      <c r="F17" s="55">
        <v>40</v>
      </c>
      <c r="G17" s="55">
        <f t="shared" ref="G17:G20" si="0">E17*F17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207</v>
      </c>
      <c r="D18" s="70" t="s">
        <v>208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209</v>
      </c>
      <c r="D19" s="70" t="s">
        <v>205</v>
      </c>
      <c r="E19" s="55">
        <v>3</v>
      </c>
      <c r="F19" s="55">
        <v>10</v>
      </c>
      <c r="G19" s="55">
        <f t="shared" si="0"/>
        <v>30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210</v>
      </c>
      <c r="D20" s="70" t="s">
        <v>205</v>
      </c>
      <c r="E20" s="55">
        <v>1</v>
      </c>
      <c r="F20" s="55">
        <v>10</v>
      </c>
      <c r="G20" s="55">
        <f t="shared" si="0"/>
        <v>10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75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UTI WITH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171</v>
      </c>
      <c r="D13" s="55"/>
      <c r="E13" s="55">
        <f>10*4</f>
        <v>40</v>
      </c>
      <c r="F13" s="55"/>
      <c r="G13" s="55">
        <f>24*4*60/9</f>
        <v>640</v>
      </c>
      <c r="H13" s="55"/>
      <c r="I13" s="55"/>
      <c r="J13" s="55">
        <f>5*4</f>
        <v>20</v>
      </c>
      <c r="K13" s="55"/>
      <c r="L13" s="55"/>
      <c r="M13" s="55"/>
      <c r="N13" s="55"/>
      <c r="P13" s="88">
        <f>SUM(D13:N13)</f>
        <v>700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40</v>
      </c>
      <c r="F30" s="88">
        <f t="shared" si="1"/>
        <v>0</v>
      </c>
      <c r="G30" s="88">
        <f t="shared" si="1"/>
        <v>640</v>
      </c>
      <c r="H30" s="88">
        <f t="shared" si="1"/>
        <v>0</v>
      </c>
      <c r="I30" s="88">
        <f t="shared" si="1"/>
        <v>0</v>
      </c>
      <c r="J30" s="88">
        <f t="shared" si="1"/>
        <v>20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700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2018-06-01T08:34:16Z</dcterms:modified>
</cp:coreProperties>
</file>