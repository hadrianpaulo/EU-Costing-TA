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6" i="2"/>
  <c r="J15" i="2"/>
  <c r="J14" i="2"/>
  <c r="J13" i="2"/>
  <c r="J12" i="2"/>
  <c r="J11" i="2"/>
  <c r="G20" i="9"/>
  <c r="G19" i="9"/>
  <c r="G18" i="9"/>
  <c r="G17" i="9"/>
  <c r="G16" i="9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<sst xmlns="http://schemas.openxmlformats.org/spreadsheetml/2006/main" count="487" uniqueCount="197">
  <si>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</si>
  <si>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</si>
  <si>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</si>
  <si>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</si>
  <si>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</si>
  <si>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</si>
  <si>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</si>
  <si>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</si>
  <si>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</si>
  <si>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</si>
  <si>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</si>
  <si>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</si>
  <si>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</si>
  <si>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</si>
  <si>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</si>
  <si>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</si>
  <si>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</si>
  <si>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</si>
  <si>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</si>
  <si>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</si>
  <si>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</si>
  <si>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</si>
  <si>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</si>
  <si>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</si>
  <si>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</si>
  <si>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</si>
  <si>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</si>
  <si>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</si>
  <si>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</si>
  <si>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</si>
  <si>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</si>
  <si>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</si>
  <si>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</si>
  <si>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</si>
  <si>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</si>
  <si>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</si>
  <si>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</si>
  <si>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</si>
  <si>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</si>
  <si>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</si>
  <si>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</si>
  <si>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</si>
  <si>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</si>
  <si>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</si>
  <si>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</si>
  <si>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</si>
  <si>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</si>
  <si>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</si>
  <si>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</si>
  <si>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</si>
  <si>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</si>
  <si>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</si>
  <si>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</si>
  <si>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</si>
  <si>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</si>
  <si>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</si>
  <si>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</si>
  <si>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</si>
  <si>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</si>
  <si>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</si>
  <si>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</si>
  <si>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</si>
  <si>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</si>
  <si>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</si>
  <si>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</si>
  <si>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</si>
  <si>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</si>
  <si>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</si>
  <si>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</si>
  <si>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</si>
  <si>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</si>
  <si>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</si>
  <si>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</si>
  <si>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</si>
  <si>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</si>
  <si>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</si>
  <si>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</si>
  <si>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</si>
  <si>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</si>
  <si>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</si>
  <si>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</si>
  <si>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</si>
  <si>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</si>
  <si>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</si>
  <si>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</si>
  <si>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</si>
  <si>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</si>
  <si>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</si>
  <si>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</si>
  <si>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</si>
  <si>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</si>
  <si>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</si>
  <si>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</si>
  <si>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</si>
  <si>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</si>
  <si>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</si>
  <si>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</si>
  <si>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</si>
  <si>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</si>
  <si>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</si>
  <si>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</si>
  <si>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</si>
  <si>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</si>
  <si>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</si>
  <si>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</si>
  <si>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</si>
  <si>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</si>
  <si>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</si>
  <si>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</si>
  <si>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</si>
  <si>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</si>
  <si>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</si>
  <si>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</si>
  <si>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</si>
  <si>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</si>
  <si>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</si>
  <si>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</si>
  <si>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</si>
  <si>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</si>
  <si>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</si>
  <si>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</si>
  <si>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</si>
  <si>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</si>
  <si>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</si>
  <si>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</si>
  <si>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</si>
  <si>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</si>
  <si>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</si>
  <si>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</si>
  <si>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</si>
  <si>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</si>
  <si>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</si>
  <si>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</si>
  <si>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</si>
  <si>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</si>
  <si>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</si>
  <si>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</si>
  <si>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</si>
  <si>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</si>
  <si>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</si>
  <si>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</si>
  <si>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</si>
  <si>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</si>
  <si>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</si>
  <si>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</si>
  <si>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</si>
  <si>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</si>
  <si>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</si>
  <si>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</si>
  <si>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</si>
  <si>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</si>
  <si>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</si>
  <si>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</si>
  <si>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</si>
  <si>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</si>
  <si>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</si>
  <si>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</si>
  <si>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</si>
  <si>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</si>
  <si>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</si>
  <si>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</si>
  <si>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</si>
  <si>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</si>
  <si>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</si>
  <si>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</si>
  <si>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</si>
  <si>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</si>
  <si>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N39.0</t>
  </si>
  <si>
    <t>XRAY</t>
  </si>
  <si>
    <t>ROD</t>
  </si>
  <si>
    <t>GLUCOSE</t>
  </si>
  <si>
    <t>BUN</t>
  </si>
  <si>
    <t>CREATININE</t>
  </si>
  <si>
    <t>CHOLESTEROL</t>
  </si>
  <si>
    <t>URIC ACID</t>
  </si>
  <si>
    <t>CBC PLATELET</t>
  </si>
  <si>
    <t>CHEST PA</t>
  </si>
  <si>
    <t>CEFUROXIME</t>
  </si>
  <si>
    <t>PARACETAMOL</t>
  </si>
  <si>
    <t>CINNARIZINE</t>
  </si>
  <si>
    <t>VIT B COMPLEX</t>
  </si>
  <si>
    <t>Visit in the ward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</si>
  <si>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</si>
  <si>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</si>
  <si>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</si>
  <si>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</si>
  <si>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</si>
  <si>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</si>
  <si>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</si>
  <si>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VIAL</t>
  </si>
  <si>
    <t>750MG</t>
  </si>
  <si>
    <t>AMPULE</t>
  </si>
  <si>
    <t>150MG</t>
  </si>
  <si>
    <t>TABLET</t>
  </si>
  <si>
    <t>25MG</t>
  </si>
  <si>
    <t>UTI WITH MODERATE DEHYDRATION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</si>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</sst>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B28" sqref="B28:F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43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52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163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163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580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168</v>
      </c>
      <c r="D63" s="55">
        <v>160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164</v>
      </c>
      <c r="D64" s="55">
        <v>1020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169</v>
      </c>
      <c r="D66" s="55">
        <v>600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3160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WITH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189</v>
      </c>
      <c r="E11" s="27" t="s">
        <v>190</v>
      </c>
      <c r="F11" s="55">
        <v>3</v>
      </c>
      <c r="G11" s="55">
        <v>3</v>
      </c>
      <c r="H11" s="55">
        <v>8</v>
      </c>
      <c r="I11" s="55">
        <v>60</v>
      </c>
      <c r="J11" s="55">
        <f>H11*I11</f>
        <v>480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191</v>
      </c>
      <c r="E12" s="27" t="s">
        <v>192</v>
      </c>
      <c r="F12" s="55">
        <v>6</v>
      </c>
      <c r="G12" s="55">
        <v>2</v>
      </c>
      <c r="H12" s="55">
        <v>3</v>
      </c>
      <c r="I12" s="55">
        <v>50</v>
      </c>
      <c r="J12" s="55">
        <f t="shared" ref="J12:J17" si="0">H12*I12</f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193</v>
      </c>
      <c r="E13" s="27" t="s">
        <v>194</v>
      </c>
      <c r="F13" s="55">
        <v>3</v>
      </c>
      <c r="G13" s="55">
        <v>2</v>
      </c>
      <c r="H13" s="55">
        <v>6</v>
      </c>
      <c r="I13" s="55">
        <v>5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193</v>
      </c>
      <c r="E14" s="27"/>
      <c r="F14" s="55">
        <v>2</v>
      </c>
      <c r="G14" s="55">
        <v>2</v>
      </c>
      <c r="H14" s="55">
        <v>4</v>
      </c>
      <c r="I14" s="55">
        <v>5</v>
      </c>
      <c r="J14" s="55">
        <f t="shared" si="0"/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183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183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186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183</v>
      </c>
      <c r="E19" s="55">
        <v>12</v>
      </c>
      <c r="F19" s="55">
        <v>10</v>
      </c>
      <c r="G19" s="55">
        <f t="shared" si="0"/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183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>
        <f>10*2</f>
        <v>20</v>
      </c>
      <c r="F13" s="55"/>
      <c r="G13" s="55">
        <f>24*2*60/10</f>
        <v>288</v>
      </c>
      <c r="H13" s="55"/>
      <c r="I13" s="55"/>
      <c r="J13" s="55">
        <f>5*2</f>
        <v>10</v>
      </c>
      <c r="K13" s="55"/>
      <c r="L13" s="55"/>
      <c r="M13" s="55"/>
      <c r="N13" s="55"/>
      <c r="P13" s="88">
        <f>SUM(D13:N13)</f>
        <v>318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288</v>
      </c>
      <c r="H30" s="88">
        <f t="shared" si="1"/>
        <v>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318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2018-06-01T08:39:09Z</dcterms:modified>
</cp:coreProperties>
</file>