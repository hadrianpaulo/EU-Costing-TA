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<sst xmlns="http://schemas.openxmlformats.org/spreadsheetml/2006/main" count="487" uniqueCount="196">
  <si>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</si>
  <si>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</si>
  <si>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</si>
  <si>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</si>
  <si>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</si>
  <si>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</si>
  <si>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</si>
  <si>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</si>
  <si>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</si>
  <si>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</si>
  <si>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</si>
  <si>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</si>
  <si>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</si>
  <si>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</si>
  <si>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</si>
  <si>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</si>
  <si>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</si>
  <si>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</si>
  <si>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</si>
  <si>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</si>
  <si>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</si>
  <si>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</si>
  <si>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</si>
  <si>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</si>
  <si>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</si>
  <si>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</si>
  <si>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</si>
  <si>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</si>
  <si>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</si>
  <si>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</si>
  <si>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</si>
  <si>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</si>
  <si>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</si>
  <si>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</si>
  <si>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</si>
  <si>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</si>
  <si>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</si>
  <si>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</si>
  <si>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</si>
  <si>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</si>
  <si>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</si>
  <si>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</si>
  <si>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</si>
  <si>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</si>
  <si>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</si>
  <si>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</si>
  <si>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</si>
  <si>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</si>
  <si>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</si>
  <si>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</si>
  <si>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</si>
  <si>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</si>
  <si>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</si>
  <si>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</si>
  <si>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</si>
  <si>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</si>
  <si>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</si>
  <si>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</si>
  <si>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</si>
  <si>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</si>
  <si>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</si>
  <si>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</si>
  <si>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</si>
  <si>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</si>
  <si>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</si>
  <si>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</si>
  <si>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</si>
  <si>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</si>
  <si>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</si>
  <si>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</si>
  <si>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</si>
  <si>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</si>
  <si>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</si>
  <si>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</si>
  <si>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</si>
  <si>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</si>
  <si>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</si>
  <si>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</si>
  <si>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</si>
  <si>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</si>
  <si>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</si>
  <si>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</si>
  <si>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</si>
  <si>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</si>
  <si>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</si>
  <si>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</si>
  <si>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</si>
  <si>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</si>
  <si>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</si>
  <si>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</si>
  <si>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</si>
  <si>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</si>
  <si>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</si>
  <si>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</si>
  <si>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</si>
  <si>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</si>
  <si>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</si>
  <si>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</si>
  <si>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</si>
  <si>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</si>
  <si>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</si>
  <si>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</si>
  <si>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</si>
  <si>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</si>
  <si>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</si>
  <si>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</si>
  <si>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</si>
  <si>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</si>
  <si>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</si>
  <si>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</si>
  <si>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</si>
  <si>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</si>
  <si>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</si>
  <si>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</si>
  <si>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</si>
  <si>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</si>
  <si>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</si>
  <si>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</si>
  <si>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</si>
  <si>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</si>
  <si>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</si>
  <si>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</si>
  <si>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</si>
  <si>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</si>
  <si>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</si>
  <si>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</si>
  <si>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</si>
  <si>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</si>
  <si>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</si>
  <si>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</si>
  <si>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</si>
  <si>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</si>
  <si>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</si>
  <si>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</si>
  <si>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</si>
  <si>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</si>
  <si>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</si>
  <si>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</si>
  <si>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</si>
  <si>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</si>
  <si>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</si>
  <si>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</si>
  <si>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</si>
  <si>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</si>
  <si>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</si>
  <si>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</si>
  <si>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</si>
  <si>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</si>
  <si>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</si>
  <si>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</si>
  <si>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</si>
  <si>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</si>
  <si>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</si>
  <si>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</si>
  <si>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</si>
  <si>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</si>
  <si>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</si>
  <si>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</si>
  <si>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</si>
  <si>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</si>
  <si>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</si>
  <si>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</si>
  <si>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</si>
  <si>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</si>
  <si>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</si>
  <si>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</si>
  <si>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</si>
  <si>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</si>
  <si>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</si>
  <si>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PC</t>
  </si>
  <si>
    <t>BOTTLE</t>
  </si>
  <si>
    <t>CEFUROXIME</t>
  </si>
  <si>
    <t>VIAL</t>
  </si>
  <si>
    <t>PARACETAMOL</t>
  </si>
  <si>
    <t>D5 0.3 NACL</t>
  </si>
  <si>
    <t>ABOCATH G24</t>
  </si>
  <si>
    <t>MICRO SET</t>
  </si>
  <si>
    <t>150MG</t>
  </si>
  <si>
    <t>PLASTER</t>
  </si>
  <si>
    <t>ROLL</t>
  </si>
  <si>
    <t>5CC SYRINGE</t>
  </si>
  <si>
    <t>3CC SYRINGE</t>
  </si>
  <si>
    <t>DISTILLED WATER FOR INJECTION</t>
  </si>
  <si>
    <t>50CC</t>
  </si>
  <si>
    <t>J18.02</t>
  </si>
  <si>
    <t>CHEST APL</t>
  </si>
  <si>
    <t>X-RAY</t>
  </si>
  <si>
    <t>HYDROCORTISONE</t>
  </si>
  <si>
    <t>50MG</t>
  </si>
  <si>
    <t>SUPPOSITORY</t>
  </si>
  <si>
    <t>SALBUTAMOL</t>
  </si>
  <si>
    <t>NEBULE</t>
  </si>
  <si>
    <t>2.5MG/2.5ML</t>
  </si>
  <si>
    <t>125MG</t>
  </si>
  <si>
    <t>500CC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</si>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</sst>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7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/>
      <c r="D35" s="23"/>
      <c r="E35" s="57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/>
      <c r="D36" s="23"/>
      <c r="E36" s="57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185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 t="s">
        <v>164</v>
      </c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164</v>
      </c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2045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167</v>
      </c>
      <c r="D65" s="55">
        <v>300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186</v>
      </c>
      <c r="D66" s="55">
        <v>320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2715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172</v>
      </c>
      <c r="E11" s="27" t="s">
        <v>177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172</v>
      </c>
      <c r="E12" s="27" t="s">
        <v>188</v>
      </c>
      <c r="F12" s="55">
        <v>3</v>
      </c>
      <c r="G12" s="55">
        <v>2</v>
      </c>
      <c r="H12" s="55">
        <v>3</v>
      </c>
      <c r="I12" s="55">
        <v>90</v>
      </c>
      <c r="J12" s="55">
        <f t="shared" ref="J12:J18" si="0">H12*I12</f>
        <v>270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189</v>
      </c>
      <c r="E13" s="27" t="s">
        <v>193</v>
      </c>
      <c r="F13" s="55">
        <v>2</v>
      </c>
      <c r="G13" s="55">
        <v>2</v>
      </c>
      <c r="H13" s="55">
        <v>2</v>
      </c>
      <c r="I13" s="55">
        <v>65</v>
      </c>
      <c r="J13" s="55">
        <f t="shared" si="0"/>
        <v>130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191</v>
      </c>
      <c r="E14" s="27" t="s">
        <v>192</v>
      </c>
      <c r="F14" s="55">
        <v>6</v>
      </c>
      <c r="G14" s="55">
        <v>3</v>
      </c>
      <c r="H14" s="55">
        <v>9</v>
      </c>
      <c r="I14" s="55">
        <v>20</v>
      </c>
      <c r="J14" s="55">
        <f t="shared" si="0"/>
        <v>180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170</v>
      </c>
      <c r="E15" s="27" t="s">
        <v>183</v>
      </c>
      <c r="F15" s="55">
        <v>1</v>
      </c>
      <c r="G15" s="55">
        <v>1</v>
      </c>
      <c r="H15" s="55">
        <v>1</v>
      </c>
      <c r="I15" s="55">
        <v>85</v>
      </c>
      <c r="J15" s="55">
        <f t="shared" si="0"/>
        <v>85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174</v>
      </c>
      <c r="D16" s="27" t="s">
        <v>170</v>
      </c>
      <c r="E16" s="27" t="s">
        <v>194</v>
      </c>
      <c r="F16" s="55">
        <v>2</v>
      </c>
      <c r="G16" s="55">
        <v>4</v>
      </c>
      <c r="H16" s="55">
        <v>6</v>
      </c>
      <c r="I16" s="55">
        <v>90</v>
      </c>
      <c r="J16" s="55">
        <f t="shared" si="0"/>
        <v>540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169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169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169</v>
      </c>
      <c r="E19" s="55">
        <v>9</v>
      </c>
      <c r="F19" s="55">
        <v>10</v>
      </c>
      <c r="G19" s="55">
        <f t="shared" si="0"/>
        <v>90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 t="s">
        <v>169</v>
      </c>
      <c r="E20" s="55">
        <v>4</v>
      </c>
      <c r="F20" s="55">
        <v>10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F22" sqref="F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120</v>
      </c>
      <c r="F13" s="55"/>
      <c r="G13" s="55">
        <v>230</v>
      </c>
      <c r="H13" s="55"/>
      <c r="I13" s="55"/>
      <c r="J13" s="55">
        <v>50</v>
      </c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120</v>
      </c>
      <c r="F30" s="88">
        <f t="shared" si="1"/>
        <v>0</v>
      </c>
      <c r="G30" s="88">
        <f t="shared" si="1"/>
        <v>230</v>
      </c>
      <c r="H30" s="88">
        <f t="shared" si="1"/>
        <v>0</v>
      </c>
      <c r="I30" s="88">
        <f t="shared" si="1"/>
        <v>0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2018-06-01T09:22:25Z</dcterms:modified>
</cp:coreProperties>
</file>