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Drugs&amp;Med'!$C$11:$C$20</definedName>
    <definedName name="_xlnm.Print_Area" localSheetId="0">'1.1 Case data_general'!$B$1:$F$69</definedName>
    <definedName name="_xlnm.Print_Area" localSheetId="1">'1.2 Drugs&amp;Med'!$B$2:$J$21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20" i="2" l="1"/>
  <c r="J19" i="2"/>
  <c r="J12" i="2" l="1"/>
  <c r="J13" i="2"/>
  <c r="J14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<sst xmlns="http://schemas.openxmlformats.org/spreadsheetml/2006/main" count="500" uniqueCount="204">
  <si>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</si>
  <si>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</si>
  <si>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</si>
  <si>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</si>
  <si>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</si>
  <si>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</si>
  <si>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</si>
  <si>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</si>
  <si>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</si>
  <si>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</si>
  <si>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</si>
  <si>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</si>
  <si>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</si>
  <si>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</si>
  <si>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</si>
  <si>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</si>
  <si>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</si>
  <si>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</si>
  <si>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</si>
  <si>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</si>
  <si>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</si>
  <si>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</si>
  <si>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</si>
  <si>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</si>
  <si>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</si>
  <si>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</si>
  <si>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</si>
  <si>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</si>
  <si>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</si>
  <si>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</si>
  <si>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</si>
  <si>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</si>
  <si>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</si>
  <si>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</si>
  <si>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</si>
  <si>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</si>
  <si>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</si>
  <si>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</si>
  <si>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</si>
  <si>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</si>
  <si>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</si>
  <si>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</si>
  <si>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</si>
  <si>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</si>
  <si>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</si>
  <si>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</si>
  <si>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</si>
  <si>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</si>
  <si>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</si>
  <si>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</si>
  <si>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</si>
  <si>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</si>
  <si>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</si>
  <si>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</si>
  <si>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</si>
  <si>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</si>
  <si>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</si>
  <si>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</si>
  <si>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</si>
  <si>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</si>
  <si>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</si>
  <si>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</si>
  <si>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</si>
  <si>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</si>
  <si>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</si>
  <si>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</si>
  <si>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</si>
  <si>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</si>
  <si>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</si>
  <si>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</si>
  <si>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</si>
  <si>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</si>
  <si>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</si>
  <si>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</si>
  <si>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</si>
  <si>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</si>
  <si>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</si>
  <si>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</si>
  <si>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</si>
  <si>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</si>
  <si>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</si>
  <si>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</si>
  <si>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</si>
  <si>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</si>
  <si>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</si>
  <si>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</si>
  <si>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</si>
  <si>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</si>
  <si>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</si>
  <si>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</si>
  <si>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</si>
  <si>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</si>
  <si>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</si>
  <si>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</si>
  <si>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</si>
  <si>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</si>
  <si>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</si>
  <si>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</si>
  <si>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</si>
  <si>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</si>
  <si>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</si>
  <si>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</si>
  <si>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</si>
  <si>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</si>
  <si>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</si>
  <si>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</si>
  <si>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</si>
  <si>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</si>
  <si>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</si>
  <si>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</si>
  <si>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</si>
  <si>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</si>
  <si>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</si>
  <si>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</si>
  <si>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</si>
  <si>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</si>
  <si>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</si>
  <si>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</si>
  <si>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</si>
  <si>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</si>
  <si>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</si>
  <si>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</si>
  <si>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</si>
  <si>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</si>
  <si>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</si>
  <si>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</si>
  <si>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</si>
  <si>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</si>
  <si>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</si>
  <si>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</si>
  <si>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</si>
  <si>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</si>
  <si>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</si>
  <si>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</si>
  <si>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</si>
  <si>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</si>
  <si>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</si>
  <si>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</si>
  <si>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</si>
  <si>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</si>
  <si>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</si>
  <si>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</si>
  <si>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</si>
  <si>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</si>
  <si>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</si>
  <si>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</si>
  <si>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</si>
  <si>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</si>
  <si>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</si>
  <si>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</si>
  <si>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</si>
  <si>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</si>
  <si>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</si>
  <si>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</si>
  <si>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</si>
  <si>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</si>
  <si>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</si>
  <si>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</si>
  <si>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</si>
  <si>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</si>
  <si>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</si>
  <si>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</si>
  <si>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</si>
  <si>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</si>
  <si>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</si>
  <si>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</si>
  <si>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</si>
  <si>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</si>
  <si>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</si>
  <si>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</si>
  <si>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FERROUS SULFATE</t>
  </si>
  <si>
    <t>325MG</t>
  </si>
  <si>
    <t>AMPULE</t>
  </si>
  <si>
    <t>SYRINGE 3CC</t>
  </si>
  <si>
    <t>PC</t>
  </si>
  <si>
    <t>BOTTLE</t>
  </si>
  <si>
    <t>PLASTER 1/2</t>
  </si>
  <si>
    <t>CBC PLATELET COUNT</t>
  </si>
  <si>
    <t>CHEST APL</t>
  </si>
  <si>
    <t>XRAY</t>
  </si>
  <si>
    <t>NEBULE</t>
  </si>
  <si>
    <t>VIAL</t>
  </si>
  <si>
    <t>D5 0.3 NACL</t>
  </si>
  <si>
    <t>SYRINGE 5CC</t>
  </si>
  <si>
    <t>MICRO SET</t>
  </si>
  <si>
    <t>ABOCATH GAUGE 24</t>
  </si>
  <si>
    <t>J18.02</t>
  </si>
  <si>
    <t>PARACETAMOL</t>
  </si>
  <si>
    <t>SALBUTAMOL</t>
  </si>
  <si>
    <t>AMPICILLIN</t>
  </si>
  <si>
    <t>GENTAMYCIN</t>
  </si>
  <si>
    <t>1ML</t>
  </si>
  <si>
    <t>NAKCL</t>
  </si>
  <si>
    <t>4MG</t>
  </si>
  <si>
    <t>500CC</t>
  </si>
  <si>
    <t>60MG</t>
  </si>
  <si>
    <t xml:space="preserve">COMBIVENT </t>
  </si>
  <si>
    <t>AMBROXOL</t>
  </si>
  <si>
    <t>DROPS</t>
  </si>
  <si>
    <t>0.5ML</t>
  </si>
  <si>
    <t>2.5ML</t>
  </si>
  <si>
    <t>HYDROCORTISONE</t>
  </si>
  <si>
    <t>PLAIN LR SOLUTION</t>
  </si>
  <si>
    <t>BPN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</si>
</sst>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178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44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45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53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164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164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55</v>
      </c>
      <c r="C57" s="17" t="s">
        <v>51</v>
      </c>
      <c r="D57" s="17" t="s">
        <v>56</v>
      </c>
      <c r="E57" s="18" t="s">
        <v>57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165</v>
      </c>
      <c r="D58" s="55">
        <v>4565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166</v>
      </c>
      <c r="D59" s="55">
        <v>605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179</v>
      </c>
      <c r="D60" s="55">
        <v>320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167</v>
      </c>
      <c r="D61" s="55">
        <v>500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5990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1"/>
  <sheetViews>
    <sheetView workbookViewId="0">
      <selection activeCell="D27" sqref="D2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181</v>
      </c>
      <c r="E11" s="27" t="s">
        <v>169</v>
      </c>
      <c r="F11" s="55">
        <v>3</v>
      </c>
      <c r="G11" s="55">
        <v>5</v>
      </c>
      <c r="H11" s="55">
        <v>17</v>
      </c>
      <c r="I11" s="55">
        <v>40</v>
      </c>
      <c r="J11" s="55">
        <f>H11*I11</f>
        <v>680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172</v>
      </c>
      <c r="E12" s="27" t="s">
        <v>193</v>
      </c>
      <c r="F12" s="55">
        <v>3</v>
      </c>
      <c r="G12" s="55">
        <v>5</v>
      </c>
      <c r="H12" s="55">
        <v>13</v>
      </c>
      <c r="I12" s="55">
        <v>40</v>
      </c>
      <c r="J12" s="55">
        <f t="shared" ref="J12:J20" si="0">H12*I12</f>
        <v>520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172</v>
      </c>
      <c r="E13" s="27" t="s">
        <v>195</v>
      </c>
      <c r="F13" s="55">
        <v>1</v>
      </c>
      <c r="G13" s="55">
        <v>2</v>
      </c>
      <c r="H13" s="55">
        <v>2</v>
      </c>
      <c r="I13" s="55">
        <v>50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196</v>
      </c>
      <c r="D14" s="27" t="s">
        <v>180</v>
      </c>
      <c r="E14" s="27" t="s">
        <v>191</v>
      </c>
      <c r="F14" s="55">
        <v>4</v>
      </c>
      <c r="G14" s="55">
        <v>2</v>
      </c>
      <c r="H14" s="55">
        <v>5</v>
      </c>
      <c r="I14" s="55">
        <v>40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197</v>
      </c>
      <c r="D15" s="27" t="s">
        <v>198</v>
      </c>
      <c r="E15" s="27" t="s">
        <v>199</v>
      </c>
      <c r="F15" s="55">
        <v>3</v>
      </c>
      <c r="G15" s="55">
        <v>4</v>
      </c>
      <c r="H15" s="55">
        <v>11</v>
      </c>
      <c r="I15" s="55">
        <v>40</v>
      </c>
      <c r="J15" s="55"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188</v>
      </c>
      <c r="D16" s="27" t="s">
        <v>180</v>
      </c>
      <c r="E16" s="27" t="s">
        <v>200</v>
      </c>
      <c r="F16" s="55">
        <v>3</v>
      </c>
      <c r="G16" s="55">
        <v>4</v>
      </c>
      <c r="H16" s="55">
        <v>9</v>
      </c>
      <c r="I16" s="55">
        <v>20</v>
      </c>
      <c r="J16" s="55">
        <f t="shared" si="0"/>
        <v>180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201</v>
      </c>
      <c r="D17" s="27" t="s">
        <v>181</v>
      </c>
      <c r="E17" s="27" t="s">
        <v>169</v>
      </c>
      <c r="F17" s="55">
        <v>2</v>
      </c>
      <c r="G17" s="55">
        <v>4</v>
      </c>
      <c r="H17" s="55">
        <v>7</v>
      </c>
      <c r="I17" s="55">
        <v>240</v>
      </c>
      <c r="J17" s="55">
        <f t="shared" si="0"/>
        <v>1680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170</v>
      </c>
      <c r="D18" s="27" t="s">
        <v>168</v>
      </c>
      <c r="E18" s="27" t="s">
        <v>171</v>
      </c>
      <c r="F18" s="55">
        <v>1</v>
      </c>
      <c r="G18" s="55">
        <v>1</v>
      </c>
      <c r="H18" s="55">
        <v>1</v>
      </c>
      <c r="I18" s="55">
        <v>5</v>
      </c>
      <c r="J18" s="55">
        <f t="shared" si="0"/>
        <v>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202</v>
      </c>
      <c r="D19" s="27" t="s">
        <v>175</v>
      </c>
      <c r="E19" s="27" t="s">
        <v>194</v>
      </c>
      <c r="F19" s="55">
        <v>1</v>
      </c>
      <c r="G19" s="55">
        <v>1</v>
      </c>
      <c r="H19" s="55">
        <v>1</v>
      </c>
      <c r="I19" s="55">
        <v>100</v>
      </c>
      <c r="J19" s="55">
        <f t="shared" si="0"/>
        <v>100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182</v>
      </c>
      <c r="D20" s="27" t="s">
        <v>175</v>
      </c>
      <c r="E20" s="27" t="s">
        <v>194</v>
      </c>
      <c r="F20" s="55">
        <v>2</v>
      </c>
      <c r="G20" s="55">
        <v>4</v>
      </c>
      <c r="H20" s="55">
        <v>8</v>
      </c>
      <c r="I20" s="55">
        <v>100</v>
      </c>
      <c r="J20" s="55">
        <f t="shared" si="0"/>
        <v>800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25">
      <c r="A21" s="33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</row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0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3" workbookViewId="0">
      <selection activeCell="A21" sqref="A21:XF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173</v>
      </c>
      <c r="D16" s="70" t="s">
        <v>174</v>
      </c>
      <c r="E16" s="55">
        <v>6</v>
      </c>
      <c r="F16" s="55">
        <v>10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185</v>
      </c>
      <c r="D17" s="70" t="s">
        <v>174</v>
      </c>
      <c r="E17" s="55">
        <v>1</v>
      </c>
      <c r="F17" s="55">
        <v>100</v>
      </c>
      <c r="G17" s="55">
        <f t="shared" ref="G17:G20" si="0"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184</v>
      </c>
      <c r="D18" s="70" t="s">
        <v>174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174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183</v>
      </c>
      <c r="D20" s="70" t="s">
        <v>174</v>
      </c>
      <c r="E20" s="55">
        <v>2</v>
      </c>
      <c r="F20" s="55">
        <v>10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400</v>
      </c>
      <c r="H13" s="55">
        <v>25</v>
      </c>
      <c r="I13" s="55"/>
      <c r="J13" s="55">
        <v>65</v>
      </c>
      <c r="K13" s="55"/>
      <c r="L13" s="55"/>
      <c r="M13" s="55"/>
      <c r="N13" s="55"/>
      <c r="P13" s="88">
        <f>SUM(D13:N13)</f>
        <v>540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400</v>
      </c>
      <c r="H30" s="88">
        <f t="shared" si="1"/>
        <v>25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2018-06-01T09:34:26Z</dcterms:modified>
</cp:coreProperties>
</file>