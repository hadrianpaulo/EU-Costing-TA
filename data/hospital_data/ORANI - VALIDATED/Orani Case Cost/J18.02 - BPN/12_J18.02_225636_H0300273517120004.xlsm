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7" i="2" l="1"/>
  <c r="G20" i="9"/>
  <c r="G19" i="9"/>
  <c r="G18" i="9"/>
  <c r="G17" i="9"/>
  <c r="G16" i="9"/>
  <c r="J16" i="2"/>
  <c r="J15" i="2"/>
  <c r="J14" i="2"/>
  <c r="J13" i="2"/>
  <c r="J12" i="2"/>
  <c r="J11" i="2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<sst xmlns="http://schemas.openxmlformats.org/spreadsheetml/2006/main" count="490" uniqueCount="199">
  <si>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</si>
  <si>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</si>
  <si>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</si>
  <si>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</si>
  <si>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</si>
  <si>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</si>
  <si>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</si>
  <si>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</si>
  <si>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</si>
  <si>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</si>
  <si>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</si>
  <si>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</si>
  <si>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</si>
  <si>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</si>
  <si>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</si>
  <si>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</si>
  <si>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</si>
  <si>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</si>
  <si>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</si>
  <si>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</si>
  <si>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</si>
  <si>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</si>
  <si>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</si>
  <si>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</si>
  <si>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</si>
  <si>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</si>
  <si>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</si>
  <si>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</si>
  <si>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</si>
  <si>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</si>
  <si>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</si>
  <si>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</si>
  <si>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</si>
  <si>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</si>
  <si>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</si>
  <si>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</si>
  <si>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</si>
  <si>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</si>
  <si>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</si>
  <si>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</si>
  <si>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</si>
  <si>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</si>
  <si>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</si>
  <si>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</si>
  <si>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</si>
  <si>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</si>
  <si>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</si>
  <si>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</si>
  <si>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</si>
  <si>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</si>
  <si>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</si>
  <si>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</si>
  <si>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</si>
  <si>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</si>
  <si>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</si>
  <si>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</si>
  <si>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</si>
  <si>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</si>
  <si>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</si>
  <si>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</si>
  <si>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</si>
  <si>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</si>
  <si>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</si>
  <si>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</si>
  <si>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</si>
  <si>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</si>
  <si>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</si>
  <si>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</si>
  <si>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</si>
  <si>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</si>
  <si>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</si>
  <si>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</si>
  <si>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</si>
  <si>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</si>
  <si>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</si>
  <si>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</si>
  <si>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</si>
  <si>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</si>
  <si>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</si>
  <si>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</si>
  <si>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</si>
  <si>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</si>
  <si>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</si>
  <si>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</si>
  <si>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</si>
  <si>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</si>
  <si>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</si>
  <si>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</si>
  <si>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</si>
  <si>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</si>
  <si>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</si>
  <si>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</si>
  <si>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</si>
  <si>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</si>
  <si>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</si>
  <si>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</si>
  <si>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</si>
  <si>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</si>
  <si>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</si>
  <si>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</si>
  <si>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</si>
  <si>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</si>
  <si>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</si>
  <si>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</si>
  <si>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</si>
  <si>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</si>
  <si>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</si>
  <si>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</si>
  <si>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</si>
  <si>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</si>
  <si>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</si>
  <si>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</si>
  <si>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</si>
  <si>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</si>
  <si>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</si>
  <si>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</si>
  <si>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</si>
  <si>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</si>
  <si>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</si>
  <si>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</si>
  <si>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</si>
  <si>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</si>
  <si>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</si>
  <si>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</si>
  <si>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</si>
  <si>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</si>
  <si>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</si>
  <si>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</si>
  <si>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</si>
  <si>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</si>
  <si>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</si>
  <si>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</si>
  <si>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</si>
  <si>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</si>
  <si>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</si>
  <si>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</si>
  <si>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</si>
  <si>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</si>
  <si>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</si>
  <si>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</si>
  <si>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</si>
  <si>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</si>
  <si>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</si>
  <si>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</si>
  <si>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</si>
  <si>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</si>
  <si>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</si>
  <si>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</si>
  <si>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</si>
  <si>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</si>
  <si>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</si>
  <si>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</si>
  <si>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</si>
  <si>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</si>
  <si>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</si>
  <si>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</si>
  <si>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</si>
  <si>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</si>
  <si>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</si>
  <si>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</si>
  <si>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</si>
  <si>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</si>
  <si>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</si>
  <si>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</si>
  <si>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J18.02</t>
  </si>
  <si>
    <t>LABORATORY</t>
  </si>
  <si>
    <t>XRAY</t>
  </si>
  <si>
    <t>MEDICINES</t>
  </si>
  <si>
    <t>ROOM AND BOARD</t>
  </si>
  <si>
    <t>PARACETAMOL</t>
  </si>
  <si>
    <t>SALBUTAMOL</t>
  </si>
  <si>
    <t>CEFUROXIME</t>
  </si>
  <si>
    <t>HYDROCORTISONE</t>
  </si>
  <si>
    <t>MULTIVITAMINS SYRUP</t>
  </si>
  <si>
    <t>Visit in the ward</t>
  </si>
  <si>
    <t>URINALYSIS</t>
  </si>
  <si>
    <t>CHEST PA</t>
  </si>
  <si>
    <t>AMPULE</t>
  </si>
  <si>
    <t>100MG</t>
  </si>
  <si>
    <t>NEBULE</t>
  </si>
  <si>
    <t>2.5MG/2.5ML</t>
  </si>
  <si>
    <t>VIAL</t>
  </si>
  <si>
    <t>250MG</t>
  </si>
  <si>
    <t>50MG</t>
  </si>
  <si>
    <t>SYRUP</t>
  </si>
  <si>
    <t>1ML</t>
  </si>
  <si>
    <t>D5 0.3 NACL</t>
  </si>
  <si>
    <t>BOTTLE</t>
  </si>
  <si>
    <t>500CC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</si>
  <si>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</si>
  <si>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</si>
  <si>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</si>
  <si>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</si>
  <si>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</si>
  <si>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</si>
  <si>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</si>
  <si>
    <t>DISTILLED WATER FOR INJECTION</t>
  </si>
  <si>
    <t>50CC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</si>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</sst>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0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198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176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43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44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52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 t="s">
        <v>163</v>
      </c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163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54</v>
      </c>
      <c r="C65" s="17" t="s">
        <v>50</v>
      </c>
      <c r="D65" s="17" t="s">
        <v>55</v>
      </c>
      <c r="E65" s="18" t="s">
        <v>56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165</v>
      </c>
      <c r="D66" s="55">
        <v>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166</v>
      </c>
      <c r="D67" s="55">
        <v>320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167</v>
      </c>
      <c r="D68" s="55">
        <v>3910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 t="s">
        <v>168</v>
      </c>
      <c r="D69" s="55">
        <v>400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4680</v>
      </c>
      <c r="E77" s="59">
        <f>SUM(E66:E76)</f>
        <v>0</v>
      </c>
      <c r="F77" s="59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J11" sqref="J11: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177</v>
      </c>
      <c r="E11" s="27" t="s">
        <v>178</v>
      </c>
      <c r="F11" s="55">
        <v>6</v>
      </c>
      <c r="G11" s="55">
        <v>1</v>
      </c>
      <c r="H11" s="55">
        <v>1</v>
      </c>
      <c r="I11" s="55">
        <v>50</v>
      </c>
      <c r="J11" s="55">
        <f>H11*I11</f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179</v>
      </c>
      <c r="E12" s="27" t="s">
        <v>180</v>
      </c>
      <c r="F12" s="55">
        <v>6</v>
      </c>
      <c r="G12" s="55">
        <v>5</v>
      </c>
      <c r="H12" s="55">
        <v>25</v>
      </c>
      <c r="I12" s="55">
        <v>20</v>
      </c>
      <c r="J12" s="55">
        <f t="shared" ref="J12:J17" si="0">H12*I12</f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171</v>
      </c>
      <c r="D13" s="27" t="s">
        <v>181</v>
      </c>
      <c r="E13" s="27" t="s">
        <v>182</v>
      </c>
      <c r="F13" s="55">
        <v>3</v>
      </c>
      <c r="G13" s="55">
        <v>5</v>
      </c>
      <c r="H13" s="55">
        <v>13</v>
      </c>
      <c r="I13" s="55">
        <v>60</v>
      </c>
      <c r="J13" s="55">
        <f t="shared" si="0"/>
        <v>780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181</v>
      </c>
      <c r="E14" s="27" t="s">
        <v>183</v>
      </c>
      <c r="F14" s="55">
        <v>3</v>
      </c>
      <c r="G14" s="55">
        <v>5</v>
      </c>
      <c r="H14" s="55">
        <v>13</v>
      </c>
      <c r="I14" s="55">
        <v>90</v>
      </c>
      <c r="J14" s="55">
        <f t="shared" si="0"/>
        <v>1170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173</v>
      </c>
      <c r="D15" s="27" t="s">
        <v>184</v>
      </c>
      <c r="E15" s="27" t="s">
        <v>185</v>
      </c>
      <c r="F15" s="55">
        <v>1</v>
      </c>
      <c r="G15" s="55">
        <v>2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187</v>
      </c>
      <c r="E16" s="27" t="s">
        <v>188</v>
      </c>
      <c r="F16" s="55">
        <v>2</v>
      </c>
      <c r="G16" s="55">
        <v>5</v>
      </c>
      <c r="H16" s="55">
        <v>8</v>
      </c>
      <c r="I16" s="55">
        <v>90</v>
      </c>
      <c r="J16" s="55">
        <f t="shared" si="0"/>
        <v>720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196</v>
      </c>
      <c r="D17" s="27" t="s">
        <v>187</v>
      </c>
      <c r="E17" s="27" t="s">
        <v>197</v>
      </c>
      <c r="F17" s="55">
        <v>1</v>
      </c>
      <c r="G17" s="55">
        <v>2</v>
      </c>
      <c r="H17" s="55">
        <v>2</v>
      </c>
      <c r="I17" s="55">
        <v>85</v>
      </c>
      <c r="J17" s="55">
        <f t="shared" si="0"/>
        <v>170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190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190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193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190</v>
      </c>
      <c r="E19" s="55">
        <v>20</v>
      </c>
      <c r="F19" s="55">
        <v>10</v>
      </c>
      <c r="G19" s="55">
        <f t="shared" si="0"/>
        <v>200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195</v>
      </c>
      <c r="D20" s="70" t="s">
        <v>190</v>
      </c>
      <c r="E20" s="55">
        <v>10</v>
      </c>
      <c r="F20" s="55">
        <v>10</v>
      </c>
      <c r="G20" s="55">
        <f t="shared" si="0"/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174</v>
      </c>
      <c r="D13" s="55"/>
      <c r="E13" s="55">
        <f>10*4</f>
        <v>40</v>
      </c>
      <c r="F13" s="55"/>
      <c r="G13" s="55">
        <f>24*4*60/12</f>
        <v>480</v>
      </c>
      <c r="H13" s="55"/>
      <c r="I13" s="55"/>
      <c r="J13" s="55">
        <f>5*4</f>
        <v>20</v>
      </c>
      <c r="K13" s="55"/>
      <c r="L13" s="55"/>
      <c r="M13" s="55"/>
      <c r="N13" s="55"/>
      <c r="P13" s="88">
        <f>SUM(D13:N13)</f>
        <v>540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2018-06-01T09:27:39Z</dcterms:modified>
</cp:coreProperties>
</file>