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9" i="9" l="1"/>
  <c r="G17" i="9"/>
  <c r="G18" i="9"/>
  <c r="G20" i="9"/>
  <c r="G21" i="9"/>
  <c r="G22" i="9"/>
  <c r="G16" i="9"/>
  <c r="G1" i="1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<sst xmlns="http://schemas.openxmlformats.org/spreadsheetml/2006/main" count="494" uniqueCount="201">
  <si>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</si>
  <si>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</si>
  <si>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</si>
  <si>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</si>
  <si>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</si>
  <si>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</si>
  <si>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</si>
  <si>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</si>
  <si>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</si>
  <si>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</si>
  <si>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</si>
  <si>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</si>
  <si>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</si>
  <si>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</si>
  <si>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</si>
  <si>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</si>
  <si>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</si>
  <si>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</si>
  <si>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</si>
  <si>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</si>
  <si>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</si>
  <si>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</si>
  <si>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</si>
  <si>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</si>
  <si>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</si>
  <si>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</si>
  <si>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</si>
  <si>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</si>
  <si>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</si>
  <si>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</si>
  <si>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</si>
  <si>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</si>
  <si>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</si>
  <si>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</si>
  <si>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</si>
  <si>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</si>
  <si>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</si>
  <si>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</si>
  <si>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</si>
  <si>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</si>
  <si>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</si>
  <si>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</si>
  <si>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</si>
  <si>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</si>
  <si>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</si>
  <si>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</si>
  <si>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</si>
  <si>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</si>
  <si>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</si>
  <si>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</si>
  <si>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</si>
  <si>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</si>
  <si>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</si>
  <si>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</si>
  <si>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</si>
  <si>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</si>
  <si>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</si>
  <si>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</si>
  <si>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</si>
  <si>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</si>
  <si>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</si>
  <si>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</si>
  <si>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</si>
  <si>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</si>
  <si>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</si>
  <si>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</si>
  <si>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</si>
  <si>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</si>
  <si>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</si>
  <si>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</si>
  <si>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</si>
  <si>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</si>
  <si>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</si>
  <si>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</si>
  <si>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</si>
  <si>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</si>
  <si>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</si>
  <si>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</si>
  <si>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</si>
  <si>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</si>
  <si>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</si>
  <si>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</si>
  <si>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</si>
  <si>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</si>
  <si>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</si>
  <si>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</si>
  <si>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</si>
  <si>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</si>
  <si>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</si>
  <si>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</si>
  <si>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</si>
  <si>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</si>
  <si>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</si>
  <si>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</si>
  <si>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</si>
  <si>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</si>
  <si>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</si>
  <si>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</si>
  <si>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</si>
  <si>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</si>
  <si>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</si>
  <si>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</si>
  <si>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</si>
  <si>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</si>
  <si>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</si>
  <si>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</si>
  <si>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</si>
  <si>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</si>
  <si>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</si>
  <si>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</si>
  <si>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</si>
  <si>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</si>
  <si>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</si>
  <si>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</si>
  <si>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</si>
  <si>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</si>
  <si>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</si>
  <si>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</si>
  <si>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</si>
  <si>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</si>
  <si>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</si>
  <si>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</si>
  <si>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</si>
  <si>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</si>
  <si>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</si>
  <si>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</si>
  <si>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</si>
  <si>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</si>
  <si>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</si>
  <si>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</si>
  <si>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</si>
  <si>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</si>
  <si>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</si>
  <si>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</si>
  <si>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</si>
  <si>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</si>
  <si>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</si>
  <si>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</si>
  <si>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</si>
  <si>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</si>
  <si>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</si>
  <si>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</si>
  <si>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</si>
  <si>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</si>
  <si>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</si>
  <si>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</si>
  <si>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</si>
  <si>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</si>
  <si>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</si>
  <si>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</si>
  <si>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</si>
  <si>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</si>
  <si>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</si>
  <si>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</si>
  <si>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</si>
  <si>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</si>
  <si>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</si>
  <si>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</si>
  <si>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</si>
  <si>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</si>
  <si>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</si>
  <si>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</si>
  <si>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</si>
  <si>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</si>
  <si>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</si>
  <si>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</si>
  <si>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</si>
  <si>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</si>
  <si>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CBC PLATELET COUNT</t>
  </si>
  <si>
    <t>CHEST APL</t>
  </si>
  <si>
    <t>ROOM AND BOARD</t>
  </si>
  <si>
    <t>MULTIVITAMINS</t>
  </si>
  <si>
    <t>500MG</t>
  </si>
  <si>
    <t>J18.02</t>
  </si>
  <si>
    <t>NAKCL</t>
  </si>
  <si>
    <t>XRAY</t>
  </si>
  <si>
    <t>SYRUP</t>
  </si>
  <si>
    <t>CEFUROXIME</t>
  </si>
  <si>
    <t>NEBULE</t>
  </si>
  <si>
    <t>AMBROXOL</t>
  </si>
  <si>
    <t>5ML</t>
  </si>
  <si>
    <t>2ML</t>
  </si>
  <si>
    <t>SALBUTAMOL + 1CC NSS</t>
  </si>
  <si>
    <t>DISTILLED WATER FOR INJECTION</t>
  </si>
  <si>
    <t>BOTTLE</t>
  </si>
  <si>
    <t>50CC</t>
  </si>
  <si>
    <t>2.5MG/2.5ML</t>
  </si>
  <si>
    <t>VITAMIN B COMPLEX</t>
  </si>
  <si>
    <t>AMPULE</t>
  </si>
  <si>
    <t>10MG/100/1ML</t>
  </si>
  <si>
    <t>IV CATHETER G#22</t>
  </si>
  <si>
    <t>PIECE</t>
  </si>
  <si>
    <t>IV SET MACROSET</t>
  </si>
  <si>
    <t>PLASTER</t>
  </si>
  <si>
    <t>ROLL</t>
  </si>
  <si>
    <t>3CC SYRINGE</t>
  </si>
  <si>
    <t>5CC SYRINGE</t>
  </si>
  <si>
    <t>PLRS</t>
  </si>
  <si>
    <t>D5 0.2 NACL</t>
  </si>
  <si>
    <t>500CC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</si>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</sst>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45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174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164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164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165</v>
      </c>
      <c r="D56" s="55">
        <v>2875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166</v>
      </c>
      <c r="D57" s="55">
        <v>605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175</v>
      </c>
      <c r="D58" s="55">
        <v>320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170</v>
      </c>
      <c r="D59" s="55">
        <v>400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4200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4:E35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zoomScale="85" zoomScaleNormal="85" workbookViewId="0">
      <selection activeCell="D23" sqref="D23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167</v>
      </c>
      <c r="E11" s="27" t="s">
        <v>172</v>
      </c>
      <c r="F11" s="55">
        <v>3</v>
      </c>
      <c r="G11" s="55">
        <v>5</v>
      </c>
      <c r="H11" s="55">
        <v>13</v>
      </c>
      <c r="I11" s="55">
        <v>60</v>
      </c>
      <c r="J11" s="55">
        <v>780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184</v>
      </c>
      <c r="E12" s="27" t="s">
        <v>185</v>
      </c>
      <c r="F12" s="55">
        <v>1</v>
      </c>
      <c r="G12" s="55">
        <v>1</v>
      </c>
      <c r="H12" s="55">
        <v>1</v>
      </c>
      <c r="I12" s="55">
        <v>85</v>
      </c>
      <c r="J12" s="55">
        <v>85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176</v>
      </c>
      <c r="E13" s="27" t="s">
        <v>180</v>
      </c>
      <c r="F13" s="55">
        <v>3</v>
      </c>
      <c r="G13" s="55">
        <v>4</v>
      </c>
      <c r="H13" s="55">
        <v>1</v>
      </c>
      <c r="I13" s="55">
        <v>50</v>
      </c>
      <c r="J13" s="55"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171</v>
      </c>
      <c r="D14" s="27" t="s">
        <v>176</v>
      </c>
      <c r="E14" s="27" t="s">
        <v>181</v>
      </c>
      <c r="F14" s="55">
        <v>1</v>
      </c>
      <c r="G14" s="55">
        <v>4</v>
      </c>
      <c r="H14" s="55">
        <v>1</v>
      </c>
      <c r="I14" s="55">
        <v>50</v>
      </c>
      <c r="J14" s="55"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178</v>
      </c>
      <c r="E15" s="27" t="s">
        <v>186</v>
      </c>
      <c r="F15" s="55">
        <v>4</v>
      </c>
      <c r="G15" s="55">
        <v>4</v>
      </c>
      <c r="H15" s="55">
        <v>11</v>
      </c>
      <c r="I15" s="55">
        <v>20</v>
      </c>
      <c r="J15" s="55">
        <v>220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187</v>
      </c>
      <c r="D16" s="27" t="s">
        <v>188</v>
      </c>
      <c r="E16" s="27" t="s">
        <v>189</v>
      </c>
      <c r="F16" s="55">
        <v>2</v>
      </c>
      <c r="G16" s="55">
        <v>5</v>
      </c>
      <c r="H16" s="55">
        <v>9</v>
      </c>
      <c r="I16" s="55">
        <v>100</v>
      </c>
      <c r="J16" s="55">
        <v>900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184</v>
      </c>
      <c r="E17" s="27" t="s">
        <v>199</v>
      </c>
      <c r="F17" s="55">
        <v>1</v>
      </c>
      <c r="G17" s="55">
        <v>1</v>
      </c>
      <c r="H17" s="55">
        <v>1</v>
      </c>
      <c r="I17" s="55">
        <v>90</v>
      </c>
      <c r="J17" s="55">
        <v>90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198</v>
      </c>
      <c r="D18" s="27" t="s">
        <v>184</v>
      </c>
      <c r="E18" s="27" t="s">
        <v>199</v>
      </c>
      <c r="F18" s="55">
        <v>1</v>
      </c>
      <c r="G18" s="55">
        <v>5</v>
      </c>
      <c r="H18" s="55">
        <v>5</v>
      </c>
      <c r="I18" s="55">
        <v>90</v>
      </c>
      <c r="J18" s="55">
        <v>450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21" sqref="C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191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191</v>
      </c>
      <c r="E17" s="55">
        <v>1</v>
      </c>
      <c r="F17" s="55">
        <v>40</v>
      </c>
      <c r="G17" s="55">
        <f t="shared" ref="G17:G22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194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195</v>
      </c>
      <c r="D19" s="70" t="s">
        <v>191</v>
      </c>
      <c r="E19" s="55">
        <v>2</v>
      </c>
      <c r="F19" s="55">
        <v>10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196</v>
      </c>
      <c r="D20" s="70" t="s">
        <v>191</v>
      </c>
      <c r="E20" s="55">
        <v>6</v>
      </c>
      <c r="F20" s="55">
        <v>10</v>
      </c>
      <c r="G20" s="55">
        <f t="shared" si="0"/>
        <v>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360</v>
      </c>
      <c r="H13" s="55">
        <v>20</v>
      </c>
      <c r="I13" s="55"/>
      <c r="J13" s="55">
        <v>65</v>
      </c>
      <c r="K13" s="55"/>
      <c r="L13" s="55"/>
      <c r="M13" s="55"/>
      <c r="N13" s="55"/>
      <c r="P13" s="88">
        <f>SUM(D13:N13)</f>
        <v>485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360</v>
      </c>
      <c r="H30" s="88">
        <f t="shared" si="1"/>
        <v>20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2018-06-01T09:15:30Z</dcterms:modified>
</cp:coreProperties>
</file>