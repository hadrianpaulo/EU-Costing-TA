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2" i="9" l="1"/>
  <c r="J19" i="2"/>
  <c r="G21" i="9"/>
  <c r="G17" i="9"/>
  <c r="G18" i="9"/>
  <c r="G19" i="9"/>
  <c r="G20" i="9"/>
  <c r="G16" i="9"/>
  <c r="J12" i="2"/>
  <c r="J13" i="2"/>
  <c r="J14" i="2"/>
  <c r="J15" i="2"/>
  <c r="J16" i="2"/>
  <c r="J17" i="2"/>
  <c r="J18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<sst xmlns="http://schemas.openxmlformats.org/spreadsheetml/2006/main" count="503" uniqueCount="206">
  <si>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</si>
  <si>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</si>
  <si>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</si>
  <si>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</si>
  <si>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</si>
  <si>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</si>
  <si>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</si>
  <si>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</si>
  <si>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</si>
  <si>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</si>
  <si>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</si>
  <si>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</si>
  <si>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</si>
  <si>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</si>
  <si>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</si>
  <si>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</si>
  <si>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</si>
  <si>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</si>
  <si>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</si>
  <si>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</si>
  <si>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</si>
  <si>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</si>
  <si>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</si>
  <si>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</si>
  <si>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</si>
  <si>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</si>
  <si>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</si>
  <si>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</si>
  <si>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</si>
  <si>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</si>
  <si>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</si>
  <si>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</si>
  <si>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</si>
  <si>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</si>
  <si>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</si>
  <si>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</si>
  <si>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</si>
  <si>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</si>
  <si>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</si>
  <si>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</si>
  <si>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</si>
  <si>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</si>
  <si>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</si>
  <si>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</si>
  <si>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</si>
  <si>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</si>
  <si>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</si>
  <si>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</si>
  <si>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</si>
  <si>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</si>
  <si>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</si>
  <si>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</si>
  <si>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</si>
  <si>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</si>
  <si>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</si>
  <si>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</si>
  <si>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</si>
  <si>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</si>
  <si>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</si>
  <si>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</si>
  <si>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</si>
  <si>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</si>
  <si>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</si>
  <si>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</si>
  <si>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</si>
  <si>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</si>
  <si>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</si>
  <si>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</si>
  <si>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</si>
  <si>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</si>
  <si>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</si>
  <si>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</si>
  <si>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</si>
  <si>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</si>
  <si>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</si>
  <si>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</si>
  <si>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</si>
  <si>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</si>
  <si>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</si>
  <si>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</si>
  <si>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</si>
  <si>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</si>
  <si>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</si>
  <si>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</si>
  <si>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</si>
  <si>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</si>
  <si>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</si>
  <si>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</si>
  <si>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</si>
  <si>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</si>
  <si>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</si>
  <si>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</si>
  <si>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</si>
  <si>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</si>
  <si>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</si>
  <si>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</si>
  <si>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</si>
  <si>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</si>
  <si>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</si>
  <si>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</si>
  <si>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</si>
  <si>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</si>
  <si>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</si>
  <si>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</si>
  <si>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</si>
  <si>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</si>
  <si>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</si>
  <si>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</si>
  <si>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</si>
  <si>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</si>
  <si>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</si>
  <si>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</si>
  <si>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</si>
  <si>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</si>
  <si>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</si>
  <si>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</si>
  <si>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</si>
  <si>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</si>
  <si>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</si>
  <si>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</si>
  <si>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</si>
  <si>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</si>
  <si>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</si>
  <si>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</si>
  <si>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</si>
  <si>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</si>
  <si>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</si>
  <si>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</si>
  <si>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</si>
  <si>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</si>
  <si>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</si>
  <si>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</si>
  <si>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</si>
  <si>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</si>
  <si>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</si>
  <si>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</si>
  <si>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</si>
  <si>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</si>
  <si>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</si>
  <si>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</si>
  <si>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</si>
  <si>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</si>
  <si>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</si>
  <si>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</si>
  <si>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</si>
  <si>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</si>
  <si>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</si>
  <si>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</si>
  <si>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</si>
  <si>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</si>
  <si>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</si>
  <si>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</si>
  <si>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</si>
  <si>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</si>
  <si>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</si>
  <si>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</si>
  <si>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</si>
  <si>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</si>
  <si>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</si>
  <si>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</si>
  <si>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</si>
  <si>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</si>
  <si>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</si>
  <si>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</si>
  <si>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</si>
  <si>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</si>
  <si>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</si>
  <si>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</si>
  <si>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</si>
  <si>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</si>
  <si>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</si>
  <si>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</si>
  <si>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</si>
  <si>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</si>
  <si>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</si>
  <si>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XRAY</t>
  </si>
  <si>
    <t>FERROUS SULFATE</t>
  </si>
  <si>
    <t>CHEST PA</t>
  </si>
  <si>
    <t>AMPULE</t>
  </si>
  <si>
    <t>RH TYPING</t>
  </si>
  <si>
    <t>2ML</t>
  </si>
  <si>
    <t>SYRUP</t>
  </si>
  <si>
    <t>50MG</t>
  </si>
  <si>
    <t>D5 0.3 NACL</t>
  </si>
  <si>
    <t>ABOCATH 22</t>
  </si>
  <si>
    <t>J18.02</t>
  </si>
  <si>
    <t>CROSS MATCHING</t>
  </si>
  <si>
    <t>BLOOD UNIT</t>
  </si>
  <si>
    <t>AMPICILLIN</t>
  </si>
  <si>
    <t>GENTAMYCIN</t>
  </si>
  <si>
    <t>SALBUTAMOL</t>
  </si>
  <si>
    <t>AMBROXOL</t>
  </si>
  <si>
    <t>375MG</t>
  </si>
  <si>
    <t>2.5ML</t>
  </si>
  <si>
    <t>MULTIVITMINS</t>
  </si>
  <si>
    <t>1ML</t>
  </si>
  <si>
    <t>7MG</t>
  </si>
  <si>
    <t>500CC</t>
  </si>
  <si>
    <t>MICRO SET</t>
  </si>
  <si>
    <t>NEBULE</t>
  </si>
  <si>
    <t>DIPHENHYRAMINE</t>
  </si>
  <si>
    <t>SOLUSET</t>
  </si>
  <si>
    <t>DISTILLED WATER FOR INJECTION</t>
  </si>
  <si>
    <t>50CC</t>
  </si>
  <si>
    <t>SPLINT PEDIA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</si>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</sst>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186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179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187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3205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2530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175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174</v>
      </c>
      <c r="D61" s="55">
        <v>400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6455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algorithmName="SHA-512" hashValue="sYsvDMwXkEvHVAhCCBRqBBmG/O8EuDlQB+NCf2mdpKF4SrIXCqS+R8NSn9SyK276vsGl0djvfS4JOz3nQ1+5fw==" saltValue="zuiZrZGMHpoCXxPNCde0dA==" spinCount="100000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3:F43"/>
  </mergeCells>
  <dataValidations count="1">
    <dataValidation type="decimal" operator="greaterThanOrEqual" allowBlank="1" showInputMessage="1" showErrorMessage="1" sqref="E42 E44:F47 E49:F54 D58:F67 E39:E40 E34:E37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6" zoomScaleNormal="100" workbookViewId="0">
      <selection activeCell="J11" sqref="J11:J19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167</v>
      </c>
      <c r="E11" s="27" t="s">
        <v>192</v>
      </c>
      <c r="F11" s="55">
        <v>2</v>
      </c>
      <c r="G11" s="55">
        <v>5</v>
      </c>
      <c r="H11" s="55">
        <v>9</v>
      </c>
      <c r="I11" s="55">
        <v>40</v>
      </c>
      <c r="J11" s="55">
        <f>H11*I11</f>
        <v>360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178</v>
      </c>
      <c r="E12" s="27" t="s">
        <v>182</v>
      </c>
      <c r="F12" s="55">
        <v>1</v>
      </c>
      <c r="G12" s="55">
        <v>5</v>
      </c>
      <c r="H12" s="55">
        <v>5</v>
      </c>
      <c r="I12" s="55">
        <v>40</v>
      </c>
      <c r="J12" s="55">
        <f t="shared" ref="J12:J19" si="0">H12*I12</f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199</v>
      </c>
      <c r="E13" s="27" t="s">
        <v>180</v>
      </c>
      <c r="F13" s="55">
        <v>4</v>
      </c>
      <c r="G13" s="55">
        <v>5</v>
      </c>
      <c r="H13" s="55">
        <v>17</v>
      </c>
      <c r="I13" s="55">
        <v>20</v>
      </c>
      <c r="J13" s="55">
        <f t="shared" si="0"/>
        <v>340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181</v>
      </c>
      <c r="E14" s="27" t="s">
        <v>180</v>
      </c>
      <c r="F14" s="55">
        <v>3</v>
      </c>
      <c r="G14" s="55">
        <v>5</v>
      </c>
      <c r="H14" s="55">
        <v>15</v>
      </c>
      <c r="I14" s="55">
        <v>35</v>
      </c>
      <c r="J14" s="55">
        <f t="shared" si="0"/>
        <v>525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176</v>
      </c>
      <c r="D15" s="27" t="s">
        <v>181</v>
      </c>
      <c r="E15" s="27" t="s">
        <v>193</v>
      </c>
      <c r="F15" s="55">
        <v>1</v>
      </c>
      <c r="G15" s="55">
        <v>5</v>
      </c>
      <c r="H15" s="55">
        <v>5</v>
      </c>
      <c r="I15" s="55">
        <v>1</v>
      </c>
      <c r="J15" s="55">
        <f t="shared" si="0"/>
        <v>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181</v>
      </c>
      <c r="E16" s="27" t="s">
        <v>195</v>
      </c>
      <c r="F16" s="55">
        <v>1</v>
      </c>
      <c r="G16" s="55">
        <v>2</v>
      </c>
      <c r="H16" s="55">
        <v>2</v>
      </c>
      <c r="I16" s="55">
        <v>50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200</v>
      </c>
      <c r="D17" s="27" t="s">
        <v>178</v>
      </c>
      <c r="E17" s="27" t="s">
        <v>196</v>
      </c>
      <c r="F17" s="55">
        <v>1</v>
      </c>
      <c r="G17" s="55">
        <v>1</v>
      </c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183</v>
      </c>
      <c r="D18" s="27" t="s">
        <v>168</v>
      </c>
      <c r="E18" s="27" t="s">
        <v>197</v>
      </c>
      <c r="F18" s="55">
        <v>2</v>
      </c>
      <c r="G18" s="55">
        <v>4</v>
      </c>
      <c r="H18" s="55">
        <v>6</v>
      </c>
      <c r="I18" s="55">
        <v>90</v>
      </c>
      <c r="J18" s="55">
        <f t="shared" si="0"/>
        <v>540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202</v>
      </c>
      <c r="D19" s="27" t="s">
        <v>168</v>
      </c>
      <c r="E19" s="27" t="s">
        <v>203</v>
      </c>
      <c r="F19" s="55">
        <v>1</v>
      </c>
      <c r="G19" s="55">
        <v>1</v>
      </c>
      <c r="H19" s="55">
        <v>1</v>
      </c>
      <c r="I19" s="55">
        <v>85</v>
      </c>
      <c r="J19" s="55">
        <f t="shared" si="0"/>
        <v>85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I11:J26 F11:H18 F20:H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198</v>
      </c>
      <c r="D17" s="70" t="s">
        <v>171</v>
      </c>
      <c r="E17" s="55">
        <v>1</v>
      </c>
      <c r="F17" s="55">
        <v>40</v>
      </c>
      <c r="G17" s="55">
        <f t="shared" ref="G17:G22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23</v>
      </c>
      <c r="F19" s="55">
        <v>10</v>
      </c>
      <c r="G19" s="55">
        <f t="shared" si="0"/>
        <v>230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15</v>
      </c>
      <c r="F20" s="55">
        <v>10</v>
      </c>
      <c r="G20" s="55">
        <f t="shared" si="0"/>
        <v>150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201</v>
      </c>
      <c r="D21" s="70" t="s">
        <v>171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204</v>
      </c>
      <c r="D22" s="70" t="s">
        <v>171</v>
      </c>
      <c r="E22" s="55">
        <v>1</v>
      </c>
      <c r="F22" s="55">
        <v>200</v>
      </c>
      <c r="G22" s="55">
        <f t="shared" si="0"/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C13" sqref="C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35</v>
      </c>
      <c r="F13" s="55"/>
      <c r="G13" s="55">
        <v>410</v>
      </c>
      <c r="H13" s="55">
        <v>20</v>
      </c>
      <c r="I13" s="55"/>
      <c r="J13" s="55">
        <v>45</v>
      </c>
      <c r="K13" s="55"/>
      <c r="L13" s="55"/>
      <c r="M13" s="55"/>
      <c r="N13" s="55"/>
      <c r="P13" s="88">
        <f>SUM(D13:N13)</f>
        <v>510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410</v>
      </c>
      <c r="H30" s="88">
        <f t="shared" si="1"/>
        <v>20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2018-06-01T09:30:07Z</dcterms:modified>
</cp:coreProperties>
</file>