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G17" i="9"/>
  <c r="G18" i="9"/>
  <c r="G19" i="9"/>
  <c r="G20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<sst xmlns="http://schemas.openxmlformats.org/spreadsheetml/2006/main" count="491" uniqueCount="197">
  <si>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</si>
  <si>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</si>
  <si>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</si>
  <si>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</si>
  <si>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</si>
  <si>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</si>
  <si>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</si>
  <si>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</si>
  <si>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</si>
  <si>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</si>
  <si>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</si>
  <si>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</si>
  <si>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</si>
  <si>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</si>
  <si>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</si>
  <si>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</si>
  <si>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</si>
  <si>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</si>
  <si>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</si>
  <si>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</si>
  <si>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</si>
  <si>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</si>
  <si>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</si>
  <si>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</si>
  <si>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</si>
  <si>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</si>
  <si>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</si>
  <si>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</si>
  <si>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</si>
  <si>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</si>
  <si>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</si>
  <si>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</si>
  <si>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</si>
  <si>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</si>
  <si>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</si>
  <si>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</si>
  <si>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</si>
  <si>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</si>
  <si>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</si>
  <si>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</si>
  <si>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</si>
  <si>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</si>
  <si>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</si>
  <si>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</si>
  <si>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</si>
  <si>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</si>
  <si>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</si>
  <si>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</si>
  <si>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</si>
  <si>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</si>
  <si>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</si>
  <si>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</si>
  <si>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</si>
  <si>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</si>
  <si>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</si>
  <si>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</si>
  <si>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</si>
  <si>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</si>
  <si>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</si>
  <si>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</si>
  <si>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</si>
  <si>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</si>
  <si>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</si>
  <si>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</si>
  <si>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</si>
  <si>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</si>
  <si>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</si>
  <si>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</si>
  <si>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</si>
  <si>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</si>
  <si>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</si>
  <si>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</si>
  <si>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</si>
  <si>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</si>
  <si>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</si>
  <si>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</si>
  <si>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</si>
  <si>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</si>
  <si>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</si>
  <si>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</si>
  <si>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</si>
  <si>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</si>
  <si>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</si>
  <si>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</si>
  <si>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</si>
  <si>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</si>
  <si>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</si>
  <si>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</si>
  <si>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</si>
  <si>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</si>
  <si>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</si>
  <si>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</si>
  <si>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</si>
  <si>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</si>
  <si>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</si>
  <si>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</si>
  <si>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</si>
  <si>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</si>
  <si>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</si>
  <si>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</si>
  <si>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</si>
  <si>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</si>
  <si>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</si>
  <si>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</si>
  <si>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</si>
  <si>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</si>
  <si>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</si>
  <si>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</si>
  <si>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</si>
  <si>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</si>
  <si>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</si>
  <si>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</si>
  <si>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</si>
  <si>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</si>
  <si>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</si>
  <si>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</si>
  <si>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</si>
  <si>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</si>
  <si>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</si>
  <si>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</si>
  <si>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</si>
  <si>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</si>
  <si>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</si>
  <si>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</si>
  <si>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</si>
  <si>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</si>
  <si>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</si>
  <si>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</si>
  <si>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</si>
  <si>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</si>
  <si>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</si>
  <si>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</si>
  <si>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</si>
  <si>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</si>
  <si>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</si>
  <si>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</si>
  <si>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</si>
  <si>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</si>
  <si>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</si>
  <si>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</si>
  <si>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</si>
  <si>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</si>
  <si>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</si>
  <si>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</si>
  <si>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</si>
  <si>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</si>
  <si>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</si>
  <si>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</si>
  <si>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</si>
  <si>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</si>
  <si>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</si>
  <si>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</si>
  <si>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</si>
  <si>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</si>
  <si>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</si>
  <si>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</si>
  <si>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</si>
  <si>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</si>
  <si>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</si>
  <si>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</si>
  <si>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</si>
  <si>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</si>
  <si>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</si>
  <si>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</si>
  <si>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</si>
  <si>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</si>
  <si>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</si>
  <si>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</si>
  <si>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</si>
  <si>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AMPULE</t>
  </si>
  <si>
    <t>SYRINGE 3CC</t>
  </si>
  <si>
    <t>PC</t>
  </si>
  <si>
    <t>BOTTLE</t>
  </si>
  <si>
    <t>PLASTER 1/2</t>
  </si>
  <si>
    <t>CBC PLATELET COUNT</t>
  </si>
  <si>
    <t>FECALYSIS</t>
  </si>
  <si>
    <t>CHEST APL</t>
  </si>
  <si>
    <t>XRAY</t>
  </si>
  <si>
    <t>NEBULE</t>
  </si>
  <si>
    <t>CEFUROXIME</t>
  </si>
  <si>
    <t>D5 0.3 NACL</t>
  </si>
  <si>
    <t>500ML</t>
  </si>
  <si>
    <t>SYRINGE 5CC</t>
  </si>
  <si>
    <t>MICRO SET</t>
  </si>
  <si>
    <t>ABOCATH GAUGE 24</t>
  </si>
  <si>
    <t>J18.02</t>
  </si>
  <si>
    <t>PARACETAMOL</t>
  </si>
  <si>
    <t>50ML</t>
  </si>
  <si>
    <t>200MG</t>
  </si>
  <si>
    <t>SALBUTAMOL</t>
  </si>
  <si>
    <t>AMPICILLIN</t>
  </si>
  <si>
    <t>250MG</t>
  </si>
  <si>
    <t>GENTAMYCIN</t>
  </si>
  <si>
    <t>40MG</t>
  </si>
  <si>
    <t>1ML</t>
  </si>
  <si>
    <t>DISPOSABLE FACE MASK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</si>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</sst>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4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176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2815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720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177</v>
      </c>
      <c r="D61" s="55">
        <v>320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167</v>
      </c>
      <c r="D62" s="55">
        <v>400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4255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169</v>
      </c>
      <c r="E11" s="27" t="s">
        <v>187</v>
      </c>
      <c r="F11" s="55">
        <v>1</v>
      </c>
      <c r="G11" s="55">
        <v>1</v>
      </c>
      <c r="H11" s="55">
        <v>1</v>
      </c>
      <c r="I11" s="55">
        <v>50</v>
      </c>
      <c r="J11" s="55">
        <f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169</v>
      </c>
      <c r="E12" s="27" t="s">
        <v>188</v>
      </c>
      <c r="F12" s="55">
        <v>3</v>
      </c>
      <c r="G12" s="55">
        <v>3</v>
      </c>
      <c r="H12" s="55">
        <v>14</v>
      </c>
      <c r="I12" s="55">
        <v>60</v>
      </c>
      <c r="J12" s="55">
        <f t="shared" ref="J12:J18" si="0">H12*I12</f>
        <v>840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178</v>
      </c>
      <c r="E13" s="27" t="s">
        <v>194</v>
      </c>
      <c r="F13" s="55">
        <v>5</v>
      </c>
      <c r="G13" s="55">
        <v>4</v>
      </c>
      <c r="H13" s="55">
        <v>24</v>
      </c>
      <c r="I13" s="55">
        <v>20</v>
      </c>
      <c r="J13" s="55">
        <f t="shared" si="0"/>
        <v>480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169</v>
      </c>
      <c r="E14" s="27" t="s">
        <v>191</v>
      </c>
      <c r="F14" s="55">
        <v>1</v>
      </c>
      <c r="G14" s="55">
        <v>2</v>
      </c>
      <c r="H14" s="55">
        <v>5</v>
      </c>
      <c r="I14" s="55">
        <v>40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169</v>
      </c>
      <c r="E15" s="27" t="s">
        <v>193</v>
      </c>
      <c r="F15" s="55">
        <v>1</v>
      </c>
      <c r="G15" s="55">
        <v>1</v>
      </c>
      <c r="H15" s="55">
        <v>6</v>
      </c>
      <c r="I15" s="55">
        <v>40</v>
      </c>
      <c r="J15" s="55">
        <f t="shared" si="0"/>
        <v>240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180</v>
      </c>
      <c r="D16" s="27" t="s">
        <v>172</v>
      </c>
      <c r="E16" s="27" t="s">
        <v>181</v>
      </c>
      <c r="F16" s="55">
        <v>1</v>
      </c>
      <c r="G16" s="55">
        <v>3</v>
      </c>
      <c r="H16" s="55">
        <v>6</v>
      </c>
      <c r="I16" s="55">
        <v>100</v>
      </c>
      <c r="J16" s="55">
        <f t="shared" si="0"/>
        <v>600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7</v>
      </c>
      <c r="F16" s="55">
        <v>10</v>
      </c>
      <c r="G16" s="55">
        <f>E16*F16</f>
        <v>70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171</v>
      </c>
      <c r="E17" s="55">
        <v>5</v>
      </c>
      <c r="F17" s="55">
        <v>10</v>
      </c>
      <c r="G17" s="55">
        <f t="shared" ref="G17:G21" si="0">E17*F17</f>
        <v>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184</v>
      </c>
      <c r="D19" s="70" t="s">
        <v>171</v>
      </c>
      <c r="E19" s="55">
        <v>2</v>
      </c>
      <c r="F19" s="55">
        <v>100</v>
      </c>
      <c r="G19" s="55">
        <f t="shared" si="0"/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171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420</v>
      </c>
      <c r="H13" s="55">
        <v>15</v>
      </c>
      <c r="I13" s="55"/>
      <c r="J13" s="55">
        <v>55</v>
      </c>
      <c r="K13" s="55"/>
      <c r="L13" s="55"/>
      <c r="M13" s="55"/>
      <c r="N13" s="55"/>
      <c r="P13" s="88">
        <f>SUM(D13:N13)</f>
        <v>520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420</v>
      </c>
      <c r="H30" s="88">
        <f t="shared" si="1"/>
        <v>15</v>
      </c>
      <c r="I30" s="88">
        <f t="shared" si="1"/>
        <v>0</v>
      </c>
      <c r="J30" s="88">
        <f t="shared" si="1"/>
        <v>55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2018-06-01T09:31:17Z</dcterms:modified>
</cp:coreProperties>
</file>