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Drugs&amp;Med'!$C$11:$C$17</definedName>
    <definedName name="_xlnm.Print_Area" localSheetId="0">'1.1 Case data_general'!$B$1:$F$69</definedName>
    <definedName name="_xlnm.Print_Area" localSheetId="1">'1.2 Drugs&amp;Med'!$B$2:$J$18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2" i="2" l="1"/>
  <c r="J13" i="2"/>
  <c r="J16" i="2"/>
  <c r="J17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<sst xmlns="http://schemas.openxmlformats.org/spreadsheetml/2006/main" count="491" uniqueCount="197">
  <si>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</si>
  <si>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</si>
  <si>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</si>
  <si>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</si>
  <si>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</si>
  <si>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</si>
  <si>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</si>
  <si>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</si>
  <si>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</si>
  <si>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</si>
  <si>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</si>
  <si>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</si>
  <si>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</si>
  <si>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</si>
  <si>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</si>
  <si>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</si>
  <si>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</si>
  <si>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</si>
  <si>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</si>
  <si>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</si>
  <si>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</si>
  <si>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</si>
  <si>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</si>
  <si>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</si>
  <si>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</si>
  <si>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</si>
  <si>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</si>
  <si>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</si>
  <si>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</si>
  <si>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</si>
  <si>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</si>
  <si>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</si>
  <si>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</si>
  <si>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</si>
  <si>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</si>
  <si>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</si>
  <si>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</si>
  <si>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</si>
  <si>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</si>
  <si>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</si>
  <si>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</si>
  <si>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</si>
  <si>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</si>
  <si>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</si>
  <si>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</si>
  <si>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</si>
  <si>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</si>
  <si>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</si>
  <si>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</si>
  <si>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</si>
  <si>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</si>
  <si>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</si>
  <si>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</si>
  <si>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</si>
  <si>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</si>
  <si>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</si>
  <si>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</si>
  <si>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</si>
  <si>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</si>
  <si>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</si>
  <si>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</si>
  <si>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</si>
  <si>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</si>
  <si>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</si>
  <si>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</si>
  <si>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</si>
  <si>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</si>
  <si>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</si>
  <si>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</si>
  <si>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</si>
  <si>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</si>
  <si>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</si>
  <si>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</si>
  <si>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</si>
  <si>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</si>
  <si>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</si>
  <si>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</si>
  <si>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</si>
  <si>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</si>
  <si>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</si>
  <si>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</si>
  <si>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</si>
  <si>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</si>
  <si>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</si>
  <si>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</si>
  <si>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</si>
  <si>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</si>
  <si>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</si>
  <si>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</si>
  <si>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</si>
  <si>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</si>
  <si>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</si>
  <si>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</si>
  <si>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</si>
  <si>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</si>
  <si>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</si>
  <si>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</si>
  <si>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</si>
  <si>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</si>
  <si>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</si>
  <si>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</si>
  <si>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</si>
  <si>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</si>
  <si>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</si>
  <si>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</si>
  <si>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</si>
  <si>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</si>
  <si>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</si>
  <si>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</si>
  <si>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</si>
  <si>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</si>
  <si>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</si>
  <si>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</si>
  <si>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</si>
  <si>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</si>
  <si>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</si>
  <si>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</si>
  <si>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</si>
  <si>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</si>
  <si>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</si>
  <si>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</si>
  <si>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</si>
  <si>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</si>
  <si>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</si>
  <si>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</si>
  <si>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</si>
  <si>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</si>
  <si>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</si>
  <si>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</si>
  <si>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</si>
  <si>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</si>
  <si>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</si>
  <si>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</si>
  <si>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</si>
  <si>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</si>
  <si>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</si>
  <si>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</si>
  <si>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</si>
  <si>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</si>
  <si>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</si>
  <si>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</si>
  <si>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</si>
  <si>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</si>
  <si>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</si>
  <si>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</si>
  <si>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</si>
  <si>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</si>
  <si>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</si>
  <si>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</si>
  <si>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</si>
  <si>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</si>
  <si>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</si>
  <si>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</si>
  <si>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</si>
  <si>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</si>
  <si>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</si>
  <si>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</si>
  <si>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</si>
  <si>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</si>
  <si>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</si>
  <si>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</si>
  <si>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</si>
  <si>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</si>
  <si>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</si>
  <si>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</si>
  <si>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</si>
  <si>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</si>
  <si>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</si>
  <si>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</si>
  <si>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AMPULE</t>
  </si>
  <si>
    <t>SYRINGE 3CC</t>
  </si>
  <si>
    <t>PC</t>
  </si>
  <si>
    <t>BOTTLE</t>
  </si>
  <si>
    <t>1LITER</t>
  </si>
  <si>
    <t>PLASTER 1/2</t>
  </si>
  <si>
    <t>VIAL</t>
  </si>
  <si>
    <t>MULTIVITAMINS</t>
  </si>
  <si>
    <t>NEBULE</t>
  </si>
  <si>
    <t>D5 0.3 NACL</t>
  </si>
  <si>
    <t>SYRINGE 5CC</t>
  </si>
  <si>
    <t>ABOCATH GAUGE 24</t>
  </si>
  <si>
    <t>MICRO SET</t>
  </si>
  <si>
    <t>J18.02</t>
  </si>
  <si>
    <t>CHEST APL</t>
  </si>
  <si>
    <t>NAKCL</t>
  </si>
  <si>
    <t>XRAY</t>
  </si>
  <si>
    <t>PARACETAMOL</t>
  </si>
  <si>
    <t>150MG</t>
  </si>
  <si>
    <t>AMPICILLIN</t>
  </si>
  <si>
    <t>250MG</t>
  </si>
  <si>
    <t>COMBIVENT NEB</t>
  </si>
  <si>
    <t>500ML</t>
  </si>
  <si>
    <t>AMBROXOL</t>
  </si>
  <si>
    <t>2ML</t>
  </si>
  <si>
    <t>SYRUP</t>
  </si>
  <si>
    <t>PLAIN LR SOLUTION</t>
  </si>
  <si>
    <t>BPN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</si>
</sst>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5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168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183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3935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500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185</v>
      </c>
      <c r="D60" s="55">
        <v>320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167</v>
      </c>
      <c r="D61" s="55">
        <v>500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5255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8"/>
  <sheetViews>
    <sheetView topLeftCell="A6" workbookViewId="0">
      <selection activeCell="H14" sqref="H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BPN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7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186</v>
      </c>
      <c r="D11" s="27" t="s">
        <v>169</v>
      </c>
      <c r="E11" s="27" t="s">
        <v>187</v>
      </c>
      <c r="F11" s="55">
        <v>1</v>
      </c>
      <c r="G11" s="55">
        <v>3</v>
      </c>
      <c r="H11" s="55">
        <v>3</v>
      </c>
      <c r="I11" s="55">
        <v>50</v>
      </c>
      <c r="J11" s="55">
        <v>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188</v>
      </c>
      <c r="D12" s="27" t="s">
        <v>175</v>
      </c>
      <c r="E12" s="27" t="s">
        <v>189</v>
      </c>
      <c r="F12" s="55">
        <v>4</v>
      </c>
      <c r="G12" s="55">
        <v>5</v>
      </c>
      <c r="H12" s="55">
        <v>24</v>
      </c>
      <c r="I12" s="55">
        <v>40</v>
      </c>
      <c r="J12" s="55">
        <f t="shared" ref="J12:J17" si="0">H12*I12</f>
        <v>960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190</v>
      </c>
      <c r="D13" s="27" t="s">
        <v>177</v>
      </c>
      <c r="E13" s="27" t="s">
        <v>191</v>
      </c>
      <c r="F13" s="55">
        <v>4</v>
      </c>
      <c r="G13" s="55">
        <v>5</v>
      </c>
      <c r="H13" s="55">
        <v>25</v>
      </c>
      <c r="I13" s="55">
        <v>40</v>
      </c>
      <c r="J13" s="55">
        <f t="shared" si="0"/>
        <v>1000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194</v>
      </c>
      <c r="E14" s="27" t="s">
        <v>193</v>
      </c>
      <c r="F14" s="55">
        <v>2</v>
      </c>
      <c r="G14" s="55">
        <v>5</v>
      </c>
      <c r="H14" s="55">
        <v>10</v>
      </c>
      <c r="I14" s="55">
        <v>40</v>
      </c>
      <c r="J14" s="55">
        <v>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176</v>
      </c>
      <c r="D15" s="27" t="s">
        <v>194</v>
      </c>
      <c r="E15" s="27" t="s">
        <v>193</v>
      </c>
      <c r="F15" s="55">
        <v>1</v>
      </c>
      <c r="G15" s="55">
        <v>5</v>
      </c>
      <c r="H15" s="55">
        <v>5</v>
      </c>
      <c r="I15" s="55">
        <v>65</v>
      </c>
      <c r="J15" s="55">
        <v>65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195</v>
      </c>
      <c r="D16" s="27" t="s">
        <v>172</v>
      </c>
      <c r="E16" s="27" t="s">
        <v>173</v>
      </c>
      <c r="F16" s="55">
        <v>1</v>
      </c>
      <c r="G16" s="55">
        <v>1</v>
      </c>
      <c r="H16" s="55">
        <v>6</v>
      </c>
      <c r="I16" s="55">
        <v>100</v>
      </c>
      <c r="J16" s="55">
        <f t="shared" si="0"/>
        <v>600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178</v>
      </c>
      <c r="D17" s="27" t="s">
        <v>172</v>
      </c>
      <c r="E17" s="27" t="s">
        <v>191</v>
      </c>
      <c r="F17" s="55">
        <v>2</v>
      </c>
      <c r="G17" s="55">
        <v>5</v>
      </c>
      <c r="H17" s="55">
        <v>9</v>
      </c>
      <c r="I17" s="55">
        <v>100</v>
      </c>
      <c r="J17" s="55">
        <f t="shared" si="0"/>
        <v>900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25">
      <c r="A18" s="33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</row>
    <row r="19" spans="1:20" ht="15.75" customHeight="1" x14ac:dyDescent="0.25"/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7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topLeftCell="A7" workbookViewId="0">
      <selection activeCell="C29" sqref="C2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170</v>
      </c>
      <c r="D16" s="70" t="s">
        <v>171</v>
      </c>
      <c r="E16" s="55">
        <v>2</v>
      </c>
      <c r="F16" s="55">
        <v>10</v>
      </c>
      <c r="G16" s="55">
        <f>E16*F16</f>
        <v>20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171</v>
      </c>
      <c r="E17" s="55">
        <v>2</v>
      </c>
      <c r="F17" s="55">
        <v>10</v>
      </c>
      <c r="G17" s="55">
        <f t="shared" ref="G17:G20" si="0">E17*F17</f>
        <v>20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180</v>
      </c>
      <c r="D18" s="70" t="s">
        <v>171</v>
      </c>
      <c r="E18" s="55">
        <v>2</v>
      </c>
      <c r="F18" s="55">
        <v>100</v>
      </c>
      <c r="G18" s="55">
        <f t="shared" si="0"/>
        <v>200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171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174</v>
      </c>
      <c r="D20" s="70" t="s">
        <v>171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136" t="s">
        <v>76</v>
      </c>
      <c r="C21" s="137"/>
      <c r="D21" s="137"/>
      <c r="E21" s="137"/>
      <c r="F21" s="137"/>
      <c r="G21" s="138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29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45</v>
      </c>
      <c r="F13" s="55"/>
      <c r="G13" s="55">
        <v>877</v>
      </c>
      <c r="H13" s="55">
        <v>45</v>
      </c>
      <c r="I13" s="55"/>
      <c r="J13" s="55">
        <v>65</v>
      </c>
      <c r="K13" s="55"/>
      <c r="L13" s="55"/>
      <c r="M13" s="55"/>
      <c r="N13" s="55"/>
      <c r="P13" s="88">
        <f>SUM(D13:N13)</f>
        <v>1032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45</v>
      </c>
      <c r="F30" s="88">
        <f t="shared" si="1"/>
        <v>0</v>
      </c>
      <c r="G30" s="88">
        <f t="shared" si="1"/>
        <v>877</v>
      </c>
      <c r="H30" s="88">
        <f t="shared" si="1"/>
        <v>45</v>
      </c>
      <c r="I30" s="88">
        <f t="shared" si="1"/>
        <v>0</v>
      </c>
      <c r="J30" s="88">
        <f t="shared" si="1"/>
        <v>65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1032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2018-06-01T09:17:09Z</dcterms:modified>
</cp:coreProperties>
</file>