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22" i="2"/>
  <c r="J21" i="2"/>
  <c r="J20" i="2"/>
  <c r="J19" i="2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<sst xmlns="http://schemas.openxmlformats.org/spreadsheetml/2006/main" count="499" uniqueCount="204">
  <si>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</si>
  <si>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</si>
  <si>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</si>
  <si>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</si>
  <si>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</si>
  <si>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</si>
  <si>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</si>
  <si>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</si>
  <si>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</si>
  <si>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</si>
  <si>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</si>
  <si>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</si>
  <si>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</si>
  <si>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</si>
  <si>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</si>
  <si>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</si>
  <si>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</si>
  <si>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</si>
  <si>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</si>
  <si>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</si>
  <si>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</si>
  <si>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</si>
  <si>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</si>
  <si>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</si>
  <si>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</si>
  <si>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</si>
  <si>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</si>
  <si>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</si>
  <si>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</si>
  <si>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</si>
  <si>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</si>
  <si>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</si>
  <si>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</si>
  <si>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</si>
  <si>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</si>
  <si>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</si>
  <si>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</si>
  <si>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</si>
  <si>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</si>
  <si>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</si>
  <si>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</si>
  <si>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</si>
  <si>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</si>
  <si>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</si>
  <si>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</si>
  <si>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</si>
  <si>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</si>
  <si>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</si>
  <si>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</si>
  <si>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</si>
  <si>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</si>
  <si>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</si>
  <si>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</si>
  <si>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</si>
  <si>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</si>
  <si>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</si>
  <si>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</si>
  <si>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</si>
  <si>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</si>
  <si>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</si>
  <si>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</si>
  <si>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</si>
  <si>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</si>
  <si>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</si>
  <si>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</si>
  <si>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</si>
  <si>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</si>
  <si>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</si>
  <si>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</si>
  <si>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</si>
  <si>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</si>
  <si>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</si>
  <si>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</si>
  <si>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</si>
  <si>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</si>
  <si>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</si>
  <si>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</si>
  <si>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</si>
  <si>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</si>
  <si>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</si>
  <si>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</si>
  <si>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</si>
  <si>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</si>
  <si>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</si>
  <si>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</si>
  <si>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</si>
  <si>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</si>
  <si>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</si>
  <si>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</si>
  <si>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</si>
  <si>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</si>
  <si>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</si>
  <si>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</si>
  <si>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</si>
  <si>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</si>
  <si>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</si>
  <si>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</si>
  <si>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</si>
  <si>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</si>
  <si>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</si>
  <si>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</si>
  <si>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</si>
  <si>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</si>
  <si>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</si>
  <si>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</si>
  <si>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</si>
  <si>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</si>
  <si>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</si>
  <si>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</si>
  <si>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</si>
  <si>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</si>
  <si>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</si>
  <si>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</si>
  <si>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</si>
  <si>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</si>
  <si>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</si>
  <si>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</si>
  <si>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</si>
  <si>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</si>
  <si>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</si>
  <si>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</si>
  <si>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</si>
  <si>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</si>
  <si>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</si>
  <si>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</si>
  <si>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</si>
  <si>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</si>
  <si>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</si>
  <si>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</si>
  <si>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</si>
  <si>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</si>
  <si>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</si>
  <si>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</si>
  <si>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</si>
  <si>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</si>
  <si>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</si>
  <si>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</si>
  <si>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</si>
  <si>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</si>
  <si>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</si>
  <si>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</si>
  <si>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</si>
  <si>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</si>
  <si>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</si>
  <si>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</si>
  <si>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</si>
  <si>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</si>
  <si>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</si>
  <si>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</si>
  <si>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</si>
  <si>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</si>
  <si>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</si>
  <si>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</si>
  <si>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</si>
  <si>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</si>
  <si>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</si>
  <si>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</si>
  <si>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</si>
  <si>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</si>
  <si>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</si>
  <si>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</si>
  <si>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</si>
  <si>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</si>
  <si>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</si>
  <si>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J18.02</t>
  </si>
  <si>
    <t>LABORATORY</t>
  </si>
  <si>
    <t>XRAY</t>
  </si>
  <si>
    <t>MEDICINES</t>
  </si>
  <si>
    <t>ROOM AND BOARD</t>
  </si>
  <si>
    <t>URINALYSIS</t>
  </si>
  <si>
    <t>SODIUM</t>
  </si>
  <si>
    <t>POTASSIUM</t>
  </si>
  <si>
    <t>CHLORIDE</t>
  </si>
  <si>
    <t>CHEST APL</t>
  </si>
  <si>
    <t>AMPICILLIN</t>
  </si>
  <si>
    <t>GENTAMYCIN</t>
  </si>
  <si>
    <t>PARACETAMOL</t>
  </si>
  <si>
    <t>AMBROXOL</t>
  </si>
  <si>
    <t>Visit in the ward</t>
  </si>
  <si>
    <t>VIAL</t>
  </si>
  <si>
    <t>250MG</t>
  </si>
  <si>
    <t>AMPULE</t>
  </si>
  <si>
    <t>10MG</t>
  </si>
  <si>
    <t>150MG</t>
  </si>
  <si>
    <t>COMBIVENT</t>
  </si>
  <si>
    <t>NEBULE</t>
  </si>
  <si>
    <t>200MCG/ML</t>
  </si>
  <si>
    <t>SYRUP</t>
  </si>
  <si>
    <t>100ML/15ML</t>
  </si>
  <si>
    <t>MULTIVITAMINS</t>
  </si>
  <si>
    <t>500MG</t>
  </si>
  <si>
    <t>HYDROCORTISONE</t>
  </si>
  <si>
    <t>PLR</t>
  </si>
  <si>
    <t>BOTTLE</t>
  </si>
  <si>
    <t>500CC</t>
  </si>
  <si>
    <t>D5 0.3 NACL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</si>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</sst>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7" zoomScaleNormal="100" workbookViewId="0">
      <selection activeCell="B80" sqref="B8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173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320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3860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168</v>
      </c>
      <c r="D69" s="55">
        <v>400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5080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179</v>
      </c>
      <c r="E11" s="27" t="s">
        <v>180</v>
      </c>
      <c r="F11" s="55">
        <v>4</v>
      </c>
      <c r="G11" s="55">
        <v>5</v>
      </c>
      <c r="H11" s="55">
        <v>18</v>
      </c>
      <c r="I11" s="55">
        <v>40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181</v>
      </c>
      <c r="E12" s="27" t="s">
        <v>182</v>
      </c>
      <c r="F12" s="55">
        <v>3</v>
      </c>
      <c r="G12" s="55">
        <v>5</v>
      </c>
      <c r="H12" s="55">
        <v>14</v>
      </c>
      <c r="I12" s="55">
        <v>40</v>
      </c>
      <c r="J12" s="55">
        <f t="shared" ref="J12:J22" si="0">H12*I12</f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181</v>
      </c>
      <c r="E13" s="27" t="s">
        <v>183</v>
      </c>
      <c r="F13" s="55">
        <v>6</v>
      </c>
      <c r="G13" s="55">
        <v>2</v>
      </c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185</v>
      </c>
      <c r="E14" s="27" t="s">
        <v>186</v>
      </c>
      <c r="F14" s="55">
        <v>4</v>
      </c>
      <c r="G14" s="55">
        <v>5</v>
      </c>
      <c r="H14" s="55">
        <v>9</v>
      </c>
      <c r="I14" s="55">
        <v>40</v>
      </c>
      <c r="J14" s="55">
        <f t="shared" si="0"/>
        <v>360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187</v>
      </c>
      <c r="E15" s="27" t="s">
        <v>188</v>
      </c>
      <c r="F15" s="55">
        <v>3</v>
      </c>
      <c r="G15" s="55">
        <v>5</v>
      </c>
      <c r="H15" s="55">
        <v>12</v>
      </c>
      <c r="I15" s="55">
        <v>35</v>
      </c>
      <c r="J15" s="55">
        <f t="shared" si="0"/>
        <v>420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187</v>
      </c>
      <c r="E16" s="27" t="s">
        <v>190</v>
      </c>
      <c r="F16" s="55">
        <v>1</v>
      </c>
      <c r="G16" s="55">
        <v>5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179</v>
      </c>
      <c r="E17" s="27" t="s">
        <v>190</v>
      </c>
      <c r="F17" s="55">
        <v>3</v>
      </c>
      <c r="G17" s="55">
        <v>3</v>
      </c>
      <c r="H17" s="55">
        <v>7</v>
      </c>
      <c r="I17" s="55">
        <v>90</v>
      </c>
      <c r="J17" s="55">
        <f t="shared" si="0"/>
        <v>630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193</v>
      </c>
      <c r="E18" s="27" t="s">
        <v>194</v>
      </c>
      <c r="F18" s="55">
        <v>1</v>
      </c>
      <c r="G18" s="55">
        <v>1</v>
      </c>
      <c r="H18" s="55">
        <v>1</v>
      </c>
      <c r="I18" s="55">
        <v>90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195</v>
      </c>
      <c r="D19" s="27" t="s">
        <v>193</v>
      </c>
      <c r="E19" s="27" t="s">
        <v>194</v>
      </c>
      <c r="F19" s="55">
        <v>2</v>
      </c>
      <c r="G19" s="55">
        <v>4</v>
      </c>
      <c r="H19" s="55">
        <v>7</v>
      </c>
      <c r="I19" s="55">
        <v>90</v>
      </c>
      <c r="J19" s="55">
        <f t="shared" si="0"/>
        <v>630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4" sqref="D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197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197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200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197</v>
      </c>
      <c r="E19" s="55">
        <v>1</v>
      </c>
      <c r="F19" s="55">
        <v>10</v>
      </c>
      <c r="G19" s="55">
        <f t="shared" si="0"/>
        <v>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197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178</v>
      </c>
      <c r="D13" s="55"/>
      <c r="E13" s="55">
        <f>10*4</f>
        <v>40</v>
      </c>
      <c r="F13" s="55"/>
      <c r="G13" s="55">
        <f>24*4*60/12</f>
        <v>480</v>
      </c>
      <c r="H13" s="55"/>
      <c r="I13" s="55"/>
      <c r="J13" s="55">
        <f>5*4</f>
        <v>20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2018-06-01T09:21:31Z</dcterms:modified>
</cp:coreProperties>
</file>