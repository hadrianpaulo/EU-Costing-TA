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data_general'!$B$1:$F$67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7" i="1"/>
  <c r="E67" i="1"/>
  <c r="D67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<sst xmlns="http://schemas.openxmlformats.org/spreadsheetml/2006/main" count="496" uniqueCount="203">
  <si>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</si>
  <si>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</si>
  <si>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</si>
  <si>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</si>
  <si>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</si>
  <si>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</si>
  <si>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</si>
  <si>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</si>
  <si>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</si>
  <si>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</si>
  <si>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</si>
  <si>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</si>
  <si>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</si>
  <si>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</si>
  <si>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</si>
  <si>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</si>
  <si>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</si>
  <si>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</si>
  <si>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</si>
  <si>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</si>
  <si>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</si>
  <si>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</si>
  <si>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</si>
  <si>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</si>
  <si>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</si>
  <si>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</si>
  <si>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</si>
  <si>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</si>
  <si>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</si>
  <si>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</si>
  <si>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</si>
  <si>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</si>
  <si>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</si>
  <si>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</si>
  <si>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</si>
  <si>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</si>
  <si>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</si>
  <si>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</si>
  <si>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</si>
  <si>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</si>
  <si>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</si>
  <si>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</si>
  <si>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</si>
  <si>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</si>
  <si>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</si>
  <si>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</si>
  <si>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</si>
  <si>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</si>
  <si>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</si>
  <si>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</si>
  <si>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</si>
  <si>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</si>
  <si>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</si>
  <si>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</si>
  <si>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</si>
  <si>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</si>
  <si>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</si>
  <si>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</si>
  <si>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</si>
  <si>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</si>
  <si>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</si>
  <si>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</si>
  <si>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</si>
  <si>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</si>
  <si>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</si>
  <si>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</si>
  <si>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</si>
  <si>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</si>
  <si>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</si>
  <si>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</si>
  <si>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</si>
  <si>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</si>
  <si>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</si>
  <si>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</si>
  <si>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</si>
  <si>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</si>
  <si>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</si>
  <si>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</si>
  <si>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</si>
  <si>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</si>
  <si>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</si>
  <si>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</si>
  <si>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</si>
  <si>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</si>
  <si>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</si>
  <si>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</si>
  <si>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</si>
  <si>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</si>
  <si>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</si>
  <si>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</si>
  <si>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</si>
  <si>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</si>
  <si>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</si>
  <si>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</si>
  <si>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</si>
  <si>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</si>
  <si>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</si>
  <si>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</si>
  <si>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</si>
  <si>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</si>
  <si>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</si>
  <si>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</si>
  <si>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</si>
  <si>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</si>
  <si>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</si>
  <si>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</si>
  <si>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</si>
  <si>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</si>
  <si>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</si>
  <si>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</si>
  <si>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</si>
  <si>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</si>
  <si>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</si>
  <si>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</si>
  <si>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</si>
  <si>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</si>
  <si>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</si>
  <si>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</si>
  <si>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</si>
  <si>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</si>
  <si>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</si>
  <si>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</si>
  <si>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</si>
  <si>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</si>
  <si>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</si>
  <si>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</si>
  <si>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</si>
  <si>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</si>
  <si>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</si>
  <si>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</si>
  <si>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</si>
  <si>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</si>
  <si>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</si>
  <si>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</si>
  <si>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</si>
  <si>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</si>
  <si>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</si>
  <si>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</si>
  <si>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</si>
  <si>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</si>
  <si>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</si>
  <si>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</si>
  <si>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</si>
  <si>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</si>
  <si>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</si>
  <si>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</si>
  <si>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</si>
  <si>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</si>
  <si>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</si>
  <si>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</si>
  <si>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</si>
  <si>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</si>
  <si>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</si>
  <si>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</si>
  <si>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</si>
  <si>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</si>
  <si>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</si>
  <si>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</si>
  <si>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</si>
  <si>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</si>
  <si>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</si>
  <si>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</si>
  <si>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</si>
  <si>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</si>
  <si>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</si>
  <si>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</si>
  <si>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</si>
  <si>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VIAL</t>
  </si>
  <si>
    <t>BOTTLE</t>
  </si>
  <si>
    <t>CHEST APL</t>
  </si>
  <si>
    <t>ROOM AND BOARD</t>
  </si>
  <si>
    <t>AMPULE</t>
  </si>
  <si>
    <t>PARACETAMOL</t>
  </si>
  <si>
    <t>MULTIVITAMINS</t>
  </si>
  <si>
    <t>PLAIN LR SOLUTION</t>
  </si>
  <si>
    <t>J18.02</t>
  </si>
  <si>
    <t>URINALYSIS</t>
  </si>
  <si>
    <t>NAKCL</t>
  </si>
  <si>
    <t>XRAY</t>
  </si>
  <si>
    <t>200MG</t>
  </si>
  <si>
    <t>80MG</t>
  </si>
  <si>
    <t>LACTOMIN</t>
  </si>
  <si>
    <t>POWDER</t>
  </si>
  <si>
    <t>SYRUP</t>
  </si>
  <si>
    <t>CEFUROXIME</t>
  </si>
  <si>
    <t>1ML</t>
  </si>
  <si>
    <t>NEBULE</t>
  </si>
  <si>
    <t>3.5ML</t>
  </si>
  <si>
    <t>SALBUTAMOL + IPRATROPIUM</t>
  </si>
  <si>
    <t>D5 0.3 NACL</t>
  </si>
  <si>
    <t>500CC</t>
  </si>
  <si>
    <t>DISTILLED WATER FOR INJECTION</t>
  </si>
  <si>
    <t>50CC</t>
  </si>
  <si>
    <t>VITAMIN B COMPLEX</t>
  </si>
  <si>
    <t>100MG/100/1ML</t>
  </si>
  <si>
    <t>IV SET MACROSET</t>
  </si>
  <si>
    <t>PIECE</t>
  </si>
  <si>
    <t>IV CATHETER G#24</t>
  </si>
  <si>
    <t>PLASTER</t>
  </si>
  <si>
    <t>ROLL</t>
  </si>
  <si>
    <t>5CC SYRINGE</t>
  </si>
  <si>
    <t>3CC SYRINGE</t>
  </si>
  <si>
    <t>BPN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</si>
</sst>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55</xdr:row>
          <xdr:rowOff>19050</xdr:rowOff>
        </xdr:from>
        <xdr:to>
          <xdr:col>1</xdr:col>
          <xdr:colOff>733425</xdr:colOff>
          <xdr:row>55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55</xdr:row>
          <xdr:rowOff>19050</xdr:rowOff>
        </xdr:from>
        <xdr:to>
          <xdr:col>1</xdr:col>
          <xdr:colOff>1504950</xdr:colOff>
          <xdr:row>55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4"/>
  <sheetViews>
    <sheetView topLeftCell="A45" zoomScale="90" zoomScaleNormal="9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202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177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8" t="s">
        <v>19</v>
      </c>
      <c r="C36" s="119"/>
      <c r="D36" s="116"/>
      <c r="E36" s="119"/>
      <c r="F36" s="117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 t="s">
        <v>169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44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14" t="s">
        <v>45</v>
      </c>
      <c r="C40" s="13"/>
      <c r="D40" s="13"/>
      <c r="E40" s="16"/>
      <c r="F40" s="13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5" t="s">
        <v>53</v>
      </c>
      <c r="C41" s="116"/>
      <c r="D41" s="116"/>
      <c r="E41" s="116"/>
      <c r="F41" s="11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20"/>
      <c r="B42" s="30">
        <v>1</v>
      </c>
      <c r="C42" s="31" t="s">
        <v>164</v>
      </c>
      <c r="D42" s="32"/>
      <c r="E42" s="57"/>
      <c r="F42" s="5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2</v>
      </c>
      <c r="C43" s="31"/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26">
        <v>3</v>
      </c>
      <c r="C44" s="27"/>
      <c r="D44" s="28"/>
      <c r="E44" s="55"/>
      <c r="F44" s="55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4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20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1</v>
      </c>
      <c r="C47" s="27" t="s">
        <v>164</v>
      </c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2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5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6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5"/>
      <c r="C53" s="25"/>
      <c r="D53" s="25"/>
      <c r="E53" s="25"/>
      <c r="F53" s="2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57.75" customHeight="1" thickBot="1" x14ac:dyDescent="0.35">
      <c r="A55" s="1"/>
      <c r="B55" s="17" t="s">
        <v>55</v>
      </c>
      <c r="C55" s="17" t="s">
        <v>51</v>
      </c>
      <c r="D55" s="17" t="s">
        <v>56</v>
      </c>
      <c r="E55" s="18" t="s">
        <v>57</v>
      </c>
      <c r="F55" s="19" t="s">
        <v>21</v>
      </c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2">
        <v>1</v>
      </c>
      <c r="C56" s="27" t="s">
        <v>165</v>
      </c>
      <c r="D56" s="55">
        <v>3690</v>
      </c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0">
        <v>2</v>
      </c>
      <c r="C57" s="27" t="s">
        <v>166</v>
      </c>
      <c r="D57" s="55">
        <v>500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3</v>
      </c>
      <c r="C58" s="27" t="s">
        <v>178</v>
      </c>
      <c r="D58" s="55">
        <v>320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4</v>
      </c>
      <c r="C59" s="27" t="s">
        <v>170</v>
      </c>
      <c r="D59" s="55">
        <v>500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5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6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7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8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9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10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4.9000000000000004" customHeight="1" thickBot="1" x14ac:dyDescent="0.35">
      <c r="A66" s="1"/>
      <c r="B66" s="1"/>
      <c r="C66" s="1"/>
      <c r="D66" s="58"/>
      <c r="E66" s="58"/>
      <c r="F66" s="58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thickTop="1" x14ac:dyDescent="0.3">
      <c r="A67" s="1"/>
      <c r="B67" s="11"/>
      <c r="C67" s="4" t="s">
        <v>22</v>
      </c>
      <c r="D67" s="59">
        <f>SUM(D56:D66)</f>
        <v>5010</v>
      </c>
      <c r="E67" s="59">
        <f>SUM(E56:E66)</f>
        <v>0</v>
      </c>
      <c r="F67" s="59">
        <f>SUM(F56:F66)</f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</sheetData>
  <sheetProtection password="C2E9" sheet="1" objects="1" scenarios="1" formatColumns="0" formatRows="0" sort="0" autoFilter="0"/>
  <mergeCells count="12">
    <mergeCell ref="B46:F46"/>
    <mergeCell ref="B39:F39"/>
    <mergeCell ref="B12:F12"/>
    <mergeCell ref="B13:F13"/>
    <mergeCell ref="B14:F14"/>
    <mergeCell ref="B15:F15"/>
    <mergeCell ref="B18:F18"/>
    <mergeCell ref="B22:F22"/>
    <mergeCell ref="B33:F33"/>
    <mergeCell ref="B28:F28"/>
    <mergeCell ref="B36:F36"/>
    <mergeCell ref="B41:F41"/>
  </mergeCells>
  <dataValidations count="1">
    <dataValidation type="decimal" operator="greaterThanOrEqual" allowBlank="1" showInputMessage="1" showErrorMessage="1" sqref="E40 E42:F45 E47:F52 D56:F65 E37:E38 E34:E35 E23:F27 E3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55</xdr:row>
                    <xdr:rowOff>19050</xdr:rowOff>
                  </from>
                  <to>
                    <xdr:col>1</xdr:col>
                    <xdr:colOff>733425</xdr:colOff>
                    <xdr:row>55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55</xdr:row>
                    <xdr:rowOff>19050</xdr:rowOff>
                  </from>
                  <to>
                    <xdr:col>1</xdr:col>
                    <xdr:colOff>1504950</xdr:colOff>
                    <xdr:row>55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9" zoomScale="115" zoomScaleNormal="115" workbookViewId="0">
      <selection activeCell="C20" sqref="C20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BPN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171</v>
      </c>
      <c r="E11" s="27" t="s">
        <v>180</v>
      </c>
      <c r="F11" s="55">
        <v>6</v>
      </c>
      <c r="G11" s="55">
        <v>1</v>
      </c>
      <c r="H11" s="55">
        <v>2</v>
      </c>
      <c r="I11" s="55">
        <v>50</v>
      </c>
      <c r="J11" s="55">
        <v>100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181</v>
      </c>
      <c r="D12" s="27" t="s">
        <v>182</v>
      </c>
      <c r="E12" s="27"/>
      <c r="F12" s="55">
        <v>1</v>
      </c>
      <c r="G12" s="55">
        <v>5</v>
      </c>
      <c r="H12" s="55">
        <v>5</v>
      </c>
      <c r="I12" s="55">
        <v>40</v>
      </c>
      <c r="J12" s="55">
        <v>320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173</v>
      </c>
      <c r="D13" s="27" t="s">
        <v>183</v>
      </c>
      <c r="E13" s="27" t="s">
        <v>185</v>
      </c>
      <c r="F13" s="55">
        <v>1</v>
      </c>
      <c r="G13" s="55">
        <v>4</v>
      </c>
      <c r="H13" s="55">
        <v>1</v>
      </c>
      <c r="I13" s="55">
        <v>50</v>
      </c>
      <c r="J13" s="55">
        <v>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184</v>
      </c>
      <c r="D14" s="27" t="s">
        <v>167</v>
      </c>
      <c r="E14" s="27" t="s">
        <v>179</v>
      </c>
      <c r="F14" s="55">
        <v>3</v>
      </c>
      <c r="G14" s="55">
        <v>5</v>
      </c>
      <c r="H14" s="55">
        <v>14</v>
      </c>
      <c r="I14" s="55">
        <v>60</v>
      </c>
      <c r="J14" s="55">
        <v>840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188</v>
      </c>
      <c r="D15" s="27" t="s">
        <v>186</v>
      </c>
      <c r="E15" s="27" t="s">
        <v>187</v>
      </c>
      <c r="F15" s="55">
        <v>4</v>
      </c>
      <c r="G15" s="55">
        <v>4</v>
      </c>
      <c r="H15" s="55">
        <v>12</v>
      </c>
      <c r="I15" s="55">
        <v>40</v>
      </c>
      <c r="J15" s="55">
        <v>480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174</v>
      </c>
      <c r="D16" s="27" t="s">
        <v>168</v>
      </c>
      <c r="E16" s="27" t="s">
        <v>190</v>
      </c>
      <c r="F16" s="55">
        <v>1</v>
      </c>
      <c r="G16" s="55">
        <v>1</v>
      </c>
      <c r="H16" s="55">
        <v>1</v>
      </c>
      <c r="I16" s="55">
        <v>90</v>
      </c>
      <c r="J16" s="55">
        <v>90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189</v>
      </c>
      <c r="D17" s="27" t="s">
        <v>168</v>
      </c>
      <c r="E17" s="27" t="s">
        <v>190</v>
      </c>
      <c r="F17" s="55">
        <v>2</v>
      </c>
      <c r="G17" s="55">
        <v>5</v>
      </c>
      <c r="H17" s="55">
        <v>8</v>
      </c>
      <c r="I17" s="55">
        <v>90</v>
      </c>
      <c r="J17" s="55">
        <v>720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191</v>
      </c>
      <c r="D18" s="27" t="s">
        <v>168</v>
      </c>
      <c r="E18" s="27" t="s">
        <v>192</v>
      </c>
      <c r="F18" s="55">
        <v>1</v>
      </c>
      <c r="G18" s="55">
        <v>2</v>
      </c>
      <c r="H18" s="55">
        <v>2</v>
      </c>
      <c r="I18" s="55">
        <v>85</v>
      </c>
      <c r="J18" s="55">
        <v>170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193</v>
      </c>
      <c r="D19" s="27" t="s">
        <v>171</v>
      </c>
      <c r="E19" s="27" t="s">
        <v>194</v>
      </c>
      <c r="F19" s="55">
        <v>2</v>
      </c>
      <c r="G19" s="55">
        <v>3</v>
      </c>
      <c r="H19" s="55">
        <v>6</v>
      </c>
      <c r="I19" s="55">
        <v>100</v>
      </c>
      <c r="J19" s="55">
        <v>600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21" sqref="G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195</v>
      </c>
      <c r="D16" s="70" t="s">
        <v>196</v>
      </c>
      <c r="E16" s="55">
        <v>1</v>
      </c>
      <c r="F16" s="55">
        <v>40</v>
      </c>
      <c r="G16" s="55">
        <v>40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197</v>
      </c>
      <c r="D17" s="70" t="s">
        <v>196</v>
      </c>
      <c r="E17" s="55">
        <v>1</v>
      </c>
      <c r="F17" s="55">
        <v>90</v>
      </c>
      <c r="G17" s="55">
        <v>90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198</v>
      </c>
      <c r="D18" s="70" t="s">
        <v>199</v>
      </c>
      <c r="E18" s="55">
        <v>1</v>
      </c>
      <c r="F18" s="55">
        <v>40</v>
      </c>
      <c r="G18" s="55"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200</v>
      </c>
      <c r="D19" s="70" t="s">
        <v>196</v>
      </c>
      <c r="E19" s="55">
        <v>10</v>
      </c>
      <c r="F19" s="55">
        <v>10</v>
      </c>
      <c r="G19" s="55"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201</v>
      </c>
      <c r="D20" s="70" t="s">
        <v>196</v>
      </c>
      <c r="E20" s="55">
        <v>5</v>
      </c>
      <c r="F20" s="55">
        <v>10</v>
      </c>
      <c r="G20" s="55">
        <v>50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B33" sqref="B3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BPN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50</v>
      </c>
      <c r="F13" s="55"/>
      <c r="G13" s="55">
        <v>480</v>
      </c>
      <c r="H13" s="55">
        <v>25</v>
      </c>
      <c r="I13" s="55"/>
      <c r="J13" s="55">
        <v>100</v>
      </c>
      <c r="K13" s="55"/>
      <c r="L13" s="55"/>
      <c r="M13" s="55"/>
      <c r="N13" s="55"/>
      <c r="P13" s="88">
        <f>SUM(D13:N13)</f>
        <v>655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50</v>
      </c>
      <c r="F30" s="88">
        <f t="shared" si="1"/>
        <v>0</v>
      </c>
      <c r="G30" s="88">
        <f t="shared" si="1"/>
        <v>480</v>
      </c>
      <c r="H30" s="88">
        <f t="shared" si="1"/>
        <v>25</v>
      </c>
      <c r="I30" s="88">
        <f t="shared" si="1"/>
        <v>0</v>
      </c>
      <c r="J30" s="88">
        <f t="shared" si="1"/>
        <v>100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2018-06-01T09:29:20Z</dcterms:modified>
</cp:coreProperties>
</file>