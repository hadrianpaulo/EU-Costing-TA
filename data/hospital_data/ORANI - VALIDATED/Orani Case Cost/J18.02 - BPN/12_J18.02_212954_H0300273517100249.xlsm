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16" i="9"/>
  <c r="J12" i="2"/>
  <c r="J13" i="2"/>
  <c r="J14" i="2"/>
  <c r="J15" i="2"/>
  <c r="J16" i="2"/>
  <c r="J17" i="2"/>
  <c r="J18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<sst xmlns="http://schemas.openxmlformats.org/spreadsheetml/2006/main" count="499" uniqueCount="205">
  <si>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</si>
  <si>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</si>
  <si>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</si>
  <si>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</si>
  <si>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</si>
  <si>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</si>
  <si>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</si>
  <si>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</si>
  <si>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</si>
  <si>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</si>
  <si>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</si>
  <si>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</si>
  <si>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</si>
  <si>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</si>
  <si>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</si>
  <si>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</si>
  <si>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</si>
  <si>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</si>
  <si>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</si>
  <si>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</si>
  <si>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</si>
  <si>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</si>
  <si>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</si>
  <si>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</si>
  <si>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</si>
  <si>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</si>
  <si>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</si>
  <si>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</si>
  <si>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</si>
  <si>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</si>
  <si>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</si>
  <si>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</si>
  <si>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</si>
  <si>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</si>
  <si>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</si>
  <si>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</si>
  <si>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</si>
  <si>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</si>
  <si>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</si>
  <si>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</si>
  <si>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</si>
  <si>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</si>
  <si>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</si>
  <si>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</si>
  <si>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</si>
  <si>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</si>
  <si>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</si>
  <si>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</si>
  <si>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</si>
  <si>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</si>
  <si>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</si>
  <si>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</si>
  <si>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</si>
  <si>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</si>
  <si>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</si>
  <si>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</si>
  <si>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</si>
  <si>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</si>
  <si>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</si>
  <si>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</si>
  <si>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</si>
  <si>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</si>
  <si>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</si>
  <si>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</si>
  <si>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</si>
  <si>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</si>
  <si>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</si>
  <si>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</si>
  <si>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</si>
  <si>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</si>
  <si>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</si>
  <si>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</si>
  <si>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</si>
  <si>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</si>
  <si>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</si>
  <si>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</si>
  <si>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</si>
  <si>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</si>
  <si>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</si>
  <si>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</si>
  <si>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</si>
  <si>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</si>
  <si>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</si>
  <si>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</si>
  <si>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</si>
  <si>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</si>
  <si>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</si>
  <si>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</si>
  <si>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</si>
  <si>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</si>
  <si>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</si>
  <si>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</si>
  <si>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</si>
  <si>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</si>
  <si>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</si>
  <si>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</si>
  <si>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</si>
  <si>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</si>
  <si>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</si>
  <si>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</si>
  <si>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</si>
  <si>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</si>
  <si>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</si>
  <si>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</si>
  <si>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</si>
  <si>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</si>
  <si>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</si>
  <si>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</si>
  <si>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</si>
  <si>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</si>
  <si>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</si>
  <si>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</si>
  <si>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</si>
  <si>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</si>
  <si>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</si>
  <si>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</si>
  <si>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</si>
  <si>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</si>
  <si>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</si>
  <si>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</si>
  <si>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</si>
  <si>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</si>
  <si>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</si>
  <si>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</si>
  <si>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</si>
  <si>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</si>
  <si>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</si>
  <si>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</si>
  <si>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</si>
  <si>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</si>
  <si>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</si>
  <si>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</si>
  <si>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</si>
  <si>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</si>
  <si>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</si>
  <si>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</si>
  <si>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</si>
  <si>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</si>
  <si>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</si>
  <si>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</si>
  <si>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</si>
  <si>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</si>
  <si>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</si>
  <si>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</si>
  <si>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</si>
  <si>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</si>
  <si>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</si>
  <si>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</si>
  <si>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</si>
  <si>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</si>
  <si>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</si>
  <si>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</si>
  <si>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</si>
  <si>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</si>
  <si>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</si>
  <si>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</si>
  <si>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</si>
  <si>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</si>
  <si>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</si>
  <si>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</si>
  <si>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</si>
  <si>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</si>
  <si>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</si>
  <si>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</si>
  <si>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</si>
  <si>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</si>
  <si>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</si>
  <si>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</si>
  <si>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</si>
  <si>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</si>
  <si>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</si>
  <si>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</si>
  <si>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</si>
  <si>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CBC PLATELET COUNT</t>
  </si>
  <si>
    <t>ROOM AND BOARD</t>
  </si>
  <si>
    <t>AMPULE</t>
  </si>
  <si>
    <t>PARACETAMOL</t>
  </si>
  <si>
    <t>URINALYSIS</t>
  </si>
  <si>
    <t>XRAY</t>
  </si>
  <si>
    <t>FECALYSIS</t>
  </si>
  <si>
    <t>4ML</t>
  </si>
  <si>
    <t>5ML</t>
  </si>
  <si>
    <t>SYRUP</t>
  </si>
  <si>
    <t>ABOCATH 24</t>
  </si>
  <si>
    <t>MICRO SET</t>
  </si>
  <si>
    <t>CEFUROXIME</t>
  </si>
  <si>
    <t>SALBUTAMOL</t>
  </si>
  <si>
    <t>2.5ML</t>
  </si>
  <si>
    <t>D5 0.3 NACL</t>
  </si>
  <si>
    <t>500CC</t>
  </si>
  <si>
    <t>CHEST APL</t>
  </si>
  <si>
    <t>GENTAMYCIN</t>
  </si>
  <si>
    <t>NEBULE</t>
  </si>
  <si>
    <t>LEFT KNEE</t>
  </si>
  <si>
    <t>ANKLE APL</t>
  </si>
  <si>
    <t>350MG</t>
  </si>
  <si>
    <t>26MG</t>
  </si>
  <si>
    <t>105MG</t>
  </si>
  <si>
    <t>DIPENHYDRMINE</t>
  </si>
  <si>
    <t>FERROUS SULFATE</t>
  </si>
  <si>
    <t>NEB KIT</t>
  </si>
  <si>
    <t>DISTILLED WATER FOR INJECTION</t>
  </si>
  <si>
    <t>50CC</t>
  </si>
  <si>
    <t>BPN</t>
  </si>
  <si>
    <t>J18.02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</si>
</sst>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="90" zoomScaleNormal="90" workbookViewId="0">
      <selection activeCell="C27" sqref="C2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204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8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4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177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179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190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 t="s">
        <v>193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 t="s">
        <v>194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3910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720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178</v>
      </c>
      <c r="D60" s="55">
        <v>1040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174</v>
      </c>
      <c r="D61" s="55">
        <v>700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6370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algorithmName="SHA-512" hashValue="Ch1bBHSvG4gqyJ4dwf731kklrL+u4RQsuJwTAxp7uyoAIAwYffEib0riD8yES8ZQVYAhaGVS7Nj5cb+OuAxWmA==" saltValue="B5icFrer5GXm5n+Eph2uyg==" spinCount="100000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3:F43"/>
  </mergeCells>
  <dataValidations count="1">
    <dataValidation type="decimal" operator="greaterThanOrEqual" allowBlank="1" showInputMessage="1" showErrorMessage="1" sqref="E42 E44:F47 E49:F54 D58:F67 E38:E40 E32 E23:F27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85" zoomScaleNormal="85" workbookViewId="0">
      <selection activeCell="J11" sqref="J11:J18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BPN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185</v>
      </c>
      <c r="D11" s="27" t="s">
        <v>167</v>
      </c>
      <c r="E11" s="27" t="s">
        <v>195</v>
      </c>
      <c r="F11" s="55">
        <v>3</v>
      </c>
      <c r="G11" s="55">
        <v>8</v>
      </c>
      <c r="H11" s="55">
        <v>19</v>
      </c>
      <c r="I11" s="55">
        <v>60</v>
      </c>
      <c r="J11" s="55">
        <f>I11*H11</f>
        <v>1140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175</v>
      </c>
      <c r="E12" s="27" t="s">
        <v>196</v>
      </c>
      <c r="F12" s="55">
        <v>2</v>
      </c>
      <c r="G12" s="55">
        <v>8</v>
      </c>
      <c r="H12" s="55">
        <v>12</v>
      </c>
      <c r="I12" s="55">
        <v>40</v>
      </c>
      <c r="J12" s="55">
        <f t="shared" ref="J12:J18" si="0">I12*H12</f>
        <v>480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175</v>
      </c>
      <c r="E13" s="27" t="s">
        <v>197</v>
      </c>
      <c r="F13" s="55">
        <v>6</v>
      </c>
      <c r="G13" s="55">
        <v>2</v>
      </c>
      <c r="H13" s="55">
        <v>6</v>
      </c>
      <c r="I13" s="55">
        <v>50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192</v>
      </c>
      <c r="E14" s="27" t="s">
        <v>187</v>
      </c>
      <c r="F14" s="55">
        <v>6</v>
      </c>
      <c r="G14" s="55">
        <v>8</v>
      </c>
      <c r="H14" s="55">
        <v>27</v>
      </c>
      <c r="I14" s="55">
        <v>20</v>
      </c>
      <c r="J14" s="55">
        <f t="shared" si="0"/>
        <v>540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198</v>
      </c>
      <c r="D15" s="27" t="s">
        <v>175</v>
      </c>
      <c r="E15" s="27" t="s">
        <v>180</v>
      </c>
      <c r="F15" s="55">
        <v>1</v>
      </c>
      <c r="G15" s="55">
        <v>1</v>
      </c>
      <c r="H15" s="55">
        <v>1</v>
      </c>
      <c r="I15" s="55">
        <v>100</v>
      </c>
      <c r="J15" s="55">
        <f t="shared" si="0"/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199</v>
      </c>
      <c r="D16" s="27" t="s">
        <v>182</v>
      </c>
      <c r="E16" s="27" t="s">
        <v>181</v>
      </c>
      <c r="F16" s="55">
        <v>1</v>
      </c>
      <c r="G16" s="55">
        <v>5</v>
      </c>
      <c r="H16" s="55">
        <v>5</v>
      </c>
      <c r="I16" s="55">
        <v>1</v>
      </c>
      <c r="J16" s="55">
        <f t="shared" si="0"/>
        <v>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188</v>
      </c>
      <c r="D17" s="27" t="s">
        <v>168</v>
      </c>
      <c r="E17" s="27" t="s">
        <v>189</v>
      </c>
      <c r="F17" s="55">
        <v>2</v>
      </c>
      <c r="G17" s="55">
        <v>6</v>
      </c>
      <c r="H17" s="55">
        <v>8</v>
      </c>
      <c r="I17" s="55">
        <v>90</v>
      </c>
      <c r="J17" s="55">
        <f t="shared" si="0"/>
        <v>720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201</v>
      </c>
      <c r="D18" s="27" t="s">
        <v>168</v>
      </c>
      <c r="E18" s="27" t="s">
        <v>202</v>
      </c>
      <c r="F18" s="55">
        <v>1</v>
      </c>
      <c r="G18" s="55">
        <v>1</v>
      </c>
      <c r="H18" s="55">
        <v>1</v>
      </c>
      <c r="I18" s="55">
        <v>85</v>
      </c>
      <c r="J18" s="55">
        <f t="shared" si="0"/>
        <v>85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16" sqref="G16: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183</v>
      </c>
      <c r="D16" s="70" t="s">
        <v>171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184</v>
      </c>
      <c r="D17" s="70" t="s">
        <v>171</v>
      </c>
      <c r="E17" s="55">
        <v>1</v>
      </c>
      <c r="F17" s="55">
        <v>40</v>
      </c>
      <c r="G17" s="55">
        <f t="shared" ref="G17:G22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171</v>
      </c>
      <c r="E19" s="55">
        <v>19</v>
      </c>
      <c r="F19" s="55">
        <v>10</v>
      </c>
      <c r="G19" s="55">
        <f t="shared" si="0"/>
        <v>190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171</v>
      </c>
      <c r="E20" s="55">
        <v>8</v>
      </c>
      <c r="F20" s="55">
        <v>10</v>
      </c>
      <c r="G20" s="55">
        <f t="shared" si="0"/>
        <v>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200</v>
      </c>
      <c r="D21" s="70" t="s">
        <v>171</v>
      </c>
      <c r="E21" s="55">
        <v>1</v>
      </c>
      <c r="F21" s="55">
        <v>100</v>
      </c>
      <c r="G21" s="55">
        <f t="shared" si="0"/>
        <v>100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E14" sqref="E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80</v>
      </c>
      <c r="F13" s="55"/>
      <c r="G13" s="55">
        <v>600</v>
      </c>
      <c r="H13" s="55">
        <v>45</v>
      </c>
      <c r="I13" s="55"/>
      <c r="J13" s="55">
        <v>145</v>
      </c>
      <c r="K13" s="55"/>
      <c r="L13" s="55"/>
      <c r="M13" s="55"/>
      <c r="N13" s="55"/>
      <c r="P13" s="88">
        <f>SUM(D13:N13)</f>
        <v>870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80</v>
      </c>
      <c r="F30" s="88">
        <f t="shared" si="1"/>
        <v>0</v>
      </c>
      <c r="G30" s="88">
        <f t="shared" si="1"/>
        <v>600</v>
      </c>
      <c r="H30" s="88">
        <f t="shared" si="1"/>
        <v>45</v>
      </c>
      <c r="I30" s="88">
        <f t="shared" si="1"/>
        <v>0</v>
      </c>
      <c r="J30" s="88">
        <f t="shared" si="1"/>
        <v>145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870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2018-06-01T09:18:26Z</dcterms:modified>
</cp:coreProperties>
</file>