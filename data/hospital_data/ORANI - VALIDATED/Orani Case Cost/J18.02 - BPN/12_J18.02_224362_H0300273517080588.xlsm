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7" i="2" l="1"/>
  <c r="G17" i="9"/>
  <c r="G18" i="9"/>
  <c r="G19" i="9"/>
  <c r="G20" i="9"/>
  <c r="G21" i="9"/>
  <c r="G22" i="9"/>
  <c r="G23" i="9"/>
  <c r="G16" i="9"/>
  <c r="J12" i="2"/>
  <c r="J13" i="2"/>
  <c r="J14" i="2"/>
  <c r="J15" i="2"/>
  <c r="J16" i="2"/>
  <c r="J19" i="2"/>
  <c r="J20" i="2"/>
  <c r="J21" i="2"/>
  <c r="J22" i="2"/>
  <c r="J11" i="2"/>
  <c r="G1" i="1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7" i="1"/>
  <c r="E67" i="1"/>
  <c r="D6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<sst xmlns="http://schemas.openxmlformats.org/spreadsheetml/2006/main" count="493" uniqueCount="199">
  <si>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</si>
  <si>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</si>
  <si>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</si>
  <si>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</si>
  <si>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</si>
  <si>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</si>
  <si>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</si>
  <si>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</si>
  <si>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</si>
  <si>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</si>
  <si>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</si>
  <si>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</si>
  <si>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</si>
  <si>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</si>
  <si>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</si>
  <si>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</si>
  <si>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</si>
  <si>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</si>
  <si>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</si>
  <si>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</si>
  <si>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</si>
  <si>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</si>
  <si>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</si>
  <si>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</si>
  <si>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</si>
  <si>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</si>
  <si>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</si>
  <si>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</si>
  <si>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</si>
  <si>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</si>
  <si>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</si>
  <si>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</si>
  <si>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</si>
  <si>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</si>
  <si>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</si>
  <si>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</si>
  <si>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</si>
  <si>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</si>
  <si>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</si>
  <si>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</si>
  <si>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</si>
  <si>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</si>
  <si>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</si>
  <si>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</si>
  <si>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</si>
  <si>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</si>
  <si>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</si>
  <si>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</si>
  <si>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</si>
  <si>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</si>
  <si>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</si>
  <si>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</si>
  <si>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</si>
  <si>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</si>
  <si>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</si>
  <si>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</si>
  <si>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</si>
  <si>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</si>
  <si>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</si>
  <si>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</si>
  <si>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</si>
  <si>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</si>
  <si>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</si>
  <si>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</si>
  <si>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</si>
  <si>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</si>
  <si>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</si>
  <si>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</si>
  <si>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</si>
  <si>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</si>
  <si>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</si>
  <si>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</si>
  <si>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</si>
  <si>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</si>
  <si>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</si>
  <si>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</si>
  <si>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</si>
  <si>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</si>
  <si>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</si>
  <si>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</si>
  <si>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</si>
  <si>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</si>
  <si>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</si>
  <si>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</si>
  <si>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</si>
  <si>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</si>
  <si>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</si>
  <si>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</si>
  <si>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</si>
  <si>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</si>
  <si>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</si>
  <si>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</si>
  <si>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</si>
  <si>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</si>
  <si>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</si>
  <si>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</si>
  <si>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</si>
  <si>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</si>
  <si>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</si>
  <si>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</si>
  <si>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</si>
  <si>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</si>
  <si>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</si>
  <si>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</si>
  <si>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</si>
  <si>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</si>
  <si>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</si>
  <si>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</si>
  <si>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</si>
  <si>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</si>
  <si>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</si>
  <si>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</si>
  <si>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</si>
  <si>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</si>
  <si>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</si>
  <si>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</si>
  <si>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</si>
  <si>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</si>
  <si>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</si>
  <si>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</si>
  <si>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</si>
  <si>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</si>
  <si>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</si>
  <si>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</si>
  <si>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</si>
  <si>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</si>
  <si>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</si>
  <si>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</si>
  <si>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</si>
  <si>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</si>
  <si>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</si>
  <si>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</si>
  <si>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</si>
  <si>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</si>
  <si>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</si>
  <si>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</si>
  <si>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</si>
  <si>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</si>
  <si>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</si>
  <si>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</si>
  <si>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</si>
  <si>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</si>
  <si>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</si>
  <si>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</si>
  <si>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</si>
  <si>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</si>
  <si>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</si>
  <si>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</si>
  <si>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</si>
  <si>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</si>
  <si>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</si>
  <si>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</si>
  <si>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</si>
  <si>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</si>
  <si>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</si>
  <si>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</si>
  <si>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</si>
  <si>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</si>
  <si>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</si>
  <si>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</si>
  <si>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</si>
  <si>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</si>
  <si>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</si>
  <si>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</si>
  <si>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</si>
  <si>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</si>
  <si>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</si>
  <si>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</si>
  <si>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</si>
  <si>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CBC PLATELET COUNT</t>
  </si>
  <si>
    <t>CHEST APL</t>
  </si>
  <si>
    <t>ROOM AND BOARD</t>
  </si>
  <si>
    <t>AMPULE</t>
  </si>
  <si>
    <t>HYDROCORTISONE</t>
  </si>
  <si>
    <t>300MG</t>
  </si>
  <si>
    <t>URINALYSIS</t>
  </si>
  <si>
    <t>XRAY</t>
  </si>
  <si>
    <t>AMPICILLIN</t>
  </si>
  <si>
    <t>SALBUTAMOL + IPRATROPIUM</t>
  </si>
  <si>
    <t>D5 0.3 NACL</t>
  </si>
  <si>
    <t>500CC</t>
  </si>
  <si>
    <t>NEBUE</t>
  </si>
  <si>
    <t>160MG</t>
  </si>
  <si>
    <t>100MG</t>
  </si>
  <si>
    <t>200ML</t>
  </si>
  <si>
    <t>D5 IMB</t>
  </si>
  <si>
    <t>GENTAMYCIN</t>
  </si>
  <si>
    <t>DISTILLED WATER FOR INJECTION</t>
  </si>
  <si>
    <t>50CC</t>
  </si>
  <si>
    <t>IV CATHETER G#24</t>
  </si>
  <si>
    <t>PIECE</t>
  </si>
  <si>
    <t>IV SET MACROSET</t>
  </si>
  <si>
    <t>PLASTER</t>
  </si>
  <si>
    <t>ROLL</t>
  </si>
  <si>
    <t>5CC SYRINGE</t>
  </si>
  <si>
    <t>3CC SYRINGE</t>
  </si>
  <si>
    <t>SOLUSET</t>
  </si>
  <si>
    <t>BPN</t>
  </si>
  <si>
    <t>J18.02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</si>
</sst>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4"/>
  <sheetViews>
    <sheetView topLeftCell="A48" zoomScale="90" zoomScaleNormal="90" workbookViewId="0">
      <selection activeCell="C24" sqref="C2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197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169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170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44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45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5" t="s">
        <v>53</v>
      </c>
      <c r="C41" s="116"/>
      <c r="D41" s="116"/>
      <c r="E41" s="116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 t="s">
        <v>164</v>
      </c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20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164</v>
      </c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55</v>
      </c>
      <c r="C55" s="17" t="s">
        <v>51</v>
      </c>
      <c r="D55" s="17" t="s">
        <v>56</v>
      </c>
      <c r="E55" s="18" t="s">
        <v>57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165</v>
      </c>
      <c r="D56" s="55">
        <v>4195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166</v>
      </c>
      <c r="D57" s="55">
        <v>205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176</v>
      </c>
      <c r="D58" s="55">
        <v>320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 t="s">
        <v>171</v>
      </c>
      <c r="D59" s="55">
        <v>400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7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8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9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10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4.9000000000000004" customHeight="1" thickBot="1" x14ac:dyDescent="0.35">
      <c r="A66" s="1"/>
      <c r="B66" s="1"/>
      <c r="C66" s="1"/>
      <c r="D66" s="58"/>
      <c r="E66" s="58"/>
      <c r="F66" s="5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thickTop="1" x14ac:dyDescent="0.3">
      <c r="A67" s="1"/>
      <c r="B67" s="11"/>
      <c r="C67" s="4" t="s">
        <v>22</v>
      </c>
      <c r="D67" s="59">
        <f>SUM(D56:D66)</f>
        <v>5120</v>
      </c>
      <c r="E67" s="59">
        <f>SUM(E56:E66)</f>
        <v>0</v>
      </c>
      <c r="F67" s="59">
        <f>SUM(F56:F66)</f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</sheetData>
  <sheetProtection password="C2E9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1:F41"/>
  </mergeCells>
  <dataValidations count="1">
    <dataValidation type="decimal" operator="greaterThanOrEqual" allowBlank="1" showInputMessage="1" showErrorMessage="1" sqref="E40 E42:F45 E47:F52 D56:F65 E37:E38 E34:E35 E23:F27 E3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" zoomScale="85" zoomScaleNormal="85" workbookViewId="0">
      <selection activeCell="C19" sqref="C19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BPN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167</v>
      </c>
      <c r="E11" s="27" t="s">
        <v>174</v>
      </c>
      <c r="F11" s="55">
        <v>3</v>
      </c>
      <c r="G11" s="55">
        <v>5</v>
      </c>
      <c r="H11" s="55">
        <v>13</v>
      </c>
      <c r="I11" s="55">
        <v>40</v>
      </c>
      <c r="J11" s="55">
        <f>H11*I11</f>
        <v>520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172</v>
      </c>
      <c r="E12" s="27" t="s">
        <v>182</v>
      </c>
      <c r="F12" s="55">
        <v>2</v>
      </c>
      <c r="G12" s="55">
        <v>5</v>
      </c>
      <c r="H12" s="55">
        <v>9</v>
      </c>
      <c r="I12" s="55">
        <v>40</v>
      </c>
      <c r="J12" s="55">
        <f t="shared" ref="J12:J22" si="0">H12*I12</f>
        <v>360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167</v>
      </c>
      <c r="E13" s="27" t="s">
        <v>183</v>
      </c>
      <c r="F13" s="55">
        <v>3</v>
      </c>
      <c r="G13" s="55">
        <v>5</v>
      </c>
      <c r="H13" s="55">
        <v>13</v>
      </c>
      <c r="I13" s="55">
        <v>90</v>
      </c>
      <c r="J13" s="55">
        <f t="shared" si="0"/>
        <v>1170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181</v>
      </c>
      <c r="E14" s="27" t="s">
        <v>184</v>
      </c>
      <c r="F14" s="55">
        <v>4</v>
      </c>
      <c r="G14" s="55">
        <v>5</v>
      </c>
      <c r="H14" s="55">
        <v>17</v>
      </c>
      <c r="I14" s="55">
        <v>40</v>
      </c>
      <c r="J14" s="55">
        <f t="shared" si="0"/>
        <v>680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168</v>
      </c>
      <c r="E15" s="27" t="s">
        <v>180</v>
      </c>
      <c r="F15" s="55">
        <v>2</v>
      </c>
      <c r="G15" s="55">
        <v>3</v>
      </c>
      <c r="H15" s="55">
        <v>5</v>
      </c>
      <c r="I15" s="55">
        <v>90</v>
      </c>
      <c r="J15" s="55">
        <f t="shared" si="0"/>
        <v>450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168</v>
      </c>
      <c r="E16" s="27" t="s">
        <v>180</v>
      </c>
      <c r="F16" s="55">
        <v>1</v>
      </c>
      <c r="G16" s="55">
        <v>2</v>
      </c>
      <c r="H16" s="55">
        <v>2</v>
      </c>
      <c r="I16" s="55">
        <v>90</v>
      </c>
      <c r="J16" s="55">
        <f t="shared" si="0"/>
        <v>180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187</v>
      </c>
      <c r="D17" s="27" t="s">
        <v>168</v>
      </c>
      <c r="E17" s="27" t="s">
        <v>188</v>
      </c>
      <c r="F17" s="55">
        <v>1</v>
      </c>
      <c r="G17" s="55">
        <v>3</v>
      </c>
      <c r="H17" s="55">
        <v>3</v>
      </c>
      <c r="I17" s="55">
        <v>85</v>
      </c>
      <c r="J17" s="55">
        <f t="shared" ref="J17" si="1">H17*I17</f>
        <v>255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24" sqref="G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189</v>
      </c>
      <c r="D16" s="70" t="s">
        <v>190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191</v>
      </c>
      <c r="D17" s="70" t="s">
        <v>190</v>
      </c>
      <c r="E17" s="55">
        <v>1</v>
      </c>
      <c r="F17" s="55">
        <v>40</v>
      </c>
      <c r="G17" s="55">
        <f t="shared" ref="G17:G23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192</v>
      </c>
      <c r="D18" s="70" t="s">
        <v>193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194</v>
      </c>
      <c r="D19" s="70" t="s">
        <v>190</v>
      </c>
      <c r="E19" s="55">
        <v>13</v>
      </c>
      <c r="F19" s="55">
        <v>10</v>
      </c>
      <c r="G19" s="55">
        <f t="shared" si="0"/>
        <v>130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195</v>
      </c>
      <c r="D20" s="70" t="s">
        <v>190</v>
      </c>
      <c r="E20" s="55">
        <v>8</v>
      </c>
      <c r="F20" s="55">
        <v>10</v>
      </c>
      <c r="G20" s="55">
        <f t="shared" si="0"/>
        <v>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196</v>
      </c>
      <c r="D21" s="70" t="s">
        <v>190</v>
      </c>
      <c r="E21" s="55">
        <v>1</v>
      </c>
      <c r="F21" s="55">
        <v>200</v>
      </c>
      <c r="G21" s="55">
        <f t="shared" si="0"/>
        <v>200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E14" sqref="E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440</v>
      </c>
      <c r="H13" s="55">
        <v>15</v>
      </c>
      <c r="I13" s="55"/>
      <c r="J13" s="55">
        <v>65</v>
      </c>
      <c r="K13" s="55"/>
      <c r="L13" s="55"/>
      <c r="M13" s="55"/>
      <c r="N13" s="55"/>
      <c r="P13" s="88">
        <f>SUM(D13:N13)</f>
        <v>560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440</v>
      </c>
      <c r="H30" s="88">
        <f t="shared" si="1"/>
        <v>15</v>
      </c>
      <c r="I30" s="88">
        <f t="shared" si="1"/>
        <v>0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2018-06-01T09:25:06Z</dcterms:modified>
</cp:coreProperties>
</file>