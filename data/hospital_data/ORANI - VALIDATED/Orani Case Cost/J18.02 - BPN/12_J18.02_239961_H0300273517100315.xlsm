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7" i="9" l="1"/>
  <c r="G26" i="9"/>
  <c r="G17" i="9"/>
  <c r="G18" i="9"/>
  <c r="G19" i="9"/>
  <c r="G20" i="9"/>
  <c r="G21" i="9"/>
  <c r="G22" i="9"/>
  <c r="G23" i="9"/>
  <c r="G24" i="9"/>
  <c r="G25" i="9"/>
  <c r="G16" i="9"/>
  <c r="J18" i="2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<sst xmlns="http://schemas.openxmlformats.org/spreadsheetml/2006/main" count="509" uniqueCount="207">
  <si>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</si>
  <si>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</si>
  <si>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</si>
  <si>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</si>
  <si>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</si>
  <si>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</si>
  <si>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</si>
  <si>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</si>
  <si>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</si>
  <si>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</si>
  <si>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</si>
  <si>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</si>
  <si>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</si>
  <si>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</si>
  <si>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</si>
  <si>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</si>
  <si>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</si>
  <si>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</si>
  <si>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</si>
  <si>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</si>
  <si>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</si>
  <si>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</si>
  <si>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</si>
  <si>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</si>
  <si>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</si>
  <si>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</si>
  <si>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</si>
  <si>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</si>
  <si>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</si>
  <si>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</si>
  <si>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</si>
  <si>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</si>
  <si>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</si>
  <si>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</si>
  <si>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</si>
  <si>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</si>
  <si>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</si>
  <si>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</si>
  <si>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</si>
  <si>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</si>
  <si>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</si>
  <si>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</si>
  <si>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</si>
  <si>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</si>
  <si>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</si>
  <si>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</si>
  <si>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</si>
  <si>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</si>
  <si>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</si>
  <si>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</si>
  <si>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</si>
  <si>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</si>
  <si>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</si>
  <si>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</si>
  <si>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</si>
  <si>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</si>
  <si>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</si>
  <si>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</si>
  <si>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</si>
  <si>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</si>
  <si>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</si>
  <si>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</si>
  <si>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</si>
  <si>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</si>
  <si>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</si>
  <si>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</si>
  <si>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</si>
  <si>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</si>
  <si>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</si>
  <si>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</si>
  <si>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</si>
  <si>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</si>
  <si>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</si>
  <si>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</si>
  <si>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</si>
  <si>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</si>
  <si>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</si>
  <si>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</si>
  <si>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</si>
  <si>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</si>
  <si>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</si>
  <si>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</si>
  <si>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</si>
  <si>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</si>
  <si>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</si>
  <si>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</si>
  <si>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</si>
  <si>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</si>
  <si>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</si>
  <si>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</si>
  <si>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</si>
  <si>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</si>
  <si>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</si>
  <si>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</si>
  <si>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</si>
  <si>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</si>
  <si>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</si>
  <si>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</si>
  <si>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</si>
  <si>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</si>
  <si>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</si>
  <si>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</si>
  <si>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</si>
  <si>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</si>
  <si>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</si>
  <si>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</si>
  <si>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</si>
  <si>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</si>
  <si>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</si>
  <si>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</si>
  <si>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</si>
  <si>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</si>
  <si>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</si>
  <si>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</si>
  <si>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</si>
  <si>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</si>
  <si>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</si>
  <si>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</si>
  <si>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</si>
  <si>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</si>
  <si>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</si>
  <si>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</si>
  <si>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</si>
  <si>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</si>
  <si>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</si>
  <si>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</si>
  <si>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</si>
  <si>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</si>
  <si>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</si>
  <si>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</si>
  <si>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</si>
  <si>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</si>
  <si>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</si>
  <si>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</si>
  <si>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</si>
  <si>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</si>
  <si>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</si>
  <si>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</si>
  <si>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</si>
  <si>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</si>
  <si>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</si>
  <si>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</si>
  <si>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</si>
  <si>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</si>
  <si>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</si>
  <si>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</si>
  <si>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</si>
  <si>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</si>
  <si>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</si>
  <si>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</si>
  <si>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</si>
  <si>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</si>
  <si>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</si>
  <si>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</si>
  <si>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</si>
  <si>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</si>
  <si>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</si>
  <si>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</si>
  <si>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</si>
  <si>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</si>
  <si>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</si>
  <si>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</si>
  <si>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</si>
  <si>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</si>
  <si>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</si>
  <si>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</si>
  <si>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</si>
  <si>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</si>
  <si>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</si>
  <si>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</si>
  <si>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</si>
  <si>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</si>
  <si>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</si>
  <si>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</si>
  <si>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</si>
  <si>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</si>
  <si>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500MG</t>
  </si>
  <si>
    <t>NAKCL</t>
  </si>
  <si>
    <t>XRAY</t>
  </si>
  <si>
    <t>ABOCATH 24</t>
  </si>
  <si>
    <t>MICRO SET</t>
  </si>
  <si>
    <t>CHEST APL</t>
  </si>
  <si>
    <t>GENTAMYCIN</t>
  </si>
  <si>
    <t>NEBULE</t>
  </si>
  <si>
    <t>50MG</t>
  </si>
  <si>
    <t>70MG</t>
  </si>
  <si>
    <t>250MG</t>
  </si>
  <si>
    <t>NEB KIT</t>
  </si>
  <si>
    <t>J18.02</t>
  </si>
  <si>
    <t>RH TYPING</t>
  </si>
  <si>
    <t>AMPICILIIN</t>
  </si>
  <si>
    <t>HYDROCORTISONE</t>
  </si>
  <si>
    <t>DISTILLED WATER FOR INJECTION</t>
  </si>
  <si>
    <t>BOTTLE</t>
  </si>
  <si>
    <t>50CC</t>
  </si>
  <si>
    <t>PLR</t>
  </si>
  <si>
    <t>500CC</t>
  </si>
  <si>
    <t>D5 IMB</t>
  </si>
  <si>
    <t>SOLUSET</t>
  </si>
  <si>
    <t>INJECTION PLUG</t>
  </si>
  <si>
    <t>IV CATHETER G#26</t>
  </si>
  <si>
    <t>2.5MG/ML</t>
  </si>
  <si>
    <t>SALBUTAMOL + 1CC</t>
  </si>
  <si>
    <t>1CC SYRINGE</t>
  </si>
  <si>
    <t>MACROSET</t>
  </si>
  <si>
    <t>SPLINT PEDIA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</si>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</sst>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abSelected="1" zoomScale="90" zoomScaleNormal="90" workbookViewId="0">
      <selection activeCell="B14" sqref="B14:F1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189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181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8875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775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178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173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10370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algorithmName="SHA-512" hashValue="wDst4iNAm9YeBoFmiJDJynaoBLnDARQoPaw61xQqCtJgMfutJbY65kXQJfoXv6s9trHF4QS29uopdrZN6br3hw==" saltValue="uKShrSgqKYGmoGGKkrB+kQ==" spinCount="100000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1:F41"/>
  </mergeCells>
  <dataValidations count="1">
    <dataValidation type="decimal" operator="greaterThanOrEqual" allowBlank="1" showInputMessage="1" showErrorMessage="1" sqref="E40 E42:F45 E47:F52 D56:F65 E38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167</v>
      </c>
      <c r="E11" s="27" t="s">
        <v>176</v>
      </c>
      <c r="F11" s="55">
        <v>4</v>
      </c>
      <c r="G11" s="55">
        <v>5</v>
      </c>
      <c r="H11" s="55">
        <v>20</v>
      </c>
      <c r="I11" s="55">
        <v>40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174</v>
      </c>
      <c r="E12" s="27" t="s">
        <v>184</v>
      </c>
      <c r="F12" s="55">
        <v>3</v>
      </c>
      <c r="G12" s="55">
        <v>5</v>
      </c>
      <c r="H12" s="55">
        <v>15</v>
      </c>
      <c r="I12" s="55">
        <v>40</v>
      </c>
      <c r="J12" s="55">
        <f t="shared" ref="J12:J18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202</v>
      </c>
      <c r="D13" s="27" t="s">
        <v>183</v>
      </c>
      <c r="E13" s="27" t="s">
        <v>201</v>
      </c>
      <c r="F13" s="55">
        <v>6</v>
      </c>
      <c r="G13" s="55">
        <v>5</v>
      </c>
      <c r="H13" s="55">
        <v>30</v>
      </c>
      <c r="I13" s="55">
        <v>20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167</v>
      </c>
      <c r="E14" s="27" t="s">
        <v>186</v>
      </c>
      <c r="F14" s="55">
        <v>4</v>
      </c>
      <c r="G14" s="55">
        <v>5</v>
      </c>
      <c r="H14" s="55">
        <v>20</v>
      </c>
      <c r="I14" s="55">
        <v>120</v>
      </c>
      <c r="J14" s="55">
        <f t="shared" si="0"/>
        <v>2400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175</v>
      </c>
      <c r="D15" s="27" t="s">
        <v>174</v>
      </c>
      <c r="E15" s="27" t="s">
        <v>185</v>
      </c>
      <c r="F15" s="55">
        <v>6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194</v>
      </c>
      <c r="F16" s="55">
        <v>2</v>
      </c>
      <c r="G16" s="55">
        <v>4</v>
      </c>
      <c r="H16" s="55">
        <v>8</v>
      </c>
      <c r="I16" s="55">
        <v>85</v>
      </c>
      <c r="J16" s="55">
        <f t="shared" si="0"/>
        <v>680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193</v>
      </c>
      <c r="E17" s="27" t="s">
        <v>196</v>
      </c>
      <c r="F17" s="55">
        <v>1</v>
      </c>
      <c r="G17" s="55">
        <v>1</v>
      </c>
      <c r="H17" s="55">
        <v>1</v>
      </c>
      <c r="I17" s="55">
        <v>90</v>
      </c>
      <c r="J17" s="55">
        <f t="shared" si="0"/>
        <v>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193</v>
      </c>
      <c r="E18" s="27" t="s">
        <v>196</v>
      </c>
      <c r="F18" s="55">
        <v>2</v>
      </c>
      <c r="G18" s="55">
        <v>5</v>
      </c>
      <c r="H18" s="55">
        <v>8</v>
      </c>
      <c r="I18" s="55">
        <v>100</v>
      </c>
      <c r="J18" s="55">
        <f t="shared" si="0"/>
        <v>800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170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170</v>
      </c>
      <c r="E17" s="55">
        <v>1</v>
      </c>
      <c r="F17" s="55">
        <v>40</v>
      </c>
      <c r="G17" s="55">
        <f t="shared" ref="G17:G27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170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40</v>
      </c>
      <c r="F19" s="55">
        <v>10</v>
      </c>
      <c r="G19" s="55">
        <f t="shared" si="0"/>
        <v>400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170</v>
      </c>
      <c r="E20" s="55">
        <v>72</v>
      </c>
      <c r="F20" s="55">
        <v>10</v>
      </c>
      <c r="G20" s="55">
        <f t="shared" si="0"/>
        <v>720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170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170</v>
      </c>
      <c r="E22" s="55">
        <v>3</v>
      </c>
      <c r="F22" s="55">
        <v>200</v>
      </c>
      <c r="G22" s="55">
        <f t="shared" si="0"/>
        <v>600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 t="s">
        <v>170</v>
      </c>
      <c r="E23" s="55">
        <v>3</v>
      </c>
      <c r="F23" s="55">
        <v>65</v>
      </c>
      <c r="G23" s="55">
        <f t="shared" si="0"/>
        <v>195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200</v>
      </c>
      <c r="D24" s="70" t="s">
        <v>170</v>
      </c>
      <c r="E24" s="55">
        <v>3</v>
      </c>
      <c r="F24" s="55">
        <v>120</v>
      </c>
      <c r="G24" s="55">
        <f t="shared" si="0"/>
        <v>360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203</v>
      </c>
      <c r="D25" s="70" t="s">
        <v>170</v>
      </c>
      <c r="E25" s="55">
        <v>3</v>
      </c>
      <c r="F25" s="55">
        <v>10</v>
      </c>
      <c r="G25" s="55">
        <f t="shared" si="0"/>
        <v>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204</v>
      </c>
      <c r="D26" s="70" t="s">
        <v>170</v>
      </c>
      <c r="E26" s="55">
        <v>1</v>
      </c>
      <c r="F26" s="55">
        <v>40</v>
      </c>
      <c r="G26" s="55">
        <f t="shared" si="0"/>
        <v>40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205</v>
      </c>
      <c r="D27" s="70" t="s">
        <v>170</v>
      </c>
      <c r="E27" s="55">
        <v>1</v>
      </c>
      <c r="F27" s="55">
        <v>200</v>
      </c>
      <c r="G27" s="55">
        <f t="shared" si="0"/>
        <v>200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76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29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password="C2E9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440</v>
      </c>
      <c r="H13" s="55">
        <v>40</v>
      </c>
      <c r="I13" s="55"/>
      <c r="J13" s="55">
        <v>85</v>
      </c>
      <c r="K13" s="55"/>
      <c r="L13" s="55"/>
      <c r="M13" s="55"/>
      <c r="N13" s="55"/>
      <c r="P13" s="88">
        <f>SUM(D13:N13)</f>
        <v>605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440</v>
      </c>
      <c r="H30" s="88">
        <f t="shared" si="1"/>
        <v>40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2018-06-01T03:34:01Z</dcterms:modified>
</cp:coreProperties>
</file>