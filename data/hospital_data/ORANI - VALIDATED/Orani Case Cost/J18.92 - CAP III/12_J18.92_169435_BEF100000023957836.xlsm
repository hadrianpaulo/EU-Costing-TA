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<sst xmlns="http://schemas.openxmlformats.org/spreadsheetml/2006/main" count="484" uniqueCount="191">
  <si>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</si>
  <si>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</si>
  <si>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</si>
  <si>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</si>
  <si>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</si>
  <si>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</si>
  <si>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</si>
  <si>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</si>
  <si>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</si>
  <si>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</si>
  <si>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</si>
  <si>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</si>
  <si>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</si>
  <si>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</si>
  <si>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</si>
  <si>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</si>
  <si>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</si>
  <si>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</si>
  <si>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</si>
  <si>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</si>
  <si>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</si>
  <si>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</si>
  <si>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</si>
  <si>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</si>
  <si>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</si>
  <si>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</si>
  <si>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</si>
  <si>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</si>
  <si>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</si>
  <si>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</si>
  <si>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</si>
  <si>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</si>
  <si>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</si>
  <si>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</si>
  <si>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</si>
  <si>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</si>
  <si>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</si>
  <si>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</si>
  <si>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</si>
  <si>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</si>
  <si>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</si>
  <si>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</si>
  <si>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</si>
  <si>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</si>
  <si>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</si>
  <si>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</si>
  <si>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</si>
  <si>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</si>
  <si>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</si>
  <si>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</si>
  <si>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</si>
  <si>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</si>
  <si>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</si>
  <si>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</si>
  <si>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</si>
  <si>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</si>
  <si>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</si>
  <si>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</si>
  <si>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</si>
  <si>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</si>
  <si>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</si>
  <si>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</si>
  <si>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</si>
  <si>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</si>
  <si>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</si>
  <si>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</si>
  <si>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</si>
  <si>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</si>
  <si>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</si>
  <si>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</si>
  <si>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</si>
  <si>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</si>
  <si>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</si>
  <si>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</si>
  <si>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</si>
  <si>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</si>
  <si>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</si>
  <si>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</si>
  <si>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</si>
  <si>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</si>
  <si>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</si>
  <si>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</si>
  <si>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</si>
  <si>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</si>
  <si>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</si>
  <si>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</si>
  <si>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</si>
  <si>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</si>
  <si>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</si>
  <si>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</si>
  <si>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</si>
  <si>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</si>
  <si>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</si>
  <si>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</si>
  <si>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</si>
  <si>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</si>
  <si>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</si>
  <si>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</si>
  <si>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</si>
  <si>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</si>
  <si>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</si>
  <si>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</si>
  <si>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</si>
  <si>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</si>
  <si>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</si>
  <si>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</si>
  <si>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</si>
  <si>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</si>
  <si>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</si>
  <si>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</si>
  <si>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</si>
  <si>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</si>
  <si>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</si>
  <si>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</si>
  <si>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</si>
  <si>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</si>
  <si>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</si>
  <si>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</si>
  <si>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</si>
  <si>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</si>
  <si>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</si>
  <si>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</si>
  <si>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</si>
  <si>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</si>
  <si>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</si>
  <si>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</si>
  <si>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</si>
  <si>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</si>
  <si>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</si>
  <si>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</si>
  <si>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</si>
  <si>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</si>
  <si>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</si>
  <si>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</si>
  <si>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</si>
  <si>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</si>
  <si>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</si>
  <si>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</si>
  <si>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</si>
  <si>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</si>
  <si>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</si>
  <si>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</si>
  <si>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</si>
  <si>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</si>
  <si>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</si>
  <si>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</si>
  <si>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</si>
  <si>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</si>
  <si>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</si>
  <si>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</si>
  <si>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</si>
  <si>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</si>
  <si>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</si>
  <si>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</si>
  <si>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</si>
  <si>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</si>
  <si>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</si>
  <si>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</si>
  <si>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</si>
  <si>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</si>
  <si>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</si>
  <si>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</si>
  <si>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</si>
  <si>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</si>
  <si>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</si>
  <si>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</si>
  <si>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</si>
  <si>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</si>
  <si>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</si>
  <si>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</si>
  <si>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</si>
  <si>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</si>
  <si>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</si>
  <si>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</si>
  <si>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PLASTER 1/2</t>
  </si>
  <si>
    <t>CEFUROXIME</t>
  </si>
  <si>
    <t>VIAL</t>
  </si>
  <si>
    <t>SYRINGE 5CC</t>
  </si>
  <si>
    <t>D5 0.3 NACL</t>
  </si>
  <si>
    <t>MICRO SET</t>
  </si>
  <si>
    <t>J18.92</t>
  </si>
  <si>
    <t>CBC PLATELET COUNT</t>
  </si>
  <si>
    <t>XRAY</t>
  </si>
  <si>
    <t>HYDROCORTISONE</t>
  </si>
  <si>
    <t>100MG</t>
  </si>
  <si>
    <t>750MG</t>
  </si>
  <si>
    <t>SALBUTAMOL + IPRATROPIUM</t>
  </si>
  <si>
    <t>NEBULE</t>
  </si>
  <si>
    <t>200MCG</t>
  </si>
  <si>
    <t>ABOCATH G22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</si>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</sst>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5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3040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205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182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4065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176</v>
      </c>
      <c r="E11" s="27" t="s">
        <v>184</v>
      </c>
      <c r="F11" s="55">
        <v>3</v>
      </c>
      <c r="G11" s="55">
        <v>5</v>
      </c>
      <c r="H11" s="55">
        <v>15</v>
      </c>
      <c r="I11" s="55">
        <v>90</v>
      </c>
      <c r="J11" s="55">
        <f>H11*I11</f>
        <v>1350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185</v>
      </c>
      <c r="F12" s="55">
        <v>2</v>
      </c>
      <c r="G12" s="55">
        <v>2</v>
      </c>
      <c r="H12" s="55">
        <v>10</v>
      </c>
      <c r="I12" s="55">
        <v>7</v>
      </c>
      <c r="J12" s="55">
        <f t="shared" ref="J12:J18" si="0">H12*I12</f>
        <v>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187</v>
      </c>
      <c r="E13" s="27" t="s">
        <v>188</v>
      </c>
      <c r="F13" s="55">
        <v>3</v>
      </c>
      <c r="G13" s="55">
        <v>5</v>
      </c>
      <c r="H13" s="55">
        <v>14</v>
      </c>
      <c r="I13" s="55">
        <v>40</v>
      </c>
      <c r="J13" s="55">
        <f t="shared" si="0"/>
        <v>560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172</v>
      </c>
      <c r="E14" s="27" t="s">
        <v>173</v>
      </c>
      <c r="F14" s="55">
        <v>1</v>
      </c>
      <c r="G14" s="55">
        <v>5</v>
      </c>
      <c r="H14" s="55">
        <v>5</v>
      </c>
      <c r="I14" s="55">
        <v>100</v>
      </c>
      <c r="J14" s="55">
        <f t="shared" si="0"/>
        <v>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7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171</v>
      </c>
      <c r="E16" s="55">
        <v>2</v>
      </c>
      <c r="F16" s="55">
        <v>100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171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171</v>
      </c>
      <c r="E21" s="55">
        <v>1</v>
      </c>
      <c r="F21" s="55">
        <v>200</v>
      </c>
      <c r="G21" s="55"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550</v>
      </c>
      <c r="H13" s="55">
        <v>20</v>
      </c>
      <c r="I13" s="55"/>
      <c r="J13" s="55">
        <v>70</v>
      </c>
      <c r="K13" s="55"/>
      <c r="L13" s="55"/>
      <c r="M13" s="55"/>
      <c r="N13" s="55"/>
      <c r="P13" s="88">
        <f>SUM(D13:N13)</f>
        <v>680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550</v>
      </c>
      <c r="H30" s="88">
        <f t="shared" si="1"/>
        <v>20</v>
      </c>
      <c r="I30" s="88">
        <f t="shared" si="1"/>
        <v>0</v>
      </c>
      <c r="J30" s="88">
        <f t="shared" si="1"/>
        <v>70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2018-05-31T11:14:04Z</dcterms:modified>
</cp:coreProperties>
</file>