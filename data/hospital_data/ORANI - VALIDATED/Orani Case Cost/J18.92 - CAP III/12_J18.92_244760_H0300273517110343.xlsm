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/>
  <c r="G19" i="9"/>
  <c r="G18" i="9"/>
  <c r="G17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<sst xmlns="http://schemas.openxmlformats.org/spreadsheetml/2006/main" count="491" uniqueCount="196">
  <si>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</si>
  <si>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</si>
  <si>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</si>
  <si>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</si>
  <si>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</si>
  <si>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</si>
  <si>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</si>
  <si>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</si>
  <si>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</si>
  <si>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</si>
  <si>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</si>
  <si>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</si>
  <si>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</si>
  <si>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</si>
  <si>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</si>
  <si>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</si>
  <si>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</si>
  <si>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</si>
  <si>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</si>
  <si>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</si>
  <si>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</si>
  <si>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</si>
  <si>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</si>
  <si>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</si>
  <si>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</si>
  <si>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</si>
  <si>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</si>
  <si>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</si>
  <si>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</si>
  <si>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</si>
  <si>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</si>
  <si>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</si>
  <si>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</si>
  <si>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</si>
  <si>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</si>
  <si>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</si>
  <si>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</si>
  <si>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</si>
  <si>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</si>
  <si>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</si>
  <si>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</si>
  <si>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</si>
  <si>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</si>
  <si>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</si>
  <si>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</si>
  <si>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</si>
  <si>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</si>
  <si>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</si>
  <si>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</si>
  <si>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</si>
  <si>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</si>
  <si>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</si>
  <si>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</si>
  <si>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</si>
  <si>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</si>
  <si>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</si>
  <si>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</si>
  <si>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</si>
  <si>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</si>
  <si>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</si>
  <si>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</si>
  <si>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</si>
  <si>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</si>
  <si>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</si>
  <si>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</si>
  <si>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</si>
  <si>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</si>
  <si>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</si>
  <si>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</si>
  <si>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</si>
  <si>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</si>
  <si>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</si>
  <si>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</si>
  <si>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</si>
  <si>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</si>
  <si>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</si>
  <si>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</si>
  <si>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</si>
  <si>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</si>
  <si>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</si>
  <si>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</si>
  <si>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</si>
  <si>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</si>
  <si>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</si>
  <si>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</si>
  <si>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</si>
  <si>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</si>
  <si>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</si>
  <si>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</si>
  <si>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</si>
  <si>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</si>
  <si>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</si>
  <si>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</si>
  <si>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</si>
  <si>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</si>
  <si>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</si>
  <si>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</si>
  <si>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</si>
  <si>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</si>
  <si>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</si>
  <si>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</si>
  <si>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</si>
  <si>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</si>
  <si>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</si>
  <si>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</si>
  <si>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</si>
  <si>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</si>
  <si>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</si>
  <si>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</si>
  <si>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</si>
  <si>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</si>
  <si>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</si>
  <si>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</si>
  <si>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</si>
  <si>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</si>
  <si>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</si>
  <si>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</si>
  <si>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</si>
  <si>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</si>
  <si>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</si>
  <si>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</si>
  <si>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</si>
  <si>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</si>
  <si>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</si>
  <si>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</si>
  <si>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</si>
  <si>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</si>
  <si>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</si>
  <si>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</si>
  <si>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</si>
  <si>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</si>
  <si>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</si>
  <si>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</si>
  <si>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</si>
  <si>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</si>
  <si>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</si>
  <si>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</si>
  <si>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</si>
  <si>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</si>
  <si>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</si>
  <si>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</si>
  <si>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</si>
  <si>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</si>
  <si>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</si>
  <si>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</si>
  <si>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</si>
  <si>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</si>
  <si>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</si>
  <si>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</si>
  <si>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</si>
  <si>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</si>
  <si>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</si>
  <si>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</si>
  <si>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</si>
  <si>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</si>
  <si>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</si>
  <si>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</si>
  <si>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</si>
  <si>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</si>
  <si>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</si>
  <si>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</si>
  <si>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</si>
  <si>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</si>
  <si>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</si>
  <si>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</si>
  <si>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ROOM AND BOARD</t>
  </si>
  <si>
    <t>PCAP-C</t>
  </si>
  <si>
    <t>J18.92</t>
  </si>
  <si>
    <t>XRAY</t>
  </si>
  <si>
    <t>CHEST APL</t>
  </si>
  <si>
    <t>CEFUROXIME</t>
  </si>
  <si>
    <t>SALBUTAMOL</t>
  </si>
  <si>
    <t>HYDROCORTISONE</t>
  </si>
  <si>
    <t>Visit in the ward</t>
  </si>
  <si>
    <t>VIAL</t>
  </si>
  <si>
    <t>270MG</t>
  </si>
  <si>
    <t>NEBULE</t>
  </si>
  <si>
    <t>2.5MG/2.5ML</t>
  </si>
  <si>
    <t>AMPULE</t>
  </si>
  <si>
    <t>320MG</t>
  </si>
  <si>
    <t>CO-AMOXICLAV</t>
  </si>
  <si>
    <t>BOTTLE</t>
  </si>
  <si>
    <t>200MG/5ML</t>
  </si>
  <si>
    <t>D5 0.3 NACL</t>
  </si>
  <si>
    <t>500CC</t>
  </si>
  <si>
    <t>D5 IMB</t>
  </si>
  <si>
    <t>DISTILLED WATER FOR INJECTION</t>
  </si>
  <si>
    <t>50CC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</si>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</sst>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2" zoomScaleNormal="100" workbookViewId="0">
      <selection activeCell="E40" sqref="E4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163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4355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5175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C18" sqref="C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PCAP-C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 t="s">
        <v>175</v>
      </c>
      <c r="F11" s="55">
        <v>3</v>
      </c>
      <c r="G11" s="55">
        <v>5</v>
      </c>
      <c r="H11" s="55">
        <v>12</v>
      </c>
      <c r="I11" s="55">
        <v>60</v>
      </c>
      <c r="J11" s="55">
        <f>H11*I11</f>
        <v>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176</v>
      </c>
      <c r="E12" s="27" t="s">
        <v>177</v>
      </c>
      <c r="F12" s="55">
        <v>6</v>
      </c>
      <c r="G12" s="55">
        <v>6</v>
      </c>
      <c r="H12" s="55">
        <v>23</v>
      </c>
      <c r="I12" s="55">
        <v>20</v>
      </c>
      <c r="J12" s="55">
        <f t="shared" ref="J12:J24" si="0">H12*I12</f>
        <v>460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178</v>
      </c>
      <c r="E13" s="27" t="s">
        <v>179</v>
      </c>
      <c r="F13" s="55">
        <v>4</v>
      </c>
      <c r="G13" s="55">
        <v>5</v>
      </c>
      <c r="H13" s="55">
        <v>14</v>
      </c>
      <c r="I13" s="55">
        <v>120</v>
      </c>
      <c r="J13" s="55">
        <f t="shared" si="0"/>
        <v>1680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181</v>
      </c>
      <c r="E14" s="27" t="s">
        <v>182</v>
      </c>
      <c r="F14" s="55">
        <v>3</v>
      </c>
      <c r="G14" s="55">
        <v>1</v>
      </c>
      <c r="H14" s="55">
        <v>1</v>
      </c>
      <c r="I14" s="55">
        <v>350</v>
      </c>
      <c r="J14" s="55">
        <f t="shared" si="0"/>
        <v>350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181</v>
      </c>
      <c r="E15" s="27" t="s">
        <v>184</v>
      </c>
      <c r="F15" s="55">
        <v>2</v>
      </c>
      <c r="G15" s="55">
        <v>3</v>
      </c>
      <c r="H15" s="55">
        <v>6</v>
      </c>
      <c r="I15" s="55">
        <v>90</v>
      </c>
      <c r="J15" s="55">
        <f t="shared" si="0"/>
        <v>540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181</v>
      </c>
      <c r="E16" s="27" t="s">
        <v>184</v>
      </c>
      <c r="F16" s="55">
        <v>1</v>
      </c>
      <c r="G16" s="55">
        <v>1</v>
      </c>
      <c r="H16" s="55">
        <v>1</v>
      </c>
      <c r="I16" s="55">
        <v>90</v>
      </c>
      <c r="J16" s="55">
        <f t="shared" si="0"/>
        <v>90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181</v>
      </c>
      <c r="E17" s="27" t="s">
        <v>187</v>
      </c>
      <c r="F17" s="55">
        <v>1</v>
      </c>
      <c r="G17" s="55">
        <v>1</v>
      </c>
      <c r="H17" s="55">
        <v>1</v>
      </c>
      <c r="I17" s="55">
        <v>85</v>
      </c>
      <c r="J17" s="55">
        <f t="shared" si="0"/>
        <v>85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7"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PCAP-C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189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189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192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189</v>
      </c>
      <c r="E19" s="55">
        <v>4</v>
      </c>
      <c r="F19" s="55">
        <v>10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189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189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PCAP-C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f>10*5</f>
        <v>50</v>
      </c>
      <c r="F13" s="55"/>
      <c r="G13" s="55">
        <f>24*5*60/10</f>
        <v>720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795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720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2018-05-11T08:46:15Z</dcterms:created>
  <dcterms:modified xsi:type="dcterms:W3CDTF">2018-05-31T07:48:02Z</dcterms:modified>
</cp:coreProperties>
</file>