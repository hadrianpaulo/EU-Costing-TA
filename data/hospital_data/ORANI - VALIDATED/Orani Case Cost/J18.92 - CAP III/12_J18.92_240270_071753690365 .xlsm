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2" i="2"/>
  <c r="J13" i="2"/>
  <c r="J14" i="2"/>
  <c r="J15" i="2"/>
  <c r="J16" i="2"/>
  <c r="J17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<sst xmlns="http://schemas.openxmlformats.org/spreadsheetml/2006/main" count="495" uniqueCount="203">
  <si>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</si>
  <si>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</si>
  <si>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</si>
  <si>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</si>
  <si>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</si>
  <si>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</si>
  <si>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</si>
  <si>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</si>
  <si>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</si>
  <si>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</si>
  <si>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</si>
  <si>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</si>
  <si>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</si>
  <si>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</si>
  <si>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</si>
  <si>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</si>
  <si>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</si>
  <si>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</si>
  <si>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</si>
  <si>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</si>
  <si>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</si>
  <si>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</si>
  <si>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</si>
  <si>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</si>
  <si>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</si>
  <si>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</si>
  <si>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</si>
  <si>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</si>
  <si>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</si>
  <si>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</si>
  <si>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</si>
  <si>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</si>
  <si>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</si>
  <si>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</si>
  <si>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</si>
  <si>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</si>
  <si>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</si>
  <si>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</si>
  <si>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</si>
  <si>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</si>
  <si>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</si>
  <si>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</si>
  <si>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</si>
  <si>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</si>
  <si>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</si>
  <si>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</si>
  <si>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</si>
  <si>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</si>
  <si>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</si>
  <si>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</si>
  <si>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</si>
  <si>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</si>
  <si>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</si>
  <si>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</si>
  <si>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</si>
  <si>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</si>
  <si>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</si>
  <si>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</si>
  <si>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</si>
  <si>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</si>
  <si>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</si>
  <si>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</si>
  <si>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</si>
  <si>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</si>
  <si>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</si>
  <si>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</si>
  <si>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</si>
  <si>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</si>
  <si>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</si>
  <si>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</si>
  <si>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</si>
  <si>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</si>
  <si>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</si>
  <si>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</si>
  <si>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</si>
  <si>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</si>
  <si>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</si>
  <si>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</si>
  <si>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</si>
  <si>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</si>
  <si>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</si>
  <si>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</si>
  <si>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</si>
  <si>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</si>
  <si>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</si>
  <si>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</si>
  <si>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</si>
  <si>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</si>
  <si>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</si>
  <si>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</si>
  <si>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</si>
  <si>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</si>
  <si>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</si>
  <si>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</si>
  <si>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</si>
  <si>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</si>
  <si>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</si>
  <si>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</si>
  <si>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</si>
  <si>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</si>
  <si>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</si>
  <si>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</si>
  <si>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</si>
  <si>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</si>
  <si>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</si>
  <si>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</si>
  <si>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</si>
  <si>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</si>
  <si>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</si>
  <si>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</si>
  <si>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</si>
  <si>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</si>
  <si>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</si>
  <si>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</si>
  <si>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</si>
  <si>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</si>
  <si>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</si>
  <si>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</si>
  <si>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</si>
  <si>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</si>
  <si>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</si>
  <si>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</si>
  <si>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</si>
  <si>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</si>
  <si>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</si>
  <si>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</si>
  <si>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</si>
  <si>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</si>
  <si>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</si>
  <si>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</si>
  <si>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</si>
  <si>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</si>
  <si>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</si>
  <si>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</si>
  <si>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</si>
  <si>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</si>
  <si>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</si>
  <si>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</si>
  <si>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</si>
  <si>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</si>
  <si>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</si>
  <si>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</si>
  <si>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</si>
  <si>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</si>
  <si>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</si>
  <si>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</si>
  <si>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</si>
  <si>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</si>
  <si>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</si>
  <si>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</si>
  <si>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</si>
  <si>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</si>
  <si>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</si>
  <si>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</si>
  <si>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</si>
  <si>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</si>
  <si>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</si>
  <si>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</si>
  <si>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</si>
  <si>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</si>
  <si>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</si>
  <si>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</si>
  <si>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</si>
  <si>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</si>
  <si>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</si>
  <si>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</si>
  <si>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</si>
  <si>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</si>
  <si>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</si>
  <si>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</si>
  <si>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</si>
  <si>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</si>
  <si>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</si>
  <si>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</si>
  <si>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ROOM AND BOARD</t>
  </si>
  <si>
    <t>AMPULE</t>
  </si>
  <si>
    <t>40MG</t>
  </si>
  <si>
    <t>PARACETAMOL</t>
  </si>
  <si>
    <t>OMEPRAZOLE</t>
  </si>
  <si>
    <t>500MG</t>
  </si>
  <si>
    <t>1LITER</t>
  </si>
  <si>
    <t>MACRO SET</t>
  </si>
  <si>
    <t>CEFTRIAXONE</t>
  </si>
  <si>
    <t>NAKCL</t>
  </si>
  <si>
    <t>XRAY</t>
  </si>
  <si>
    <t>D5 NORMOSOL M</t>
  </si>
  <si>
    <t>ABOCATH 20</t>
  </si>
  <si>
    <t>J18.92</t>
  </si>
  <si>
    <t>GLUCOSE</t>
  </si>
  <si>
    <t>BUN</t>
  </si>
  <si>
    <t>CREATININE</t>
  </si>
  <si>
    <t>CHEST PA</t>
  </si>
  <si>
    <t>2G</t>
  </si>
  <si>
    <t>200MCG</t>
  </si>
  <si>
    <t>NEBULE</t>
  </si>
  <si>
    <t>NEB KIT</t>
  </si>
  <si>
    <t>300MG</t>
  </si>
  <si>
    <t>CAPSULE</t>
  </si>
  <si>
    <t>AMPICILLIN</t>
  </si>
  <si>
    <t>SALBUTAMOL + IPRATROPIUM</t>
  </si>
  <si>
    <t>MULTIVITAMINS</t>
  </si>
  <si>
    <t xml:space="preserve">PC </t>
  </si>
  <si>
    <t>1G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</si>
</sst>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topLeftCell="A45" zoomScale="90" zoomScaleNormal="9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8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190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189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191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165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165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5900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705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184</v>
      </c>
      <c r="D59" s="55">
        <v>160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 t="s">
        <v>174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7565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algorithmName="SHA-512" hashValue="1tXV+5IareRW7uV+oBsz9lZ5hc69oO8YMQztbODdO9j1obFGlVYRmeRLAGz3dl5BM6Ai0+C1ZX/W0YWh649KUg==" saltValue="KDud9Q2L1+5rfSq4ZP4JmA==" spinCount="100000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2:F42"/>
  </mergeCells>
  <dataValidations count="1">
    <dataValidation type="decimal" operator="greaterThanOrEqual" allowBlank="1" showInputMessage="1" showErrorMessage="1" sqref="E41 E43:F46 E48:F53 D57:F66 E39 E32 E23:F27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7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175</v>
      </c>
      <c r="E11" s="27" t="s">
        <v>196</v>
      </c>
      <c r="F11" s="55">
        <v>6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168</v>
      </c>
      <c r="E12" s="27" t="s">
        <v>176</v>
      </c>
      <c r="F12" s="55">
        <v>1</v>
      </c>
      <c r="G12" s="55">
        <v>9</v>
      </c>
      <c r="H12" s="55">
        <v>9</v>
      </c>
      <c r="I12" s="55">
        <v>100</v>
      </c>
      <c r="J12" s="55">
        <f t="shared" ref="J12:J17" si="0">H12*I12</f>
        <v>900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198</v>
      </c>
      <c r="D13" s="27" t="s">
        <v>168</v>
      </c>
      <c r="E13" s="27" t="s">
        <v>202</v>
      </c>
      <c r="F13" s="55">
        <v>4</v>
      </c>
      <c r="G13" s="55">
        <v>6</v>
      </c>
      <c r="H13" s="55">
        <v>17</v>
      </c>
      <c r="I13" s="55">
        <v>40</v>
      </c>
      <c r="J13" s="55">
        <f t="shared" si="0"/>
        <v>680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199</v>
      </c>
      <c r="D14" s="27" t="s">
        <v>194</v>
      </c>
      <c r="E14" s="27" t="s">
        <v>193</v>
      </c>
      <c r="F14" s="55">
        <v>2</v>
      </c>
      <c r="G14" s="55">
        <v>8</v>
      </c>
      <c r="H14" s="55">
        <v>23</v>
      </c>
      <c r="I14" s="55">
        <v>40</v>
      </c>
      <c r="J14" s="55">
        <f t="shared" si="0"/>
        <v>920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168</v>
      </c>
      <c r="E15" s="27" t="s">
        <v>192</v>
      </c>
      <c r="F15" s="55">
        <v>2</v>
      </c>
      <c r="G15" s="55">
        <v>6</v>
      </c>
      <c r="H15" s="55">
        <v>11</v>
      </c>
      <c r="I15" s="55">
        <v>100</v>
      </c>
      <c r="J15" s="55">
        <f t="shared" si="0"/>
        <v>1100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200</v>
      </c>
      <c r="D16" s="27" t="s">
        <v>197</v>
      </c>
      <c r="E16" s="27" t="s">
        <v>179</v>
      </c>
      <c r="F16" s="55">
        <v>1</v>
      </c>
      <c r="G16" s="55">
        <v>5</v>
      </c>
      <c r="H16" s="55">
        <v>5</v>
      </c>
      <c r="I16" s="55">
        <v>50</v>
      </c>
      <c r="J16" s="55">
        <f t="shared" si="0"/>
        <v>250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169</v>
      </c>
      <c r="E17" s="27" t="s">
        <v>180</v>
      </c>
      <c r="F17" s="55">
        <v>2</v>
      </c>
      <c r="G17" s="55">
        <v>8</v>
      </c>
      <c r="H17" s="55">
        <v>12</v>
      </c>
      <c r="I17" s="55">
        <v>100</v>
      </c>
      <c r="J17" s="55">
        <f t="shared" si="0"/>
        <v>1200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172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172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38</v>
      </c>
      <c r="F19" s="55">
        <v>10</v>
      </c>
      <c r="G19" s="55">
        <f t="shared" si="0"/>
        <v>380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172</v>
      </c>
      <c r="E20" s="55">
        <v>15</v>
      </c>
      <c r="F20" s="55">
        <v>10</v>
      </c>
      <c r="G20" s="55">
        <f t="shared" si="0"/>
        <v>150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195</v>
      </c>
      <c r="D21" s="70" t="s">
        <v>201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80</v>
      </c>
      <c r="F13" s="55"/>
      <c r="G13" s="55">
        <v>600</v>
      </c>
      <c r="H13" s="55">
        <v>40</v>
      </c>
      <c r="I13" s="55"/>
      <c r="J13" s="55">
        <v>175</v>
      </c>
      <c r="K13" s="55"/>
      <c r="L13" s="55"/>
      <c r="M13" s="55"/>
      <c r="N13" s="55"/>
      <c r="P13" s="88">
        <f>SUM(D13:N13)</f>
        <v>895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80</v>
      </c>
      <c r="F30" s="88">
        <f t="shared" si="1"/>
        <v>0</v>
      </c>
      <c r="G30" s="88">
        <f t="shared" si="1"/>
        <v>600</v>
      </c>
      <c r="H30" s="88">
        <f t="shared" si="1"/>
        <v>40</v>
      </c>
      <c r="I30" s="88">
        <f t="shared" si="1"/>
        <v>0</v>
      </c>
      <c r="J30" s="88">
        <f t="shared" si="1"/>
        <v>175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2018-06-01T03:39:50Z</dcterms:modified>
</cp:coreProperties>
</file>