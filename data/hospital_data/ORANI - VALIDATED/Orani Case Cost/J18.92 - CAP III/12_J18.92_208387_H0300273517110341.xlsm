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 l="1"/>
  <c r="G20" i="9"/>
  <c r="G19" i="9"/>
  <c r="G18" i="9"/>
  <c r="G17" i="9"/>
  <c r="G16" i="9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<sst xmlns="http://schemas.openxmlformats.org/spreadsheetml/2006/main" count="498" uniqueCount="202">
  <si>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</si>
  <si>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</si>
  <si>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</si>
  <si>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</si>
  <si>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</si>
  <si>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</si>
  <si>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</si>
  <si>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</si>
  <si>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</si>
  <si>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</si>
  <si>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</si>
  <si>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</si>
  <si>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</si>
  <si>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</si>
  <si>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</si>
  <si>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</si>
  <si>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</si>
  <si>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</si>
  <si>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</si>
  <si>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</si>
  <si>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</si>
  <si>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</si>
  <si>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</si>
  <si>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</si>
  <si>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</si>
  <si>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</si>
  <si>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</si>
  <si>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</si>
  <si>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</si>
  <si>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</si>
  <si>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</si>
  <si>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</si>
  <si>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</si>
  <si>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</si>
  <si>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</si>
  <si>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</si>
  <si>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</si>
  <si>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</si>
  <si>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</si>
  <si>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</si>
  <si>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</si>
  <si>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</si>
  <si>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</si>
  <si>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</si>
  <si>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</si>
  <si>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</si>
  <si>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</si>
  <si>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</si>
  <si>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</si>
  <si>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</si>
  <si>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</si>
  <si>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</si>
  <si>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</si>
  <si>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</si>
  <si>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</si>
  <si>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</si>
  <si>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</si>
  <si>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</si>
  <si>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</si>
  <si>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</si>
  <si>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</si>
  <si>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</si>
  <si>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</si>
  <si>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</si>
  <si>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</si>
  <si>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</si>
  <si>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</si>
  <si>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</si>
  <si>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</si>
  <si>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</si>
  <si>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</si>
  <si>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</si>
  <si>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</si>
  <si>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</si>
  <si>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</si>
  <si>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</si>
  <si>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</si>
  <si>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</si>
  <si>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</si>
  <si>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</si>
  <si>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</si>
  <si>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</si>
  <si>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</si>
  <si>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</si>
  <si>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</si>
  <si>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</si>
  <si>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</si>
  <si>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</si>
  <si>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</si>
  <si>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</si>
  <si>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</si>
  <si>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</si>
  <si>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</si>
  <si>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</si>
  <si>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</si>
  <si>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</si>
  <si>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</si>
  <si>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</si>
  <si>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</si>
  <si>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</si>
  <si>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</si>
  <si>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</si>
  <si>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</si>
  <si>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</si>
  <si>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</si>
  <si>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</si>
  <si>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</si>
  <si>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</si>
  <si>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</si>
  <si>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</si>
  <si>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</si>
  <si>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</si>
  <si>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</si>
  <si>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</si>
  <si>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</si>
  <si>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</si>
  <si>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</si>
  <si>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</si>
  <si>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</si>
  <si>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</si>
  <si>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</si>
  <si>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</si>
  <si>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</si>
  <si>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</si>
  <si>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</si>
  <si>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</si>
  <si>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</si>
  <si>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</si>
  <si>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</si>
  <si>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</si>
  <si>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</si>
  <si>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</si>
  <si>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</si>
  <si>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</si>
  <si>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</si>
  <si>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</si>
  <si>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</si>
  <si>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</si>
  <si>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</si>
  <si>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</si>
  <si>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</si>
  <si>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</si>
  <si>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</si>
  <si>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</si>
  <si>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</si>
  <si>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</si>
  <si>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</si>
  <si>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</si>
  <si>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</si>
  <si>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</si>
  <si>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</si>
  <si>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</si>
  <si>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</si>
  <si>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</si>
  <si>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</si>
  <si>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</si>
  <si>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</si>
  <si>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</si>
  <si>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</si>
  <si>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</si>
  <si>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</si>
  <si>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</si>
  <si>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</si>
  <si>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</si>
  <si>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</si>
  <si>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</si>
  <si>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</si>
  <si>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J18.92</t>
  </si>
  <si>
    <t>PCAP-C</t>
  </si>
  <si>
    <t>XRAY</t>
  </si>
  <si>
    <t>URINALYSIS</t>
  </si>
  <si>
    <t>CBC PLATELET</t>
  </si>
  <si>
    <t>CHEST APL</t>
  </si>
  <si>
    <t>Visit in the ward</t>
  </si>
  <si>
    <t>AMPICILLIN</t>
  </si>
  <si>
    <t>GENTAMYCIN</t>
  </si>
  <si>
    <t>SALBUTAMOL</t>
  </si>
  <si>
    <t>HYDROCORTISONE</t>
  </si>
  <si>
    <t>PARACETAMOL</t>
  </si>
  <si>
    <t>370MG</t>
  </si>
  <si>
    <t>VIAL</t>
  </si>
  <si>
    <t>50MG</t>
  </si>
  <si>
    <t>AMPULE</t>
  </si>
  <si>
    <t>NEBULE</t>
  </si>
  <si>
    <t>2.5MG/2.5ML</t>
  </si>
  <si>
    <t>100MG</t>
  </si>
  <si>
    <t>150MG</t>
  </si>
  <si>
    <t>60MG</t>
  </si>
  <si>
    <t>D5 0.3 NACL</t>
  </si>
  <si>
    <t>BOTTLE</t>
  </si>
  <si>
    <t>500CC</t>
  </si>
  <si>
    <t>DISTILLED WATER FOR INJECTION</t>
  </si>
  <si>
    <t>50CC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</si>
  <si>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</si>
  <si>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</si>
  <si>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</si>
  <si>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</si>
  <si>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</si>
  <si>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</si>
  <si>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</si>
  <si>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SOLUSET</t>
  </si>
  <si>
    <t>SPLINT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</si>
</sst>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205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5180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6205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PCAP-C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180</v>
      </c>
      <c r="E11" s="27" t="s">
        <v>179</v>
      </c>
      <c r="F11" s="55">
        <v>4</v>
      </c>
      <c r="G11" s="55">
        <v>6</v>
      </c>
      <c r="H11" s="55">
        <v>19</v>
      </c>
      <c r="I11" s="55">
        <v>40</v>
      </c>
      <c r="J11" s="55">
        <f>I11*H11</f>
        <v>760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182</v>
      </c>
      <c r="E12" s="27" t="s">
        <v>181</v>
      </c>
      <c r="F12" s="55">
        <v>2</v>
      </c>
      <c r="G12" s="55">
        <v>6</v>
      </c>
      <c r="H12" s="55">
        <v>8</v>
      </c>
      <c r="I12" s="55">
        <v>40</v>
      </c>
      <c r="J12" s="55">
        <f t="shared" ref="J12:J18" si="0">I12*H12</f>
        <v>320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183</v>
      </c>
      <c r="E13" s="27" t="s">
        <v>184</v>
      </c>
      <c r="F13" s="55">
        <v>4</v>
      </c>
      <c r="G13" s="55">
        <v>6</v>
      </c>
      <c r="H13" s="55">
        <v>19</v>
      </c>
      <c r="I13" s="55">
        <v>20</v>
      </c>
      <c r="J13" s="55">
        <f t="shared" si="0"/>
        <v>380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180</v>
      </c>
      <c r="E14" s="27" t="s">
        <v>185</v>
      </c>
      <c r="F14" s="55">
        <v>1</v>
      </c>
      <c r="G14" s="55">
        <v>1</v>
      </c>
      <c r="H14" s="55">
        <v>1</v>
      </c>
      <c r="I14" s="55">
        <v>90</v>
      </c>
      <c r="J14" s="55">
        <f t="shared" si="0"/>
        <v>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182</v>
      </c>
      <c r="E15" s="27" t="s">
        <v>186</v>
      </c>
      <c r="F15" s="55">
        <v>6</v>
      </c>
      <c r="G15" s="55">
        <v>1</v>
      </c>
      <c r="H15" s="55">
        <v>2</v>
      </c>
      <c r="I15" s="55">
        <v>50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180</v>
      </c>
      <c r="E16" s="27" t="s">
        <v>187</v>
      </c>
      <c r="F16" s="55">
        <v>4</v>
      </c>
      <c r="G16" s="55">
        <v>4</v>
      </c>
      <c r="H16" s="55">
        <v>12</v>
      </c>
      <c r="I16" s="55">
        <v>90</v>
      </c>
      <c r="J16" s="55">
        <f t="shared" si="0"/>
        <v>1080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188</v>
      </c>
      <c r="D17" s="27" t="s">
        <v>189</v>
      </c>
      <c r="E17" s="27" t="s">
        <v>190</v>
      </c>
      <c r="F17" s="55">
        <v>2</v>
      </c>
      <c r="G17" s="55">
        <v>6</v>
      </c>
      <c r="H17" s="55">
        <v>10</v>
      </c>
      <c r="I17" s="55">
        <v>90</v>
      </c>
      <c r="J17" s="55">
        <f t="shared" si="0"/>
        <v>900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189</v>
      </c>
      <c r="E18" s="27" t="s">
        <v>192</v>
      </c>
      <c r="F18" s="55">
        <v>1</v>
      </c>
      <c r="G18" s="55">
        <v>4</v>
      </c>
      <c r="H18" s="55">
        <v>4</v>
      </c>
      <c r="I18" s="55">
        <v>85</v>
      </c>
      <c r="J18" s="55">
        <f t="shared" si="0"/>
        <v>340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193</v>
      </c>
      <c r="D16" s="70" t="s">
        <v>194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194</v>
      </c>
      <c r="E17" s="55">
        <v>1</v>
      </c>
      <c r="F17" s="55">
        <v>40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197</v>
      </c>
      <c r="E18" s="55">
        <v>2</v>
      </c>
      <c r="F18" s="55">
        <v>40</v>
      </c>
      <c r="G18" s="55">
        <f t="shared" si="0"/>
        <v>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198</v>
      </c>
      <c r="D19" s="70" t="s">
        <v>194</v>
      </c>
      <c r="E19" s="55">
        <v>40</v>
      </c>
      <c r="F19" s="55">
        <v>10</v>
      </c>
      <c r="G19" s="55">
        <f t="shared" si="0"/>
        <v>400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199</v>
      </c>
      <c r="D20" s="70" t="s">
        <v>194</v>
      </c>
      <c r="E20" s="55">
        <v>20</v>
      </c>
      <c r="F20" s="55">
        <v>10</v>
      </c>
      <c r="G20" s="55">
        <f t="shared" si="0"/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200</v>
      </c>
      <c r="D21" s="70" t="s">
        <v>194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201</v>
      </c>
      <c r="D22" s="70" t="s">
        <v>194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PCAP-C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f>10*5</f>
        <v>50</v>
      </c>
      <c r="F13" s="55"/>
      <c r="G13" s="55">
        <f>24*5*60/12</f>
        <v>600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675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600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2018-05-11T08:46:15Z</dcterms:created>
  <dcterms:modified xsi:type="dcterms:W3CDTF">2018-05-31T07:31:24Z</dcterms:modified>
</cp:coreProperties>
</file>