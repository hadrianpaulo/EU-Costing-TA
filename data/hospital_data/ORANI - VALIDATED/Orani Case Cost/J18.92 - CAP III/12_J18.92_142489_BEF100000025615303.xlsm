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Drugs&amp;Med'!$C$11:$C$15</definedName>
    <definedName name="_xlnm.Print_Area" localSheetId="0">'1.1 Case data_general'!$B$1:$F$76</definedName>
    <definedName name="_xlnm.Print_Area" localSheetId="1">'1.2 Drugs&amp;Med'!$B$2:$J$16</definedName>
  </definedNames>
  <calcPr calcId="145621"/>
</workbook>
</file>

<file path=xl/calcChain.xml><?xml version="1.0" encoding="utf-8"?>
<calcChain xmlns="http://schemas.openxmlformats.org/spreadsheetml/2006/main">
  <c r="G21" i="9" l="1"/>
  <c r="G20" i="9"/>
  <c r="G17" i="9" l="1"/>
  <c r="G18" i="9"/>
  <c r="G19" i="9"/>
  <c r="G16" i="9"/>
  <c r="J12" i="2"/>
  <c r="J13" i="2"/>
  <c r="J14" i="2"/>
  <c r="J15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<sst xmlns="http://schemas.openxmlformats.org/spreadsheetml/2006/main" count="492" uniqueCount="199">
  <si>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</si>
  <si>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</si>
  <si>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</si>
  <si>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</si>
  <si>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</si>
  <si>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</si>
  <si>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</si>
  <si>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</si>
  <si>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</si>
  <si>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</si>
  <si>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</si>
  <si>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</si>
  <si>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</si>
  <si>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</si>
  <si>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</si>
  <si>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</si>
  <si>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</si>
  <si>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</si>
  <si>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</si>
  <si>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</si>
  <si>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</si>
  <si>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</si>
  <si>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</si>
  <si>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</si>
  <si>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</si>
  <si>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</si>
  <si>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</si>
  <si>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</si>
  <si>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</si>
  <si>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</si>
  <si>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</si>
  <si>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</si>
  <si>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</si>
  <si>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</si>
  <si>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</si>
  <si>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</si>
  <si>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</si>
  <si>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</si>
  <si>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</si>
  <si>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</si>
  <si>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</si>
  <si>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</si>
  <si>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</si>
  <si>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</si>
  <si>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</si>
  <si>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</si>
  <si>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</si>
  <si>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</si>
  <si>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</si>
  <si>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</si>
  <si>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</si>
  <si>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</si>
  <si>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</si>
  <si>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</si>
  <si>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</si>
  <si>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</si>
  <si>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</si>
  <si>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</si>
  <si>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</si>
  <si>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</si>
  <si>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</si>
  <si>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</si>
  <si>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</si>
  <si>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</si>
  <si>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</si>
  <si>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</si>
  <si>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</si>
  <si>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</si>
  <si>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</si>
  <si>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</si>
  <si>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</si>
  <si>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</si>
  <si>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</si>
  <si>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</si>
  <si>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</si>
  <si>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</si>
  <si>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</si>
  <si>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</si>
  <si>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</si>
  <si>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</si>
  <si>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</si>
  <si>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</si>
  <si>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</si>
  <si>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</si>
  <si>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</si>
  <si>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</si>
  <si>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</si>
  <si>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</si>
  <si>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</si>
  <si>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</si>
  <si>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</si>
  <si>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</si>
  <si>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</si>
  <si>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</si>
  <si>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</si>
  <si>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</si>
  <si>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</si>
  <si>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</si>
  <si>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</si>
  <si>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</si>
  <si>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</si>
  <si>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</si>
  <si>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</si>
  <si>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</si>
  <si>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</si>
  <si>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</si>
  <si>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</si>
  <si>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</si>
  <si>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</si>
  <si>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</si>
  <si>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</si>
  <si>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</si>
  <si>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</si>
  <si>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</si>
  <si>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</si>
  <si>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</si>
  <si>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</si>
  <si>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</si>
  <si>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</si>
  <si>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</si>
  <si>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</si>
  <si>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</si>
  <si>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</si>
  <si>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</si>
  <si>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</si>
  <si>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</si>
  <si>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</si>
  <si>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</si>
  <si>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</si>
  <si>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</si>
  <si>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</si>
  <si>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</si>
  <si>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</si>
  <si>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</si>
  <si>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</si>
  <si>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</si>
  <si>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</si>
  <si>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</si>
  <si>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</si>
  <si>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</si>
  <si>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</si>
  <si>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</si>
  <si>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</si>
  <si>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</si>
  <si>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</si>
  <si>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</si>
  <si>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</si>
  <si>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</si>
  <si>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</si>
  <si>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</si>
  <si>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</si>
  <si>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</si>
  <si>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</si>
  <si>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</si>
  <si>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</si>
  <si>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</si>
  <si>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</si>
  <si>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</si>
  <si>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</si>
  <si>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</si>
  <si>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</si>
  <si>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</si>
  <si>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</si>
  <si>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</si>
  <si>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</si>
  <si>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</si>
  <si>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RH TYPING</t>
  </si>
  <si>
    <t>MEDICINES</t>
  </si>
  <si>
    <t>LABORATORY</t>
  </si>
  <si>
    <t>ROOM AND BOARD</t>
  </si>
  <si>
    <t>J18.92</t>
  </si>
  <si>
    <t>GLUCOSE</t>
  </si>
  <si>
    <t>BUN</t>
  </si>
  <si>
    <t>CREATININE</t>
  </si>
  <si>
    <t>CHOLESTEROL</t>
  </si>
  <si>
    <t>URIC ACID</t>
  </si>
  <si>
    <t>VIAL</t>
  </si>
  <si>
    <t>NEBULE</t>
  </si>
  <si>
    <t>TABLET</t>
  </si>
  <si>
    <t>ABOCATH GAUGE 20</t>
  </si>
  <si>
    <t>MACRO SET</t>
  </si>
  <si>
    <t>PLASTER 1/2</t>
  </si>
  <si>
    <t>SYRINGE 3CC</t>
  </si>
  <si>
    <t>PC</t>
  </si>
  <si>
    <t>PLAIN NS SOLUTION</t>
  </si>
  <si>
    <t>BOTTLE</t>
  </si>
  <si>
    <t>600MG</t>
  </si>
  <si>
    <t>HYDROCORTISONE</t>
  </si>
  <si>
    <t>100MG</t>
  </si>
  <si>
    <t>TRIGLYCERIDES</t>
  </si>
  <si>
    <t>URINALYSIS</t>
  </si>
  <si>
    <t>CEFTRIAXONE</t>
  </si>
  <si>
    <t>2G</t>
  </si>
  <si>
    <t>COMBIVENT</t>
  </si>
  <si>
    <t>ACETYLCYSTEINE</t>
  </si>
  <si>
    <t>200MCG</t>
  </si>
  <si>
    <t>1LITER</t>
  </si>
  <si>
    <t>SYRINGE 5CC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</si>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</sst>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60" zoomScaleNormal="100" workbookViewId="0">
      <selection activeCell="E42" sqref="E4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171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173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174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175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189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190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/>
      <c r="D42" s="23"/>
      <c r="E42" s="57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165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165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165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4415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795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5610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C36" sqref="C3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176</v>
      </c>
      <c r="E11" s="27" t="s">
        <v>192</v>
      </c>
      <c r="F11" s="55">
        <v>2</v>
      </c>
      <c r="G11" s="55">
        <v>5</v>
      </c>
      <c r="H11" s="55">
        <v>10</v>
      </c>
      <c r="I11" s="55">
        <v>100</v>
      </c>
      <c r="J11" s="55">
        <f>H11*I11</f>
        <v>1000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177</v>
      </c>
      <c r="E12" s="27" t="s">
        <v>195</v>
      </c>
      <c r="F12" s="55">
        <v>4</v>
      </c>
      <c r="G12" s="55">
        <v>5</v>
      </c>
      <c r="H12" s="55">
        <v>25</v>
      </c>
      <c r="I12" s="55">
        <v>40</v>
      </c>
      <c r="J12" s="55">
        <f t="shared" ref="J12:J15" si="0"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178</v>
      </c>
      <c r="E13" s="27" t="s">
        <v>186</v>
      </c>
      <c r="F13" s="55">
        <v>1</v>
      </c>
      <c r="G13" s="55">
        <v>4</v>
      </c>
      <c r="H13" s="55">
        <v>6</v>
      </c>
      <c r="I13" s="55">
        <v>60</v>
      </c>
      <c r="J13" s="55">
        <f t="shared" si="0"/>
        <v>360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176</v>
      </c>
      <c r="E14" s="27" t="s">
        <v>188</v>
      </c>
      <c r="F14" s="55">
        <v>3</v>
      </c>
      <c r="G14" s="55">
        <v>3</v>
      </c>
      <c r="H14" s="55">
        <v>9</v>
      </c>
      <c r="I14" s="55">
        <v>90</v>
      </c>
      <c r="J14" s="55">
        <f t="shared" si="0"/>
        <v>810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185</v>
      </c>
      <c r="E15" s="27" t="s">
        <v>196</v>
      </c>
      <c r="F15" s="55">
        <v>2</v>
      </c>
      <c r="G15" s="55">
        <v>4</v>
      </c>
      <c r="H15" s="55">
        <v>10</v>
      </c>
      <c r="I15" s="55">
        <v>100</v>
      </c>
      <c r="J15" s="55">
        <f t="shared" si="0"/>
        <v>1000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7" workbookViewId="0">
      <selection activeCell="C27" sqref="C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183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183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183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183</v>
      </c>
      <c r="E19" s="55">
        <v>4</v>
      </c>
      <c r="F19" s="55">
        <v>10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197</v>
      </c>
      <c r="D20" s="70" t="s">
        <v>183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198</v>
      </c>
      <c r="D21" s="70" t="s">
        <v>183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6" workbookViewId="0">
      <selection activeCell="B37" sqref="B3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35</v>
      </c>
      <c r="F13" s="55"/>
      <c r="G13" s="55">
        <v>420</v>
      </c>
      <c r="H13" s="55"/>
      <c r="I13" s="55"/>
      <c r="J13" s="55">
        <v>65</v>
      </c>
      <c r="K13" s="55"/>
      <c r="L13" s="55"/>
      <c r="M13" s="55"/>
      <c r="N13" s="55"/>
      <c r="P13" s="88">
        <f>SUM(D13:N13)</f>
        <v>520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420</v>
      </c>
      <c r="H30" s="88">
        <f t="shared" si="1"/>
        <v>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2018-06-01T02:33:33Z</dcterms:modified>
</cp:coreProperties>
</file>