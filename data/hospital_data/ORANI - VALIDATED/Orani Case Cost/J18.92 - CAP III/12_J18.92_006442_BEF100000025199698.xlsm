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8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data_general'!$B$1:$F$76</definedName>
    <definedName name="_xlnm.Print_Area" localSheetId="1">'1.2 Drugs&amp;Med'!$B$2:$J$30</definedName>
  </definedNames>
  <calcPr calcId="144525"/>
</workbook>
</file>

<file path=xl/calcChain.xml><?xml version="1.0" encoding="utf-8"?>
<calcChain xmlns="http://schemas.openxmlformats.org/spreadsheetml/2006/main">
  <c r="G26" i="9" l="1"/>
  <c r="G25" i="9"/>
  <c r="G24" i="9"/>
  <c r="G23" i="9"/>
  <c r="G22" i="9"/>
  <c r="G21" i="9"/>
  <c r="G20" i="9"/>
  <c r="G19" i="9"/>
  <c r="G18" i="9"/>
  <c r="G17" i="9"/>
  <c r="G16" i="9"/>
  <c r="J27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6" i="1"/>
  <c r="E76" i="1"/>
  <c r="D76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<sst xmlns="http://schemas.openxmlformats.org/spreadsheetml/2006/main" count="540" uniqueCount="228">
  <si>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</si>
  <si>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</si>
  <si>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</si>
  <si>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</si>
  <si>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</si>
  <si>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</si>
  <si>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</si>
  <si>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</si>
  <si>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</si>
  <si>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</si>
  <si>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</si>
  <si>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</si>
  <si>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</si>
  <si>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</si>
  <si>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</si>
  <si>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</si>
  <si>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</si>
  <si>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</si>
  <si>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</si>
  <si>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</si>
  <si>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</si>
  <si>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</si>
  <si>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</si>
  <si>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</si>
  <si>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</si>
  <si>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</si>
  <si>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</si>
  <si>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</si>
  <si>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</si>
  <si>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</si>
  <si>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</si>
  <si>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</si>
  <si>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</si>
  <si>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</si>
  <si>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</si>
  <si>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</si>
  <si>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</si>
  <si>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</si>
  <si>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</si>
  <si>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</si>
  <si>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</si>
  <si>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</si>
  <si>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</si>
  <si>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</si>
  <si>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</si>
  <si>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</si>
  <si>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</si>
  <si>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</si>
  <si>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</si>
  <si>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</si>
  <si>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</si>
  <si>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</si>
  <si>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</si>
  <si>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</si>
  <si>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</si>
  <si>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</si>
  <si>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</si>
  <si>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</si>
  <si>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</si>
  <si>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</si>
  <si>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</si>
  <si>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</si>
  <si>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</si>
  <si>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</si>
  <si>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</si>
  <si>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</si>
  <si>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</si>
  <si>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</si>
  <si>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</si>
  <si>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</si>
  <si>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</si>
  <si>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</si>
  <si>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</si>
  <si>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</si>
  <si>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</si>
  <si>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</si>
  <si>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</si>
  <si>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</si>
  <si>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</si>
  <si>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</si>
  <si>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</si>
  <si>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</si>
  <si>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</si>
  <si>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</si>
  <si>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</si>
  <si>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</si>
  <si>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</si>
  <si>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</si>
  <si>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</si>
  <si>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</si>
  <si>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</si>
  <si>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</si>
  <si>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</si>
  <si>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</si>
  <si>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</si>
  <si>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</si>
  <si>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</si>
  <si>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</si>
  <si>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</si>
  <si>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</si>
  <si>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</si>
  <si>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</si>
  <si>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</si>
  <si>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</si>
  <si>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</si>
  <si>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</si>
  <si>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</si>
  <si>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</si>
  <si>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</si>
  <si>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</si>
  <si>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</si>
  <si>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</si>
  <si>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</si>
  <si>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</si>
  <si>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</si>
  <si>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</si>
  <si>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</si>
  <si>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</si>
  <si>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</si>
  <si>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</si>
  <si>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</si>
  <si>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</si>
  <si>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</si>
  <si>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</si>
  <si>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</si>
  <si>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</si>
  <si>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</si>
  <si>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</si>
  <si>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</si>
  <si>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</si>
  <si>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</si>
  <si>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</si>
  <si>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</si>
  <si>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</si>
  <si>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</si>
  <si>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</si>
  <si>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</si>
  <si>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</si>
  <si>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</si>
  <si>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</si>
  <si>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</si>
  <si>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</si>
  <si>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</si>
  <si>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</si>
  <si>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</si>
  <si>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</si>
  <si>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</si>
  <si>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</si>
  <si>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</si>
  <si>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</si>
  <si>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</si>
  <si>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</si>
  <si>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</si>
  <si>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</si>
  <si>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</si>
  <si>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</si>
  <si>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</si>
  <si>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</si>
  <si>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</si>
  <si>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</si>
  <si>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</si>
  <si>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</si>
  <si>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</si>
  <si>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</si>
  <si>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</si>
  <si>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N/A</t>
  </si>
  <si>
    <t>CBC PLATELET COUNT</t>
  </si>
  <si>
    <t>RH TYPING</t>
  </si>
  <si>
    <t>MEDICINES</t>
  </si>
  <si>
    <t>LABORATORY</t>
  </si>
  <si>
    <t>ROOM AND BOARD</t>
  </si>
  <si>
    <t>J18.92</t>
  </si>
  <si>
    <t>NAKCL</t>
  </si>
  <si>
    <t>GLUCOSE</t>
  </si>
  <si>
    <t>BUN</t>
  </si>
  <si>
    <t>CREATININE</t>
  </si>
  <si>
    <t>CHOLESTEROL</t>
  </si>
  <si>
    <t>URIC ACID</t>
  </si>
  <si>
    <t>OMEPRAZOLE</t>
  </si>
  <si>
    <t>VIAL</t>
  </si>
  <si>
    <t>40MG</t>
  </si>
  <si>
    <t>CEFUROXIME</t>
  </si>
  <si>
    <t>750MG</t>
  </si>
  <si>
    <t>NEBULE</t>
  </si>
  <si>
    <t>500MG</t>
  </si>
  <si>
    <t>TABLET</t>
  </si>
  <si>
    <t>ABOCATH GAUGE 20</t>
  </si>
  <si>
    <t>MACRO SET</t>
  </si>
  <si>
    <t>PLASTER 1/2</t>
  </si>
  <si>
    <t>SYRINGE 3CC</t>
  </si>
  <si>
    <t>PC</t>
  </si>
  <si>
    <t>PLAIN NS SOLUTION</t>
  </si>
  <si>
    <t>BOTTLE</t>
  </si>
  <si>
    <t>KETOANALOGUE</t>
  </si>
  <si>
    <t>600MG</t>
  </si>
  <si>
    <t>FUROSEMIDE</t>
  </si>
  <si>
    <t>20MG</t>
  </si>
  <si>
    <t>MULTIVITAMINS</t>
  </si>
  <si>
    <t>CAPSULE</t>
  </si>
  <si>
    <t>250MG</t>
  </si>
  <si>
    <t>RBS</t>
  </si>
  <si>
    <t>CHEST PA</t>
  </si>
  <si>
    <t>DIAGNOSTIC IMAGING EXAMINATION</t>
  </si>
  <si>
    <t>OXYGEN</t>
  </si>
  <si>
    <t>KG</t>
  </si>
  <si>
    <t>HYDROCORTISONE</t>
  </si>
  <si>
    <t>100MG</t>
  </si>
  <si>
    <t>SALBUTAMOL + IPRATOPIUM</t>
  </si>
  <si>
    <t>METFORMIN</t>
  </si>
  <si>
    <t>GLICAZIDE</t>
  </si>
  <si>
    <t>80MG</t>
  </si>
  <si>
    <t>AMPICILLIN SULBACTAM</t>
  </si>
  <si>
    <t>AMBROXOL</t>
  </si>
  <si>
    <t>75MG</t>
  </si>
  <si>
    <t>INSULIN</t>
  </si>
  <si>
    <t>LACTULOSE</t>
  </si>
  <si>
    <t>30CC</t>
  </si>
  <si>
    <t>1 LITER</t>
  </si>
  <si>
    <t>AMPULE</t>
  </si>
  <si>
    <t>10IU</t>
  </si>
  <si>
    <t>DISTILLED WATER FOR INJECTION</t>
  </si>
  <si>
    <t>50CC</t>
  </si>
  <si>
    <t>O2 CANNULA</t>
  </si>
  <si>
    <t>NEB KIT</t>
  </si>
  <si>
    <t>5CC SYRINGE</t>
  </si>
  <si>
    <t>HEPLOCK</t>
  </si>
  <si>
    <t>IV CATHETER G#22</t>
  </si>
  <si>
    <t>SOLUSET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</si>
</sst>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18</xdr:row>
          <xdr:rowOff>22860</xdr:rowOff>
        </xdr:from>
        <xdr:to>
          <xdr:col>1</xdr:col>
          <xdr:colOff>731520</xdr:colOff>
          <xdr:row>18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18</xdr:row>
          <xdr:rowOff>22860</xdr:rowOff>
        </xdr:from>
        <xdr:to>
          <xdr:col>1</xdr:col>
          <xdr:colOff>1508760</xdr:colOff>
          <xdr:row>18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22</xdr:row>
          <xdr:rowOff>22860</xdr:rowOff>
        </xdr:from>
        <xdr:to>
          <xdr:col>1</xdr:col>
          <xdr:colOff>731520</xdr:colOff>
          <xdr:row>22</xdr:row>
          <xdr:rowOff>160020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22</xdr:row>
          <xdr:rowOff>22860</xdr:rowOff>
        </xdr:from>
        <xdr:to>
          <xdr:col>1</xdr:col>
          <xdr:colOff>1508760</xdr:colOff>
          <xdr:row>22</xdr:row>
          <xdr:rowOff>160020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33</xdr:row>
          <xdr:rowOff>22860</xdr:rowOff>
        </xdr:from>
        <xdr:to>
          <xdr:col>1</xdr:col>
          <xdr:colOff>731520</xdr:colOff>
          <xdr:row>33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33</xdr:row>
          <xdr:rowOff>22860</xdr:rowOff>
        </xdr:from>
        <xdr:to>
          <xdr:col>1</xdr:col>
          <xdr:colOff>1508760</xdr:colOff>
          <xdr:row>33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43</xdr:row>
          <xdr:rowOff>22860</xdr:rowOff>
        </xdr:from>
        <xdr:to>
          <xdr:col>1</xdr:col>
          <xdr:colOff>731520</xdr:colOff>
          <xdr:row>43</xdr:row>
          <xdr:rowOff>160020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43</xdr:row>
          <xdr:rowOff>22860</xdr:rowOff>
        </xdr:from>
        <xdr:to>
          <xdr:col>1</xdr:col>
          <xdr:colOff>1508760</xdr:colOff>
          <xdr:row>43</xdr:row>
          <xdr:rowOff>160020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50</xdr:row>
          <xdr:rowOff>22860</xdr:rowOff>
        </xdr:from>
        <xdr:to>
          <xdr:col>1</xdr:col>
          <xdr:colOff>731520</xdr:colOff>
          <xdr:row>50</xdr:row>
          <xdr:rowOff>160020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50</xdr:row>
          <xdr:rowOff>22860</xdr:rowOff>
        </xdr:from>
        <xdr:to>
          <xdr:col>1</xdr:col>
          <xdr:colOff>1508760</xdr:colOff>
          <xdr:row>50</xdr:row>
          <xdr:rowOff>160020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55</xdr:row>
          <xdr:rowOff>22860</xdr:rowOff>
        </xdr:from>
        <xdr:to>
          <xdr:col>1</xdr:col>
          <xdr:colOff>731520</xdr:colOff>
          <xdr:row>55</xdr:row>
          <xdr:rowOff>160020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55</xdr:row>
          <xdr:rowOff>22860</xdr:rowOff>
        </xdr:from>
        <xdr:to>
          <xdr:col>1</xdr:col>
          <xdr:colOff>1508760</xdr:colOff>
          <xdr:row>55</xdr:row>
          <xdr:rowOff>160020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64</xdr:row>
          <xdr:rowOff>22860</xdr:rowOff>
        </xdr:from>
        <xdr:to>
          <xdr:col>1</xdr:col>
          <xdr:colOff>731520</xdr:colOff>
          <xdr:row>64</xdr:row>
          <xdr:rowOff>160020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64</xdr:row>
          <xdr:rowOff>22860</xdr:rowOff>
        </xdr:from>
        <xdr:to>
          <xdr:col>1</xdr:col>
          <xdr:colOff>1508760</xdr:colOff>
          <xdr:row>64</xdr:row>
          <xdr:rowOff>160020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10</xdr:row>
          <xdr:rowOff>7620</xdr:rowOff>
        </xdr:from>
        <xdr:to>
          <xdr:col>1</xdr:col>
          <xdr:colOff>731520</xdr:colOff>
          <xdr:row>10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769620</xdr:colOff>
          <xdr:row>10</xdr:row>
          <xdr:rowOff>7620</xdr:rowOff>
        </xdr:from>
        <xdr:to>
          <xdr:col>1</xdr:col>
          <xdr:colOff>1493520</xdr:colOff>
          <xdr:row>10</xdr:row>
          <xdr:rowOff>160020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15</xdr:row>
          <xdr:rowOff>30480</xdr:rowOff>
        </xdr:from>
        <xdr:to>
          <xdr:col>1</xdr:col>
          <xdr:colOff>769620</xdr:colOff>
          <xdr:row>15</xdr:row>
          <xdr:rowOff>175260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822960</xdr:colOff>
          <xdr:row>15</xdr:row>
          <xdr:rowOff>30480</xdr:rowOff>
        </xdr:from>
        <xdr:to>
          <xdr:col>1</xdr:col>
          <xdr:colOff>1546860</xdr:colOff>
          <xdr:row>15</xdr:row>
          <xdr:rowOff>175260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30480</xdr:rowOff>
        </xdr:from>
        <xdr:to>
          <xdr:col>1</xdr:col>
          <xdr:colOff>762000</xdr:colOff>
          <xdr:row>27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807720</xdr:colOff>
          <xdr:row>27</xdr:row>
          <xdr:rowOff>30480</xdr:rowOff>
        </xdr:from>
        <xdr:to>
          <xdr:col>1</xdr:col>
          <xdr:colOff>1531620</xdr:colOff>
          <xdr:row>27</xdr:row>
          <xdr:rowOff>160020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38</xdr:row>
          <xdr:rowOff>30480</xdr:rowOff>
        </xdr:from>
        <xdr:to>
          <xdr:col>1</xdr:col>
          <xdr:colOff>769620</xdr:colOff>
          <xdr:row>38</xdr:row>
          <xdr:rowOff>175260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822960</xdr:colOff>
          <xdr:row>38</xdr:row>
          <xdr:rowOff>30480</xdr:rowOff>
        </xdr:from>
        <xdr:to>
          <xdr:col>1</xdr:col>
          <xdr:colOff>1546860</xdr:colOff>
          <xdr:row>38</xdr:row>
          <xdr:rowOff>175260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</xdr:row>
          <xdr:rowOff>7620</xdr:rowOff>
        </xdr:from>
        <xdr:to>
          <xdr:col>1</xdr:col>
          <xdr:colOff>754380</xdr:colOff>
          <xdr:row>12</xdr:row>
          <xdr:rowOff>160020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792480</xdr:colOff>
          <xdr:row>12</xdr:row>
          <xdr:rowOff>7620</xdr:rowOff>
        </xdr:from>
        <xdr:to>
          <xdr:col>1</xdr:col>
          <xdr:colOff>1516380</xdr:colOff>
          <xdr:row>12</xdr:row>
          <xdr:rowOff>160020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3"/>
  <sheetViews>
    <sheetView topLeftCell="A21" zoomScaleNormal="100" workbookViewId="0">
      <selection activeCell="B33" sqref="B33:F33"/>
    </sheetView>
  </sheetViews>
  <sheetFormatPr defaultColWidth="14.44140625" defaultRowHeight="15" customHeight="1" outlineLevelRow="1" x14ac:dyDescent="0.3"/>
  <cols>
    <col min="1" max="1" width="3.109375" customWidth="1"/>
    <col min="2" max="2" width="28.33203125" customWidth="1"/>
    <col min="3" max="3" width="29.109375" customWidth="1"/>
    <col min="4" max="5" width="23" customWidth="1"/>
    <col min="6" max="6" width="21" customWidth="1"/>
    <col min="7" max="25" width="9.10937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167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172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173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174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175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176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177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200</v>
      </c>
      <c r="D42" s="23"/>
      <c r="E42" s="55">
        <v>3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19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</v>
      </c>
      <c r="C44" s="27" t="s">
        <v>201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4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44</v>
      </c>
      <c r="C48" s="119"/>
      <c r="D48" s="116"/>
      <c r="E48" s="119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14" t="s">
        <v>45</v>
      </c>
      <c r="C49" s="13"/>
      <c r="D49" s="13"/>
      <c r="E49" s="16"/>
      <c r="F49" s="1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53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1</v>
      </c>
      <c r="C51" s="31" t="s">
        <v>165</v>
      </c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2</v>
      </c>
      <c r="C52" s="31"/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thickBot="1" x14ac:dyDescent="0.35">
      <c r="A55" s="1"/>
      <c r="B55" s="115" t="s">
        <v>20</v>
      </c>
      <c r="C55" s="116"/>
      <c r="D55" s="116"/>
      <c r="E55" s="116"/>
      <c r="F55" s="11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1</v>
      </c>
      <c r="C56" s="27" t="s">
        <v>165</v>
      </c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2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3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4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5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6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5"/>
      <c r="C62" s="25"/>
      <c r="D62" s="25"/>
      <c r="E62" s="25"/>
      <c r="F62" s="2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57.75" customHeight="1" thickBot="1" x14ac:dyDescent="0.35">
      <c r="A64" s="1"/>
      <c r="B64" s="17" t="s">
        <v>55</v>
      </c>
      <c r="C64" s="17" t="s">
        <v>51</v>
      </c>
      <c r="D64" s="17" t="s">
        <v>56</v>
      </c>
      <c r="E64" s="18" t="s">
        <v>57</v>
      </c>
      <c r="F64" s="19" t="s">
        <v>21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2">
        <v>1</v>
      </c>
      <c r="C65" s="27" t="s">
        <v>168</v>
      </c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2</v>
      </c>
      <c r="C66" s="27" t="s">
        <v>169</v>
      </c>
      <c r="D66" s="55">
        <v>1455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3</v>
      </c>
      <c r="C67" s="27" t="s">
        <v>170</v>
      </c>
      <c r="D67" s="55">
        <v>400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4</v>
      </c>
      <c r="C68" s="27" t="s">
        <v>202</v>
      </c>
      <c r="D68" s="55">
        <v>160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5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6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7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8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9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10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4.95" customHeight="1" thickBot="1" x14ac:dyDescent="0.35">
      <c r="A75" s="1"/>
      <c r="B75" s="1"/>
      <c r="C75" s="1"/>
      <c r="D75" s="58"/>
      <c r="E75" s="58"/>
      <c r="F75" s="58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thickTop="1" x14ac:dyDescent="0.3">
      <c r="A76" s="1"/>
      <c r="B76" s="11"/>
      <c r="C76" s="4" t="s">
        <v>22</v>
      </c>
      <c r="D76" s="59">
        <f>SUM(D65:D75)</f>
        <v>2015</v>
      </c>
      <c r="E76" s="59">
        <f>SUM(E65:E75)</f>
        <v>0</v>
      </c>
      <c r="F76" s="59">
        <f>SUM(F65:F75)</f>
        <v>0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</sheetData>
  <sheetProtection password="C2E9" sheet="1" objects="1" scenarios="1" formatColumns="0" formatRows="0" sort="0" autoFilter="0"/>
  <mergeCells count="12">
    <mergeCell ref="B55:F55"/>
    <mergeCell ref="B48:F48"/>
    <mergeCell ref="B12:F12"/>
    <mergeCell ref="B13:F13"/>
    <mergeCell ref="B14:F14"/>
    <mergeCell ref="B15:F15"/>
    <mergeCell ref="B18:F18"/>
    <mergeCell ref="B22:F22"/>
    <mergeCell ref="B33:F33"/>
    <mergeCell ref="B28:F28"/>
    <mergeCell ref="B43:F43"/>
    <mergeCell ref="B50:F50"/>
  </mergeCells>
  <dataValidations count="1">
    <dataValidation type="decimal" operator="greaterThanOrEqual" allowBlank="1" showInputMessage="1" showErrorMessage="1" sqref="E32 E44:E47 E49 E23:F27 E51:F54 E56:F61 D65:F74 E34:E36 E37:E4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7620</xdr:colOff>
                    <xdr:row>18</xdr:row>
                    <xdr:rowOff>22860</xdr:rowOff>
                  </from>
                  <to>
                    <xdr:col>1</xdr:col>
                    <xdr:colOff>731520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784860</xdr:colOff>
                    <xdr:row>18</xdr:row>
                    <xdr:rowOff>22860</xdr:rowOff>
                  </from>
                  <to>
                    <xdr:col>1</xdr:col>
                    <xdr:colOff>1508760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7620</xdr:colOff>
                    <xdr:row>22</xdr:row>
                    <xdr:rowOff>22860</xdr:rowOff>
                  </from>
                  <to>
                    <xdr:col>1</xdr:col>
                    <xdr:colOff>731520</xdr:colOff>
                    <xdr:row>22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784860</xdr:colOff>
                    <xdr:row>22</xdr:row>
                    <xdr:rowOff>22860</xdr:rowOff>
                  </from>
                  <to>
                    <xdr:col>1</xdr:col>
                    <xdr:colOff>1508760</xdr:colOff>
                    <xdr:row>22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7620</xdr:colOff>
                    <xdr:row>33</xdr:row>
                    <xdr:rowOff>22860</xdr:rowOff>
                  </from>
                  <to>
                    <xdr:col>1</xdr:col>
                    <xdr:colOff>731520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784860</xdr:colOff>
                    <xdr:row>33</xdr:row>
                    <xdr:rowOff>22860</xdr:rowOff>
                  </from>
                  <to>
                    <xdr:col>1</xdr:col>
                    <xdr:colOff>1508760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7620</xdr:colOff>
                    <xdr:row>43</xdr:row>
                    <xdr:rowOff>22860</xdr:rowOff>
                  </from>
                  <to>
                    <xdr:col>1</xdr:col>
                    <xdr:colOff>731520</xdr:colOff>
                    <xdr:row>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784860</xdr:colOff>
                    <xdr:row>43</xdr:row>
                    <xdr:rowOff>22860</xdr:rowOff>
                  </from>
                  <to>
                    <xdr:col>1</xdr:col>
                    <xdr:colOff>1508760</xdr:colOff>
                    <xdr:row>43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7620</xdr:colOff>
                    <xdr:row>50</xdr:row>
                    <xdr:rowOff>22860</xdr:rowOff>
                  </from>
                  <to>
                    <xdr:col>1</xdr:col>
                    <xdr:colOff>731520</xdr:colOff>
                    <xdr:row>50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784860</xdr:colOff>
                    <xdr:row>50</xdr:row>
                    <xdr:rowOff>22860</xdr:rowOff>
                  </from>
                  <to>
                    <xdr:col>1</xdr:col>
                    <xdr:colOff>1508760</xdr:colOff>
                    <xdr:row>50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7620</xdr:colOff>
                    <xdr:row>55</xdr:row>
                    <xdr:rowOff>22860</xdr:rowOff>
                  </from>
                  <to>
                    <xdr:col>1</xdr:col>
                    <xdr:colOff>731520</xdr:colOff>
                    <xdr:row>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784860</xdr:colOff>
                    <xdr:row>55</xdr:row>
                    <xdr:rowOff>22860</xdr:rowOff>
                  </from>
                  <to>
                    <xdr:col>1</xdr:col>
                    <xdr:colOff>1508760</xdr:colOff>
                    <xdr:row>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7620</xdr:colOff>
                    <xdr:row>64</xdr:row>
                    <xdr:rowOff>22860</xdr:rowOff>
                  </from>
                  <to>
                    <xdr:col>1</xdr:col>
                    <xdr:colOff>731520</xdr:colOff>
                    <xdr:row>64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784860</xdr:colOff>
                    <xdr:row>64</xdr:row>
                    <xdr:rowOff>22860</xdr:rowOff>
                  </from>
                  <to>
                    <xdr:col>1</xdr:col>
                    <xdr:colOff>1508760</xdr:colOff>
                    <xdr:row>64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0"/>
  <sheetViews>
    <sheetView topLeftCell="A8" zoomScale="80" zoomScaleNormal="80" workbookViewId="0">
      <selection activeCell="J11" sqref="J11:J27"/>
    </sheetView>
  </sheetViews>
  <sheetFormatPr defaultColWidth="14.44140625" defaultRowHeight="15" customHeight="1" outlineLevelRow="1" x14ac:dyDescent="0.3"/>
  <cols>
    <col min="1" max="1" width="4.109375" style="35" customWidth="1"/>
    <col min="2" max="2" width="23.5546875" style="35" customWidth="1"/>
    <col min="3" max="3" width="33.44140625" style="35" customWidth="1"/>
    <col min="4" max="7" width="18.109375" style="35" customWidth="1"/>
    <col min="8" max="8" width="14.109375" style="35" customWidth="1"/>
    <col min="9" max="9" width="13.5546875" style="35" customWidth="1"/>
    <col min="10" max="10" width="9.88671875" style="35" bestFit="1" customWidth="1"/>
    <col min="11" max="19" width="8.6640625" style="35" customWidth="1"/>
    <col min="20" max="16384" width="14.44140625" style="35"/>
  </cols>
  <sheetData>
    <row r="1" spans="1:20" ht="12.75" customHeight="1" x14ac:dyDescent="0.3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19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5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3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3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181</v>
      </c>
      <c r="D11" s="27" t="s">
        <v>179</v>
      </c>
      <c r="E11" s="27" t="s">
        <v>182</v>
      </c>
      <c r="F11" s="55">
        <v>3</v>
      </c>
      <c r="G11" s="55">
        <v>3</v>
      </c>
      <c r="H11" s="55">
        <v>6</v>
      </c>
      <c r="I11" s="55">
        <v>60</v>
      </c>
      <c r="J11" s="55">
        <f>H11*I11</f>
        <v>360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205</v>
      </c>
      <c r="D12" s="27" t="s">
        <v>179</v>
      </c>
      <c r="E12" s="27" t="s">
        <v>199</v>
      </c>
      <c r="F12" s="55">
        <v>1</v>
      </c>
      <c r="G12" s="55">
        <v>1</v>
      </c>
      <c r="H12" s="55">
        <v>1</v>
      </c>
      <c r="I12" s="55">
        <v>120</v>
      </c>
      <c r="J12" s="55">
        <f t="shared" ref="J12:J27" si="0">H12*I12</f>
        <v>120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205</v>
      </c>
      <c r="D13" s="27" t="s">
        <v>179</v>
      </c>
      <c r="E13" s="27" t="s">
        <v>206</v>
      </c>
      <c r="F13" s="55">
        <v>3</v>
      </c>
      <c r="G13" s="55">
        <v>5</v>
      </c>
      <c r="H13" s="55">
        <v>11</v>
      </c>
      <c r="I13" s="55">
        <v>90</v>
      </c>
      <c r="J13" s="55">
        <f t="shared" si="0"/>
        <v>990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207</v>
      </c>
      <c r="D14" s="27" t="s">
        <v>183</v>
      </c>
      <c r="E14" s="27" t="s">
        <v>184</v>
      </c>
      <c r="F14" s="55">
        <v>4</v>
      </c>
      <c r="G14" s="55">
        <v>5</v>
      </c>
      <c r="H14" s="55">
        <v>23</v>
      </c>
      <c r="I14" s="55">
        <v>40</v>
      </c>
      <c r="J14" s="55">
        <f t="shared" si="0"/>
        <v>920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195</v>
      </c>
      <c r="D15" s="27" t="s">
        <v>185</v>
      </c>
      <c r="E15" s="27" t="s">
        <v>196</v>
      </c>
      <c r="F15" s="55">
        <v>2</v>
      </c>
      <c r="G15" s="55">
        <v>2</v>
      </c>
      <c r="H15" s="55">
        <v>3</v>
      </c>
      <c r="I15" s="55">
        <v>15</v>
      </c>
      <c r="J15" s="55">
        <f t="shared" si="0"/>
        <v>45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208</v>
      </c>
      <c r="D16" s="27" t="s">
        <v>185</v>
      </c>
      <c r="E16" s="27" t="s">
        <v>184</v>
      </c>
      <c r="F16" s="55">
        <v>2</v>
      </c>
      <c r="G16" s="55">
        <v>1</v>
      </c>
      <c r="H16" s="55">
        <v>1</v>
      </c>
      <c r="I16" s="55">
        <v>2</v>
      </c>
      <c r="J16" s="55">
        <f t="shared" si="0"/>
        <v>2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209</v>
      </c>
      <c r="D17" s="27" t="s">
        <v>185</v>
      </c>
      <c r="E17" s="27" t="s">
        <v>210</v>
      </c>
      <c r="F17" s="55">
        <v>1</v>
      </c>
      <c r="G17" s="55">
        <v>1</v>
      </c>
      <c r="H17" s="55">
        <v>1</v>
      </c>
      <c r="I17" s="55">
        <v>8</v>
      </c>
      <c r="J17" s="55">
        <f t="shared" si="0"/>
        <v>8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193</v>
      </c>
      <c r="D18" s="27" t="s">
        <v>185</v>
      </c>
      <c r="E18" s="27" t="s">
        <v>194</v>
      </c>
      <c r="F18" s="55">
        <v>2</v>
      </c>
      <c r="G18" s="55">
        <v>1</v>
      </c>
      <c r="H18" s="55">
        <v>2</v>
      </c>
      <c r="I18" s="55">
        <v>65</v>
      </c>
      <c r="J18" s="55">
        <f t="shared" si="0"/>
        <v>130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195</v>
      </c>
      <c r="D19" s="27" t="s">
        <v>185</v>
      </c>
      <c r="E19" s="27" t="s">
        <v>180</v>
      </c>
      <c r="F19" s="55">
        <v>2</v>
      </c>
      <c r="G19" s="55">
        <v>3</v>
      </c>
      <c r="H19" s="55">
        <v>5</v>
      </c>
      <c r="I19" s="55">
        <v>15</v>
      </c>
      <c r="J19" s="55">
        <f t="shared" si="0"/>
        <v>75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211</v>
      </c>
      <c r="D20" s="27" t="s">
        <v>179</v>
      </c>
      <c r="E20" s="27" t="s">
        <v>182</v>
      </c>
      <c r="F20" s="55">
        <v>2</v>
      </c>
      <c r="G20" s="55">
        <v>3</v>
      </c>
      <c r="H20" s="55">
        <v>5</v>
      </c>
      <c r="I20" s="55">
        <v>200</v>
      </c>
      <c r="J20" s="55">
        <f t="shared" si="0"/>
        <v>1000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178</v>
      </c>
      <c r="D21" s="27" t="s">
        <v>179</v>
      </c>
      <c r="E21" s="27" t="s">
        <v>180</v>
      </c>
      <c r="F21" s="55">
        <v>1</v>
      </c>
      <c r="G21" s="55">
        <v>3</v>
      </c>
      <c r="H21" s="55">
        <v>3</v>
      </c>
      <c r="I21" s="55">
        <v>200</v>
      </c>
      <c r="J21" s="55">
        <f t="shared" si="0"/>
        <v>600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212</v>
      </c>
      <c r="D22" s="27" t="s">
        <v>198</v>
      </c>
      <c r="E22" s="27" t="s">
        <v>213</v>
      </c>
      <c r="F22" s="55">
        <v>1</v>
      </c>
      <c r="G22" s="55">
        <v>2</v>
      </c>
      <c r="H22" s="55">
        <v>2</v>
      </c>
      <c r="I22" s="55">
        <v>30</v>
      </c>
      <c r="J22" s="55">
        <f t="shared" si="0"/>
        <v>60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197</v>
      </c>
      <c r="D23" s="27" t="s">
        <v>198</v>
      </c>
      <c r="E23" s="27" t="s">
        <v>199</v>
      </c>
      <c r="F23" s="55">
        <v>1</v>
      </c>
      <c r="G23" s="55">
        <v>2</v>
      </c>
      <c r="H23" s="55">
        <v>3</v>
      </c>
      <c r="I23" s="55">
        <v>50</v>
      </c>
      <c r="J23" s="55">
        <f t="shared" si="0"/>
        <v>150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214</v>
      </c>
      <c r="D24" s="27" t="s">
        <v>218</v>
      </c>
      <c r="E24" s="27" t="s">
        <v>219</v>
      </c>
      <c r="F24" s="55">
        <v>1</v>
      </c>
      <c r="G24" s="55">
        <v>1</v>
      </c>
      <c r="H24" s="55">
        <v>1</v>
      </c>
      <c r="I24" s="55">
        <v>500</v>
      </c>
      <c r="J24" s="55">
        <f t="shared" si="0"/>
        <v>500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215</v>
      </c>
      <c r="D25" s="27" t="s">
        <v>192</v>
      </c>
      <c r="E25" s="27" t="s">
        <v>216</v>
      </c>
      <c r="F25" s="55">
        <v>1</v>
      </c>
      <c r="G25" s="55">
        <v>1</v>
      </c>
      <c r="H25" s="55">
        <v>1</v>
      </c>
      <c r="I25" s="55">
        <v>200</v>
      </c>
      <c r="J25" s="55">
        <f t="shared" si="0"/>
        <v>200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 t="s">
        <v>191</v>
      </c>
      <c r="D26" s="27" t="s">
        <v>192</v>
      </c>
      <c r="E26" s="27" t="s">
        <v>217</v>
      </c>
      <c r="F26" s="55">
        <v>1</v>
      </c>
      <c r="G26" s="55">
        <v>4</v>
      </c>
      <c r="H26" s="55">
        <v>5</v>
      </c>
      <c r="I26" s="55">
        <v>100</v>
      </c>
      <c r="J26" s="55">
        <f t="shared" si="0"/>
        <v>500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 t="s">
        <v>220</v>
      </c>
      <c r="D27" s="27" t="s">
        <v>192</v>
      </c>
      <c r="E27" s="27" t="s">
        <v>221</v>
      </c>
      <c r="F27" s="55">
        <v>2</v>
      </c>
      <c r="G27" s="55">
        <v>3</v>
      </c>
      <c r="H27" s="55">
        <v>6</v>
      </c>
      <c r="I27" s="55">
        <v>85</v>
      </c>
      <c r="J27" s="55">
        <f t="shared" si="0"/>
        <v>510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/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3">
      <c r="A30" s="33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</row>
    <row r="31" spans="1:20" ht="15.75" customHeight="1" x14ac:dyDescent="0.3"/>
    <row r="32" spans="1:20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7620</xdr:colOff>
                    <xdr:row>10</xdr:row>
                    <xdr:rowOff>7620</xdr:rowOff>
                  </from>
                  <to>
                    <xdr:col>1</xdr:col>
                    <xdr:colOff>731520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769620</xdr:colOff>
                    <xdr:row>10</xdr:row>
                    <xdr:rowOff>7620</xdr:rowOff>
                  </from>
                  <to>
                    <xdr:col>1</xdr:col>
                    <xdr:colOff>1493520</xdr:colOff>
                    <xdr:row>10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topLeftCell="A3" zoomScale="85" zoomScaleNormal="85" workbookViewId="0">
      <selection activeCell="G16" sqref="G16:G26"/>
    </sheetView>
  </sheetViews>
  <sheetFormatPr defaultColWidth="14.44140625" defaultRowHeight="15" customHeight="1" outlineLevelRow="1" x14ac:dyDescent="0.3"/>
  <cols>
    <col min="1" max="1" width="2.44140625" style="35" customWidth="1"/>
    <col min="2" max="2" width="27" style="35" customWidth="1"/>
    <col min="3" max="3" width="42.33203125" style="35" customWidth="1"/>
    <col min="4" max="4" width="22.44140625" style="35" bestFit="1" customWidth="1"/>
    <col min="5" max="5" width="10.44140625" style="35" customWidth="1"/>
    <col min="6" max="6" width="18.33203125" style="35" customWidth="1"/>
    <col min="7" max="7" width="26.88671875" style="35" bestFit="1" customWidth="1"/>
    <col min="8" max="16" width="8.6640625" style="35" customWidth="1"/>
    <col min="17" max="16384" width="14.44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186</v>
      </c>
      <c r="D16" s="70" t="s">
        <v>190</v>
      </c>
      <c r="E16" s="55">
        <v>1</v>
      </c>
      <c r="F16" s="55">
        <v>90</v>
      </c>
      <c r="G16" s="55">
        <f>F16*E16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187</v>
      </c>
      <c r="D17" s="70" t="s">
        <v>190</v>
      </c>
      <c r="E17" s="55">
        <v>1</v>
      </c>
      <c r="F17" s="55">
        <v>40</v>
      </c>
      <c r="G17" s="55">
        <f t="shared" ref="G17:G26" si="0">F17*E17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188</v>
      </c>
      <c r="D18" s="70" t="s">
        <v>190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189</v>
      </c>
      <c r="D19" s="70" t="s">
        <v>190</v>
      </c>
      <c r="E19" s="55">
        <v>26</v>
      </c>
      <c r="F19" s="55">
        <v>10</v>
      </c>
      <c r="G19" s="55">
        <f t="shared" si="0"/>
        <v>260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203</v>
      </c>
      <c r="D20" s="70" t="s">
        <v>204</v>
      </c>
      <c r="E20" s="55">
        <v>260</v>
      </c>
      <c r="F20" s="55">
        <v>5</v>
      </c>
      <c r="G20" s="55">
        <f t="shared" si="0"/>
        <v>1300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222</v>
      </c>
      <c r="D21" s="70" t="s">
        <v>190</v>
      </c>
      <c r="E21" s="55">
        <v>1</v>
      </c>
      <c r="F21" s="55">
        <v>100</v>
      </c>
      <c r="G21" s="55">
        <f t="shared" si="0"/>
        <v>100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223</v>
      </c>
      <c r="D22" s="70" t="s">
        <v>190</v>
      </c>
      <c r="E22" s="55">
        <v>1</v>
      </c>
      <c r="F22" s="55">
        <v>100</v>
      </c>
      <c r="G22" s="55">
        <f t="shared" si="0"/>
        <v>100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224</v>
      </c>
      <c r="D23" s="70" t="s">
        <v>190</v>
      </c>
      <c r="E23" s="55">
        <v>16</v>
      </c>
      <c r="F23" s="55">
        <v>10</v>
      </c>
      <c r="G23" s="55">
        <f t="shared" si="0"/>
        <v>160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225</v>
      </c>
      <c r="D24" s="70" t="s">
        <v>190</v>
      </c>
      <c r="E24" s="55">
        <v>2</v>
      </c>
      <c r="F24" s="55">
        <v>65</v>
      </c>
      <c r="G24" s="55">
        <f t="shared" si="0"/>
        <v>130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226</v>
      </c>
      <c r="D25" s="70" t="s">
        <v>190</v>
      </c>
      <c r="E25" s="55">
        <v>2</v>
      </c>
      <c r="F25" s="55">
        <v>90</v>
      </c>
      <c r="G25" s="55">
        <f t="shared" si="0"/>
        <v>180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227</v>
      </c>
      <c r="D26" s="70" t="s">
        <v>190</v>
      </c>
      <c r="E26" s="55">
        <v>1</v>
      </c>
      <c r="F26" s="55">
        <v>200</v>
      </c>
      <c r="G26" s="55">
        <f t="shared" si="0"/>
        <v>200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3"/>
    <row r="52" spans="1:16" ht="15.75" customHeight="1" x14ac:dyDescent="0.3"/>
    <row r="53" spans="1:16" ht="15.75" customHeight="1" x14ac:dyDescent="0.3"/>
    <row r="54" spans="1:16" ht="15.75" customHeight="1" x14ac:dyDescent="0.3"/>
    <row r="55" spans="1:16" ht="15.75" customHeight="1" x14ac:dyDescent="0.3"/>
    <row r="56" spans="1:16" ht="15.75" customHeight="1" x14ac:dyDescent="0.3"/>
    <row r="57" spans="1:16" ht="15.75" customHeight="1" x14ac:dyDescent="0.3"/>
    <row r="58" spans="1:16" ht="15.75" customHeight="1" x14ac:dyDescent="0.3"/>
    <row r="59" spans="1:16" ht="15.75" customHeight="1" x14ac:dyDescent="0.3"/>
    <row r="60" spans="1:16" ht="15.75" customHeight="1" x14ac:dyDescent="0.3"/>
    <row r="61" spans="1:16" ht="15.75" customHeight="1" x14ac:dyDescent="0.3"/>
    <row r="62" spans="1:16" ht="15.75" customHeight="1" x14ac:dyDescent="0.3"/>
    <row r="63" spans="1:16" ht="15.75" customHeight="1" x14ac:dyDescent="0.3"/>
    <row r="64" spans="1:16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45720</xdr:colOff>
                    <xdr:row>15</xdr:row>
                    <xdr:rowOff>30480</xdr:rowOff>
                  </from>
                  <to>
                    <xdr:col>1</xdr:col>
                    <xdr:colOff>769620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822960</xdr:colOff>
                    <xdr:row>15</xdr:row>
                    <xdr:rowOff>30480</xdr:rowOff>
                  </from>
                  <to>
                    <xdr:col>1</xdr:col>
                    <xdr:colOff>1546860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30480</xdr:rowOff>
                  </from>
                  <to>
                    <xdr:col>1</xdr:col>
                    <xdr:colOff>762000</xdr:colOff>
                    <xdr:row>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807720</xdr:colOff>
                    <xdr:row>27</xdr:row>
                    <xdr:rowOff>30480</xdr:rowOff>
                  </from>
                  <to>
                    <xdr:col>1</xdr:col>
                    <xdr:colOff>1531620</xdr:colOff>
                    <xdr:row>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45720</xdr:colOff>
                    <xdr:row>38</xdr:row>
                    <xdr:rowOff>30480</xdr:rowOff>
                  </from>
                  <to>
                    <xdr:col>1</xdr:col>
                    <xdr:colOff>769620</xdr:colOff>
                    <xdr:row>38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822960</xdr:colOff>
                    <xdr:row>38</xdr:row>
                    <xdr:rowOff>30480</xdr:rowOff>
                  </from>
                  <to>
                    <xdr:col>1</xdr:col>
                    <xdr:colOff>1546860</xdr:colOff>
                    <xdr:row>38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5" workbookViewId="0">
      <selection activeCell="D16" sqref="D16"/>
    </sheetView>
  </sheetViews>
  <sheetFormatPr defaultColWidth="14.44140625" defaultRowHeight="15" customHeight="1" outlineLevelRow="1" x14ac:dyDescent="0.25"/>
  <cols>
    <col min="1" max="1" width="2.88671875" style="40" customWidth="1"/>
    <col min="2" max="2" width="26" style="40" customWidth="1"/>
    <col min="3" max="3" width="26.44140625" style="40" customWidth="1"/>
    <col min="4" max="7" width="12.109375" style="40" customWidth="1"/>
    <col min="8" max="8" width="13.44140625" style="40" customWidth="1"/>
    <col min="9" max="14" width="12.109375" style="40" customWidth="1"/>
    <col min="15" max="15" width="1.109375" style="40" customWidth="1"/>
    <col min="16" max="16" width="12.109375" style="40" customWidth="1"/>
    <col min="17" max="26" width="8.6640625" style="40" customWidth="1"/>
    <col min="27" max="16384" width="14.44140625" style="40"/>
  </cols>
  <sheetData>
    <row r="1" spans="2:26" ht="12.75" customHeight="1" x14ac:dyDescent="0.25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25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25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25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25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25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25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25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25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25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25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25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25">
      <c r="B13" s="43">
        <v>1</v>
      </c>
      <c r="C13" s="69" t="s">
        <v>41</v>
      </c>
      <c r="D13" s="55"/>
      <c r="E13" s="55">
        <v>50</v>
      </c>
      <c r="F13" s="55"/>
      <c r="G13" s="55">
        <v>576</v>
      </c>
      <c r="H13" s="55"/>
      <c r="I13" s="55"/>
      <c r="J13" s="55">
        <v>55</v>
      </c>
      <c r="K13" s="55"/>
      <c r="L13" s="55"/>
      <c r="M13" s="55"/>
      <c r="N13" s="55"/>
      <c r="P13" s="88">
        <f>SUM(D13:N13)</f>
        <v>681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25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25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25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25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25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25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25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25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25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25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25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25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25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25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25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25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25">
      <c r="B30" s="43"/>
      <c r="C30" s="41" t="s">
        <v>42</v>
      </c>
      <c r="D30" s="88">
        <f t="shared" ref="D30:N30" si="1">SUM(D13:D22)</f>
        <v>0</v>
      </c>
      <c r="E30" s="88">
        <f t="shared" si="1"/>
        <v>50</v>
      </c>
      <c r="F30" s="88">
        <f t="shared" si="1"/>
        <v>0</v>
      </c>
      <c r="G30" s="88">
        <f t="shared" si="1"/>
        <v>576</v>
      </c>
      <c r="H30" s="88">
        <f t="shared" si="1"/>
        <v>0</v>
      </c>
      <c r="I30" s="88">
        <f t="shared" si="1"/>
        <v>0</v>
      </c>
      <c r="J30" s="88">
        <f t="shared" si="1"/>
        <v>55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681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25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30480</xdr:colOff>
                    <xdr:row>12</xdr:row>
                    <xdr:rowOff>7620</xdr:rowOff>
                  </from>
                  <to>
                    <xdr:col>1</xdr:col>
                    <xdr:colOff>754380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792480</xdr:colOff>
                    <xdr:row>12</xdr:row>
                    <xdr:rowOff>7620</xdr:rowOff>
                  </from>
                  <to>
                    <xdr:col>1</xdr:col>
                    <xdr:colOff>1516380</xdr:colOff>
                    <xdr:row>12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09375" defaultRowHeight="14.4" x14ac:dyDescent="0.3"/>
  <cols>
    <col min="1" max="1" width="15.88671875" style="95" customWidth="1"/>
    <col min="2" max="2" width="36.109375" style="95" customWidth="1"/>
    <col min="3" max="3" width="59.5546875" style="95" bestFit="1" customWidth="1"/>
    <col min="4" max="4" width="13.5546875" style="95" customWidth="1"/>
    <col min="5" max="5" width="14.6640625" style="95" bestFit="1" customWidth="1"/>
    <col min="6" max="6" width="27.88671875" style="95" bestFit="1" customWidth="1"/>
    <col min="7" max="7" width="38.44140625" style="95" bestFit="1" customWidth="1"/>
    <col min="8" max="9" width="14.6640625" style="95" customWidth="1"/>
    <col min="10" max="16384" width="9.109375" style="95"/>
  </cols>
  <sheetData>
    <row r="1" spans="1:9" ht="15" thickBot="1" x14ac:dyDescent="0.35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5.6" thickTop="1" thickBot="1" x14ac:dyDescent="0.35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x14ac:dyDescent="0.3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3">
      <c r="E118"/>
      <c r="F118"/>
      <c r="G118"/>
      <c r="H118"/>
      <c r="I118"/>
    </row>
    <row r="119" spans="1:9" x14ac:dyDescent="0.3">
      <c r="E119"/>
      <c r="F119"/>
      <c r="G119"/>
      <c r="H119"/>
      <c r="I119"/>
    </row>
    <row r="120" spans="1:9" x14ac:dyDescent="0.3">
      <c r="E120"/>
      <c r="F120"/>
      <c r="G120"/>
      <c r="H120"/>
      <c r="I120"/>
    </row>
    <row r="121" spans="1:9" x14ac:dyDescent="0.3">
      <c r="E121"/>
      <c r="F121"/>
      <c r="G121"/>
      <c r="H121"/>
      <c r="I121"/>
    </row>
    <row r="122" spans="1:9" x14ac:dyDescent="0.3">
      <c r="E122"/>
      <c r="F122"/>
      <c r="G122"/>
      <c r="H122"/>
      <c r="I122"/>
    </row>
    <row r="123" spans="1:9" x14ac:dyDescent="0.3">
      <c r="E123"/>
      <c r="F123"/>
      <c r="G123"/>
      <c r="H123"/>
      <c r="I123"/>
    </row>
    <row r="124" spans="1:9" x14ac:dyDescent="0.3">
      <c r="E124"/>
      <c r="F124"/>
      <c r="G124"/>
      <c r="H124"/>
      <c r="I124"/>
    </row>
    <row r="125" spans="1:9" x14ac:dyDescent="0.3">
      <c r="E125"/>
      <c r="F125"/>
      <c r="G125"/>
      <c r="H125"/>
      <c r="I125"/>
    </row>
    <row r="126" spans="1:9" x14ac:dyDescent="0.3">
      <c r="E126"/>
      <c r="F126"/>
      <c r="G126"/>
      <c r="H126"/>
      <c r="I126"/>
    </row>
    <row r="127" spans="1:9" x14ac:dyDescent="0.3">
      <c r="E127"/>
      <c r="F127"/>
      <c r="G127"/>
      <c r="H127"/>
      <c r="I127"/>
    </row>
    <row r="128" spans="1:9" x14ac:dyDescent="0.3">
      <c r="E128"/>
      <c r="F128"/>
      <c r="G128"/>
      <c r="H128"/>
      <c r="I128"/>
    </row>
    <row r="129" spans="5:9" x14ac:dyDescent="0.3">
      <c r="E129"/>
      <c r="F129"/>
      <c r="G129"/>
      <c r="H129"/>
      <c r="I129"/>
    </row>
    <row r="130" spans="5:9" x14ac:dyDescent="0.3">
      <c r="E130"/>
      <c r="F130"/>
      <c r="G130"/>
      <c r="H130"/>
      <c r="I130"/>
    </row>
    <row r="131" spans="5:9" x14ac:dyDescent="0.3">
      <c r="E131"/>
      <c r="F131"/>
      <c r="G131"/>
      <c r="H131"/>
      <c r="I131"/>
    </row>
    <row r="132" spans="5:9" x14ac:dyDescent="0.3">
      <c r="E132"/>
      <c r="F132"/>
      <c r="G132"/>
      <c r="H132"/>
      <c r="I132"/>
    </row>
    <row r="133" spans="5:9" x14ac:dyDescent="0.3">
      <c r="E133"/>
      <c r="F133"/>
      <c r="G133"/>
      <c r="H133"/>
      <c r="I133"/>
    </row>
    <row r="134" spans="5:9" x14ac:dyDescent="0.3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BILLING</cp:lastModifiedBy>
  <dcterms:created xsi:type="dcterms:W3CDTF">2018-05-11T08:46:15Z</dcterms:created>
  <dcterms:modified xsi:type="dcterms:W3CDTF">2018-05-31T14:38:32Z</dcterms:modified>
</cp:coreProperties>
</file>