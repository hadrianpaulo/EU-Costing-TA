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data_general'!$B$1:$F$66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2" i="2"/>
  <c r="J13" i="2"/>
  <c r="J14" i="2"/>
  <c r="J15" i="2"/>
  <c r="J16" i="2"/>
  <c r="J17" i="2"/>
  <c r="J18" i="2"/>
  <c r="J1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6" i="1"/>
  <c r="E66" i="1"/>
  <c r="D66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<sst xmlns="http://schemas.openxmlformats.org/spreadsheetml/2006/main" count="489" uniqueCount="197">
  <si>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</si>
  <si>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</si>
  <si>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</si>
  <si>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</si>
  <si>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</si>
  <si>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</si>
  <si>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</si>
  <si>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</si>
  <si>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</si>
  <si>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</si>
  <si>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</si>
  <si>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</si>
  <si>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</si>
  <si>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</si>
  <si>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</si>
  <si>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</si>
  <si>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</si>
  <si>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</si>
  <si>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</si>
  <si>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</si>
  <si>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</si>
  <si>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</si>
  <si>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</si>
  <si>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</si>
  <si>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</si>
  <si>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</si>
  <si>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</si>
  <si>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</si>
  <si>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</si>
  <si>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</si>
  <si>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</si>
  <si>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</si>
  <si>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</si>
  <si>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</si>
  <si>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</si>
  <si>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</si>
  <si>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</si>
  <si>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</si>
  <si>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</si>
  <si>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</si>
  <si>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</si>
  <si>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</si>
  <si>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</si>
  <si>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</si>
  <si>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</si>
  <si>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</si>
  <si>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</si>
  <si>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</si>
  <si>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</si>
  <si>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</si>
  <si>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</si>
  <si>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</si>
  <si>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</si>
  <si>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</si>
  <si>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</si>
  <si>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</si>
  <si>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</si>
  <si>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</si>
  <si>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</si>
  <si>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</si>
  <si>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</si>
  <si>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</si>
  <si>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</si>
  <si>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</si>
  <si>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</si>
  <si>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</si>
  <si>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</si>
  <si>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</si>
  <si>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</si>
  <si>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</si>
  <si>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</si>
  <si>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</si>
  <si>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</si>
  <si>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</si>
  <si>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</si>
  <si>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</si>
  <si>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</si>
  <si>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</si>
  <si>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</si>
  <si>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</si>
  <si>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</si>
  <si>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</si>
  <si>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</si>
  <si>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</si>
  <si>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</si>
  <si>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</si>
  <si>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</si>
  <si>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</si>
  <si>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</si>
  <si>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</si>
  <si>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</si>
  <si>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</si>
  <si>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</si>
  <si>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</si>
  <si>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</si>
  <si>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</si>
  <si>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</si>
  <si>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</si>
  <si>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</si>
  <si>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</si>
  <si>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</si>
  <si>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</si>
  <si>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</si>
  <si>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</si>
  <si>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</si>
  <si>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</si>
  <si>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</si>
  <si>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</si>
  <si>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</si>
  <si>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</si>
  <si>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</si>
  <si>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</si>
  <si>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</si>
  <si>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</si>
  <si>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</si>
  <si>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</si>
  <si>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</si>
  <si>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</si>
  <si>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</si>
  <si>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</si>
  <si>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</si>
  <si>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</si>
  <si>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</si>
  <si>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</si>
  <si>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</si>
  <si>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</si>
  <si>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</si>
  <si>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</si>
  <si>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</si>
  <si>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</si>
  <si>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</si>
  <si>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</si>
  <si>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</si>
  <si>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</si>
  <si>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</si>
  <si>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</si>
  <si>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</si>
  <si>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</si>
  <si>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</si>
  <si>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</si>
  <si>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</si>
  <si>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</si>
  <si>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</si>
  <si>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</si>
  <si>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</si>
  <si>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</si>
  <si>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</si>
  <si>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</si>
  <si>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</si>
  <si>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</si>
  <si>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</si>
  <si>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</si>
  <si>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</si>
  <si>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</si>
  <si>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</si>
  <si>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</si>
  <si>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</si>
  <si>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</si>
  <si>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</si>
  <si>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</si>
  <si>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</si>
  <si>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</si>
  <si>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</si>
  <si>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</si>
  <si>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</si>
  <si>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N/A</t>
  </si>
  <si>
    <t>MEDICINES</t>
  </si>
  <si>
    <t>LABORATORY</t>
  </si>
  <si>
    <t>VIAL</t>
  </si>
  <si>
    <t>BOTTLE</t>
  </si>
  <si>
    <t>PLASTER 1/2</t>
  </si>
  <si>
    <t>SYRINGE 3CC</t>
  </si>
  <si>
    <t>PC</t>
  </si>
  <si>
    <t>SYRINGE 5CC</t>
  </si>
  <si>
    <t>CBC PLATELET COUNT</t>
  </si>
  <si>
    <t>ROOM AND BOARD</t>
  </si>
  <si>
    <t>AMPULE</t>
  </si>
  <si>
    <t>PARACETAMOL</t>
  </si>
  <si>
    <t>1LITER</t>
  </si>
  <si>
    <t>URINALYSIS</t>
  </si>
  <si>
    <t>XRAY</t>
  </si>
  <si>
    <t>ABOCATH 24</t>
  </si>
  <si>
    <t>MICRO SET</t>
  </si>
  <si>
    <t>CEFUROXIME</t>
  </si>
  <si>
    <t>J18.92</t>
  </si>
  <si>
    <t>HYDROCORTISONE</t>
  </si>
  <si>
    <t>ROD</t>
  </si>
  <si>
    <t>2.5ML</t>
  </si>
  <si>
    <t>CHEST APL</t>
  </si>
  <si>
    <t>GENTAMYCIN</t>
  </si>
  <si>
    <t>17MG</t>
  </si>
  <si>
    <t>NEBULE</t>
  </si>
  <si>
    <t>70MG</t>
  </si>
  <si>
    <t>D5 0.3NACL</t>
  </si>
  <si>
    <t>200MG</t>
  </si>
  <si>
    <t>SALBUTAMOL + 1CC NSS</t>
  </si>
  <si>
    <t>30MG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</si>
</sst>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3"/>
  <sheetViews>
    <sheetView tabSelected="1" zoomScale="90" zoomScaleNormal="90" workbookViewId="0">
      <selection activeCell="D56" sqref="D5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174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188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44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4" t="s">
        <v>45</v>
      </c>
      <c r="C39" s="13"/>
      <c r="D39" s="13"/>
      <c r="E39" s="16"/>
      <c r="F39" s="13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5" t="s">
        <v>53</v>
      </c>
      <c r="C40" s="116"/>
      <c r="D40" s="116"/>
      <c r="E40" s="116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20"/>
      <c r="B41" s="30">
        <v>1</v>
      </c>
      <c r="C41" s="31" t="s">
        <v>165</v>
      </c>
      <c r="D41" s="32"/>
      <c r="E41" s="57"/>
      <c r="F41" s="5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2</v>
      </c>
      <c r="C42" s="31"/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26">
        <v>3</v>
      </c>
      <c r="C43" s="27"/>
      <c r="D43" s="28"/>
      <c r="E43" s="55"/>
      <c r="F43" s="55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4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20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 t="s">
        <v>165</v>
      </c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5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6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5"/>
      <c r="C52" s="25"/>
      <c r="D52" s="25"/>
      <c r="E52" s="25"/>
      <c r="F52" s="2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57.75" customHeight="1" thickBot="1" x14ac:dyDescent="0.35">
      <c r="A54" s="1"/>
      <c r="B54" s="17" t="s">
        <v>55</v>
      </c>
      <c r="C54" s="17" t="s">
        <v>51</v>
      </c>
      <c r="D54" s="17" t="s">
        <v>56</v>
      </c>
      <c r="E54" s="18" t="s">
        <v>57</v>
      </c>
      <c r="F54" s="19" t="s">
        <v>21</v>
      </c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2">
        <v>1</v>
      </c>
      <c r="C55" s="27" t="s">
        <v>166</v>
      </c>
      <c r="D55" s="55">
        <v>1980</v>
      </c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0">
        <v>2</v>
      </c>
      <c r="C56" s="27" t="s">
        <v>167</v>
      </c>
      <c r="D56" s="55">
        <v>205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3</v>
      </c>
      <c r="C57" s="27" t="s">
        <v>180</v>
      </c>
      <c r="D57" s="55">
        <v>320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4</v>
      </c>
      <c r="C58" s="27" t="s">
        <v>175</v>
      </c>
      <c r="D58" s="55">
        <v>400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5</v>
      </c>
      <c r="C59" s="27" t="s">
        <v>186</v>
      </c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6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7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8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9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10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4.9000000000000004" customHeight="1" thickBot="1" x14ac:dyDescent="0.35">
      <c r="A65" s="1"/>
      <c r="B65" s="1"/>
      <c r="C65" s="1"/>
      <c r="D65" s="58"/>
      <c r="E65" s="58"/>
      <c r="F65" s="58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thickTop="1" x14ac:dyDescent="0.3">
      <c r="A66" s="1"/>
      <c r="B66" s="11"/>
      <c r="C66" s="4" t="s">
        <v>22</v>
      </c>
      <c r="D66" s="59">
        <f>SUM(D55:D65)</f>
        <v>2905</v>
      </c>
      <c r="E66" s="59">
        <f>SUM(E55:E65)</f>
        <v>0</v>
      </c>
      <c r="F66" s="59">
        <f>SUM(F55:F65)</f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</sheetData>
  <sheetProtection algorithmName="SHA-512" hashValue="5jxif0d+S5wnWMvQ8Dn7/ruCrKYH6avL3MMMxvfK35lyePeJIE6YBuBu1rtJWEY5a6Z94Hqv4WI9YjrxGtFDag==" saltValue="7d1PCQsTXQo7nhH7wb4E9g==" spinCount="100000" sheet="1" objects="1" scenarios="1" formatColumns="0" formatRows="0" sort="0" autoFilter="0"/>
  <mergeCells count="12">
    <mergeCell ref="B45:F45"/>
    <mergeCell ref="B38:F38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0:F40"/>
  </mergeCells>
  <dataValidations count="1">
    <dataValidation type="decimal" operator="greaterThanOrEqual" allowBlank="1" showInputMessage="1" showErrorMessage="1" sqref="E39 E41:F44 E46:F51 D55:F64 E37 E32 E23:F2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zoomScale="85" zoomScaleNormal="85" workbookViewId="0">
      <selection activeCell="J11" sqref="J11:J16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183</v>
      </c>
      <c r="D11" s="27" t="s">
        <v>168</v>
      </c>
      <c r="E11" s="27" t="s">
        <v>194</v>
      </c>
      <c r="F11" s="55">
        <v>3</v>
      </c>
      <c r="G11" s="55">
        <v>5</v>
      </c>
      <c r="H11" s="55">
        <v>10</v>
      </c>
      <c r="I11" s="55">
        <v>60</v>
      </c>
      <c r="J11" s="55">
        <f>H11*I11</f>
        <v>600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177</v>
      </c>
      <c r="D12" s="27" t="s">
        <v>176</v>
      </c>
      <c r="E12" s="27" t="s">
        <v>192</v>
      </c>
      <c r="F12" s="55">
        <v>6</v>
      </c>
      <c r="G12" s="55">
        <v>1</v>
      </c>
      <c r="H12" s="55">
        <v>1</v>
      </c>
      <c r="I12" s="55">
        <v>50</v>
      </c>
      <c r="J12" s="55">
        <f t="shared" ref="J12:J18" si="0">H12*I12</f>
        <v>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185</v>
      </c>
      <c r="D13" s="27" t="s">
        <v>168</v>
      </c>
      <c r="E13" s="27" t="s">
        <v>196</v>
      </c>
      <c r="F13" s="55">
        <v>3</v>
      </c>
      <c r="G13" s="55">
        <v>2</v>
      </c>
      <c r="H13" s="55">
        <v>1</v>
      </c>
      <c r="I13" s="55">
        <v>90</v>
      </c>
      <c r="J13" s="55">
        <f t="shared" si="0"/>
        <v>90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195</v>
      </c>
      <c r="D14" s="27" t="s">
        <v>191</v>
      </c>
      <c r="E14" s="27" t="s">
        <v>187</v>
      </c>
      <c r="F14" s="55">
        <v>6</v>
      </c>
      <c r="G14" s="55">
        <v>5</v>
      </c>
      <c r="H14" s="55">
        <v>12</v>
      </c>
      <c r="I14" s="55">
        <v>20</v>
      </c>
      <c r="J14" s="55">
        <f t="shared" si="0"/>
        <v>240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189</v>
      </c>
      <c r="D15" s="27" t="s">
        <v>176</v>
      </c>
      <c r="E15" s="27" t="s">
        <v>190</v>
      </c>
      <c r="F15" s="55">
        <v>2</v>
      </c>
      <c r="G15" s="55">
        <v>3</v>
      </c>
      <c r="H15" s="55">
        <v>4</v>
      </c>
      <c r="I15" s="55">
        <v>40</v>
      </c>
      <c r="J15" s="55">
        <f t="shared" si="0"/>
        <v>160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193</v>
      </c>
      <c r="D16" s="27" t="s">
        <v>169</v>
      </c>
      <c r="E16" s="27" t="s">
        <v>178</v>
      </c>
      <c r="F16" s="55">
        <v>2</v>
      </c>
      <c r="G16" s="55">
        <v>2</v>
      </c>
      <c r="H16" s="55">
        <v>6</v>
      </c>
      <c r="I16" s="55">
        <v>100</v>
      </c>
      <c r="J16" s="55">
        <f t="shared" si="0"/>
        <v>600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32" sqref="C3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181</v>
      </c>
      <c r="D16" s="70" t="s">
        <v>172</v>
      </c>
      <c r="E16" s="55">
        <v>1</v>
      </c>
      <c r="F16" s="55">
        <v>90</v>
      </c>
      <c r="G16" s="55">
        <f>F16*E16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172</v>
      </c>
      <c r="E17" s="55">
        <v>1</v>
      </c>
      <c r="F17" s="55">
        <v>40</v>
      </c>
      <c r="G17" s="55">
        <f t="shared" ref="G17:G20" si="0">F17*E17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172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171</v>
      </c>
      <c r="D19" s="70" t="s">
        <v>172</v>
      </c>
      <c r="E19" s="55">
        <v>6</v>
      </c>
      <c r="F19" s="55">
        <v>10</v>
      </c>
      <c r="G19" s="55">
        <f t="shared" si="0"/>
        <v>60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173</v>
      </c>
      <c r="D20" s="70" t="s">
        <v>172</v>
      </c>
      <c r="E20" s="55">
        <v>1</v>
      </c>
      <c r="F20" s="55">
        <v>10</v>
      </c>
      <c r="G20" s="55">
        <f t="shared" si="0"/>
        <v>10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J13" sqref="J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520</v>
      </c>
      <c r="H13" s="55">
        <v>30</v>
      </c>
      <c r="I13" s="55"/>
      <c r="J13" s="55">
        <v>85</v>
      </c>
      <c r="K13" s="55"/>
      <c r="L13" s="55"/>
      <c r="M13" s="55"/>
      <c r="N13" s="55"/>
      <c r="P13" s="88">
        <f>SUM(D13:N13)</f>
        <v>675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520</v>
      </c>
      <c r="H30" s="88">
        <f t="shared" si="1"/>
        <v>30</v>
      </c>
      <c r="I30" s="88">
        <f t="shared" si="1"/>
        <v>0</v>
      </c>
      <c r="J30" s="88">
        <f t="shared" si="1"/>
        <v>85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2018-06-01T03:31:41Z</dcterms:modified>
</cp:coreProperties>
</file>