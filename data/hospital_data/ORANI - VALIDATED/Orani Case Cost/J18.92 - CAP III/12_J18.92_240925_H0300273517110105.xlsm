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J20" i="2" l="1"/>
  <c r="J19" i="2"/>
  <c r="G17" i="9"/>
  <c r="G18" i="9"/>
  <c r="G19" i="9"/>
  <c r="G20" i="9"/>
  <c r="G16" i="9" l="1"/>
  <c r="J12" i="2" l="1"/>
  <c r="J14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5" i="1"/>
  <c r="E65" i="1"/>
  <c r="D65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<sst xmlns="http://schemas.openxmlformats.org/spreadsheetml/2006/main" count="492" uniqueCount="199">
  <si>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</si>
  <si>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</si>
  <si>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</si>
  <si>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</si>
  <si>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</si>
  <si>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</si>
  <si>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</si>
  <si>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</si>
  <si>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</si>
  <si>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</si>
  <si>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</si>
  <si>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</si>
  <si>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</si>
  <si>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</si>
  <si>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</si>
  <si>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</si>
  <si>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</si>
  <si>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</si>
  <si>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</si>
  <si>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</si>
  <si>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</si>
  <si>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</si>
  <si>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</si>
  <si>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</si>
  <si>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</si>
  <si>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</si>
  <si>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</si>
  <si>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</si>
  <si>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</si>
  <si>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</si>
  <si>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</si>
  <si>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</si>
  <si>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</si>
  <si>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</si>
  <si>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</si>
  <si>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</si>
  <si>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</si>
  <si>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</si>
  <si>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</si>
  <si>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</si>
  <si>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</si>
  <si>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</si>
  <si>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</si>
  <si>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</si>
  <si>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</si>
  <si>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</si>
  <si>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</si>
  <si>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</si>
  <si>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</si>
  <si>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</si>
  <si>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</si>
  <si>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</si>
  <si>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</si>
  <si>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</si>
  <si>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</si>
  <si>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</si>
  <si>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</si>
  <si>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</si>
  <si>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</si>
  <si>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</si>
  <si>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</si>
  <si>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</si>
  <si>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</si>
  <si>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</si>
  <si>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</si>
  <si>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</si>
  <si>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</si>
  <si>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</si>
  <si>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</si>
  <si>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</si>
  <si>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</si>
  <si>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</si>
  <si>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</si>
  <si>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</si>
  <si>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</si>
  <si>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</si>
  <si>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</si>
  <si>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</si>
  <si>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</si>
  <si>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</si>
  <si>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</si>
  <si>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</si>
  <si>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</si>
  <si>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</si>
  <si>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</si>
  <si>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</si>
  <si>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</si>
  <si>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</si>
  <si>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</si>
  <si>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</si>
  <si>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</si>
  <si>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</si>
  <si>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</si>
  <si>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</si>
  <si>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</si>
  <si>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</si>
  <si>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</si>
  <si>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</si>
  <si>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</si>
  <si>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</si>
  <si>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</si>
  <si>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</si>
  <si>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</si>
  <si>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</si>
  <si>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</si>
  <si>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</si>
  <si>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</si>
  <si>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</si>
  <si>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</si>
  <si>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</si>
  <si>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</si>
  <si>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</si>
  <si>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</si>
  <si>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</si>
  <si>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</si>
  <si>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</si>
  <si>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</si>
  <si>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</si>
  <si>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</si>
  <si>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</si>
  <si>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</si>
  <si>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</si>
  <si>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</si>
  <si>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</si>
  <si>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</si>
  <si>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</si>
  <si>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</si>
  <si>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</si>
  <si>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</si>
  <si>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</si>
  <si>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</si>
  <si>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</si>
  <si>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</si>
  <si>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</si>
  <si>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</si>
  <si>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</si>
  <si>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</si>
  <si>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</si>
  <si>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</si>
  <si>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</si>
  <si>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</si>
  <si>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</si>
  <si>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</si>
  <si>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</si>
  <si>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</si>
  <si>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</si>
  <si>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</si>
  <si>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</si>
  <si>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</si>
  <si>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</si>
  <si>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</si>
  <si>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</si>
  <si>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</si>
  <si>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</si>
  <si>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</si>
  <si>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</si>
  <si>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</si>
  <si>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</si>
  <si>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</si>
  <si>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</si>
  <si>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</si>
  <si>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</si>
  <si>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</si>
  <si>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</si>
  <si>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</si>
  <si>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</si>
  <si>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</si>
  <si>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</si>
  <si>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ROOM AND BOARD</t>
  </si>
  <si>
    <t>SYRINGE 3CC</t>
  </si>
  <si>
    <t>PC</t>
  </si>
  <si>
    <t>BOTTLE</t>
  </si>
  <si>
    <t>PLASTER 1/2</t>
  </si>
  <si>
    <t>VIAL</t>
  </si>
  <si>
    <t>SYRINGE 5CC</t>
  </si>
  <si>
    <t>AMPULE</t>
  </si>
  <si>
    <t>D5 0.3 NACL</t>
  </si>
  <si>
    <t>ABOCATH G24</t>
  </si>
  <si>
    <t>MICRO SET</t>
  </si>
  <si>
    <t>J18.92</t>
  </si>
  <si>
    <t>CBC PLATELET COUNT</t>
  </si>
  <si>
    <t>XRAY</t>
  </si>
  <si>
    <t>HYDROCORTISONE</t>
  </si>
  <si>
    <t>SALBUTAMOL + IPRATROPIUM</t>
  </si>
  <si>
    <t>NEBULE</t>
  </si>
  <si>
    <t>200MCG</t>
  </si>
  <si>
    <t>CHEST APL</t>
  </si>
  <si>
    <t>AMPICILLIN</t>
  </si>
  <si>
    <t>200MG</t>
  </si>
  <si>
    <t>GENTAMYCIN</t>
  </si>
  <si>
    <t>15MG</t>
  </si>
  <si>
    <t>20MG</t>
  </si>
  <si>
    <t>AMOXICILLIN</t>
  </si>
  <si>
    <t>DROPS</t>
  </si>
  <si>
    <t>2.5ML</t>
  </si>
  <si>
    <t>URINE COLLECTOR</t>
  </si>
  <si>
    <t>AMBROXOL</t>
  </si>
  <si>
    <t>0.6ML</t>
  </si>
  <si>
    <t>500CC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</si>
</sst>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2"/>
  <sheetViews>
    <sheetView tabSelected="1" zoomScaleNormal="100" workbookViewId="0">
      <selection activeCell="D57" sqref="D5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186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44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14" t="s">
        <v>45</v>
      </c>
      <c r="C38" s="13"/>
      <c r="D38" s="13"/>
      <c r="E38" s="16"/>
      <c r="F38" s="1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5" t="s">
        <v>53</v>
      </c>
      <c r="C39" s="116"/>
      <c r="D39" s="116"/>
      <c r="E39" s="116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20"/>
      <c r="B40" s="30">
        <v>1</v>
      </c>
      <c r="C40" s="31" t="s">
        <v>165</v>
      </c>
      <c r="D40" s="32"/>
      <c r="E40" s="57"/>
      <c r="F40" s="5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2</v>
      </c>
      <c r="C41" s="31"/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26">
        <v>3</v>
      </c>
      <c r="C42" s="27"/>
      <c r="D42" s="28"/>
      <c r="E42" s="55"/>
      <c r="F42" s="55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4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20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165</v>
      </c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5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6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5"/>
      <c r="C51" s="25"/>
      <c r="D51" s="25"/>
      <c r="E51" s="25"/>
      <c r="F51" s="2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57.75" customHeight="1" thickBot="1" x14ac:dyDescent="0.35">
      <c r="A53" s="1"/>
      <c r="B53" s="17" t="s">
        <v>55</v>
      </c>
      <c r="C53" s="17" t="s">
        <v>51</v>
      </c>
      <c r="D53" s="17" t="s">
        <v>56</v>
      </c>
      <c r="E53" s="18" t="s">
        <v>57</v>
      </c>
      <c r="F53" s="19" t="s">
        <v>21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2">
        <v>1</v>
      </c>
      <c r="C54" s="27" t="s">
        <v>166</v>
      </c>
      <c r="D54" s="55">
        <v>2370</v>
      </c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0">
        <v>2</v>
      </c>
      <c r="C55" s="27" t="s">
        <v>167</v>
      </c>
      <c r="D55" s="55">
        <v>155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3</v>
      </c>
      <c r="C56" s="27" t="s">
        <v>168</v>
      </c>
      <c r="D56" s="55">
        <v>500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4</v>
      </c>
      <c r="C57" s="27" t="s">
        <v>181</v>
      </c>
      <c r="D57" s="55">
        <v>320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5</v>
      </c>
      <c r="C58" s="27"/>
      <c r="D58" s="55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6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7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8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9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10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4.9000000000000004" customHeight="1" thickBot="1" x14ac:dyDescent="0.35">
      <c r="A64" s="1"/>
      <c r="B64" s="1"/>
      <c r="C64" s="1"/>
      <c r="D64" s="58"/>
      <c r="E64" s="58"/>
      <c r="F64" s="58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thickTop="1" x14ac:dyDescent="0.3">
      <c r="A65" s="1"/>
      <c r="B65" s="11"/>
      <c r="C65" s="4" t="s">
        <v>22</v>
      </c>
      <c r="D65" s="59">
        <f>SUM(D54:D64)</f>
        <v>3345</v>
      </c>
      <c r="E65" s="59">
        <f>SUM(E54:E64)</f>
        <v>0</v>
      </c>
      <c r="F65" s="59">
        <f>SUM(F54:F64)</f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</sheetData>
  <sheetProtection password="C2E9" sheet="1" objects="1" scenarios="1" formatColumns="0" formatRows="0" sort="0" autoFilter="0"/>
  <mergeCells count="12">
    <mergeCell ref="B44:F44"/>
    <mergeCell ref="B37:F37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39:F39"/>
  </mergeCells>
  <dataValidations count="1">
    <dataValidation type="decimal" operator="greaterThanOrEqual" allowBlank="1" showInputMessage="1" showErrorMessage="1" sqref="E32 E36 E38 E23:F27 E40:F43 E45:F50 D54:F63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5" sqref="H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173</v>
      </c>
      <c r="E11" s="27" t="s">
        <v>188</v>
      </c>
      <c r="F11" s="55">
        <v>3</v>
      </c>
      <c r="G11" s="55">
        <v>4</v>
      </c>
      <c r="H11" s="55">
        <v>12</v>
      </c>
      <c r="I11" s="55">
        <v>40</v>
      </c>
      <c r="J11" s="55">
        <f>H11*I11</f>
        <v>480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175</v>
      </c>
      <c r="E12" s="27" t="s">
        <v>190</v>
      </c>
      <c r="F12" s="55">
        <v>1</v>
      </c>
      <c r="G12" s="55">
        <v>4</v>
      </c>
      <c r="H12" s="55">
        <v>4</v>
      </c>
      <c r="I12" s="55">
        <v>40</v>
      </c>
      <c r="J12" s="55">
        <f t="shared" ref="J12:J20" si="0">H12*I12</f>
        <v>160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173</v>
      </c>
      <c r="E13" s="27" t="s">
        <v>191</v>
      </c>
      <c r="F13" s="55">
        <v>3</v>
      </c>
      <c r="G13" s="55">
        <v>2</v>
      </c>
      <c r="H13" s="55">
        <v>4</v>
      </c>
      <c r="I13" s="55">
        <v>90</v>
      </c>
      <c r="J13" s="55">
        <v>90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184</v>
      </c>
      <c r="E14" s="27" t="s">
        <v>185</v>
      </c>
      <c r="F14" s="55">
        <v>3</v>
      </c>
      <c r="G14" s="55">
        <v>6</v>
      </c>
      <c r="H14" s="55">
        <v>16</v>
      </c>
      <c r="I14" s="55">
        <v>40</v>
      </c>
      <c r="J14" s="55">
        <f t="shared" si="0"/>
        <v>640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193</v>
      </c>
      <c r="E15" s="27" t="s">
        <v>194</v>
      </c>
      <c r="F15" s="55">
        <v>3</v>
      </c>
      <c r="G15" s="55">
        <v>2</v>
      </c>
      <c r="H15" s="55">
        <v>7</v>
      </c>
      <c r="I15" s="55">
        <v>85</v>
      </c>
      <c r="J15" s="55">
        <v>85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171</v>
      </c>
      <c r="E16" s="27" t="s">
        <v>197</v>
      </c>
      <c r="F16" s="55">
        <v>3</v>
      </c>
      <c r="G16" s="55">
        <v>6</v>
      </c>
      <c r="H16" s="55">
        <v>16</v>
      </c>
      <c r="I16" s="55">
        <v>35</v>
      </c>
      <c r="J16" s="55"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176</v>
      </c>
      <c r="D17" s="27" t="s">
        <v>171</v>
      </c>
      <c r="E17" s="27" t="s">
        <v>198</v>
      </c>
      <c r="F17" s="55">
        <v>1</v>
      </c>
      <c r="G17" s="55">
        <v>4</v>
      </c>
      <c r="H17" s="55">
        <v>6</v>
      </c>
      <c r="I17" s="55">
        <v>100</v>
      </c>
      <c r="J17" s="55">
        <f t="shared" si="0"/>
        <v>600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E22" sqref="E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170</v>
      </c>
      <c r="E16" s="55">
        <v>1</v>
      </c>
      <c r="F16" s="55">
        <v>100</v>
      </c>
      <c r="G16" s="55">
        <f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170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172</v>
      </c>
      <c r="D18" s="70" t="s">
        <v>170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170</v>
      </c>
      <c r="E19" s="55">
        <v>4</v>
      </c>
      <c r="F19" s="55">
        <v>10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170</v>
      </c>
      <c r="E20" s="55">
        <v>2</v>
      </c>
      <c r="F20" s="55">
        <v>10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195</v>
      </c>
      <c r="D21" s="70" t="s">
        <v>170</v>
      </c>
      <c r="E21" s="55">
        <v>2</v>
      </c>
      <c r="F21" s="55">
        <v>20</v>
      </c>
      <c r="G21" s="55">
        <f t="shared" si="0"/>
        <v>40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8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600</v>
      </c>
      <c r="H13" s="55">
        <v>25</v>
      </c>
      <c r="I13" s="55"/>
      <c r="J13" s="55">
        <v>65</v>
      </c>
      <c r="K13" s="55"/>
      <c r="L13" s="55"/>
      <c r="M13" s="55"/>
      <c r="N13" s="55"/>
      <c r="P13" s="88">
        <f>SUM(D13:N13)</f>
        <v>740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600</v>
      </c>
      <c r="H30" s="88">
        <f t="shared" si="1"/>
        <v>25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OPD Station</cp:lastModifiedBy>
  <dcterms:created xsi:type="dcterms:W3CDTF">2018-05-11T08:46:15Z</dcterms:created>
  <dcterms:modified xsi:type="dcterms:W3CDTF">2018-05-31T12:03:38Z</dcterms:modified>
</cp:coreProperties>
</file>