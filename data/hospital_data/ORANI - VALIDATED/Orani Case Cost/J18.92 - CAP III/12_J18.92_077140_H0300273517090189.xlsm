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data_general'!$B$1:$F$73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17" i="9" l="1"/>
  <c r="G18" i="9"/>
  <c r="G19" i="9"/>
  <c r="G20" i="9"/>
  <c r="G21" i="9"/>
  <c r="G16" i="9"/>
  <c r="J12" i="2"/>
  <c r="J13" i="2"/>
  <c r="J14" i="2"/>
  <c r="J15" i="2"/>
  <c r="J16" i="2"/>
  <c r="J17" i="2"/>
  <c r="J11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3" i="1"/>
  <c r="E73" i="1"/>
  <c r="D73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<sst xmlns="http://schemas.openxmlformats.org/spreadsheetml/2006/main" count="496" uniqueCount="201">
  <si>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</si>
  <si>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</si>
  <si>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</si>
  <si>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</si>
  <si>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</si>
  <si>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</si>
  <si>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</si>
  <si>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</si>
  <si>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</si>
  <si>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</si>
  <si>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</si>
  <si>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</si>
  <si>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</si>
  <si>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</si>
  <si>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</si>
  <si>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</si>
  <si>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</si>
  <si>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</si>
  <si>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</si>
  <si>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</si>
  <si>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</si>
  <si>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</si>
  <si>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</si>
  <si>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</si>
  <si>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</si>
  <si>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</si>
  <si>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</si>
  <si>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</si>
  <si>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</si>
  <si>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</si>
  <si>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</si>
  <si>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</si>
  <si>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</si>
  <si>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</si>
  <si>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</si>
  <si>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</si>
  <si>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</si>
  <si>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</si>
  <si>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</si>
  <si>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</si>
  <si>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</si>
  <si>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</si>
  <si>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</si>
  <si>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</si>
  <si>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</si>
  <si>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</si>
  <si>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</si>
  <si>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</si>
  <si>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</si>
  <si>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</si>
  <si>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</si>
  <si>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</si>
  <si>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</si>
  <si>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</si>
  <si>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</si>
  <si>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</si>
  <si>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</si>
  <si>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</si>
  <si>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</si>
  <si>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</si>
  <si>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</si>
  <si>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</si>
  <si>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</si>
  <si>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</si>
  <si>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</si>
  <si>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</si>
  <si>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</si>
  <si>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</si>
  <si>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</si>
  <si>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</si>
  <si>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</si>
  <si>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</si>
  <si>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</si>
  <si>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</si>
  <si>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</si>
  <si>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</si>
  <si>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</si>
  <si>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</si>
  <si>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</si>
  <si>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</si>
  <si>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</si>
  <si>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</si>
  <si>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</si>
  <si>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</si>
  <si>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</si>
  <si>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</si>
  <si>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</si>
  <si>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</si>
  <si>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</si>
  <si>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</si>
  <si>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</si>
  <si>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</si>
  <si>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</si>
  <si>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</si>
  <si>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</si>
  <si>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</si>
  <si>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</si>
  <si>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</si>
  <si>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</si>
  <si>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</si>
  <si>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</si>
  <si>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</si>
  <si>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</si>
  <si>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</si>
  <si>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</si>
  <si>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</si>
  <si>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</si>
  <si>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</si>
  <si>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</si>
  <si>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</si>
  <si>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</si>
  <si>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</si>
  <si>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</si>
  <si>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</si>
  <si>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</si>
  <si>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</si>
  <si>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</si>
  <si>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</si>
  <si>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</si>
  <si>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</si>
  <si>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</si>
  <si>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</si>
  <si>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</si>
  <si>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</si>
  <si>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</si>
  <si>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</si>
  <si>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</si>
  <si>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</si>
  <si>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</si>
  <si>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</si>
  <si>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</si>
  <si>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</si>
  <si>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</si>
  <si>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</si>
  <si>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</si>
  <si>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</si>
  <si>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</si>
  <si>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</si>
  <si>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</si>
  <si>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</si>
  <si>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</si>
  <si>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</si>
  <si>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</si>
  <si>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</si>
  <si>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</si>
  <si>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</si>
  <si>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</si>
  <si>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</si>
  <si>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</si>
  <si>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</si>
  <si>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</si>
  <si>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</si>
  <si>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</si>
  <si>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</si>
  <si>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</si>
  <si>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</si>
  <si>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</si>
  <si>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</si>
  <si>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</si>
  <si>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</si>
  <si>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</si>
  <si>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</si>
  <si>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</si>
  <si>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</si>
  <si>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</si>
  <si>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N/A</t>
  </si>
  <si>
    <t>MEDICINES</t>
  </si>
  <si>
    <t>LABORATORY</t>
  </si>
  <si>
    <t>VIAL</t>
  </si>
  <si>
    <t>BOTTLE</t>
  </si>
  <si>
    <t>PLASTER 1/2</t>
  </si>
  <si>
    <t>SYRINGE 3CC</t>
  </si>
  <si>
    <t>PC</t>
  </si>
  <si>
    <t>SYRINGE 5CC</t>
  </si>
  <si>
    <t>CBC PLATELET COUNT</t>
  </si>
  <si>
    <t>ROOM AND BOARD</t>
  </si>
  <si>
    <t>1LITER</t>
  </si>
  <si>
    <t>MACRO SET</t>
  </si>
  <si>
    <t>CEFTRIAXONE</t>
  </si>
  <si>
    <t>1G</t>
  </si>
  <si>
    <t>URINALYSIS</t>
  </si>
  <si>
    <t>NAKCL</t>
  </si>
  <si>
    <t>XRAY</t>
  </si>
  <si>
    <t>PLAIN NS SOLUTION</t>
  </si>
  <si>
    <t>ABOCATH 20</t>
  </si>
  <si>
    <t>J18.92</t>
  </si>
  <si>
    <t>GLUCOSE</t>
  </si>
  <si>
    <t>BUN</t>
  </si>
  <si>
    <t>CREATININE</t>
  </si>
  <si>
    <t>CHOLESTEROL</t>
  </si>
  <si>
    <t>BUA</t>
  </si>
  <si>
    <t>CHEST PA</t>
  </si>
  <si>
    <t>HYDROCORTISONE</t>
  </si>
  <si>
    <t>SA;BUTAMOL + IPRATROPIUM</t>
  </si>
  <si>
    <t>200MCG</t>
  </si>
  <si>
    <t>250MG</t>
  </si>
  <si>
    <t>100MG</t>
  </si>
  <si>
    <t>FERROUS SULFATE</t>
  </si>
  <si>
    <t>TABLET</t>
  </si>
  <si>
    <t>325MG</t>
  </si>
  <si>
    <t>DISPOSABLE FACE MASK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</si>
</sst>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61</xdr:row>
          <xdr:rowOff>19050</xdr:rowOff>
        </xdr:from>
        <xdr:to>
          <xdr:col>1</xdr:col>
          <xdr:colOff>733425</xdr:colOff>
          <xdr:row>61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61</xdr:row>
          <xdr:rowOff>19050</xdr:rowOff>
        </xdr:from>
        <xdr:to>
          <xdr:col>1</xdr:col>
          <xdr:colOff>1504950</xdr:colOff>
          <xdr:row>61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723900</xdr:colOff>
          <xdr:row>10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1485900</xdr:colOff>
          <xdr:row>10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0"/>
  <sheetViews>
    <sheetView tabSelected="1" topLeftCell="A33" zoomScale="90" zoomScaleNormal="90" workbookViewId="0">
      <selection activeCell="D63" sqref="D6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8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2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165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6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180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30">
        <v>2</v>
      </c>
      <c r="C35" s="31" t="s">
        <v>186</v>
      </c>
      <c r="D35" s="23"/>
      <c r="E35" s="57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30">
        <v>3</v>
      </c>
      <c r="C36" s="31" t="s">
        <v>187</v>
      </c>
      <c r="D36" s="23"/>
      <c r="E36" s="57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30">
        <v>4</v>
      </c>
      <c r="C37" s="31" t="s">
        <v>188</v>
      </c>
      <c r="D37" s="23"/>
      <c r="E37" s="57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30">
        <v>5</v>
      </c>
      <c r="C38" s="31" t="s">
        <v>189</v>
      </c>
      <c r="D38" s="23"/>
      <c r="E38" s="57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30">
        <v>6</v>
      </c>
      <c r="C39" s="31" t="s">
        <v>190</v>
      </c>
      <c r="D39" s="23"/>
      <c r="E39" s="57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30">
        <v>7</v>
      </c>
      <c r="C40" s="31" t="s">
        <v>174</v>
      </c>
      <c r="D40" s="23"/>
      <c r="E40" s="57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30">
        <v>8</v>
      </c>
      <c r="C41" s="31" t="s">
        <v>181</v>
      </c>
      <c r="D41" s="23"/>
      <c r="E41" s="57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8" t="s">
        <v>19</v>
      </c>
      <c r="C42" s="119"/>
      <c r="D42" s="116"/>
      <c r="E42" s="119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</v>
      </c>
      <c r="C43" s="27" t="s">
        <v>191</v>
      </c>
      <c r="D43" s="23"/>
      <c r="E43" s="55">
        <v>1</v>
      </c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2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8" t="s">
        <v>44</v>
      </c>
      <c r="C45" s="119"/>
      <c r="D45" s="116"/>
      <c r="E45" s="119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14" t="s">
        <v>45</v>
      </c>
      <c r="C46" s="13"/>
      <c r="D46" s="13"/>
      <c r="E46" s="16"/>
      <c r="F46" s="13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5" t="s">
        <v>53</v>
      </c>
      <c r="C47" s="116"/>
      <c r="D47" s="116"/>
      <c r="E47" s="116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1</v>
      </c>
      <c r="C48" s="31" t="s">
        <v>165</v>
      </c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2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5" t="s">
        <v>20</v>
      </c>
      <c r="C52" s="116"/>
      <c r="D52" s="116"/>
      <c r="E52" s="116"/>
      <c r="F52" s="11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1</v>
      </c>
      <c r="C53" s="27" t="s">
        <v>165</v>
      </c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2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5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6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5"/>
      <c r="C59" s="25"/>
      <c r="D59" s="25"/>
      <c r="E59" s="25"/>
      <c r="F59" s="2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57.75" customHeight="1" thickBot="1" x14ac:dyDescent="0.35">
      <c r="A61" s="1"/>
      <c r="B61" s="17" t="s">
        <v>55</v>
      </c>
      <c r="C61" s="17" t="s">
        <v>51</v>
      </c>
      <c r="D61" s="17" t="s">
        <v>56</v>
      </c>
      <c r="E61" s="18" t="s">
        <v>57</v>
      </c>
      <c r="F61" s="19" t="s">
        <v>21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2">
        <v>1</v>
      </c>
      <c r="C62" s="27" t="s">
        <v>166</v>
      </c>
      <c r="D62" s="55">
        <v>3107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2</v>
      </c>
      <c r="C63" s="27" t="s">
        <v>167</v>
      </c>
      <c r="D63" s="55">
        <v>1080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3</v>
      </c>
      <c r="C64" s="27" t="s">
        <v>182</v>
      </c>
      <c r="D64" s="55">
        <v>160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4</v>
      </c>
      <c r="C65" s="27" t="s">
        <v>175</v>
      </c>
      <c r="D65" s="55">
        <v>600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5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6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7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8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9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10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4.9000000000000004" customHeight="1" thickBot="1" x14ac:dyDescent="0.35">
      <c r="A72" s="1"/>
      <c r="B72" s="1"/>
      <c r="C72" s="1"/>
      <c r="D72" s="58"/>
      <c r="E72" s="58"/>
      <c r="F72" s="58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thickTop="1" x14ac:dyDescent="0.3">
      <c r="A73" s="1"/>
      <c r="B73" s="11"/>
      <c r="C73" s="4" t="s">
        <v>22</v>
      </c>
      <c r="D73" s="59">
        <f>SUM(D62:D72)</f>
        <v>4947</v>
      </c>
      <c r="E73" s="59">
        <f>SUM(E62:E72)</f>
        <v>0</v>
      </c>
      <c r="F73" s="59">
        <f>SUM(F62:F72)</f>
        <v>0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</sheetData>
  <sheetProtection algorithmName="SHA-512" hashValue="IyGsb+utI/LjT4VmnAfXwe4N+qikb9l/tGIQ6VvQaIundQiSqfax1MMyoO2jmp36Z5G+XYVby5vDtyrqKEDwDA==" saltValue="LOHWmDAKU3esGd7FW/FNLw==" spinCount="100000" sheet="1" objects="1" scenarios="1" formatColumns="0" formatRows="0" sort="0" autoFilter="0"/>
  <mergeCells count="12">
    <mergeCell ref="B52:F52"/>
    <mergeCell ref="B45:F45"/>
    <mergeCell ref="B12:F12"/>
    <mergeCell ref="B13:F13"/>
    <mergeCell ref="B14:F14"/>
    <mergeCell ref="B15:F15"/>
    <mergeCell ref="B18:F18"/>
    <mergeCell ref="B22:F22"/>
    <mergeCell ref="B33:F33"/>
    <mergeCell ref="B28:F28"/>
    <mergeCell ref="B42:F42"/>
    <mergeCell ref="B47:F47"/>
  </mergeCells>
  <dataValidations count="1">
    <dataValidation type="decimal" operator="greaterThanOrEqual" allowBlank="1" showInputMessage="1" showErrorMessage="1" sqref="E46 E48:F51 E53:F58 D62:F71 E43:E44 E32 E23:F27 E34:E41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0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61</xdr:row>
                    <xdr:rowOff>19050</xdr:rowOff>
                  </from>
                  <to>
                    <xdr:col>1</xdr:col>
                    <xdr:colOff>733425</xdr:colOff>
                    <xdr:row>61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61</xdr:row>
                    <xdr:rowOff>19050</xdr:rowOff>
                  </from>
                  <to>
                    <xdr:col>1</xdr:col>
                    <xdr:colOff>1504950</xdr:colOff>
                    <xdr:row>61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zoomScale="85" zoomScaleNormal="85" workbookViewId="0">
      <selection activeCell="J11" sqref="J11:J16"/>
    </sheetView>
  </sheetViews>
  <sheetFormatPr defaultColWidth="14.42578125" defaultRowHeight="15" customHeight="1" outlineLevelRow="1" x14ac:dyDescent="0.25"/>
  <cols>
    <col min="1" max="1" width="1.710937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178</v>
      </c>
      <c r="D11" s="27" t="s">
        <v>168</v>
      </c>
      <c r="E11" s="27" t="s">
        <v>179</v>
      </c>
      <c r="F11" s="55">
        <v>2</v>
      </c>
      <c r="G11" s="55">
        <v>7</v>
      </c>
      <c r="H11" s="55">
        <v>7</v>
      </c>
      <c r="I11" s="55">
        <v>100</v>
      </c>
      <c r="J11" s="55">
        <f>H11*I11</f>
        <v>700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192</v>
      </c>
      <c r="D12" s="27" t="s">
        <v>168</v>
      </c>
      <c r="E12" s="27" t="s">
        <v>195</v>
      </c>
      <c r="F12" s="55">
        <v>1</v>
      </c>
      <c r="G12" s="55">
        <v>1</v>
      </c>
      <c r="H12" s="55">
        <v>1</v>
      </c>
      <c r="I12" s="55">
        <v>120</v>
      </c>
      <c r="J12" s="55">
        <f t="shared" ref="J12:J17" si="0">H12*I12</f>
        <v>120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192</v>
      </c>
      <c r="D13" s="27" t="s">
        <v>168</v>
      </c>
      <c r="E13" s="27" t="s">
        <v>196</v>
      </c>
      <c r="F13" s="55">
        <v>3</v>
      </c>
      <c r="G13" s="55">
        <v>4</v>
      </c>
      <c r="H13" s="55">
        <v>5</v>
      </c>
      <c r="I13" s="55">
        <v>90</v>
      </c>
      <c r="J13" s="55">
        <f t="shared" si="0"/>
        <v>450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193</v>
      </c>
      <c r="D14" s="27" t="s">
        <v>169</v>
      </c>
      <c r="E14" s="27" t="s">
        <v>194</v>
      </c>
      <c r="F14" s="55">
        <v>6</v>
      </c>
      <c r="G14" s="55">
        <v>6</v>
      </c>
      <c r="H14" s="55">
        <v>18</v>
      </c>
      <c r="I14" s="55">
        <v>40</v>
      </c>
      <c r="J14" s="55">
        <f t="shared" si="0"/>
        <v>720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183</v>
      </c>
      <c r="D15" s="27" t="s">
        <v>169</v>
      </c>
      <c r="E15" s="27" t="s">
        <v>176</v>
      </c>
      <c r="F15" s="55">
        <v>2</v>
      </c>
      <c r="G15" s="55">
        <v>6</v>
      </c>
      <c r="H15" s="55">
        <v>9</v>
      </c>
      <c r="I15" s="55">
        <v>90</v>
      </c>
      <c r="J15" s="55">
        <f t="shared" si="0"/>
        <v>810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197</v>
      </c>
      <c r="D16" s="27" t="s">
        <v>198</v>
      </c>
      <c r="E16" s="27" t="s">
        <v>199</v>
      </c>
      <c r="F16" s="55">
        <v>1</v>
      </c>
      <c r="G16" s="55">
        <v>2</v>
      </c>
      <c r="H16" s="55">
        <v>2</v>
      </c>
      <c r="I16" s="55">
        <v>1</v>
      </c>
      <c r="J16" s="55">
        <f t="shared" si="0"/>
        <v>2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723900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1485900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G16" sqref="G16:G2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184</v>
      </c>
      <c r="D16" s="70" t="s">
        <v>172</v>
      </c>
      <c r="E16" s="55">
        <v>1</v>
      </c>
      <c r="F16" s="55">
        <v>90</v>
      </c>
      <c r="G16" s="55">
        <f>E16*F16</f>
        <v>90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177</v>
      </c>
      <c r="D17" s="70" t="s">
        <v>172</v>
      </c>
      <c r="E17" s="55">
        <v>1</v>
      </c>
      <c r="F17" s="55">
        <v>40</v>
      </c>
      <c r="G17" s="55">
        <f t="shared" ref="G17:G21" si="0">E17*F17</f>
        <v>40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170</v>
      </c>
      <c r="D18" s="70" t="s">
        <v>172</v>
      </c>
      <c r="E18" s="55">
        <v>1</v>
      </c>
      <c r="F18" s="55">
        <v>40</v>
      </c>
      <c r="G18" s="55">
        <f t="shared" si="0"/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171</v>
      </c>
      <c r="D19" s="70" t="s">
        <v>172</v>
      </c>
      <c r="E19" s="55">
        <v>10</v>
      </c>
      <c r="F19" s="55">
        <v>10</v>
      </c>
      <c r="G19" s="55">
        <f t="shared" si="0"/>
        <v>100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173</v>
      </c>
      <c r="D20" s="70" t="s">
        <v>172</v>
      </c>
      <c r="E20" s="55">
        <v>3</v>
      </c>
      <c r="F20" s="55">
        <v>10</v>
      </c>
      <c r="G20" s="55">
        <f t="shared" si="0"/>
        <v>30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200</v>
      </c>
      <c r="D21" s="70" t="s">
        <v>172</v>
      </c>
      <c r="E21" s="55">
        <v>1</v>
      </c>
      <c r="F21" s="55">
        <v>5</v>
      </c>
      <c r="G21" s="55">
        <f t="shared" si="0"/>
        <v>5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E14" sqref="E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65</v>
      </c>
      <c r="F13" s="55"/>
      <c r="G13" s="55">
        <v>615</v>
      </c>
      <c r="H13" s="55">
        <v>20</v>
      </c>
      <c r="I13" s="55"/>
      <c r="J13" s="55">
        <v>75</v>
      </c>
      <c r="K13" s="55"/>
      <c r="L13" s="55"/>
      <c r="M13" s="55"/>
      <c r="N13" s="55"/>
      <c r="P13" s="88">
        <f>SUM(D13:N13)</f>
        <v>775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65</v>
      </c>
      <c r="F30" s="88">
        <f t="shared" si="1"/>
        <v>0</v>
      </c>
      <c r="G30" s="88">
        <f t="shared" si="1"/>
        <v>615</v>
      </c>
      <c r="H30" s="88">
        <f t="shared" si="1"/>
        <v>20</v>
      </c>
      <c r="I30" s="88">
        <f t="shared" si="1"/>
        <v>0</v>
      </c>
      <c r="J30" s="88">
        <f t="shared" si="1"/>
        <v>75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775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Emergency Room</cp:lastModifiedBy>
  <dcterms:created xsi:type="dcterms:W3CDTF">2018-05-11T08:46:15Z</dcterms:created>
  <dcterms:modified xsi:type="dcterms:W3CDTF">2018-05-30T12:05:10Z</dcterms:modified>
</cp:coreProperties>
</file>