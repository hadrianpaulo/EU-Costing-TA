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Supplies_Medical'!$C$15:$C$48</definedName>
    <definedName name="Drugs">'1.2 Drugs&amp;Med'!$C$11:$C$25</definedName>
    <definedName name="_xlnm.Print_Area" localSheetId="0">'1.1 Case data_general'!$B$1:$F$77</definedName>
    <definedName name="_xlnm.Print_Area" localSheetId="1">'1.2 Drugs&amp;Med'!$B$2:$J$27</definedName>
  </definedNames>
  <calcPr calcId="144525"/>
</workbook>
</file>

<file path=xl/calcChain.xml><?xml version="1.0" encoding="utf-8"?>
<calcChain xmlns="http://schemas.openxmlformats.org/spreadsheetml/2006/main">
  <c r="G17" i="9" l="1"/>
  <c r="G18" i="9"/>
  <c r="G19" i="9"/>
  <c r="G20" i="9"/>
  <c r="G16" i="9"/>
  <c r="J12" i="2" l="1"/>
  <c r="J13" i="2"/>
  <c r="J14" i="2"/>
  <c r="J15" i="2"/>
  <c r="J16" i="2"/>
  <c r="J17" i="2"/>
  <c r="J18" i="2"/>
  <c r="G1" i="11" l="1"/>
  <c r="F1" i="11"/>
  <c r="G3" i="11" s="1" a="1"/>
  <c r="G3" i="11" s="1"/>
  <c r="G4" i="11" s="1" a="1"/>
  <c r="G4" i="11" s="1"/>
  <c r="E3" i="11" a="1"/>
  <c r="E3" i="11" s="1"/>
  <c r="E4" i="11" s="1" a="1"/>
  <c r="E4" i="11" s="1"/>
  <c r="F3" i="11" l="1" a="1"/>
  <c r="F3" i="11" s="1"/>
  <c r="F4" i="11" s="1" a="1"/>
  <c r="F4" i="11" s="1"/>
  <c r="G5" i="11" a="1"/>
  <c r="G5" i="11" s="1"/>
  <c r="G6" i="11" l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7" i="1"/>
  <c r="E77" i="1"/>
  <c r="D77" i="1"/>
  <c r="G11" i="11" l="1" a="1"/>
  <c r="G11" i="11" s="1"/>
  <c r="G12" i="11" s="1" a="1"/>
  <c r="G12" i="11" s="1"/>
  <c r="F8" i="11" a="1"/>
  <c r="F8" i="11" s="1"/>
  <c r="F9" i="11" s="1" a="1"/>
  <c r="F9" i="11" s="1"/>
  <c r="J11" i="2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<sst xmlns="http://schemas.openxmlformats.org/spreadsheetml/2006/main" count="495" uniqueCount="204">
  <si>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</si>
  <si>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</si>
  <si>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</si>
  <si>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</si>
  <si>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</si>
  <si>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</si>
  <si>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</si>
  <si>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</si>
  <si>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</si>
  <si>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</si>
  <si>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</si>
  <si>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</si>
  <si>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</si>
  <si>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</si>
  <si>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</si>
  <si>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</si>
  <si>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</si>
  <si>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</si>
  <si>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</si>
  <si>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</si>
  <si>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</si>
  <si>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</si>
  <si>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</si>
  <si>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</si>
  <si>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</si>
  <si>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</si>
  <si>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</si>
  <si>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</si>
  <si>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</si>
  <si>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</si>
  <si>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</si>
  <si>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</si>
  <si>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</si>
  <si>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</si>
  <si>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</si>
  <si>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</si>
  <si>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</si>
  <si>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</si>
  <si>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</si>
  <si>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</si>
  <si>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</si>
  <si>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</si>
  <si>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</si>
  <si>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</si>
  <si>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</si>
  <si>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</si>
  <si>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</si>
  <si>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</si>
  <si>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</si>
  <si>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</si>
  <si>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</si>
  <si>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</si>
  <si>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</si>
  <si>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</si>
  <si>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</si>
  <si>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</si>
  <si>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</si>
  <si>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</si>
  <si>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</si>
  <si>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</si>
  <si>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</si>
  <si>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</si>
  <si>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</si>
  <si>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</si>
  <si>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</si>
  <si>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</si>
  <si>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</si>
  <si>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</si>
  <si>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</si>
  <si>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</si>
  <si>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</si>
  <si>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</si>
  <si>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</si>
  <si>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</si>
  <si>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</si>
  <si>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</si>
  <si>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</si>
  <si>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</si>
  <si>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</si>
  <si>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</si>
  <si>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</si>
  <si>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</si>
  <si>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</si>
  <si>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</si>
  <si>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</si>
  <si>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</si>
  <si>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</si>
  <si>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</si>
  <si>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</si>
  <si>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</si>
  <si>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</si>
  <si>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</si>
  <si>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</si>
  <si>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</si>
  <si>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</si>
  <si>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</si>
  <si>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</si>
  <si>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</si>
  <si>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</si>
  <si>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</si>
  <si>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</si>
  <si>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</si>
  <si>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</si>
  <si>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</si>
  <si>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</si>
  <si>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</si>
  <si>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</si>
  <si>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</si>
  <si>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</si>
  <si>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</si>
  <si>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</si>
  <si>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</si>
  <si>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</si>
  <si>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</si>
  <si>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</si>
  <si>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</si>
  <si>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</si>
  <si>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</si>
  <si>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</si>
  <si>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</si>
  <si>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</si>
  <si>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</si>
  <si>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</si>
  <si>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</si>
  <si>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</si>
  <si>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</si>
  <si>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</si>
  <si>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</si>
  <si>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</si>
  <si>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</si>
  <si>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</si>
  <si>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</si>
  <si>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</si>
  <si>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</si>
  <si>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</si>
  <si>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</si>
  <si>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</si>
  <si>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</si>
  <si>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</si>
  <si>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</si>
  <si>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</si>
  <si>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</si>
  <si>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</si>
  <si>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</si>
  <si>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</si>
  <si>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</si>
  <si>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</si>
  <si>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</si>
  <si>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</si>
  <si>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</si>
  <si>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</si>
  <si>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</si>
  <si>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</si>
  <si>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</si>
  <si>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</si>
  <si>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</si>
  <si>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</si>
  <si>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</si>
  <si>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</si>
  <si>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</si>
  <si>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</si>
  <si>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</si>
  <si>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</si>
  <si>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</si>
  <si>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CAP III</t>
  </si>
  <si>
    <t>N/A</t>
  </si>
  <si>
    <t>RH TYPING</t>
  </si>
  <si>
    <t>MEDICINES</t>
  </si>
  <si>
    <t>LABORATORY</t>
  </si>
  <si>
    <t>ROOM AND BOARD</t>
  </si>
  <si>
    <t>TABLET</t>
  </si>
  <si>
    <t>SYRINGE 3CC</t>
  </si>
  <si>
    <t>PC</t>
  </si>
  <si>
    <t>BOTTLE</t>
  </si>
  <si>
    <t>1LITER</t>
  </si>
  <si>
    <t>ABOCATH GAUGE 20</t>
  </si>
  <si>
    <t>MACRO SET</t>
  </si>
  <si>
    <t>PLASTER 1/2</t>
  </si>
  <si>
    <t>CBC PLATELET COUNT</t>
  </si>
  <si>
    <t>VIAL</t>
  </si>
  <si>
    <t>CAPSULE</t>
  </si>
  <si>
    <t>URINALYSIS</t>
  </si>
  <si>
    <t>XRAY</t>
  </si>
  <si>
    <t>CEFUROXIME</t>
  </si>
  <si>
    <t>600MG</t>
  </si>
  <si>
    <t>SYRINGE 5CC</t>
  </si>
  <si>
    <t>J18.92</t>
  </si>
  <si>
    <t>NAKCL</t>
  </si>
  <si>
    <t>GLUCOSE</t>
  </si>
  <si>
    <t>BUN</t>
  </si>
  <si>
    <t>CREATININE</t>
  </si>
  <si>
    <t>CHOLESTEROL</t>
  </si>
  <si>
    <t>URIC ACID</t>
  </si>
  <si>
    <t>TRIGLYCERIDES</t>
  </si>
  <si>
    <t>CHEST PA</t>
  </si>
  <si>
    <t>750MG</t>
  </si>
  <si>
    <t>SALBUTAMOL + IPATROPIUM</t>
  </si>
  <si>
    <t>NEBULE</t>
  </si>
  <si>
    <t>1ML</t>
  </si>
  <si>
    <t>ACETYLCESTEINE</t>
  </si>
  <si>
    <t>AMBROXOL</t>
  </si>
  <si>
    <t>75MG</t>
  </si>
  <si>
    <t xml:space="preserve">MULTIVITAMINS </t>
  </si>
  <si>
    <t>PLAIN NS SOLUTION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</si>
</sst>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44</xdr:row>
          <xdr:rowOff>19050</xdr:rowOff>
        </xdr:from>
        <xdr:to>
          <xdr:col>1</xdr:col>
          <xdr:colOff>733425</xdr:colOff>
          <xdr:row>44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44</xdr:row>
          <xdr:rowOff>19050</xdr:rowOff>
        </xdr:from>
        <xdr:to>
          <xdr:col>1</xdr:col>
          <xdr:colOff>1504950</xdr:colOff>
          <xdr:row>44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51</xdr:row>
          <xdr:rowOff>19050</xdr:rowOff>
        </xdr:from>
        <xdr:to>
          <xdr:col>1</xdr:col>
          <xdr:colOff>733425</xdr:colOff>
          <xdr:row>51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51</xdr:row>
          <xdr:rowOff>19050</xdr:rowOff>
        </xdr:from>
        <xdr:to>
          <xdr:col>1</xdr:col>
          <xdr:colOff>1504950</xdr:colOff>
          <xdr:row>51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56</xdr:row>
          <xdr:rowOff>19050</xdr:rowOff>
        </xdr:from>
        <xdr:to>
          <xdr:col>1</xdr:col>
          <xdr:colOff>733425</xdr:colOff>
          <xdr:row>56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56</xdr:row>
          <xdr:rowOff>19050</xdr:rowOff>
        </xdr:from>
        <xdr:to>
          <xdr:col>1</xdr:col>
          <xdr:colOff>1504950</xdr:colOff>
          <xdr:row>56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65</xdr:row>
          <xdr:rowOff>19050</xdr:rowOff>
        </xdr:from>
        <xdr:to>
          <xdr:col>1</xdr:col>
          <xdr:colOff>733425</xdr:colOff>
          <xdr:row>65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65</xdr:row>
          <xdr:rowOff>19050</xdr:rowOff>
        </xdr:from>
        <xdr:to>
          <xdr:col>1</xdr:col>
          <xdr:colOff>1504950</xdr:colOff>
          <xdr:row>65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11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28575</xdr:rowOff>
        </xdr:from>
        <xdr:to>
          <xdr:col>1</xdr:col>
          <xdr:colOff>771525</xdr:colOff>
          <xdr:row>38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38</xdr:row>
          <xdr:rowOff>28575</xdr:rowOff>
        </xdr:from>
        <xdr:to>
          <xdr:col>1</xdr:col>
          <xdr:colOff>1543050</xdr:colOff>
          <xdr:row>38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14"/>
  <sheetViews>
    <sheetView tabSelected="1" topLeftCell="A54" zoomScaleNormal="100" workbookViewId="0">
      <selection activeCell="D73" sqref="D73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46</v>
      </c>
      <c r="C2" s="9"/>
      <c r="D2" s="61" t="s">
        <v>164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59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47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48</v>
      </c>
      <c r="C6" s="2">
        <v>10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49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54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50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58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0" t="s">
        <v>60</v>
      </c>
      <c r="C12" s="121"/>
      <c r="D12" s="121"/>
      <c r="E12" s="121"/>
      <c r="F12" s="122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3" t="s">
        <v>2</v>
      </c>
      <c r="C13" s="124"/>
      <c r="D13" s="124"/>
      <c r="E13" s="124"/>
      <c r="F13" s="12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3" t="s">
        <v>4</v>
      </c>
      <c r="C14" s="124"/>
      <c r="D14" s="124"/>
      <c r="E14" s="124"/>
      <c r="F14" s="12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6" t="s">
        <v>61</v>
      </c>
      <c r="C15" s="127"/>
      <c r="D15" s="127"/>
      <c r="E15" s="127"/>
      <c r="F15" s="128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5" t="s">
        <v>15</v>
      </c>
      <c r="C18" s="116"/>
      <c r="D18" s="116"/>
      <c r="E18" s="116"/>
      <c r="F18" s="117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186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/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5" t="s">
        <v>52</v>
      </c>
      <c r="C22" s="116"/>
      <c r="D22" s="116"/>
      <c r="E22" s="116"/>
      <c r="F22" s="117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 t="s">
        <v>165</v>
      </c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8" t="s">
        <v>43</v>
      </c>
      <c r="C28" s="119"/>
      <c r="D28" s="119"/>
      <c r="E28" s="119"/>
      <c r="F28" s="129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159</v>
      </c>
      <c r="C29" s="113" t="s">
        <v>162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160</v>
      </c>
      <c r="C30" s="114" t="s">
        <v>124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161</v>
      </c>
      <c r="C31" s="114" t="s">
        <v>138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>
        <v>3</v>
      </c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5" t="s">
        <v>18</v>
      </c>
      <c r="C33" s="116"/>
      <c r="D33" s="116"/>
      <c r="E33" s="116"/>
      <c r="F33" s="117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 t="s">
        <v>187</v>
      </c>
      <c r="D34" s="23"/>
      <c r="E34" s="57">
        <v>1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30">
        <v>2</v>
      </c>
      <c r="C35" s="31" t="s">
        <v>178</v>
      </c>
      <c r="D35" s="23"/>
      <c r="E35" s="57">
        <v>1</v>
      </c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30">
        <v>3</v>
      </c>
      <c r="C36" s="31" t="s">
        <v>166</v>
      </c>
      <c r="D36" s="23"/>
      <c r="E36" s="57">
        <v>1</v>
      </c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30">
        <v>4</v>
      </c>
      <c r="C37" s="31" t="s">
        <v>181</v>
      </c>
      <c r="D37" s="23"/>
      <c r="E37" s="57">
        <v>1</v>
      </c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30">
        <v>5</v>
      </c>
      <c r="C38" s="31" t="s">
        <v>188</v>
      </c>
      <c r="D38" s="23"/>
      <c r="E38" s="57">
        <v>1</v>
      </c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30">
        <v>6</v>
      </c>
      <c r="C39" s="31" t="s">
        <v>189</v>
      </c>
      <c r="D39" s="23"/>
      <c r="E39" s="57">
        <v>1</v>
      </c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30">
        <v>7</v>
      </c>
      <c r="C40" s="31" t="s">
        <v>190</v>
      </c>
      <c r="D40" s="23"/>
      <c r="E40" s="57">
        <v>1</v>
      </c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30">
        <v>8</v>
      </c>
      <c r="C41" s="31" t="s">
        <v>191</v>
      </c>
      <c r="D41" s="23"/>
      <c r="E41" s="57">
        <v>1</v>
      </c>
      <c r="F41" s="24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30">
        <v>9</v>
      </c>
      <c r="C42" s="31" t="s">
        <v>192</v>
      </c>
      <c r="D42" s="23"/>
      <c r="E42" s="57">
        <v>1</v>
      </c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x14ac:dyDescent="0.3">
      <c r="A43" s="1"/>
      <c r="B43" s="30">
        <v>10</v>
      </c>
      <c r="C43" s="31" t="s">
        <v>193</v>
      </c>
      <c r="D43" s="23"/>
      <c r="E43" s="57">
        <v>1</v>
      </c>
      <c r="F43" s="24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thickBot="1" x14ac:dyDescent="0.35">
      <c r="A44" s="1"/>
      <c r="B44" s="118" t="s">
        <v>19</v>
      </c>
      <c r="C44" s="119"/>
      <c r="D44" s="116"/>
      <c r="E44" s="119"/>
      <c r="F44" s="117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1"/>
      <c r="B45" s="26">
        <v>1</v>
      </c>
      <c r="C45" s="27" t="s">
        <v>194</v>
      </c>
      <c r="D45" s="23"/>
      <c r="E45" s="55">
        <v>1</v>
      </c>
      <c r="F45" s="24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1"/>
      <c r="B46" s="26">
        <v>2</v>
      </c>
      <c r="C46" s="27"/>
      <c r="D46" s="23"/>
      <c r="E46" s="55"/>
      <c r="F46" s="24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1"/>
      <c r="B47" s="26">
        <v>3</v>
      </c>
      <c r="C47" s="27"/>
      <c r="D47" s="23"/>
      <c r="E47" s="55"/>
      <c r="F47" s="24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x14ac:dyDescent="0.3">
      <c r="A48" s="1"/>
      <c r="B48" s="26">
        <v>4</v>
      </c>
      <c r="C48" s="27"/>
      <c r="D48" s="23"/>
      <c r="E48" s="55"/>
      <c r="F48" s="24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thickBot="1" x14ac:dyDescent="0.35">
      <c r="A49" s="1"/>
      <c r="B49" s="118" t="s">
        <v>44</v>
      </c>
      <c r="C49" s="119"/>
      <c r="D49" s="116"/>
      <c r="E49" s="119"/>
      <c r="F49" s="117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1"/>
      <c r="B50" s="14" t="s">
        <v>45</v>
      </c>
      <c r="C50" s="13"/>
      <c r="D50" s="13"/>
      <c r="E50" s="16"/>
      <c r="F50" s="13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thickBot="1" x14ac:dyDescent="0.35">
      <c r="A51" s="1"/>
      <c r="B51" s="115" t="s">
        <v>53</v>
      </c>
      <c r="C51" s="116"/>
      <c r="D51" s="116"/>
      <c r="E51" s="116"/>
      <c r="F51" s="117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20"/>
      <c r="B52" s="30">
        <v>1</v>
      </c>
      <c r="C52" s="31" t="s">
        <v>165</v>
      </c>
      <c r="D52" s="32"/>
      <c r="E52" s="57"/>
      <c r="F52" s="57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20"/>
      <c r="B53" s="30">
        <v>2</v>
      </c>
      <c r="C53" s="31"/>
      <c r="D53" s="32"/>
      <c r="E53" s="57"/>
      <c r="F53" s="57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20"/>
      <c r="B54" s="26">
        <v>3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20"/>
      <c r="B55" s="26">
        <v>4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thickBot="1" x14ac:dyDescent="0.35">
      <c r="A56" s="1"/>
      <c r="B56" s="115" t="s">
        <v>20</v>
      </c>
      <c r="C56" s="116"/>
      <c r="D56" s="116"/>
      <c r="E56" s="116"/>
      <c r="F56" s="117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6">
        <v>1</v>
      </c>
      <c r="C57" s="27" t="s">
        <v>165</v>
      </c>
      <c r="D57" s="28"/>
      <c r="E57" s="55"/>
      <c r="F57" s="5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26">
        <v>2</v>
      </c>
      <c r="C58" s="27"/>
      <c r="D58" s="28"/>
      <c r="E58" s="55"/>
      <c r="F58" s="55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26">
        <v>3</v>
      </c>
      <c r="C59" s="27"/>
      <c r="D59" s="28"/>
      <c r="E59" s="55"/>
      <c r="F59" s="55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26">
        <v>4</v>
      </c>
      <c r="C60" s="27"/>
      <c r="D60" s="28"/>
      <c r="E60" s="55"/>
      <c r="F60" s="5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26">
        <v>5</v>
      </c>
      <c r="C61" s="27"/>
      <c r="D61" s="28"/>
      <c r="E61" s="55"/>
      <c r="F61" s="5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26">
        <v>6</v>
      </c>
      <c r="C62" s="27"/>
      <c r="D62" s="28"/>
      <c r="E62" s="55"/>
      <c r="F62" s="5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25"/>
      <c r="C63" s="25"/>
      <c r="D63" s="25"/>
      <c r="E63" s="25"/>
      <c r="F63" s="2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57.75" customHeight="1" thickBot="1" x14ac:dyDescent="0.35">
      <c r="A65" s="1"/>
      <c r="B65" s="17" t="s">
        <v>55</v>
      </c>
      <c r="C65" s="17" t="s">
        <v>51</v>
      </c>
      <c r="D65" s="17" t="s">
        <v>56</v>
      </c>
      <c r="E65" s="18" t="s">
        <v>57</v>
      </c>
      <c r="F65" s="19" t="s">
        <v>21</v>
      </c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2">
        <v>1</v>
      </c>
      <c r="C66" s="27" t="s">
        <v>167</v>
      </c>
      <c r="D66" s="55">
        <v>1890</v>
      </c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2</v>
      </c>
      <c r="C67" s="27" t="s">
        <v>168</v>
      </c>
      <c r="D67" s="55">
        <v>1400</v>
      </c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3</v>
      </c>
      <c r="C68" s="27" t="s">
        <v>182</v>
      </c>
      <c r="D68" s="55">
        <v>160</v>
      </c>
      <c r="E68" s="55"/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4</v>
      </c>
      <c r="C69" s="27" t="s">
        <v>169</v>
      </c>
      <c r="D69" s="55">
        <v>300</v>
      </c>
      <c r="E69" s="55"/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0">
        <v>5</v>
      </c>
      <c r="C70" s="27"/>
      <c r="D70" s="55"/>
      <c r="E70" s="55"/>
      <c r="F70" s="55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0">
        <v>6</v>
      </c>
      <c r="C71" s="27"/>
      <c r="D71" s="55"/>
      <c r="E71" s="55"/>
      <c r="F71" s="55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0">
        <v>7</v>
      </c>
      <c r="C72" s="27"/>
      <c r="D72" s="55"/>
      <c r="E72" s="55"/>
      <c r="F72" s="55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0">
        <v>8</v>
      </c>
      <c r="C73" s="27"/>
      <c r="D73" s="55"/>
      <c r="E73" s="55"/>
      <c r="F73" s="55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0">
        <v>9</v>
      </c>
      <c r="C74" s="27"/>
      <c r="D74" s="55"/>
      <c r="E74" s="55"/>
      <c r="F74" s="55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0">
        <v>10</v>
      </c>
      <c r="C75" s="27"/>
      <c r="D75" s="55"/>
      <c r="E75" s="55"/>
      <c r="F75" s="55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4.9000000000000004" customHeight="1" thickBot="1" x14ac:dyDescent="0.35">
      <c r="A76" s="1"/>
      <c r="B76" s="1"/>
      <c r="C76" s="1"/>
      <c r="D76" s="58"/>
      <c r="E76" s="58"/>
      <c r="F76" s="58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thickTop="1" x14ac:dyDescent="0.3">
      <c r="A77" s="1"/>
      <c r="B77" s="11"/>
      <c r="C77" s="4" t="s">
        <v>22</v>
      </c>
      <c r="D77" s="59">
        <f>SUM(D66:D76)</f>
        <v>3750</v>
      </c>
      <c r="E77" s="59">
        <f>SUM(E66:E76)</f>
        <v>0</v>
      </c>
      <c r="F77" s="59">
        <f>SUM(F66:F76)</f>
        <v>0</v>
      </c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  <row r="1009" spans="1:25" ht="13.5" customHeight="1" x14ac:dyDescent="0.3">
      <c r="A1009" s="1"/>
      <c r="B1009" s="1"/>
      <c r="C1009" s="1"/>
      <c r="D1009" s="1"/>
      <c r="E1009" s="1"/>
      <c r="F1009" s="1"/>
      <c r="G1009" s="1"/>
      <c r="H1009" s="1"/>
      <c r="I1009" s="1"/>
      <c r="J1009" s="1"/>
      <c r="K1009" s="1"/>
      <c r="L1009" s="1"/>
      <c r="M1009" s="1"/>
      <c r="N1009" s="1"/>
      <c r="O1009" s="1"/>
      <c r="P1009" s="1"/>
      <c r="Q1009" s="1"/>
      <c r="R1009" s="1"/>
      <c r="S1009" s="1"/>
      <c r="T1009" s="1"/>
      <c r="U1009" s="1"/>
      <c r="V1009" s="1"/>
      <c r="W1009" s="1"/>
      <c r="X1009" s="1"/>
      <c r="Y1009" s="1"/>
    </row>
    <row r="1010" spans="1:25" ht="13.5" customHeight="1" x14ac:dyDescent="0.3">
      <c r="A1010" s="1"/>
      <c r="B1010" s="1"/>
      <c r="C1010" s="1"/>
      <c r="D1010" s="1"/>
      <c r="E1010" s="1"/>
      <c r="F1010" s="1"/>
      <c r="G1010" s="1"/>
      <c r="H1010" s="1"/>
      <c r="I1010" s="1"/>
      <c r="J1010" s="1"/>
      <c r="K1010" s="1"/>
      <c r="L1010" s="1"/>
      <c r="M1010" s="1"/>
      <c r="N1010" s="1"/>
      <c r="O1010" s="1"/>
      <c r="P1010" s="1"/>
      <c r="Q1010" s="1"/>
      <c r="R1010" s="1"/>
      <c r="S1010" s="1"/>
      <c r="T1010" s="1"/>
      <c r="U1010" s="1"/>
      <c r="V1010" s="1"/>
      <c r="W1010" s="1"/>
      <c r="X1010" s="1"/>
      <c r="Y1010" s="1"/>
    </row>
    <row r="1011" spans="1:25" ht="13.5" customHeight="1" x14ac:dyDescent="0.3">
      <c r="A1011" s="1"/>
      <c r="B1011" s="1"/>
      <c r="C1011" s="1"/>
      <c r="D1011" s="1"/>
      <c r="E1011" s="1"/>
      <c r="F1011" s="1"/>
      <c r="G1011" s="1"/>
      <c r="H1011" s="1"/>
      <c r="I1011" s="1"/>
      <c r="J1011" s="1"/>
      <c r="K1011" s="1"/>
      <c r="L1011" s="1"/>
      <c r="M1011" s="1"/>
      <c r="N1011" s="1"/>
      <c r="O1011" s="1"/>
      <c r="P1011" s="1"/>
      <c r="Q1011" s="1"/>
      <c r="R1011" s="1"/>
      <c r="S1011" s="1"/>
      <c r="T1011" s="1"/>
      <c r="U1011" s="1"/>
      <c r="V1011" s="1"/>
      <c r="W1011" s="1"/>
      <c r="X1011" s="1"/>
      <c r="Y1011" s="1"/>
    </row>
    <row r="1012" spans="1:25" ht="13.5" customHeight="1" x14ac:dyDescent="0.3">
      <c r="A1012" s="1"/>
      <c r="B1012" s="1"/>
      <c r="C1012" s="1"/>
      <c r="D1012" s="1"/>
      <c r="E1012" s="1"/>
      <c r="F1012" s="1"/>
      <c r="G1012" s="1"/>
      <c r="H1012" s="1"/>
      <c r="I1012" s="1"/>
      <c r="J1012" s="1"/>
      <c r="K1012" s="1"/>
      <c r="L1012" s="1"/>
      <c r="M1012" s="1"/>
      <c r="N1012" s="1"/>
      <c r="O1012" s="1"/>
      <c r="P1012" s="1"/>
      <c r="Q1012" s="1"/>
      <c r="R1012" s="1"/>
      <c r="S1012" s="1"/>
      <c r="T1012" s="1"/>
      <c r="U1012" s="1"/>
      <c r="V1012" s="1"/>
      <c r="W1012" s="1"/>
      <c r="X1012" s="1"/>
      <c r="Y1012" s="1"/>
    </row>
    <row r="1013" spans="1:25" ht="13.5" customHeight="1" x14ac:dyDescent="0.3">
      <c r="A1013" s="1"/>
      <c r="B1013" s="1"/>
      <c r="C1013" s="1"/>
      <c r="D1013" s="1"/>
      <c r="E1013" s="1"/>
      <c r="F1013" s="1"/>
      <c r="G1013" s="1"/>
      <c r="H1013" s="1"/>
      <c r="I1013" s="1"/>
      <c r="J1013" s="1"/>
      <c r="K1013" s="1"/>
      <c r="L1013" s="1"/>
      <c r="M1013" s="1"/>
      <c r="N1013" s="1"/>
      <c r="O1013" s="1"/>
      <c r="P1013" s="1"/>
      <c r="Q1013" s="1"/>
      <c r="R1013" s="1"/>
      <c r="S1013" s="1"/>
      <c r="T1013" s="1"/>
      <c r="U1013" s="1"/>
      <c r="V1013" s="1"/>
      <c r="W1013" s="1"/>
      <c r="X1013" s="1"/>
      <c r="Y1013" s="1"/>
    </row>
    <row r="1014" spans="1:25" ht="13.5" customHeight="1" x14ac:dyDescent="0.3">
      <c r="A1014" s="1"/>
      <c r="B1014" s="1"/>
      <c r="C1014" s="1"/>
      <c r="D1014" s="1"/>
      <c r="E1014" s="1"/>
      <c r="F1014" s="1"/>
      <c r="G1014" s="1"/>
      <c r="H1014" s="1"/>
      <c r="I1014" s="1"/>
      <c r="J1014" s="1"/>
      <c r="K1014" s="1"/>
      <c r="L1014" s="1"/>
      <c r="M1014" s="1"/>
      <c r="N1014" s="1"/>
      <c r="O1014" s="1"/>
      <c r="P1014" s="1"/>
      <c r="Q1014" s="1"/>
      <c r="R1014" s="1"/>
      <c r="S1014" s="1"/>
      <c r="T1014" s="1"/>
      <c r="U1014" s="1"/>
      <c r="V1014" s="1"/>
      <c r="W1014" s="1"/>
      <c r="X1014" s="1"/>
      <c r="Y1014" s="1"/>
    </row>
  </sheetData>
  <sheetProtection password="C2E9" sheet="1" objects="1" scenarios="1" formatColumns="0" formatRows="0" sort="0" autoFilter="0"/>
  <mergeCells count="12">
    <mergeCell ref="B56:F56"/>
    <mergeCell ref="B49:F49"/>
    <mergeCell ref="B12:F12"/>
    <mergeCell ref="B13:F13"/>
    <mergeCell ref="B14:F14"/>
    <mergeCell ref="B15:F15"/>
    <mergeCell ref="B18:F18"/>
    <mergeCell ref="B22:F22"/>
    <mergeCell ref="B33:F33"/>
    <mergeCell ref="B28:F28"/>
    <mergeCell ref="B44:F44"/>
    <mergeCell ref="B51:F51"/>
  </mergeCells>
  <dataValidations count="1">
    <dataValidation type="decimal" operator="greaterThanOrEqual" allowBlank="1" showInputMessage="1" showErrorMessage="1" sqref="E32 E45:E48 E50 E23:F27 E52:F55 E57:F62 D66:F75 E34:E43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64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44</xdr:row>
                    <xdr:rowOff>19050</xdr:rowOff>
                  </from>
                  <to>
                    <xdr:col>1</xdr:col>
                    <xdr:colOff>733425</xdr:colOff>
                    <xdr:row>44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44</xdr:row>
                    <xdr:rowOff>19050</xdr:rowOff>
                  </from>
                  <to>
                    <xdr:col>1</xdr:col>
                    <xdr:colOff>1504950</xdr:colOff>
                    <xdr:row>44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51</xdr:row>
                    <xdr:rowOff>19050</xdr:rowOff>
                  </from>
                  <to>
                    <xdr:col>1</xdr:col>
                    <xdr:colOff>733425</xdr:colOff>
                    <xdr:row>51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51</xdr:row>
                    <xdr:rowOff>19050</xdr:rowOff>
                  </from>
                  <to>
                    <xdr:col>1</xdr:col>
                    <xdr:colOff>1504950</xdr:colOff>
                    <xdr:row>51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56</xdr:row>
                    <xdr:rowOff>19050</xdr:rowOff>
                  </from>
                  <to>
                    <xdr:col>1</xdr:col>
                    <xdr:colOff>733425</xdr:colOff>
                    <xdr:row>56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56</xdr:row>
                    <xdr:rowOff>19050</xdr:rowOff>
                  </from>
                  <to>
                    <xdr:col>1</xdr:col>
                    <xdr:colOff>1504950</xdr:colOff>
                    <xdr:row>56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65</xdr:row>
                    <xdr:rowOff>19050</xdr:rowOff>
                  </from>
                  <to>
                    <xdr:col>1</xdr:col>
                    <xdr:colOff>733425</xdr:colOff>
                    <xdr:row>65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65</xdr:row>
                    <xdr:rowOff>19050</xdr:rowOff>
                  </from>
                  <to>
                    <xdr:col>1</xdr:col>
                    <xdr:colOff>1504950</xdr:colOff>
                    <xdr:row>65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workbookViewId="0">
      <selection activeCell="H15" sqref="H15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62</v>
      </c>
      <c r="C2" s="37"/>
      <c r="D2" s="60" t="str">
        <f>'1.1 Case data_general'!D2</f>
        <v>CAP III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67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63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0" t="s">
        <v>64</v>
      </c>
      <c r="C8" s="131"/>
      <c r="D8" s="131"/>
      <c r="E8" s="131"/>
      <c r="F8" s="131"/>
      <c r="G8" s="131"/>
      <c r="H8" s="131"/>
      <c r="I8" s="131"/>
      <c r="J8" s="132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65</v>
      </c>
      <c r="E10" s="54" t="s">
        <v>9</v>
      </c>
      <c r="F10" s="54" t="s">
        <v>3</v>
      </c>
      <c r="G10" s="54" t="s">
        <v>10</v>
      </c>
      <c r="H10" s="54" t="s">
        <v>66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183</v>
      </c>
      <c r="D11" s="27" t="s">
        <v>179</v>
      </c>
      <c r="E11" s="27" t="s">
        <v>195</v>
      </c>
      <c r="F11" s="55">
        <v>3</v>
      </c>
      <c r="G11" s="55">
        <v>4</v>
      </c>
      <c r="H11" s="55">
        <v>9</v>
      </c>
      <c r="I11" s="55">
        <v>60</v>
      </c>
      <c r="J11" s="55">
        <f>H11*I11</f>
        <v>540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196</v>
      </c>
      <c r="D12" s="27" t="s">
        <v>197</v>
      </c>
      <c r="E12" s="27" t="s">
        <v>198</v>
      </c>
      <c r="F12" s="55">
        <v>3</v>
      </c>
      <c r="G12" s="55">
        <v>4</v>
      </c>
      <c r="H12" s="55">
        <v>9</v>
      </c>
      <c r="I12" s="55">
        <v>40</v>
      </c>
      <c r="J12" s="55">
        <f t="shared" ref="J12:J18" si="0">H12*I12</f>
        <v>360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199</v>
      </c>
      <c r="D13" s="27" t="s">
        <v>170</v>
      </c>
      <c r="E13" s="27" t="s">
        <v>184</v>
      </c>
      <c r="F13" s="55">
        <v>1</v>
      </c>
      <c r="G13" s="55">
        <v>3</v>
      </c>
      <c r="H13" s="55">
        <v>3</v>
      </c>
      <c r="I13" s="55">
        <v>60</v>
      </c>
      <c r="J13" s="55">
        <f t="shared" si="0"/>
        <v>180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200</v>
      </c>
      <c r="D14" s="27" t="s">
        <v>170</v>
      </c>
      <c r="E14" s="27" t="s">
        <v>201</v>
      </c>
      <c r="F14" s="55">
        <v>1</v>
      </c>
      <c r="G14" s="55">
        <v>1</v>
      </c>
      <c r="H14" s="55">
        <v>2</v>
      </c>
      <c r="I14" s="55">
        <v>5</v>
      </c>
      <c r="J14" s="55">
        <f t="shared" si="0"/>
        <v>10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 t="s">
        <v>202</v>
      </c>
      <c r="D15" s="27" t="s">
        <v>180</v>
      </c>
      <c r="E15" s="27"/>
      <c r="F15" s="55">
        <v>1</v>
      </c>
      <c r="G15" s="55">
        <v>1</v>
      </c>
      <c r="H15" s="55">
        <v>1</v>
      </c>
      <c r="I15" s="55">
        <v>50</v>
      </c>
      <c r="J15" s="55">
        <f t="shared" si="0"/>
        <v>50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 t="s">
        <v>203</v>
      </c>
      <c r="D16" s="27" t="s">
        <v>173</v>
      </c>
      <c r="E16" s="27" t="s">
        <v>174</v>
      </c>
      <c r="F16" s="55">
        <v>2</v>
      </c>
      <c r="G16" s="55">
        <v>3</v>
      </c>
      <c r="H16" s="55">
        <v>5</v>
      </c>
      <c r="I16" s="55">
        <v>100</v>
      </c>
      <c r="J16" s="55">
        <f t="shared" si="0"/>
        <v>500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/>
      <c r="D17" s="27"/>
      <c r="E17" s="27"/>
      <c r="F17" s="55"/>
      <c r="G17" s="55"/>
      <c r="H17" s="55"/>
      <c r="I17" s="55"/>
      <c r="J17" s="55">
        <f t="shared" si="0"/>
        <v>0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/>
      <c r="D18" s="27"/>
      <c r="E18" s="27"/>
      <c r="F18" s="55"/>
      <c r="G18" s="55"/>
      <c r="H18" s="55"/>
      <c r="I18" s="55"/>
      <c r="J18" s="55">
        <f t="shared" si="0"/>
        <v>0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/>
      <c r="D19" s="27"/>
      <c r="E19" s="27"/>
      <c r="F19" s="55"/>
      <c r="G19" s="55"/>
      <c r="H19" s="55"/>
      <c r="I19" s="55"/>
      <c r="J19" s="55"/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/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/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/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/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/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/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/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10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2"/>
  <sheetViews>
    <sheetView workbookViewId="0">
      <selection activeCell="E25" sqref="E25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2.28515625" style="35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68</v>
      </c>
      <c r="C2" s="36"/>
      <c r="D2" s="62" t="str">
        <f>'1.1 Case data_general'!D2</f>
        <v>CAP III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73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75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74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3" t="s">
        <v>23</v>
      </c>
      <c r="C7" s="134"/>
      <c r="D7" s="134"/>
      <c r="E7" s="134"/>
      <c r="F7" s="134"/>
      <c r="G7" s="135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39" t="s">
        <v>24</v>
      </c>
      <c r="C8" s="140"/>
      <c r="D8" s="140"/>
      <c r="E8" s="140"/>
      <c r="F8" s="140"/>
      <c r="G8" s="141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39" t="s">
        <v>69</v>
      </c>
      <c r="C9" s="140"/>
      <c r="D9" s="140"/>
      <c r="E9" s="140"/>
      <c r="F9" s="140"/>
      <c r="G9" s="141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39" t="s">
        <v>25</v>
      </c>
      <c r="C10" s="140"/>
      <c r="D10" s="140"/>
      <c r="E10" s="140"/>
      <c r="F10" s="140"/>
      <c r="G10" s="141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39" t="s">
        <v>26</v>
      </c>
      <c r="C11" s="140"/>
      <c r="D11" s="140"/>
      <c r="E11" s="140"/>
      <c r="F11" s="140"/>
      <c r="G11" s="141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2" t="s">
        <v>27</v>
      </c>
      <c r="C12" s="143"/>
      <c r="D12" s="143"/>
      <c r="E12" s="143"/>
      <c r="F12" s="143"/>
      <c r="G12" s="144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71</v>
      </c>
      <c r="D14" s="66" t="s">
        <v>70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6" t="s">
        <v>72</v>
      </c>
      <c r="C15" s="137"/>
      <c r="D15" s="137"/>
      <c r="E15" s="137"/>
      <c r="F15" s="137"/>
      <c r="G15" s="138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171</v>
      </c>
      <c r="D16" s="70" t="s">
        <v>172</v>
      </c>
      <c r="E16" s="55">
        <v>5</v>
      </c>
      <c r="F16" s="55">
        <v>10</v>
      </c>
      <c r="G16" s="55">
        <f>E16*F16</f>
        <v>50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185</v>
      </c>
      <c r="D17" s="70" t="s">
        <v>172</v>
      </c>
      <c r="E17" s="55">
        <v>2</v>
      </c>
      <c r="F17" s="55">
        <v>10</v>
      </c>
      <c r="G17" s="55">
        <f t="shared" ref="G17:G20" si="0">E17*F17</f>
        <v>20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 t="s">
        <v>175</v>
      </c>
      <c r="D18" s="70" t="s">
        <v>172</v>
      </c>
      <c r="E18" s="55">
        <v>1</v>
      </c>
      <c r="F18" s="55">
        <v>100</v>
      </c>
      <c r="G18" s="55">
        <f t="shared" si="0"/>
        <v>100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 t="s">
        <v>176</v>
      </c>
      <c r="D19" s="70" t="s">
        <v>172</v>
      </c>
      <c r="E19" s="55">
        <v>1</v>
      </c>
      <c r="F19" s="55">
        <v>40</v>
      </c>
      <c r="G19" s="55">
        <f t="shared" si="0"/>
        <v>40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 t="s">
        <v>177</v>
      </c>
      <c r="D20" s="70" t="s">
        <v>172</v>
      </c>
      <c r="E20" s="55">
        <v>1</v>
      </c>
      <c r="F20" s="55">
        <v>40</v>
      </c>
      <c r="G20" s="55">
        <f t="shared" si="0"/>
        <v>40</v>
      </c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/>
      <c r="D21" s="70"/>
      <c r="E21" s="55"/>
      <c r="F21" s="55"/>
      <c r="G21" s="55"/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/>
      <c r="D22" s="70"/>
      <c r="E22" s="55"/>
      <c r="F22" s="55"/>
      <c r="G22" s="55"/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6" t="s">
        <v>76</v>
      </c>
      <c r="C27" s="137"/>
      <c r="D27" s="137"/>
      <c r="E27" s="137"/>
      <c r="F27" s="137"/>
      <c r="G27" s="138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/>
      <c r="D28" s="70"/>
      <c r="E28" s="55"/>
      <c r="F28" s="55"/>
      <c r="G28" s="55"/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/>
      <c r="D29" s="70"/>
      <c r="E29" s="55"/>
      <c r="F29" s="55"/>
      <c r="G29" s="55"/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136" t="s">
        <v>29</v>
      </c>
      <c r="C38" s="137"/>
      <c r="D38" s="137"/>
      <c r="E38" s="137"/>
      <c r="F38" s="137"/>
      <c r="G38" s="138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2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3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4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5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6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7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8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9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10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A49" s="44"/>
      <c r="B49" s="39"/>
      <c r="C49" s="44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A50" s="44"/>
      <c r="B50" s="39"/>
      <c r="C50" s="44"/>
      <c r="D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5.75" customHeight="1" x14ac:dyDescent="0.25"/>
    <row r="52" spans="1:16" ht="15.75" customHeight="1" x14ac:dyDescent="0.25"/>
    <row r="53" spans="1:16" ht="15.75" customHeight="1" x14ac:dyDescent="0.25"/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</sheetData>
  <sheetProtection algorithmName="SHA-512" hashValue="88TuA2KXA+iCHA/4sMFw0n104zCMOA3wEV2twr6N4p023SGynUy2Z4yJPSMHN1zoTq3y3vHYRuuOv0dtOi6g+A==" saltValue="KXMytcUS7ZQlFyxTvIb3RQ==" spinCount="100000" sheet="1" objects="1" scenarios="1" formatColumns="0" formatRows="0" sort="0" autoFilter="0"/>
  <mergeCells count="9">
    <mergeCell ref="B7:G7"/>
    <mergeCell ref="B27:G27"/>
    <mergeCell ref="B38:G38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8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38</xdr:row>
                    <xdr:rowOff>28575</xdr:rowOff>
                  </from>
                  <to>
                    <xdr:col>1</xdr:col>
                    <xdr:colOff>771525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38</xdr:row>
                    <xdr:rowOff>28575</xdr:rowOff>
                  </from>
                  <to>
                    <xdr:col>1</xdr:col>
                    <xdr:colOff>1543050</xdr:colOff>
                    <xdr:row>38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opLeftCell="A8" workbookViewId="0">
      <selection activeCell="J14" sqref="J14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77</v>
      </c>
      <c r="C2" s="79"/>
      <c r="D2" s="62" t="str">
        <f>'1.1 Case data_general'!D2</f>
        <v>CAP III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81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79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80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78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5" t="s">
        <v>32</v>
      </c>
      <c r="E11" s="146"/>
      <c r="F11" s="146"/>
      <c r="G11" s="146"/>
      <c r="H11" s="146"/>
      <c r="I11" s="146"/>
      <c r="J11" s="146"/>
      <c r="K11" s="146"/>
      <c r="L11" s="146"/>
      <c r="M11" s="146"/>
      <c r="N11" s="147"/>
      <c r="P11" s="148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84</v>
      </c>
      <c r="J12" s="86" t="s">
        <v>82</v>
      </c>
      <c r="K12" s="85" t="s">
        <v>40</v>
      </c>
      <c r="L12" s="85" t="s">
        <v>83</v>
      </c>
      <c r="M12" s="90" t="s">
        <v>85</v>
      </c>
      <c r="N12" s="90" t="s">
        <v>86</v>
      </c>
      <c r="P12" s="149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41</v>
      </c>
      <c r="D13" s="55"/>
      <c r="E13" s="55">
        <v>30</v>
      </c>
      <c r="F13" s="55"/>
      <c r="G13" s="55">
        <v>332</v>
      </c>
      <c r="H13" s="55">
        <v>10</v>
      </c>
      <c r="I13" s="55"/>
      <c r="J13" s="55">
        <v>25</v>
      </c>
      <c r="K13" s="55"/>
      <c r="L13" s="55"/>
      <c r="M13" s="55"/>
      <c r="N13" s="55"/>
      <c r="P13" s="88">
        <f>SUM(D13:N13)</f>
        <v>397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/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42</v>
      </c>
      <c r="D30" s="88">
        <f t="shared" ref="D30:N30" si="1">SUM(D13:D22)</f>
        <v>0</v>
      </c>
      <c r="E30" s="88">
        <f t="shared" si="1"/>
        <v>30</v>
      </c>
      <c r="F30" s="88">
        <f t="shared" si="1"/>
        <v>0</v>
      </c>
      <c r="G30" s="88">
        <f t="shared" si="1"/>
        <v>332</v>
      </c>
      <c r="H30" s="88">
        <f t="shared" si="1"/>
        <v>10</v>
      </c>
      <c r="I30" s="88">
        <f t="shared" si="1"/>
        <v>0</v>
      </c>
      <c r="J30" s="88">
        <f t="shared" si="1"/>
        <v>25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397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156</v>
      </c>
      <c r="B2" s="93" t="s">
        <v>157</v>
      </c>
      <c r="C2" s="93" t="s">
        <v>158</v>
      </c>
      <c r="E2" s="93" t="s">
        <v>156</v>
      </c>
      <c r="F2" s="93" t="s">
        <v>157</v>
      </c>
      <c r="G2" s="93" t="s">
        <v>158</v>
      </c>
      <c r="H2"/>
      <c r="I2"/>
    </row>
    <row r="3" spans="1:9" ht="16.5" x14ac:dyDescent="0.3">
      <c r="A3" s="93" t="s">
        <v>162</v>
      </c>
      <c r="B3" s="94" t="s">
        <v>87</v>
      </c>
      <c r="C3" s="92" t="s">
        <v>88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162</v>
      </c>
      <c r="B4" s="94" t="s">
        <v>87</v>
      </c>
      <c r="C4" s="92" t="s">
        <v>89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162</v>
      </c>
      <c r="B5" s="94" t="s">
        <v>87</v>
      </c>
      <c r="C5" s="92" t="s">
        <v>90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162</v>
      </c>
      <c r="B6" s="94" t="s">
        <v>87</v>
      </c>
      <c r="C6" s="92" t="s">
        <v>91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162</v>
      </c>
      <c r="B7" s="94" t="s">
        <v>87</v>
      </c>
      <c r="C7" s="92" t="s">
        <v>92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162</v>
      </c>
      <c r="B8" s="94" t="s">
        <v>87</v>
      </c>
      <c r="C8" s="92" t="s">
        <v>93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162</v>
      </c>
      <c r="B9" s="94" t="s">
        <v>87</v>
      </c>
      <c r="C9" s="92" t="s">
        <v>94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162</v>
      </c>
      <c r="B10" s="94" t="s">
        <v>87</v>
      </c>
      <c r="C10" s="92" t="s">
        <v>95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162</v>
      </c>
      <c r="B11" s="94" t="s">
        <v>87</v>
      </c>
      <c r="C11" s="92" t="s">
        <v>96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162</v>
      </c>
      <c r="B12" s="94" t="s">
        <v>87</v>
      </c>
      <c r="C12" s="92" t="s">
        <v>97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162</v>
      </c>
      <c r="B13" s="94" t="s">
        <v>87</v>
      </c>
      <c r="C13" s="92" t="s">
        <v>98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162</v>
      </c>
      <c r="B14" s="94" t="s">
        <v>87</v>
      </c>
      <c r="C14" s="92" t="s">
        <v>99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162</v>
      </c>
      <c r="B15" s="94" t="s">
        <v>87</v>
      </c>
      <c r="C15" s="92" t="s">
        <v>100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162</v>
      </c>
      <c r="B16" s="94" t="s">
        <v>87</v>
      </c>
      <c r="C16" s="92" t="s">
        <v>101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162</v>
      </c>
      <c r="B17" s="94" t="s">
        <v>87</v>
      </c>
      <c r="C17" s="92" t="s">
        <v>102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162</v>
      </c>
      <c r="B18" s="94" t="s">
        <v>87</v>
      </c>
      <c r="C18" s="92" t="s">
        <v>103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162</v>
      </c>
      <c r="B19" s="94" t="s">
        <v>87</v>
      </c>
      <c r="C19" s="92" t="s">
        <v>104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162</v>
      </c>
      <c r="B20" s="94" t="s">
        <v>87</v>
      </c>
      <c r="C20" s="92" t="s">
        <v>105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162</v>
      </c>
      <c r="B21" s="94" t="s">
        <v>106</v>
      </c>
      <c r="C21" s="92" t="s">
        <v>107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162</v>
      </c>
      <c r="B22" s="94" t="s">
        <v>106</v>
      </c>
      <c r="C22" s="92" t="s">
        <v>108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162</v>
      </c>
      <c r="B23" s="94" t="s">
        <v>106</v>
      </c>
      <c r="C23" s="96" t="s">
        <v>109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162</v>
      </c>
      <c r="B24" s="94" t="s">
        <v>106</v>
      </c>
      <c r="C24" s="92" t="s">
        <v>110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162</v>
      </c>
      <c r="B25" s="94" t="s">
        <v>106</v>
      </c>
      <c r="C25" s="96" t="s">
        <v>111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162</v>
      </c>
      <c r="B26" s="94" t="s">
        <v>106</v>
      </c>
      <c r="C26" s="92" t="s">
        <v>112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162</v>
      </c>
      <c r="B27" s="94" t="s">
        <v>106</v>
      </c>
      <c r="C27" s="92" t="s">
        <v>113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162</v>
      </c>
      <c r="B28" s="94" t="s">
        <v>106</v>
      </c>
      <c r="C28" s="92" t="s">
        <v>114</v>
      </c>
      <c r="E28"/>
      <c r="F28" s="91"/>
      <c r="G28" s="91"/>
      <c r="H28"/>
      <c r="I28"/>
    </row>
    <row r="29" spans="1:9" ht="16.5" x14ac:dyDescent="0.3">
      <c r="A29" s="93" t="s">
        <v>162</v>
      </c>
      <c r="B29" s="94" t="s">
        <v>106</v>
      </c>
      <c r="C29" s="92" t="s">
        <v>115</v>
      </c>
      <c r="E29"/>
      <c r="F29" s="91"/>
      <c r="G29" s="91"/>
      <c r="H29"/>
      <c r="I29"/>
    </row>
    <row r="30" spans="1:9" ht="16.5" x14ac:dyDescent="0.3">
      <c r="A30" s="93" t="s">
        <v>162</v>
      </c>
      <c r="B30" s="94" t="s">
        <v>106</v>
      </c>
      <c r="C30" s="97" t="s">
        <v>116</v>
      </c>
      <c r="E30"/>
      <c r="F30" s="91"/>
      <c r="G30" s="91"/>
      <c r="H30"/>
      <c r="I30"/>
    </row>
    <row r="31" spans="1:9" ht="16.5" x14ac:dyDescent="0.3">
      <c r="A31" s="93" t="s">
        <v>162</v>
      </c>
      <c r="B31" s="94" t="s">
        <v>106</v>
      </c>
      <c r="C31" s="92" t="s">
        <v>117</v>
      </c>
      <c r="E31"/>
      <c r="F31" s="91"/>
      <c r="G31" s="91"/>
      <c r="H31"/>
      <c r="I31"/>
    </row>
    <row r="32" spans="1:9" ht="16.5" x14ac:dyDescent="0.3">
      <c r="A32" s="93" t="s">
        <v>162</v>
      </c>
      <c r="B32" s="94" t="s">
        <v>106</v>
      </c>
      <c r="C32" s="97" t="s">
        <v>118</v>
      </c>
      <c r="E32"/>
      <c r="F32" s="91"/>
      <c r="G32" s="91"/>
      <c r="H32"/>
      <c r="I32"/>
    </row>
    <row r="33" spans="1:9" ht="16.5" x14ac:dyDescent="0.3">
      <c r="A33" s="93" t="s">
        <v>162</v>
      </c>
      <c r="B33" s="94" t="s">
        <v>106</v>
      </c>
      <c r="C33" s="97" t="s">
        <v>119</v>
      </c>
      <c r="E33"/>
      <c r="F33" s="91"/>
      <c r="G33" s="91"/>
      <c r="H33"/>
      <c r="I33"/>
    </row>
    <row r="34" spans="1:9" ht="16.5" x14ac:dyDescent="0.3">
      <c r="A34" s="93" t="s">
        <v>162</v>
      </c>
      <c r="B34" s="94" t="s">
        <v>106</v>
      </c>
      <c r="C34" s="97" t="s">
        <v>120</v>
      </c>
      <c r="E34"/>
      <c r="F34" s="91"/>
      <c r="G34" s="91"/>
      <c r="H34"/>
      <c r="I34"/>
    </row>
    <row r="35" spans="1:9" ht="16.5" x14ac:dyDescent="0.3">
      <c r="A35" s="93" t="s">
        <v>162</v>
      </c>
      <c r="B35" s="94" t="s">
        <v>106</v>
      </c>
      <c r="C35" s="97" t="s">
        <v>121</v>
      </c>
      <c r="E35"/>
      <c r="F35" s="91"/>
      <c r="G35" s="91"/>
      <c r="H35"/>
      <c r="I35"/>
    </row>
    <row r="36" spans="1:9" ht="16.5" x14ac:dyDescent="0.3">
      <c r="A36" s="93" t="s">
        <v>162</v>
      </c>
      <c r="B36" s="94" t="s">
        <v>106</v>
      </c>
      <c r="C36" s="96" t="s">
        <v>122</v>
      </c>
      <c r="E36"/>
      <c r="F36" s="91"/>
      <c r="G36" s="91"/>
      <c r="H36"/>
      <c r="I36"/>
    </row>
    <row r="37" spans="1:9" ht="16.5" x14ac:dyDescent="0.3">
      <c r="A37" s="93" t="s">
        <v>162</v>
      </c>
      <c r="B37" s="94" t="s">
        <v>106</v>
      </c>
      <c r="C37" s="96" t="s">
        <v>123</v>
      </c>
      <c r="E37"/>
      <c r="F37" s="91"/>
      <c r="G37" s="91"/>
      <c r="H37"/>
      <c r="I37"/>
    </row>
    <row r="38" spans="1:9" ht="16.5" x14ac:dyDescent="0.3">
      <c r="A38" s="93" t="s">
        <v>162</v>
      </c>
      <c r="B38" s="94" t="s">
        <v>106</v>
      </c>
      <c r="C38" s="92" t="s">
        <v>105</v>
      </c>
      <c r="E38"/>
      <c r="F38" s="91"/>
      <c r="G38" s="91"/>
      <c r="H38"/>
      <c r="I38"/>
    </row>
    <row r="39" spans="1:9" ht="16.5" x14ac:dyDescent="0.3">
      <c r="A39" s="93" t="s">
        <v>162</v>
      </c>
      <c r="B39" s="94" t="s">
        <v>124</v>
      </c>
      <c r="C39" s="92" t="s">
        <v>125</v>
      </c>
      <c r="E39"/>
      <c r="F39" s="91"/>
      <c r="G39" s="91"/>
      <c r="H39"/>
      <c r="I39"/>
    </row>
    <row r="40" spans="1:9" ht="16.5" x14ac:dyDescent="0.3">
      <c r="A40" s="93" t="s">
        <v>162</v>
      </c>
      <c r="B40" s="94" t="s">
        <v>124</v>
      </c>
      <c r="C40" s="92" t="s">
        <v>126</v>
      </c>
      <c r="E40"/>
      <c r="F40" s="91"/>
      <c r="G40" s="91"/>
      <c r="H40"/>
      <c r="I40"/>
    </row>
    <row r="41" spans="1:9" ht="16.5" x14ac:dyDescent="0.3">
      <c r="A41" s="93" t="s">
        <v>162</v>
      </c>
      <c r="B41" s="94" t="s">
        <v>124</v>
      </c>
      <c r="C41" s="92" t="s">
        <v>127</v>
      </c>
      <c r="E41"/>
      <c r="F41" s="91"/>
      <c r="G41" s="91"/>
      <c r="H41"/>
      <c r="I41"/>
    </row>
    <row r="42" spans="1:9" ht="16.5" x14ac:dyDescent="0.3">
      <c r="A42" s="93" t="s">
        <v>162</v>
      </c>
      <c r="B42" s="94" t="s">
        <v>124</v>
      </c>
      <c r="C42" s="92" t="s">
        <v>128</v>
      </c>
      <c r="E42"/>
      <c r="F42" s="91"/>
      <c r="G42" s="91"/>
      <c r="H42"/>
      <c r="I42"/>
    </row>
    <row r="43" spans="1:9" ht="16.5" x14ac:dyDescent="0.3">
      <c r="A43" s="93" t="s">
        <v>162</v>
      </c>
      <c r="B43" s="94" t="s">
        <v>124</v>
      </c>
      <c r="C43" s="92" t="s">
        <v>129</v>
      </c>
      <c r="E43"/>
      <c r="F43" s="91"/>
      <c r="G43" s="91"/>
      <c r="H43"/>
      <c r="I43"/>
    </row>
    <row r="44" spans="1:9" ht="16.5" x14ac:dyDescent="0.3">
      <c r="A44" s="93" t="s">
        <v>162</v>
      </c>
      <c r="B44" s="94" t="s">
        <v>124</v>
      </c>
      <c r="C44" s="92" t="s">
        <v>130</v>
      </c>
      <c r="E44"/>
      <c r="F44" s="91"/>
      <c r="G44" s="91"/>
      <c r="H44"/>
      <c r="I44"/>
    </row>
    <row r="45" spans="1:9" ht="16.5" x14ac:dyDescent="0.3">
      <c r="A45" s="93" t="s">
        <v>162</v>
      </c>
      <c r="B45" s="94" t="s">
        <v>124</v>
      </c>
      <c r="C45" s="92" t="s">
        <v>131</v>
      </c>
      <c r="E45"/>
      <c r="F45" s="91"/>
      <c r="G45" s="91"/>
      <c r="H45"/>
      <c r="I45"/>
    </row>
    <row r="46" spans="1:9" ht="16.5" x14ac:dyDescent="0.3">
      <c r="A46" s="93" t="s">
        <v>162</v>
      </c>
      <c r="B46" s="94" t="s">
        <v>124</v>
      </c>
      <c r="C46" s="96" t="s">
        <v>132</v>
      </c>
      <c r="E46"/>
      <c r="F46" s="91"/>
      <c r="G46" s="91"/>
      <c r="H46"/>
      <c r="I46"/>
    </row>
    <row r="47" spans="1:9" ht="16.5" x14ac:dyDescent="0.3">
      <c r="A47" s="93" t="s">
        <v>162</v>
      </c>
      <c r="B47" s="94" t="s">
        <v>124</v>
      </c>
      <c r="C47" s="92" t="s">
        <v>133</v>
      </c>
      <c r="E47"/>
      <c r="F47" s="91"/>
      <c r="G47" s="91"/>
      <c r="H47"/>
      <c r="I47"/>
    </row>
    <row r="48" spans="1:9" ht="16.5" x14ac:dyDescent="0.3">
      <c r="A48" s="93" t="s">
        <v>162</v>
      </c>
      <c r="B48" s="94" t="s">
        <v>124</v>
      </c>
      <c r="C48" s="92" t="s">
        <v>134</v>
      </c>
      <c r="E48"/>
      <c r="F48" s="91"/>
      <c r="G48" s="91"/>
      <c r="H48"/>
      <c r="I48"/>
    </row>
    <row r="49" spans="1:9" ht="16.5" x14ac:dyDescent="0.3">
      <c r="A49" s="93" t="s">
        <v>162</v>
      </c>
      <c r="B49" s="94" t="s">
        <v>124</v>
      </c>
      <c r="C49" s="92" t="s">
        <v>135</v>
      </c>
      <c r="E49"/>
      <c r="F49" s="91"/>
      <c r="G49" s="91"/>
      <c r="H49"/>
      <c r="I49"/>
    </row>
    <row r="50" spans="1:9" ht="16.5" x14ac:dyDescent="0.3">
      <c r="A50" s="93" t="s">
        <v>162</v>
      </c>
      <c r="B50" s="94" t="s">
        <v>124</v>
      </c>
      <c r="C50" s="92" t="s">
        <v>136</v>
      </c>
      <c r="E50"/>
      <c r="F50" s="91"/>
      <c r="G50" s="91"/>
      <c r="H50"/>
      <c r="I50"/>
    </row>
    <row r="51" spans="1:9" ht="16.5" x14ac:dyDescent="0.3">
      <c r="A51" s="93" t="s">
        <v>162</v>
      </c>
      <c r="B51" s="94" t="s">
        <v>124</v>
      </c>
      <c r="C51" s="92" t="s">
        <v>137</v>
      </c>
      <c r="E51"/>
      <c r="F51" s="91"/>
      <c r="G51" s="91"/>
      <c r="H51"/>
      <c r="I51"/>
    </row>
    <row r="52" spans="1:9" ht="16.5" x14ac:dyDescent="0.3">
      <c r="A52" s="93" t="s">
        <v>162</v>
      </c>
      <c r="B52" s="94" t="s">
        <v>124</v>
      </c>
      <c r="C52" s="92" t="s">
        <v>138</v>
      </c>
      <c r="E52"/>
      <c r="F52" s="91"/>
      <c r="G52" s="91"/>
      <c r="H52"/>
      <c r="I52"/>
    </row>
    <row r="53" spans="1:9" ht="16.5" x14ac:dyDescent="0.3">
      <c r="A53" s="93" t="s">
        <v>162</v>
      </c>
      <c r="B53" s="94" t="s">
        <v>124</v>
      </c>
      <c r="C53" s="92" t="s">
        <v>139</v>
      </c>
      <c r="E53"/>
      <c r="F53" s="91"/>
      <c r="G53" s="91"/>
      <c r="H53"/>
      <c r="I53"/>
    </row>
    <row r="54" spans="1:9" ht="16.5" x14ac:dyDescent="0.3">
      <c r="A54" s="93" t="s">
        <v>162</v>
      </c>
      <c r="B54" s="94" t="s">
        <v>124</v>
      </c>
      <c r="C54" s="92" t="s">
        <v>140</v>
      </c>
      <c r="E54"/>
      <c r="F54" s="91"/>
      <c r="G54" s="91"/>
      <c r="H54"/>
      <c r="I54"/>
    </row>
    <row r="55" spans="1:9" ht="16.5" x14ac:dyDescent="0.3">
      <c r="A55" s="93" t="s">
        <v>162</v>
      </c>
      <c r="B55" s="94" t="s">
        <v>124</v>
      </c>
      <c r="C55" s="92" t="s">
        <v>141</v>
      </c>
      <c r="E55"/>
      <c r="F55" s="91"/>
      <c r="G55" s="91"/>
      <c r="H55"/>
      <c r="I55"/>
    </row>
    <row r="56" spans="1:9" ht="16.5" x14ac:dyDescent="0.3">
      <c r="A56" s="93" t="s">
        <v>162</v>
      </c>
      <c r="B56" s="94" t="s">
        <v>124</v>
      </c>
      <c r="C56" s="92" t="s">
        <v>142</v>
      </c>
      <c r="E56"/>
      <c r="F56" s="91"/>
      <c r="G56" s="91"/>
      <c r="H56"/>
      <c r="I56"/>
    </row>
    <row r="57" spans="1:9" ht="16.5" x14ac:dyDescent="0.3">
      <c r="A57" s="93" t="s">
        <v>163</v>
      </c>
      <c r="B57" s="98" t="s">
        <v>87</v>
      </c>
      <c r="C57" s="97" t="s">
        <v>88</v>
      </c>
      <c r="E57"/>
      <c r="F57" s="91"/>
      <c r="G57" s="91"/>
      <c r="H57"/>
      <c r="I57"/>
    </row>
    <row r="58" spans="1:9" ht="16.5" x14ac:dyDescent="0.3">
      <c r="A58" s="93" t="s">
        <v>163</v>
      </c>
      <c r="B58" s="98" t="s">
        <v>87</v>
      </c>
      <c r="C58" s="92" t="s">
        <v>143</v>
      </c>
      <c r="E58"/>
      <c r="F58" s="91"/>
      <c r="G58" s="91"/>
      <c r="H58"/>
      <c r="I58"/>
    </row>
    <row r="59" spans="1:9" ht="16.5" x14ac:dyDescent="0.3">
      <c r="A59" s="93" t="s">
        <v>163</v>
      </c>
      <c r="B59" s="98" t="s">
        <v>87</v>
      </c>
      <c r="C59" s="97" t="s">
        <v>90</v>
      </c>
      <c r="E59"/>
      <c r="F59" s="91"/>
      <c r="G59" s="91"/>
      <c r="H59"/>
      <c r="I59"/>
    </row>
    <row r="60" spans="1:9" ht="16.5" x14ac:dyDescent="0.3">
      <c r="A60" s="93" t="s">
        <v>163</v>
      </c>
      <c r="B60" s="98" t="s">
        <v>87</v>
      </c>
      <c r="C60" s="97" t="s">
        <v>91</v>
      </c>
      <c r="E60"/>
      <c r="F60" s="91"/>
      <c r="G60" s="91"/>
      <c r="H60"/>
      <c r="I60"/>
    </row>
    <row r="61" spans="1:9" ht="16.5" x14ac:dyDescent="0.3">
      <c r="A61" s="93" t="s">
        <v>163</v>
      </c>
      <c r="B61" s="98" t="s">
        <v>87</v>
      </c>
      <c r="C61" s="97" t="s">
        <v>92</v>
      </c>
      <c r="E61"/>
      <c r="F61" s="91"/>
      <c r="G61" s="91"/>
      <c r="H61"/>
      <c r="I61"/>
    </row>
    <row r="62" spans="1:9" ht="16.5" x14ac:dyDescent="0.3">
      <c r="A62" s="93" t="s">
        <v>163</v>
      </c>
      <c r="B62" s="98" t="s">
        <v>87</v>
      </c>
      <c r="C62" s="97" t="s">
        <v>93</v>
      </c>
      <c r="E62"/>
      <c r="F62" s="91"/>
      <c r="G62" s="91"/>
      <c r="H62"/>
      <c r="I62"/>
    </row>
    <row r="63" spans="1:9" ht="16.5" x14ac:dyDescent="0.3">
      <c r="A63" s="93" t="s">
        <v>163</v>
      </c>
      <c r="B63" s="98" t="s">
        <v>87</v>
      </c>
      <c r="C63" s="97" t="s">
        <v>94</v>
      </c>
      <c r="E63"/>
      <c r="F63" s="91"/>
      <c r="G63" s="91"/>
      <c r="H63"/>
      <c r="I63"/>
    </row>
    <row r="64" spans="1:9" ht="16.5" x14ac:dyDescent="0.3">
      <c r="A64" s="93" t="s">
        <v>163</v>
      </c>
      <c r="B64" s="98" t="s">
        <v>87</v>
      </c>
      <c r="C64" s="92" t="s">
        <v>144</v>
      </c>
      <c r="E64"/>
      <c r="F64" s="91"/>
      <c r="G64" s="91"/>
      <c r="H64"/>
      <c r="I64"/>
    </row>
    <row r="65" spans="1:9" ht="16.5" x14ac:dyDescent="0.3">
      <c r="A65" s="93" t="s">
        <v>163</v>
      </c>
      <c r="B65" s="98" t="s">
        <v>87</v>
      </c>
      <c r="C65" s="97" t="s">
        <v>96</v>
      </c>
      <c r="E65"/>
      <c r="F65" s="91"/>
      <c r="G65" s="91"/>
      <c r="H65"/>
      <c r="I65"/>
    </row>
    <row r="66" spans="1:9" ht="16.5" x14ac:dyDescent="0.3">
      <c r="A66" s="93" t="s">
        <v>163</v>
      </c>
      <c r="B66" s="98" t="s">
        <v>87</v>
      </c>
      <c r="C66" s="97" t="s">
        <v>97</v>
      </c>
      <c r="E66"/>
      <c r="F66" s="91"/>
      <c r="G66" s="91"/>
      <c r="H66"/>
      <c r="I66"/>
    </row>
    <row r="67" spans="1:9" ht="16.5" x14ac:dyDescent="0.3">
      <c r="A67" s="93" t="s">
        <v>163</v>
      </c>
      <c r="B67" s="98" t="s">
        <v>87</v>
      </c>
      <c r="C67" s="97" t="s">
        <v>98</v>
      </c>
      <c r="E67"/>
      <c r="F67" s="91"/>
      <c r="G67" s="91"/>
      <c r="H67"/>
      <c r="I67"/>
    </row>
    <row r="68" spans="1:9" ht="16.5" x14ac:dyDescent="0.3">
      <c r="A68" s="93" t="s">
        <v>163</v>
      </c>
      <c r="B68" s="98" t="s">
        <v>87</v>
      </c>
      <c r="C68" s="97" t="s">
        <v>99</v>
      </c>
      <c r="E68"/>
      <c r="F68" s="91"/>
      <c r="G68" s="91"/>
      <c r="H68"/>
      <c r="I68"/>
    </row>
    <row r="69" spans="1:9" ht="16.5" x14ac:dyDescent="0.3">
      <c r="A69" s="93" t="s">
        <v>163</v>
      </c>
      <c r="B69" s="98" t="s">
        <v>87</v>
      </c>
      <c r="C69" s="97" t="s">
        <v>100</v>
      </c>
      <c r="E69"/>
      <c r="F69" s="91"/>
      <c r="G69" s="91"/>
      <c r="H69"/>
      <c r="I69"/>
    </row>
    <row r="70" spans="1:9" ht="16.5" x14ac:dyDescent="0.3">
      <c r="A70" s="93" t="s">
        <v>163</v>
      </c>
      <c r="B70" s="98" t="s">
        <v>87</v>
      </c>
      <c r="C70" s="97" t="s">
        <v>101</v>
      </c>
      <c r="E70"/>
      <c r="F70" s="91"/>
      <c r="G70" s="91"/>
      <c r="H70"/>
      <c r="I70"/>
    </row>
    <row r="71" spans="1:9" ht="16.5" x14ac:dyDescent="0.3">
      <c r="A71" s="93" t="s">
        <v>163</v>
      </c>
      <c r="B71" s="98" t="s">
        <v>87</v>
      </c>
      <c r="C71" s="97" t="s">
        <v>102</v>
      </c>
      <c r="E71"/>
      <c r="F71" s="91"/>
      <c r="G71" s="91"/>
      <c r="H71"/>
      <c r="I71"/>
    </row>
    <row r="72" spans="1:9" ht="16.5" x14ac:dyDescent="0.3">
      <c r="A72" s="93" t="s">
        <v>163</v>
      </c>
      <c r="B72" s="98" t="s">
        <v>87</v>
      </c>
      <c r="C72" s="97" t="s">
        <v>103</v>
      </c>
      <c r="E72"/>
      <c r="F72" s="91"/>
      <c r="G72" s="91"/>
      <c r="H72"/>
      <c r="I72"/>
    </row>
    <row r="73" spans="1:9" ht="16.5" x14ac:dyDescent="0.3">
      <c r="A73" s="93" t="s">
        <v>163</v>
      </c>
      <c r="B73" s="98" t="s">
        <v>87</v>
      </c>
      <c r="C73" s="92" t="s">
        <v>145</v>
      </c>
      <c r="E73"/>
      <c r="F73" s="91"/>
      <c r="G73" s="91"/>
      <c r="H73"/>
      <c r="I73"/>
    </row>
    <row r="74" spans="1:9" ht="16.5" x14ac:dyDescent="0.3">
      <c r="A74" s="93" t="s">
        <v>163</v>
      </c>
      <c r="B74" s="98" t="s">
        <v>87</v>
      </c>
      <c r="C74" s="92" t="s">
        <v>105</v>
      </c>
      <c r="E74"/>
      <c r="F74" s="91"/>
      <c r="G74" s="91"/>
      <c r="H74"/>
      <c r="I74"/>
    </row>
    <row r="75" spans="1:9" ht="16.5" x14ac:dyDescent="0.3">
      <c r="A75" s="93" t="s">
        <v>163</v>
      </c>
      <c r="B75" s="94" t="s">
        <v>106</v>
      </c>
      <c r="C75" s="92" t="s">
        <v>107</v>
      </c>
      <c r="E75"/>
      <c r="F75" s="91"/>
      <c r="G75" s="91"/>
      <c r="H75"/>
      <c r="I75"/>
    </row>
    <row r="76" spans="1:9" ht="16.5" x14ac:dyDescent="0.3">
      <c r="A76" s="93" t="s">
        <v>163</v>
      </c>
      <c r="B76" s="94" t="s">
        <v>106</v>
      </c>
      <c r="C76" s="92" t="s">
        <v>108</v>
      </c>
      <c r="E76"/>
      <c r="F76" s="91"/>
      <c r="G76" s="91"/>
      <c r="H76"/>
      <c r="I76"/>
    </row>
    <row r="77" spans="1:9" ht="16.5" x14ac:dyDescent="0.3">
      <c r="A77" s="93" t="s">
        <v>163</v>
      </c>
      <c r="B77" s="94" t="s">
        <v>106</v>
      </c>
      <c r="C77" s="92" t="s">
        <v>109</v>
      </c>
      <c r="E77"/>
      <c r="F77" s="91"/>
      <c r="G77" s="91"/>
      <c r="H77"/>
      <c r="I77"/>
    </row>
    <row r="78" spans="1:9" ht="16.5" x14ac:dyDescent="0.3">
      <c r="A78" s="93" t="s">
        <v>163</v>
      </c>
      <c r="B78" s="94" t="s">
        <v>106</v>
      </c>
      <c r="C78" s="92" t="s">
        <v>110</v>
      </c>
      <c r="E78"/>
      <c r="F78" s="91"/>
      <c r="G78" s="91"/>
      <c r="H78"/>
      <c r="I78"/>
    </row>
    <row r="79" spans="1:9" ht="16.5" x14ac:dyDescent="0.3">
      <c r="A79" s="93" t="s">
        <v>163</v>
      </c>
      <c r="B79" s="94" t="s">
        <v>106</v>
      </c>
      <c r="C79" s="92" t="s">
        <v>111</v>
      </c>
      <c r="E79"/>
      <c r="F79" s="91"/>
      <c r="G79" s="91"/>
      <c r="H79"/>
      <c r="I79"/>
    </row>
    <row r="80" spans="1:9" ht="16.5" x14ac:dyDescent="0.3">
      <c r="A80" s="93" t="s">
        <v>163</v>
      </c>
      <c r="B80" s="94" t="s">
        <v>106</v>
      </c>
      <c r="C80" s="92" t="s">
        <v>112</v>
      </c>
      <c r="E80"/>
      <c r="F80" s="91"/>
      <c r="G80" s="91"/>
      <c r="H80"/>
      <c r="I80"/>
    </row>
    <row r="81" spans="1:9" ht="16.5" x14ac:dyDescent="0.3">
      <c r="A81" s="93" t="s">
        <v>163</v>
      </c>
      <c r="B81" s="94" t="s">
        <v>106</v>
      </c>
      <c r="C81" s="92" t="s">
        <v>113</v>
      </c>
      <c r="E81"/>
      <c r="F81" s="91"/>
      <c r="G81" s="91"/>
      <c r="H81"/>
      <c r="I81"/>
    </row>
    <row r="82" spans="1:9" ht="16.5" x14ac:dyDescent="0.3">
      <c r="A82" s="93" t="s">
        <v>163</v>
      </c>
      <c r="B82" s="94" t="s">
        <v>106</v>
      </c>
      <c r="C82" s="92" t="s">
        <v>146</v>
      </c>
      <c r="E82"/>
      <c r="F82" s="91"/>
      <c r="G82" s="91"/>
      <c r="H82"/>
      <c r="I82"/>
    </row>
    <row r="83" spans="1:9" ht="16.5" x14ac:dyDescent="0.3">
      <c r="A83" s="93" t="s">
        <v>163</v>
      </c>
      <c r="B83" s="94" t="s">
        <v>106</v>
      </c>
      <c r="C83" s="92" t="s">
        <v>114</v>
      </c>
      <c r="E83"/>
      <c r="F83" s="91"/>
      <c r="G83" s="91"/>
      <c r="H83"/>
      <c r="I83"/>
    </row>
    <row r="84" spans="1:9" ht="16.5" x14ac:dyDescent="0.3">
      <c r="A84" s="93" t="s">
        <v>163</v>
      </c>
      <c r="B84" s="94" t="s">
        <v>106</v>
      </c>
      <c r="C84" s="92" t="s">
        <v>115</v>
      </c>
      <c r="E84"/>
      <c r="F84" s="91"/>
      <c r="G84" s="91"/>
      <c r="H84"/>
      <c r="I84"/>
    </row>
    <row r="85" spans="1:9" ht="16.5" x14ac:dyDescent="0.3">
      <c r="A85" s="93" t="s">
        <v>163</v>
      </c>
      <c r="B85" s="94" t="s">
        <v>106</v>
      </c>
      <c r="C85" s="97" t="s">
        <v>116</v>
      </c>
      <c r="E85"/>
      <c r="F85" s="91"/>
      <c r="G85" s="91"/>
      <c r="H85"/>
      <c r="I85"/>
    </row>
    <row r="86" spans="1:9" ht="16.5" x14ac:dyDescent="0.3">
      <c r="A86" s="93" t="s">
        <v>163</v>
      </c>
      <c r="B86" s="94" t="s">
        <v>106</v>
      </c>
      <c r="C86" s="92" t="s">
        <v>117</v>
      </c>
      <c r="E86"/>
      <c r="F86" s="91"/>
      <c r="G86" s="91"/>
      <c r="H86"/>
      <c r="I86"/>
    </row>
    <row r="87" spans="1:9" ht="16.5" x14ac:dyDescent="0.3">
      <c r="A87" s="93" t="s">
        <v>163</v>
      </c>
      <c r="B87" s="94" t="s">
        <v>106</v>
      </c>
      <c r="C87" s="97" t="s">
        <v>118</v>
      </c>
      <c r="E87"/>
      <c r="F87" s="91"/>
      <c r="G87" s="91"/>
      <c r="H87"/>
      <c r="I87"/>
    </row>
    <row r="88" spans="1:9" ht="16.5" x14ac:dyDescent="0.3">
      <c r="A88" s="93" t="s">
        <v>163</v>
      </c>
      <c r="B88" s="94" t="s">
        <v>106</v>
      </c>
      <c r="C88" s="97" t="s">
        <v>119</v>
      </c>
      <c r="E88"/>
      <c r="F88" s="91"/>
      <c r="G88" s="91"/>
      <c r="H88"/>
      <c r="I88"/>
    </row>
    <row r="89" spans="1:9" ht="16.5" x14ac:dyDescent="0.3">
      <c r="A89" s="93" t="s">
        <v>163</v>
      </c>
      <c r="B89" s="94" t="s">
        <v>106</v>
      </c>
      <c r="C89" s="97" t="s">
        <v>120</v>
      </c>
      <c r="E89"/>
      <c r="F89" s="91"/>
      <c r="G89" s="91"/>
      <c r="H89"/>
      <c r="I89"/>
    </row>
    <row r="90" spans="1:9" ht="16.5" x14ac:dyDescent="0.3">
      <c r="A90" s="93" t="s">
        <v>163</v>
      </c>
      <c r="B90" s="94" t="s">
        <v>106</v>
      </c>
      <c r="C90" s="97" t="s">
        <v>121</v>
      </c>
      <c r="E90"/>
      <c r="F90" s="91"/>
      <c r="G90" s="91"/>
      <c r="H90"/>
      <c r="I90"/>
    </row>
    <row r="91" spans="1:9" ht="16.5" x14ac:dyDescent="0.3">
      <c r="A91" s="93" t="s">
        <v>163</v>
      </c>
      <c r="B91" s="94" t="s">
        <v>106</v>
      </c>
      <c r="C91" s="97" t="s">
        <v>122</v>
      </c>
      <c r="E91"/>
      <c r="F91" s="91"/>
      <c r="G91" s="91"/>
      <c r="H91"/>
      <c r="I91"/>
    </row>
    <row r="92" spans="1:9" ht="16.5" x14ac:dyDescent="0.3">
      <c r="A92" s="93" t="s">
        <v>163</v>
      </c>
      <c r="B92" s="94" t="s">
        <v>106</v>
      </c>
      <c r="C92" s="92" t="s">
        <v>123</v>
      </c>
      <c r="E92"/>
      <c r="F92" s="91"/>
      <c r="G92" s="91"/>
      <c r="H92"/>
      <c r="I92"/>
    </row>
    <row r="93" spans="1:9" ht="16.5" x14ac:dyDescent="0.3">
      <c r="A93" s="93" t="s">
        <v>163</v>
      </c>
      <c r="B93" s="94" t="s">
        <v>106</v>
      </c>
      <c r="C93" s="96" t="s">
        <v>105</v>
      </c>
      <c r="E93"/>
      <c r="F93" s="91"/>
      <c r="G93" s="91"/>
      <c r="H93"/>
      <c r="I93"/>
    </row>
    <row r="94" spans="1:9" ht="16.5" x14ac:dyDescent="0.3">
      <c r="A94" s="93" t="s">
        <v>163</v>
      </c>
      <c r="B94" s="98" t="s">
        <v>124</v>
      </c>
      <c r="C94" s="97" t="s">
        <v>147</v>
      </c>
      <c r="E94"/>
      <c r="F94" s="91"/>
      <c r="G94" s="91"/>
      <c r="H94"/>
      <c r="I94"/>
    </row>
    <row r="95" spans="1:9" ht="16.5" x14ac:dyDescent="0.3">
      <c r="A95" s="93" t="s">
        <v>163</v>
      </c>
      <c r="B95" s="98" t="s">
        <v>124</v>
      </c>
      <c r="C95" s="92" t="s">
        <v>126</v>
      </c>
      <c r="E95"/>
      <c r="F95" s="91"/>
      <c r="G95" s="91"/>
      <c r="H95"/>
      <c r="I95"/>
    </row>
    <row r="96" spans="1:9" ht="16.5" x14ac:dyDescent="0.3">
      <c r="A96" s="93" t="s">
        <v>163</v>
      </c>
      <c r="B96" s="98" t="s">
        <v>124</v>
      </c>
      <c r="C96" s="92" t="s">
        <v>127</v>
      </c>
      <c r="E96"/>
      <c r="F96" s="91"/>
      <c r="G96" s="91"/>
      <c r="H96"/>
      <c r="I96"/>
    </row>
    <row r="97" spans="1:9" ht="16.5" x14ac:dyDescent="0.3">
      <c r="A97" s="93" t="s">
        <v>163</v>
      </c>
      <c r="B97" s="98" t="s">
        <v>124</v>
      </c>
      <c r="C97" s="92" t="s">
        <v>128</v>
      </c>
      <c r="E97"/>
      <c r="F97" s="91"/>
      <c r="G97" s="91"/>
      <c r="H97"/>
      <c r="I97"/>
    </row>
    <row r="98" spans="1:9" ht="16.5" x14ac:dyDescent="0.3">
      <c r="A98" s="93" t="s">
        <v>163</v>
      </c>
      <c r="B98" s="98" t="s">
        <v>124</v>
      </c>
      <c r="C98" s="92" t="s">
        <v>129</v>
      </c>
      <c r="E98"/>
      <c r="F98" s="91"/>
      <c r="G98" s="91"/>
      <c r="H98"/>
      <c r="I98"/>
    </row>
    <row r="99" spans="1:9" ht="16.5" x14ac:dyDescent="0.3">
      <c r="A99" s="93" t="s">
        <v>163</v>
      </c>
      <c r="B99" s="98" t="s">
        <v>124</v>
      </c>
      <c r="C99" s="92" t="s">
        <v>130</v>
      </c>
      <c r="E99"/>
      <c r="F99" s="91"/>
      <c r="G99" s="91"/>
      <c r="H99"/>
      <c r="I99"/>
    </row>
    <row r="100" spans="1:9" ht="16.5" x14ac:dyDescent="0.3">
      <c r="A100" s="93" t="s">
        <v>163</v>
      </c>
      <c r="B100" s="98" t="s">
        <v>124</v>
      </c>
      <c r="C100" s="92" t="s">
        <v>131</v>
      </c>
      <c r="E100"/>
      <c r="F100" s="91"/>
      <c r="G100" s="91"/>
      <c r="H100"/>
      <c r="I100"/>
    </row>
    <row r="101" spans="1:9" ht="16.5" x14ac:dyDescent="0.25">
      <c r="A101" s="93" t="s">
        <v>163</v>
      </c>
      <c r="B101" s="98" t="s">
        <v>124</v>
      </c>
      <c r="C101" s="99" t="s">
        <v>148</v>
      </c>
      <c r="E101"/>
      <c r="F101" s="91"/>
      <c r="G101" s="91"/>
      <c r="H101"/>
      <c r="I101"/>
    </row>
    <row r="102" spans="1:9" ht="16.5" x14ac:dyDescent="0.3">
      <c r="A102" s="93" t="s">
        <v>163</v>
      </c>
      <c r="B102" s="98" t="s">
        <v>124</v>
      </c>
      <c r="C102" s="92" t="s">
        <v>149</v>
      </c>
      <c r="E102"/>
      <c r="F102" s="91"/>
      <c r="G102" s="91"/>
      <c r="H102"/>
      <c r="I102"/>
    </row>
    <row r="103" spans="1:9" ht="16.5" x14ac:dyDescent="0.3">
      <c r="A103" s="93" t="s">
        <v>163</v>
      </c>
      <c r="B103" s="98" t="s">
        <v>124</v>
      </c>
      <c r="C103" s="97" t="s">
        <v>134</v>
      </c>
      <c r="E103"/>
      <c r="F103" s="91"/>
      <c r="G103" s="91"/>
      <c r="H103"/>
      <c r="I103"/>
    </row>
    <row r="104" spans="1:9" ht="16.5" x14ac:dyDescent="0.3">
      <c r="A104" s="93" t="s">
        <v>163</v>
      </c>
      <c r="B104" s="98" t="s">
        <v>124</v>
      </c>
      <c r="C104" s="97" t="s">
        <v>135</v>
      </c>
      <c r="E104"/>
      <c r="F104" s="91"/>
      <c r="G104" s="91"/>
      <c r="H104"/>
      <c r="I104"/>
    </row>
    <row r="105" spans="1:9" ht="16.5" x14ac:dyDescent="0.3">
      <c r="A105" s="93" t="s">
        <v>163</v>
      </c>
      <c r="B105" s="98" t="s">
        <v>124</v>
      </c>
      <c r="C105" s="92" t="s">
        <v>150</v>
      </c>
      <c r="E105"/>
      <c r="F105" s="91"/>
      <c r="G105" s="91"/>
      <c r="H105"/>
      <c r="I105"/>
    </row>
    <row r="106" spans="1:9" ht="16.5" x14ac:dyDescent="0.3">
      <c r="A106" s="93" t="s">
        <v>163</v>
      </c>
      <c r="B106" s="98" t="s">
        <v>124</v>
      </c>
      <c r="C106" s="97" t="s">
        <v>136</v>
      </c>
      <c r="E106"/>
      <c r="F106" s="91"/>
      <c r="G106" s="91"/>
      <c r="H106"/>
      <c r="I106"/>
    </row>
    <row r="107" spans="1:9" ht="16.5" x14ac:dyDescent="0.3">
      <c r="A107" s="93" t="s">
        <v>163</v>
      </c>
      <c r="B107" s="98" t="s">
        <v>124</v>
      </c>
      <c r="C107" s="92" t="s">
        <v>151</v>
      </c>
      <c r="E107"/>
      <c r="F107" s="91"/>
      <c r="G107" s="91"/>
      <c r="H107"/>
      <c r="I107"/>
    </row>
    <row r="108" spans="1:9" ht="16.5" x14ac:dyDescent="0.3">
      <c r="A108" s="93" t="s">
        <v>163</v>
      </c>
      <c r="B108" s="98" t="s">
        <v>124</v>
      </c>
      <c r="C108" s="97" t="s">
        <v>137</v>
      </c>
      <c r="E108"/>
      <c r="F108" s="91"/>
      <c r="G108" s="91"/>
      <c r="H108"/>
      <c r="I108"/>
    </row>
    <row r="109" spans="1:9" ht="16.5" x14ac:dyDescent="0.3">
      <c r="A109" s="93" t="s">
        <v>163</v>
      </c>
      <c r="B109" s="98" t="s">
        <v>124</v>
      </c>
      <c r="C109" s="97" t="s">
        <v>138</v>
      </c>
      <c r="E109"/>
      <c r="F109" s="91"/>
      <c r="G109" s="91"/>
      <c r="H109"/>
      <c r="I109"/>
    </row>
    <row r="110" spans="1:9" ht="16.5" x14ac:dyDescent="0.3">
      <c r="A110" s="93" t="s">
        <v>163</v>
      </c>
      <c r="B110" s="98" t="s">
        <v>124</v>
      </c>
      <c r="C110" s="97" t="s">
        <v>139</v>
      </c>
      <c r="E110"/>
      <c r="F110" s="91"/>
      <c r="G110" s="91"/>
      <c r="H110"/>
      <c r="I110"/>
    </row>
    <row r="111" spans="1:9" ht="16.5" x14ac:dyDescent="0.3">
      <c r="A111" s="93" t="s">
        <v>163</v>
      </c>
      <c r="B111" s="98" t="s">
        <v>124</v>
      </c>
      <c r="C111" s="97" t="s">
        <v>140</v>
      </c>
      <c r="E111"/>
      <c r="F111" s="91"/>
      <c r="G111" s="91"/>
      <c r="H111"/>
      <c r="I111"/>
    </row>
    <row r="112" spans="1:9" ht="16.5" x14ac:dyDescent="0.3">
      <c r="A112" s="93" t="s">
        <v>163</v>
      </c>
      <c r="B112" s="98" t="s">
        <v>124</v>
      </c>
      <c r="C112" s="97" t="s">
        <v>141</v>
      </c>
      <c r="E112"/>
      <c r="F112" s="91"/>
      <c r="G112" s="91"/>
      <c r="H112"/>
      <c r="I112"/>
    </row>
    <row r="113" spans="1:9" ht="16.5" x14ac:dyDescent="0.3">
      <c r="A113" s="93" t="s">
        <v>163</v>
      </c>
      <c r="B113" s="98" t="s">
        <v>124</v>
      </c>
      <c r="C113" s="97" t="s">
        <v>142</v>
      </c>
      <c r="E113"/>
      <c r="F113" s="91"/>
      <c r="G113" s="91"/>
      <c r="H113"/>
      <c r="I113"/>
    </row>
    <row r="114" spans="1:9" ht="16.5" x14ac:dyDescent="0.3">
      <c r="A114" s="93" t="s">
        <v>163</v>
      </c>
      <c r="B114" s="98" t="s">
        <v>124</v>
      </c>
      <c r="C114" s="97" t="s">
        <v>152</v>
      </c>
      <c r="E114"/>
      <c r="F114" s="91"/>
      <c r="G114" s="91"/>
      <c r="H114"/>
      <c r="I114"/>
    </row>
    <row r="115" spans="1:9" ht="16.5" x14ac:dyDescent="0.3">
      <c r="A115" s="93" t="s">
        <v>163</v>
      </c>
      <c r="B115" s="98" t="s">
        <v>124</v>
      </c>
      <c r="C115" s="97" t="s">
        <v>153</v>
      </c>
      <c r="E115"/>
      <c r="F115" s="91"/>
      <c r="G115" s="91"/>
      <c r="H115"/>
      <c r="I115"/>
    </row>
    <row r="116" spans="1:9" ht="16.5" x14ac:dyDescent="0.3">
      <c r="A116" s="93" t="s">
        <v>163</v>
      </c>
      <c r="B116" s="98" t="s">
        <v>124</v>
      </c>
      <c r="C116" s="97" t="s">
        <v>154</v>
      </c>
      <c r="E116"/>
      <c r="F116" s="91"/>
      <c r="G116" s="91"/>
      <c r="H116"/>
      <c r="I116"/>
    </row>
    <row r="117" spans="1:9" ht="16.5" x14ac:dyDescent="0.3">
      <c r="A117" s="93" t="s">
        <v>163</v>
      </c>
      <c r="B117" s="98" t="s">
        <v>124</v>
      </c>
      <c r="C117" s="97" t="s">
        <v>155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OPD Station</cp:lastModifiedBy>
  <dcterms:created xsi:type="dcterms:W3CDTF">2018-05-11T08:46:15Z</dcterms:created>
  <dcterms:modified xsi:type="dcterms:W3CDTF">2018-05-31T13:36:28Z</dcterms:modified>
</cp:coreProperties>
</file>