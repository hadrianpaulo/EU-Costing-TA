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1" i="2" l="1"/>
  <c r="J21" i="2"/>
  <c r="J20" i="2"/>
  <c r="J19" i="2"/>
  <c r="J18" i="2"/>
  <c r="J17" i="2"/>
  <c r="J16" i="2"/>
  <c r="J15" i="2"/>
  <c r="J14" i="2"/>
  <c r="J13" i="2"/>
  <c r="J12" i="2"/>
  <c r="G20" i="9"/>
  <c r="G19" i="9"/>
  <c r="G18" i="9"/>
  <c r="G17" i="9"/>
  <c r="G16" i="9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<sst xmlns="http://schemas.openxmlformats.org/spreadsheetml/2006/main" count="487" uniqueCount="194">
  <si>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</si>
  <si>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</si>
  <si>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</si>
  <si>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</si>
  <si>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</si>
  <si>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</si>
  <si>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</si>
  <si>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</si>
  <si>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</si>
  <si>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</si>
  <si>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</si>
  <si>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</si>
  <si>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</si>
  <si>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</si>
  <si>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</si>
  <si>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</si>
  <si>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</si>
  <si>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</si>
  <si>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</si>
  <si>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</si>
  <si>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</si>
  <si>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</si>
  <si>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</si>
  <si>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</si>
  <si>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</si>
  <si>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</si>
  <si>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</si>
  <si>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</si>
  <si>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</si>
  <si>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</si>
  <si>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</si>
  <si>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</si>
  <si>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</si>
  <si>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</si>
  <si>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</si>
  <si>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</si>
  <si>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</si>
  <si>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</si>
  <si>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</si>
  <si>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</si>
  <si>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</si>
  <si>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</si>
  <si>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</si>
  <si>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</si>
  <si>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</si>
  <si>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</si>
  <si>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</si>
  <si>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</si>
  <si>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</si>
  <si>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</si>
  <si>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</si>
  <si>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</si>
  <si>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</si>
  <si>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</si>
  <si>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</si>
  <si>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</si>
  <si>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</si>
  <si>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</si>
  <si>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</si>
  <si>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</si>
  <si>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</si>
  <si>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</si>
  <si>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</si>
  <si>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</si>
  <si>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</si>
  <si>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</si>
  <si>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</si>
  <si>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</si>
  <si>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</si>
  <si>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</si>
  <si>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</si>
  <si>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</si>
  <si>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</si>
  <si>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</si>
  <si>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</si>
  <si>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</si>
  <si>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</si>
  <si>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</si>
  <si>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</si>
  <si>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</si>
  <si>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</si>
  <si>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</si>
  <si>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</si>
  <si>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</si>
  <si>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</si>
  <si>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</si>
  <si>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</si>
  <si>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</si>
  <si>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</si>
  <si>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</si>
  <si>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</si>
  <si>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</si>
  <si>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</si>
  <si>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</si>
  <si>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</si>
  <si>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</si>
  <si>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</si>
  <si>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</si>
  <si>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</si>
  <si>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</si>
  <si>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</si>
  <si>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</si>
  <si>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</si>
  <si>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</si>
  <si>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</si>
  <si>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</si>
  <si>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</si>
  <si>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</si>
  <si>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</si>
  <si>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</si>
  <si>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</si>
  <si>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</si>
  <si>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</si>
  <si>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</si>
  <si>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</si>
  <si>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</si>
  <si>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</si>
  <si>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</si>
  <si>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</si>
  <si>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</si>
  <si>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</si>
  <si>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</si>
  <si>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</si>
  <si>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</si>
  <si>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</si>
  <si>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</si>
  <si>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</si>
  <si>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</si>
  <si>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</si>
  <si>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</si>
  <si>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</si>
  <si>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</si>
  <si>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</si>
  <si>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</si>
  <si>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</si>
  <si>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</si>
  <si>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</si>
  <si>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</si>
  <si>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</si>
  <si>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</si>
  <si>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</si>
  <si>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</si>
  <si>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</si>
  <si>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</si>
  <si>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</si>
  <si>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</si>
  <si>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</si>
  <si>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</si>
  <si>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</si>
  <si>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</si>
  <si>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</si>
  <si>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</si>
  <si>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</si>
  <si>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</si>
  <si>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</si>
  <si>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</si>
  <si>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</si>
  <si>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</si>
  <si>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</si>
  <si>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</si>
  <si>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</si>
  <si>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</si>
  <si>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</si>
  <si>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</si>
  <si>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</si>
  <si>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</si>
  <si>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</si>
  <si>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PCAP-C</t>
  </si>
  <si>
    <t>J18.92</t>
  </si>
  <si>
    <t>XRAY</t>
  </si>
  <si>
    <t>URINALYSIS</t>
  </si>
  <si>
    <t>CHEST PA</t>
  </si>
  <si>
    <t>CEFUROXIME</t>
  </si>
  <si>
    <t>HYDROCORTISONE</t>
  </si>
  <si>
    <t>SALBUTAMOL</t>
  </si>
  <si>
    <t>Visit in the ward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</si>
  <si>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</si>
  <si>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</si>
  <si>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</si>
  <si>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</si>
  <si>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</si>
  <si>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</si>
  <si>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</si>
  <si>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VIAL</t>
  </si>
  <si>
    <t>225MG</t>
  </si>
  <si>
    <t>30MG</t>
  </si>
  <si>
    <t>NEBULE</t>
  </si>
  <si>
    <t>2.5MG/2.5ML</t>
  </si>
  <si>
    <t>D5 0.3 NACL</t>
  </si>
  <si>
    <t>BOTTLE</t>
  </si>
  <si>
    <t>500CC</t>
  </si>
  <si>
    <t>D5 IMB</t>
  </si>
  <si>
    <t>DISTILLED WATER FOR INJECTION</t>
  </si>
  <si>
    <t>50CC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</si>
</sst>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E40" sqref="E4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3400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500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4270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PCAP-C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183</v>
      </c>
      <c r="E11" s="27" t="s">
        <v>184</v>
      </c>
      <c r="F11" s="55">
        <v>3</v>
      </c>
      <c r="G11" s="55">
        <v>6</v>
      </c>
      <c r="H11" s="55">
        <v>15</v>
      </c>
      <c r="I11" s="55">
        <v>60</v>
      </c>
      <c r="J11" s="55">
        <f>H11*I11</f>
        <v>900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183</v>
      </c>
      <c r="E12" s="27" t="s">
        <v>185</v>
      </c>
      <c r="F12" s="55">
        <v>4</v>
      </c>
      <c r="G12" s="55">
        <v>6</v>
      </c>
      <c r="H12" s="55">
        <v>20</v>
      </c>
      <c r="I12" s="55">
        <v>30</v>
      </c>
      <c r="J12" s="55">
        <f t="shared" ref="J12:J21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186</v>
      </c>
      <c r="E13" s="27" t="s">
        <v>187</v>
      </c>
      <c r="F13" s="55">
        <v>8</v>
      </c>
      <c r="G13" s="55">
        <v>6</v>
      </c>
      <c r="H13" s="55">
        <v>23</v>
      </c>
      <c r="I13" s="55">
        <v>20</v>
      </c>
      <c r="J13" s="55">
        <f t="shared" si="0"/>
        <v>460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189</v>
      </c>
      <c r="E14" s="27" t="s">
        <v>190</v>
      </c>
      <c r="F14" s="55">
        <v>1</v>
      </c>
      <c r="G14" s="55">
        <v>4</v>
      </c>
      <c r="H14" s="55">
        <v>4</v>
      </c>
      <c r="I14" s="55">
        <v>90</v>
      </c>
      <c r="J14" s="55">
        <f t="shared" si="0"/>
        <v>360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189</v>
      </c>
      <c r="E15" s="27" t="s">
        <v>190</v>
      </c>
      <c r="F15" s="55">
        <v>1</v>
      </c>
      <c r="G15" s="55">
        <v>1</v>
      </c>
      <c r="H15" s="55">
        <v>1</v>
      </c>
      <c r="I15" s="55">
        <v>90</v>
      </c>
      <c r="J15" s="55">
        <f t="shared" si="0"/>
        <v>90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189</v>
      </c>
      <c r="E16" s="27" t="s">
        <v>193</v>
      </c>
      <c r="F16" s="55">
        <v>1</v>
      </c>
      <c r="G16" s="55">
        <v>4</v>
      </c>
      <c r="H16" s="55">
        <v>4</v>
      </c>
      <c r="I16" s="55">
        <v>85</v>
      </c>
      <c r="J16" s="55">
        <f t="shared" si="0"/>
        <v>340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H7" sqref="H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PCAP-C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177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177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177</v>
      </c>
      <c r="E19" s="55">
        <v>35</v>
      </c>
      <c r="F19" s="55">
        <v>10</v>
      </c>
      <c r="G19" s="55">
        <f t="shared" si="0"/>
        <v>350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177</v>
      </c>
      <c r="E20" s="55">
        <v>13</v>
      </c>
      <c r="F20" s="55">
        <v>10</v>
      </c>
      <c r="G20" s="55">
        <f t="shared" si="0"/>
        <v>130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PCAP-C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175</v>
      </c>
      <c r="D13" s="55"/>
      <c r="E13" s="55">
        <f>10*5</f>
        <v>50</v>
      </c>
      <c r="F13" s="55"/>
      <c r="G13" s="55">
        <f>24*5*60/15</f>
        <v>480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555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2018-06-01T03:30:50Z</dcterms:modified>
</cp:coreProperties>
</file>