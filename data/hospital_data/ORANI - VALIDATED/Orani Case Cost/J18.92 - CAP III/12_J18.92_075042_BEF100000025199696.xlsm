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data_general'!$B$1:$F$75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G22" i="9" l="1"/>
  <c r="G21" i="9"/>
  <c r="J20" i="2"/>
  <c r="G17" i="9"/>
  <c r="G18" i="9"/>
  <c r="G19" i="9"/>
  <c r="G20" i="9"/>
  <c r="G16" i="9"/>
  <c r="J12" i="2"/>
  <c r="J13" i="2"/>
  <c r="J14" i="2"/>
  <c r="J15" i="2"/>
  <c r="J16" i="2"/>
  <c r="J17" i="2"/>
  <c r="J18" i="2"/>
  <c r="J19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5" i="1"/>
  <c r="E75" i="1"/>
  <c r="D75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<sst xmlns="http://schemas.openxmlformats.org/spreadsheetml/2006/main" count="509" uniqueCount="209">
  <si>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</si>
  <si>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</si>
  <si>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</si>
  <si>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</si>
  <si>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</si>
  <si>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</si>
  <si>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</si>
  <si>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</si>
  <si>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</si>
  <si>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</si>
  <si>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</si>
  <si>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</si>
  <si>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</si>
  <si>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</si>
  <si>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</si>
  <si>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</si>
  <si>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</si>
  <si>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</si>
  <si>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</si>
  <si>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</si>
  <si>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</si>
  <si>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</si>
  <si>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</si>
  <si>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</si>
  <si>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</si>
  <si>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</si>
  <si>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</si>
  <si>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</si>
  <si>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</si>
  <si>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</si>
  <si>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</si>
  <si>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</si>
  <si>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</si>
  <si>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</si>
  <si>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</si>
  <si>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</si>
  <si>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</si>
  <si>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</si>
  <si>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</si>
  <si>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</si>
  <si>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</si>
  <si>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</si>
  <si>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</si>
  <si>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</si>
  <si>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</si>
  <si>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</si>
  <si>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</si>
  <si>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</si>
  <si>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</si>
  <si>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</si>
  <si>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</si>
  <si>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</si>
  <si>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</si>
  <si>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</si>
  <si>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</si>
  <si>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</si>
  <si>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</si>
  <si>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</si>
  <si>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</si>
  <si>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</si>
  <si>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</si>
  <si>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</si>
  <si>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</si>
  <si>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</si>
  <si>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</si>
  <si>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</si>
  <si>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</si>
  <si>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</si>
  <si>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</si>
  <si>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</si>
  <si>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</si>
  <si>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</si>
  <si>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</si>
  <si>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</si>
  <si>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</si>
  <si>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</si>
  <si>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</si>
  <si>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</si>
  <si>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</si>
  <si>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</si>
  <si>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</si>
  <si>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</si>
  <si>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</si>
  <si>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</si>
  <si>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</si>
  <si>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</si>
  <si>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</si>
  <si>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</si>
  <si>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</si>
  <si>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</si>
  <si>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</si>
  <si>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</si>
  <si>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</si>
  <si>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</si>
  <si>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</si>
  <si>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</si>
  <si>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</si>
  <si>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</si>
  <si>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</si>
  <si>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</si>
  <si>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</si>
  <si>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</si>
  <si>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</si>
  <si>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</si>
  <si>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</si>
  <si>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</si>
  <si>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</si>
  <si>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</si>
  <si>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</si>
  <si>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</si>
  <si>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</si>
  <si>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</si>
  <si>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</si>
  <si>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</si>
  <si>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</si>
  <si>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</si>
  <si>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</si>
  <si>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</si>
  <si>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</si>
  <si>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</si>
  <si>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</si>
  <si>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</si>
  <si>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</si>
  <si>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</si>
  <si>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</si>
  <si>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</si>
  <si>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</si>
  <si>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</si>
  <si>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</si>
  <si>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</si>
  <si>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</si>
  <si>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</si>
  <si>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</si>
  <si>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</si>
  <si>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</si>
  <si>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</si>
  <si>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</si>
  <si>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</si>
  <si>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</si>
  <si>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</si>
  <si>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</si>
  <si>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</si>
  <si>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</si>
  <si>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</si>
  <si>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</si>
  <si>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</si>
  <si>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</si>
  <si>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</si>
  <si>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</si>
  <si>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</si>
  <si>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</si>
  <si>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</si>
  <si>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</si>
  <si>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</si>
  <si>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</si>
  <si>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</si>
  <si>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</si>
  <si>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</si>
  <si>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</si>
  <si>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</si>
  <si>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</si>
  <si>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</si>
  <si>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</si>
  <si>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</si>
  <si>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</si>
  <si>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N/A</t>
  </si>
  <si>
    <t>CBC PLATELET COUNT</t>
  </si>
  <si>
    <t>MEDICINES</t>
  </si>
  <si>
    <t>LABORATORY</t>
  </si>
  <si>
    <t>ROOM AND BOARD</t>
  </si>
  <si>
    <t>J18.92</t>
  </si>
  <si>
    <t>NAKCL</t>
  </si>
  <si>
    <t>GLUCOSE</t>
  </si>
  <si>
    <t>BUN</t>
  </si>
  <si>
    <t>CREATININE</t>
  </si>
  <si>
    <t>CHOLESTEROL</t>
  </si>
  <si>
    <t>URIC ACID</t>
  </si>
  <si>
    <t>TRIGLYCERIDES</t>
  </si>
  <si>
    <t>OMEPRAZOLE</t>
  </si>
  <si>
    <t>VIAL</t>
  </si>
  <si>
    <t>40MG</t>
  </si>
  <si>
    <t>CEFUROXIME</t>
  </si>
  <si>
    <t>750MG</t>
  </si>
  <si>
    <t>TABLET</t>
  </si>
  <si>
    <t>ABOCATH GAUGE 20</t>
  </si>
  <si>
    <t>MACRO SET</t>
  </si>
  <si>
    <t>PLASTER 1/2</t>
  </si>
  <si>
    <t>SYRINGE 3CC</t>
  </si>
  <si>
    <t>PC</t>
  </si>
  <si>
    <t>PLAIN NS SOLUTION</t>
  </si>
  <si>
    <t>BOTTLE</t>
  </si>
  <si>
    <t>FUROSOMIDE</t>
  </si>
  <si>
    <t>AMPULE</t>
  </si>
  <si>
    <t>KETOANALOGUE</t>
  </si>
  <si>
    <t>600MG</t>
  </si>
  <si>
    <t>VIDAGLIPTIN</t>
  </si>
  <si>
    <t>50MG</t>
  </si>
  <si>
    <t>FUROSEMIDE</t>
  </si>
  <si>
    <t>20MG</t>
  </si>
  <si>
    <t>MULTIVITAMINS</t>
  </si>
  <si>
    <t>CAPSULE</t>
  </si>
  <si>
    <t>250MG</t>
  </si>
  <si>
    <t>1LITER</t>
  </si>
  <si>
    <t>SYRINGE 5CC</t>
  </si>
  <si>
    <t>LOSARTAN</t>
  </si>
  <si>
    <t>DISTILLED WATER FOR INJECTION</t>
  </si>
  <si>
    <t>50CC</t>
  </si>
  <si>
    <t>HEPLOCK</t>
  </si>
  <si>
    <t>SOLUSET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</si>
</sst>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42</xdr:row>
          <xdr:rowOff>19050</xdr:rowOff>
        </xdr:from>
        <xdr:to>
          <xdr:col>1</xdr:col>
          <xdr:colOff>733425</xdr:colOff>
          <xdr:row>42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42</xdr:row>
          <xdr:rowOff>19050</xdr:rowOff>
        </xdr:from>
        <xdr:to>
          <xdr:col>1</xdr:col>
          <xdr:colOff>1504950</xdr:colOff>
          <xdr:row>42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49</xdr:row>
          <xdr:rowOff>19050</xdr:rowOff>
        </xdr:from>
        <xdr:to>
          <xdr:col>1</xdr:col>
          <xdr:colOff>733425</xdr:colOff>
          <xdr:row>49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49</xdr:row>
          <xdr:rowOff>19050</xdr:rowOff>
        </xdr:from>
        <xdr:to>
          <xdr:col>1</xdr:col>
          <xdr:colOff>1504950</xdr:colOff>
          <xdr:row>49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54</xdr:row>
          <xdr:rowOff>19050</xdr:rowOff>
        </xdr:from>
        <xdr:to>
          <xdr:col>1</xdr:col>
          <xdr:colOff>733425</xdr:colOff>
          <xdr:row>54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54</xdr:row>
          <xdr:rowOff>19050</xdr:rowOff>
        </xdr:from>
        <xdr:to>
          <xdr:col>1</xdr:col>
          <xdr:colOff>1504950</xdr:colOff>
          <xdr:row>54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63</xdr:row>
          <xdr:rowOff>19050</xdr:rowOff>
        </xdr:from>
        <xdr:to>
          <xdr:col>1</xdr:col>
          <xdr:colOff>733425</xdr:colOff>
          <xdr:row>63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63</xdr:row>
          <xdr:rowOff>19050</xdr:rowOff>
        </xdr:from>
        <xdr:to>
          <xdr:col>1</xdr:col>
          <xdr:colOff>1504950</xdr:colOff>
          <xdr:row>63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2"/>
  <sheetViews>
    <sheetView tabSelected="1" topLeftCell="A57" zoomScaleNormal="100" workbookViewId="0">
      <selection activeCell="D67" sqref="D67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164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8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170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165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138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4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171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166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172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173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 t="s">
        <v>174</v>
      </c>
      <c r="D38" s="23"/>
      <c r="E38" s="55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 t="s">
        <v>175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 t="s">
        <v>176</v>
      </c>
      <c r="D40" s="23"/>
      <c r="E40" s="55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8</v>
      </c>
      <c r="C41" s="27" t="s">
        <v>177</v>
      </c>
      <c r="D41" s="23"/>
      <c r="E41" s="55">
        <v>1</v>
      </c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8" t="s">
        <v>19</v>
      </c>
      <c r="C42" s="119"/>
      <c r="D42" s="116"/>
      <c r="E42" s="119"/>
      <c r="F42" s="117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1</v>
      </c>
      <c r="C43" s="27" t="s">
        <v>165</v>
      </c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2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3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4</v>
      </c>
      <c r="C46" s="27"/>
      <c r="D46" s="23"/>
      <c r="E46" s="55"/>
      <c r="F46" s="24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8" t="s">
        <v>44</v>
      </c>
      <c r="C47" s="119"/>
      <c r="D47" s="116"/>
      <c r="E47" s="119"/>
      <c r="F47" s="11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14" t="s">
        <v>45</v>
      </c>
      <c r="C48" s="13"/>
      <c r="D48" s="13"/>
      <c r="E48" s="16"/>
      <c r="F48" s="13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thickBot="1" x14ac:dyDescent="0.35">
      <c r="A49" s="1"/>
      <c r="B49" s="115" t="s">
        <v>53</v>
      </c>
      <c r="C49" s="116"/>
      <c r="D49" s="116"/>
      <c r="E49" s="116"/>
      <c r="F49" s="11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1</v>
      </c>
      <c r="C50" s="31" t="s">
        <v>165</v>
      </c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30">
        <v>2</v>
      </c>
      <c r="C51" s="31"/>
      <c r="D51" s="32"/>
      <c r="E51" s="57"/>
      <c r="F51" s="57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3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20"/>
      <c r="B53" s="26">
        <v>4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thickBot="1" x14ac:dyDescent="0.35">
      <c r="A54" s="1"/>
      <c r="B54" s="115" t="s">
        <v>20</v>
      </c>
      <c r="C54" s="116"/>
      <c r="D54" s="116"/>
      <c r="E54" s="116"/>
      <c r="F54" s="117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1</v>
      </c>
      <c r="C55" s="27" t="s">
        <v>165</v>
      </c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2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3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4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5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6">
        <v>6</v>
      </c>
      <c r="C60" s="27"/>
      <c r="D60" s="28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25"/>
      <c r="C61" s="25"/>
      <c r="D61" s="25"/>
      <c r="E61" s="25"/>
      <c r="F61" s="2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57.75" customHeight="1" thickBot="1" x14ac:dyDescent="0.35">
      <c r="A63" s="1"/>
      <c r="B63" s="17" t="s">
        <v>55</v>
      </c>
      <c r="C63" s="17" t="s">
        <v>51</v>
      </c>
      <c r="D63" s="17" t="s">
        <v>56</v>
      </c>
      <c r="E63" s="18" t="s">
        <v>57</v>
      </c>
      <c r="F63" s="19" t="s">
        <v>21</v>
      </c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2">
        <v>1</v>
      </c>
      <c r="C64" s="27" t="s">
        <v>167</v>
      </c>
      <c r="D64" s="55">
        <v>3460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2</v>
      </c>
      <c r="C65" s="27" t="s">
        <v>168</v>
      </c>
      <c r="D65" s="55">
        <v>1180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3</v>
      </c>
      <c r="C66" s="27" t="s">
        <v>169</v>
      </c>
      <c r="D66" s="55">
        <v>400</v>
      </c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4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5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6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7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8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9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10</v>
      </c>
      <c r="C73" s="27"/>
      <c r="D73" s="55"/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4.9000000000000004" customHeight="1" thickBot="1" x14ac:dyDescent="0.35">
      <c r="A74" s="1"/>
      <c r="B74" s="1"/>
      <c r="C74" s="1"/>
      <c r="D74" s="58"/>
      <c r="E74" s="58"/>
      <c r="F74" s="58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thickTop="1" x14ac:dyDescent="0.3">
      <c r="A75" s="1"/>
      <c r="B75" s="11"/>
      <c r="C75" s="4" t="s">
        <v>22</v>
      </c>
      <c r="D75" s="59">
        <f>SUM(D64:D74)</f>
        <v>5040</v>
      </c>
      <c r="E75" s="59">
        <f>SUM(E64:E74)</f>
        <v>0</v>
      </c>
      <c r="F75" s="59">
        <f>SUM(F64:F74)</f>
        <v>0</v>
      </c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</sheetData>
  <sheetProtection password="C2E9" sheet="1" objects="1" scenarios="1" formatColumns="0" formatRows="0" sort="0" autoFilter="0"/>
  <mergeCells count="12">
    <mergeCell ref="B54:F54"/>
    <mergeCell ref="B47:F47"/>
    <mergeCell ref="B12:F12"/>
    <mergeCell ref="B13:F13"/>
    <mergeCell ref="B14:F14"/>
    <mergeCell ref="B15:F15"/>
    <mergeCell ref="B18:F18"/>
    <mergeCell ref="B22:F22"/>
    <mergeCell ref="B33:F33"/>
    <mergeCell ref="B28:F28"/>
    <mergeCell ref="B42:F42"/>
    <mergeCell ref="B49:F49"/>
  </mergeCells>
  <dataValidations count="1">
    <dataValidation type="decimal" operator="greaterThanOrEqual" allowBlank="1" showInputMessage="1" showErrorMessage="1" sqref="E32 E43:E46 E48 E23:F27 E50:F53 E55:F60 D64:F73 E34:E36 E37:E41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2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42</xdr:row>
                    <xdr:rowOff>19050</xdr:rowOff>
                  </from>
                  <to>
                    <xdr:col>1</xdr:col>
                    <xdr:colOff>733425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42</xdr:row>
                    <xdr:rowOff>19050</xdr:rowOff>
                  </from>
                  <to>
                    <xdr:col>1</xdr:col>
                    <xdr:colOff>1504950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49</xdr:row>
                    <xdr:rowOff>19050</xdr:rowOff>
                  </from>
                  <to>
                    <xdr:col>1</xdr:col>
                    <xdr:colOff>733425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49</xdr:row>
                    <xdr:rowOff>19050</xdr:rowOff>
                  </from>
                  <to>
                    <xdr:col>1</xdr:col>
                    <xdr:colOff>1504950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54</xdr:row>
                    <xdr:rowOff>19050</xdr:rowOff>
                  </from>
                  <to>
                    <xdr:col>1</xdr:col>
                    <xdr:colOff>733425</xdr:colOff>
                    <xdr:row>54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54</xdr:row>
                    <xdr:rowOff>19050</xdr:rowOff>
                  </from>
                  <to>
                    <xdr:col>1</xdr:col>
                    <xdr:colOff>1504950</xdr:colOff>
                    <xdr:row>54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63</xdr:row>
                    <xdr:rowOff>19050</xdr:rowOff>
                  </from>
                  <to>
                    <xdr:col>1</xdr:col>
                    <xdr:colOff>733425</xdr:colOff>
                    <xdr:row>63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63</xdr:row>
                    <xdr:rowOff>19050</xdr:rowOff>
                  </from>
                  <to>
                    <xdr:col>1</xdr:col>
                    <xdr:colOff>1504950</xdr:colOff>
                    <xdr:row>63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zoomScale="80" zoomScaleNormal="80" workbookViewId="0">
      <selection activeCell="J11" sqref="J11:J20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181</v>
      </c>
      <c r="D11" s="27" t="s">
        <v>179</v>
      </c>
      <c r="E11" s="27" t="s">
        <v>182</v>
      </c>
      <c r="F11" s="55">
        <v>3</v>
      </c>
      <c r="G11" s="55">
        <v>5</v>
      </c>
      <c r="H11" s="55">
        <v>12</v>
      </c>
      <c r="I11" s="55">
        <v>60</v>
      </c>
      <c r="J11" s="55">
        <f>H11*I11</f>
        <v>720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191</v>
      </c>
      <c r="D12" s="27" t="s">
        <v>192</v>
      </c>
      <c r="E12" s="27" t="s">
        <v>180</v>
      </c>
      <c r="F12" s="55">
        <v>3</v>
      </c>
      <c r="G12" s="55">
        <v>3</v>
      </c>
      <c r="H12" s="55">
        <v>8</v>
      </c>
      <c r="I12" s="55">
        <v>50</v>
      </c>
      <c r="J12" s="55">
        <f t="shared" ref="J12:J20" si="0">H12*I12</f>
        <v>400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193</v>
      </c>
      <c r="D13" s="27" t="s">
        <v>183</v>
      </c>
      <c r="E13" s="27" t="s">
        <v>194</v>
      </c>
      <c r="F13" s="55">
        <v>3</v>
      </c>
      <c r="G13" s="55">
        <v>1</v>
      </c>
      <c r="H13" s="55">
        <v>3</v>
      </c>
      <c r="I13" s="55">
        <v>65</v>
      </c>
      <c r="J13" s="55">
        <f t="shared" si="0"/>
        <v>195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195</v>
      </c>
      <c r="D14" s="27" t="s">
        <v>183</v>
      </c>
      <c r="E14" s="27" t="s">
        <v>196</v>
      </c>
      <c r="F14" s="55">
        <v>1</v>
      </c>
      <c r="G14" s="55">
        <v>1</v>
      </c>
      <c r="H14" s="55">
        <v>1</v>
      </c>
      <c r="I14" s="55">
        <v>50</v>
      </c>
      <c r="J14" s="55">
        <f t="shared" si="0"/>
        <v>50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197</v>
      </c>
      <c r="D15" s="27" t="s">
        <v>183</v>
      </c>
      <c r="E15" s="27" t="s">
        <v>180</v>
      </c>
      <c r="F15" s="55">
        <v>1</v>
      </c>
      <c r="G15" s="55">
        <v>2</v>
      </c>
      <c r="H15" s="55">
        <v>2</v>
      </c>
      <c r="I15" s="55">
        <v>15</v>
      </c>
      <c r="J15" s="55">
        <f t="shared" si="0"/>
        <v>30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178</v>
      </c>
      <c r="D16" s="27" t="s">
        <v>179</v>
      </c>
      <c r="E16" s="27" t="s">
        <v>198</v>
      </c>
      <c r="F16" s="55">
        <v>1</v>
      </c>
      <c r="G16" s="55">
        <v>2</v>
      </c>
      <c r="H16" s="55">
        <v>2</v>
      </c>
      <c r="I16" s="55">
        <v>200</v>
      </c>
      <c r="J16" s="55">
        <f t="shared" si="0"/>
        <v>400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199</v>
      </c>
      <c r="D17" s="27" t="s">
        <v>200</v>
      </c>
      <c r="E17" s="27" t="s">
        <v>201</v>
      </c>
      <c r="F17" s="55">
        <v>1</v>
      </c>
      <c r="G17" s="55">
        <v>1</v>
      </c>
      <c r="H17" s="55">
        <v>1</v>
      </c>
      <c r="I17" s="55">
        <v>50</v>
      </c>
      <c r="J17" s="55">
        <f t="shared" si="0"/>
        <v>50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189</v>
      </c>
      <c r="D18" s="27" t="s">
        <v>190</v>
      </c>
      <c r="E18" s="27" t="s">
        <v>202</v>
      </c>
      <c r="F18" s="55">
        <v>1</v>
      </c>
      <c r="G18" s="55">
        <v>1</v>
      </c>
      <c r="H18" s="55">
        <v>3</v>
      </c>
      <c r="I18" s="55">
        <v>100</v>
      </c>
      <c r="J18" s="55">
        <f t="shared" si="0"/>
        <v>300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204</v>
      </c>
      <c r="D19" s="27" t="s">
        <v>183</v>
      </c>
      <c r="E19" s="27" t="s">
        <v>196</v>
      </c>
      <c r="F19" s="55">
        <v>1</v>
      </c>
      <c r="G19" s="55">
        <v>4</v>
      </c>
      <c r="H19" s="55">
        <v>4</v>
      </c>
      <c r="I19" s="55">
        <v>10</v>
      </c>
      <c r="J19" s="55">
        <f t="shared" si="0"/>
        <v>40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 t="s">
        <v>205</v>
      </c>
      <c r="D20" s="27" t="s">
        <v>190</v>
      </c>
      <c r="E20" s="27" t="s">
        <v>206</v>
      </c>
      <c r="F20" s="55">
        <v>2</v>
      </c>
      <c r="G20" s="55">
        <v>1</v>
      </c>
      <c r="H20" s="55">
        <v>2</v>
      </c>
      <c r="I20" s="55">
        <v>85</v>
      </c>
      <c r="J20" s="55">
        <f t="shared" si="0"/>
        <v>170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C7" workbookViewId="0">
      <selection activeCell="E31" sqref="E31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184</v>
      </c>
      <c r="D16" s="70" t="s">
        <v>188</v>
      </c>
      <c r="E16" s="55">
        <v>2</v>
      </c>
      <c r="F16" s="55">
        <v>90</v>
      </c>
      <c r="G16" s="55">
        <f>E16*F16</f>
        <v>180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185</v>
      </c>
      <c r="D17" s="70" t="s">
        <v>188</v>
      </c>
      <c r="E17" s="55">
        <v>2</v>
      </c>
      <c r="F17" s="55">
        <v>40</v>
      </c>
      <c r="G17" s="55">
        <f t="shared" ref="G17:G22" si="0">E17*F17</f>
        <v>80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186</v>
      </c>
      <c r="D18" s="70" t="s">
        <v>188</v>
      </c>
      <c r="E18" s="55">
        <v>2</v>
      </c>
      <c r="F18" s="55">
        <v>40</v>
      </c>
      <c r="G18" s="55">
        <f t="shared" si="0"/>
        <v>80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187</v>
      </c>
      <c r="D19" s="70" t="s">
        <v>188</v>
      </c>
      <c r="E19" s="55">
        <v>20</v>
      </c>
      <c r="F19" s="55">
        <v>10</v>
      </c>
      <c r="G19" s="55">
        <f t="shared" si="0"/>
        <v>200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203</v>
      </c>
      <c r="D20" s="70" t="s">
        <v>188</v>
      </c>
      <c r="E20" s="55">
        <v>10</v>
      </c>
      <c r="F20" s="55">
        <v>10</v>
      </c>
      <c r="G20" s="55">
        <f t="shared" si="0"/>
        <v>100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207</v>
      </c>
      <c r="D21" s="70" t="s">
        <v>188</v>
      </c>
      <c r="E21" s="55">
        <v>1</v>
      </c>
      <c r="F21" s="55">
        <v>65</v>
      </c>
      <c r="G21" s="55">
        <f t="shared" si="0"/>
        <v>65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208</v>
      </c>
      <c r="D22" s="70" t="s">
        <v>188</v>
      </c>
      <c r="E22" s="55">
        <v>2</v>
      </c>
      <c r="F22" s="55">
        <v>200</v>
      </c>
      <c r="G22" s="55">
        <f t="shared" si="0"/>
        <v>400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3" workbookViewId="0">
      <selection activeCell="G14" sqref="G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60</v>
      </c>
      <c r="F13" s="55"/>
      <c r="G13" s="55">
        <v>540</v>
      </c>
      <c r="H13" s="55"/>
      <c r="I13" s="55"/>
      <c r="J13" s="55"/>
      <c r="K13" s="55"/>
      <c r="L13" s="55"/>
      <c r="M13" s="55"/>
      <c r="N13" s="55"/>
      <c r="P13" s="88">
        <f>SUM(D13:N13)</f>
        <v>600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60</v>
      </c>
      <c r="F30" s="88">
        <f t="shared" si="1"/>
        <v>0</v>
      </c>
      <c r="G30" s="88">
        <f t="shared" si="1"/>
        <v>540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600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2018-06-01T02:26:14Z</dcterms:modified>
</cp:coreProperties>
</file>