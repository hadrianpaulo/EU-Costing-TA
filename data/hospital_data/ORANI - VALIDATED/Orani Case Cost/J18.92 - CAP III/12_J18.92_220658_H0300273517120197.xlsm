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4" i="9" l="1"/>
  <c r="G23" i="9"/>
  <c r="G22" i="9"/>
  <c r="G21" i="9"/>
  <c r="G17" i="9" l="1"/>
  <c r="G18" i="9"/>
  <c r="G19" i="9"/>
  <c r="G20" i="9"/>
  <c r="G16" i="9"/>
  <c r="J21" i="2" l="1"/>
  <c r="J20" i="2"/>
  <c r="J19" i="2"/>
  <c r="J12" i="2" l="1"/>
  <c r="J13" i="2"/>
  <c r="J14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<sst xmlns="http://schemas.openxmlformats.org/spreadsheetml/2006/main" count="504" uniqueCount="204">
  <si>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</si>
  <si>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</si>
  <si>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</si>
  <si>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</si>
  <si>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</si>
  <si>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</si>
  <si>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</si>
  <si>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</si>
  <si>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</si>
  <si>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</si>
  <si>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</si>
  <si>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</si>
  <si>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</si>
  <si>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</si>
  <si>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</si>
  <si>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</si>
  <si>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</si>
  <si>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</si>
  <si>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</si>
  <si>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</si>
  <si>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</si>
  <si>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</si>
  <si>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</si>
  <si>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</si>
  <si>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</si>
  <si>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</si>
  <si>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</si>
  <si>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</si>
  <si>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</si>
  <si>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</si>
  <si>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</si>
  <si>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</si>
  <si>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</si>
  <si>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</si>
  <si>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</si>
  <si>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</si>
  <si>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</si>
  <si>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</si>
  <si>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</si>
  <si>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</si>
  <si>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</si>
  <si>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</si>
  <si>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</si>
  <si>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</si>
  <si>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</si>
  <si>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</si>
  <si>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</si>
  <si>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</si>
  <si>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</si>
  <si>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</si>
  <si>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</si>
  <si>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</si>
  <si>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</si>
  <si>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</si>
  <si>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</si>
  <si>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</si>
  <si>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</si>
  <si>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</si>
  <si>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</si>
  <si>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</si>
  <si>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</si>
  <si>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</si>
  <si>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</si>
  <si>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</si>
  <si>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</si>
  <si>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</si>
  <si>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</si>
  <si>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</si>
  <si>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</si>
  <si>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</si>
  <si>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</si>
  <si>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</si>
  <si>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</si>
  <si>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</si>
  <si>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</si>
  <si>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</si>
  <si>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</si>
  <si>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</si>
  <si>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</si>
  <si>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</si>
  <si>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</si>
  <si>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</si>
  <si>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</si>
  <si>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</si>
  <si>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</si>
  <si>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</si>
  <si>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</si>
  <si>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</si>
  <si>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</si>
  <si>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</si>
  <si>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</si>
  <si>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</si>
  <si>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</si>
  <si>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</si>
  <si>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</si>
  <si>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</si>
  <si>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</si>
  <si>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</si>
  <si>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</si>
  <si>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</si>
  <si>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</si>
  <si>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</si>
  <si>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</si>
  <si>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</si>
  <si>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</si>
  <si>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</si>
  <si>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</si>
  <si>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</si>
  <si>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</si>
  <si>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</si>
  <si>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</si>
  <si>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</si>
  <si>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</si>
  <si>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</si>
  <si>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</si>
  <si>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</si>
  <si>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</si>
  <si>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</si>
  <si>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</si>
  <si>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</si>
  <si>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</si>
  <si>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</si>
  <si>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</si>
  <si>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</si>
  <si>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</si>
  <si>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</si>
  <si>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</si>
  <si>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</si>
  <si>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</si>
  <si>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</si>
  <si>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</si>
  <si>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</si>
  <si>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</si>
  <si>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</si>
  <si>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</si>
  <si>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</si>
  <si>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</si>
  <si>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</si>
  <si>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</si>
  <si>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</si>
  <si>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</si>
  <si>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</si>
  <si>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</si>
  <si>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</si>
  <si>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</si>
  <si>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</si>
  <si>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</si>
  <si>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</si>
  <si>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</si>
  <si>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</si>
  <si>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</si>
  <si>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</si>
  <si>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</si>
  <si>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</si>
  <si>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</si>
  <si>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</si>
  <si>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</si>
  <si>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</si>
  <si>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</si>
  <si>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</si>
  <si>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</si>
  <si>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</si>
  <si>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</si>
  <si>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</si>
  <si>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</si>
  <si>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</si>
  <si>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</si>
  <si>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</si>
  <si>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ROOM AND BOARD</t>
  </si>
  <si>
    <t>500MG</t>
  </si>
  <si>
    <t>AMPULE</t>
  </si>
  <si>
    <t>SYRINGE 3CC</t>
  </si>
  <si>
    <t>PC</t>
  </si>
  <si>
    <t>BOTTLE</t>
  </si>
  <si>
    <t>MACRO SET</t>
  </si>
  <si>
    <t>PLASTER 1/2</t>
  </si>
  <si>
    <t>CBC PLATELET COUNT</t>
  </si>
  <si>
    <t>CHEST APL</t>
  </si>
  <si>
    <t>XRAY</t>
  </si>
  <si>
    <t>AMPICILLIN</t>
  </si>
  <si>
    <t>VIAL</t>
  </si>
  <si>
    <t>PARACETAMOL</t>
  </si>
  <si>
    <t>SALBUTAMOL + 1CC NSS</t>
  </si>
  <si>
    <t>D5 0.3 NACL</t>
  </si>
  <si>
    <t>D5 IMB</t>
  </si>
  <si>
    <t>SYRINGE 5CC</t>
  </si>
  <si>
    <t>SYRUP</t>
  </si>
  <si>
    <t>5ML</t>
  </si>
  <si>
    <t>500CC</t>
  </si>
  <si>
    <t>ABOCATH GAUGE 22</t>
  </si>
  <si>
    <t>J18.92</t>
  </si>
  <si>
    <t>AMBROXOL</t>
  </si>
  <si>
    <t>HYDROCORTISONE</t>
  </si>
  <si>
    <t>65MG</t>
  </si>
  <si>
    <t>3ML</t>
  </si>
  <si>
    <t>140MG</t>
  </si>
  <si>
    <t>230MG</t>
  </si>
  <si>
    <t>DISTILLED WATER FOR INJECTION</t>
  </si>
  <si>
    <t>50CC</t>
  </si>
  <si>
    <t>SOLUSET</t>
  </si>
  <si>
    <t>HEPLOCK</t>
  </si>
  <si>
    <t>GENTAMYCIN</t>
  </si>
  <si>
    <t>SPLINT PEDIA</t>
  </si>
  <si>
    <t>IV CATHETER G#24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</si>
</sst>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Normal="100" workbookViewId="0">
      <selection activeCell="E62" sqref="E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177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165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165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166</v>
      </c>
      <c r="D57" s="55">
        <v>6930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167</v>
      </c>
      <c r="D58" s="55">
        <v>155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168</v>
      </c>
      <c r="D59" s="55">
        <v>600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 t="s">
        <v>178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8005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3" zoomScale="80" zoomScaleNormal="80" workbookViewId="0">
      <selection activeCell="J11" sqref="J11: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179</v>
      </c>
      <c r="D11" s="27" t="s">
        <v>180</v>
      </c>
      <c r="E11" s="27" t="s">
        <v>196</v>
      </c>
      <c r="F11" s="55">
        <v>4</v>
      </c>
      <c r="G11" s="55">
        <v>6</v>
      </c>
      <c r="H11" s="55">
        <v>28</v>
      </c>
      <c r="I11" s="55">
        <v>40</v>
      </c>
      <c r="J11" s="55">
        <f>H11*I11</f>
        <v>1120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201</v>
      </c>
      <c r="D12" s="27" t="s">
        <v>180</v>
      </c>
      <c r="E12" s="27" t="s">
        <v>193</v>
      </c>
      <c r="F12" s="55">
        <v>1</v>
      </c>
      <c r="G12" s="55">
        <v>5</v>
      </c>
      <c r="H12" s="55">
        <v>6</v>
      </c>
      <c r="I12" s="55">
        <v>40</v>
      </c>
      <c r="J12" s="55">
        <f t="shared" ref="J12:J21" si="0">H12*I12</f>
        <v>240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186</v>
      </c>
      <c r="E13" s="27" t="s">
        <v>194</v>
      </c>
      <c r="F13" s="55">
        <v>3</v>
      </c>
      <c r="G13" s="55">
        <v>6</v>
      </c>
      <c r="H13" s="55">
        <v>19</v>
      </c>
      <c r="I13" s="55">
        <v>40</v>
      </c>
      <c r="J13" s="55">
        <f t="shared" si="0"/>
        <v>760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173</v>
      </c>
      <c r="E14" s="27" t="s">
        <v>187</v>
      </c>
      <c r="F14" s="55">
        <v>6</v>
      </c>
      <c r="G14" s="55">
        <v>6</v>
      </c>
      <c r="H14" s="55">
        <v>24</v>
      </c>
      <c r="I14" s="55">
        <v>40</v>
      </c>
      <c r="J14" s="55">
        <f t="shared" si="0"/>
        <v>960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170</v>
      </c>
      <c r="E15" s="27" t="s">
        <v>195</v>
      </c>
      <c r="F15" s="55">
        <v>6</v>
      </c>
      <c r="G15" s="55">
        <v>2</v>
      </c>
      <c r="H15" s="55">
        <v>3</v>
      </c>
      <c r="I15" s="55">
        <v>50</v>
      </c>
      <c r="J15" s="55">
        <v>150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180</v>
      </c>
      <c r="E16" s="27" t="s">
        <v>169</v>
      </c>
      <c r="F16" s="55">
        <v>3</v>
      </c>
      <c r="G16" s="55">
        <v>2</v>
      </c>
      <c r="H16" s="55">
        <v>3</v>
      </c>
      <c r="I16" s="55">
        <v>90</v>
      </c>
      <c r="J16" s="55">
        <f t="shared" si="0"/>
        <v>270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183</v>
      </c>
      <c r="D17" s="27" t="s">
        <v>173</v>
      </c>
      <c r="E17" s="27" t="s">
        <v>188</v>
      </c>
      <c r="F17" s="55">
        <v>2</v>
      </c>
      <c r="G17" s="55">
        <v>3</v>
      </c>
      <c r="H17" s="55">
        <v>4</v>
      </c>
      <c r="I17" s="55">
        <v>100</v>
      </c>
      <c r="J17" s="55">
        <f t="shared" si="0"/>
        <v>400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184</v>
      </c>
      <c r="D18" s="27" t="s">
        <v>173</v>
      </c>
      <c r="E18" s="27" t="s">
        <v>188</v>
      </c>
      <c r="F18" s="55">
        <v>3</v>
      </c>
      <c r="G18" s="55">
        <v>2</v>
      </c>
      <c r="H18" s="55">
        <v>6</v>
      </c>
      <c r="I18" s="55">
        <v>100</v>
      </c>
      <c r="J18" s="55">
        <f t="shared" si="0"/>
        <v>600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197</v>
      </c>
      <c r="D19" s="27" t="s">
        <v>173</v>
      </c>
      <c r="E19" s="27" t="s">
        <v>198</v>
      </c>
      <c r="F19" s="55">
        <v>2</v>
      </c>
      <c r="G19" s="55">
        <v>4</v>
      </c>
      <c r="H19" s="55">
        <v>8</v>
      </c>
      <c r="I19" s="55">
        <v>85</v>
      </c>
      <c r="J19" s="55">
        <f t="shared" si="0"/>
        <v>680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9" zoomScale="90" zoomScaleNormal="90" workbookViewId="0">
      <selection activeCell="G16" sqref="G16: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33</v>
      </c>
      <c r="F16" s="55">
        <v>10</v>
      </c>
      <c r="G16" s="55">
        <f>E16*F16</f>
        <v>330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172</v>
      </c>
      <c r="E17" s="55">
        <v>12</v>
      </c>
      <c r="F17" s="55">
        <v>10</v>
      </c>
      <c r="G17" s="55">
        <f t="shared" ref="G17:G24" si="0">E17*F17</f>
        <v>120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172</v>
      </c>
      <c r="E18" s="55">
        <v>3</v>
      </c>
      <c r="F18" s="55">
        <v>90</v>
      </c>
      <c r="G18" s="55">
        <f t="shared" si="0"/>
        <v>270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172</v>
      </c>
      <c r="E19" s="55">
        <v>2</v>
      </c>
      <c r="F19" s="55">
        <v>40</v>
      </c>
      <c r="G19" s="55">
        <f t="shared" si="0"/>
        <v>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199</v>
      </c>
      <c r="D21" s="70" t="s">
        <v>172</v>
      </c>
      <c r="E21" s="55">
        <v>2</v>
      </c>
      <c r="F21" s="55">
        <v>200</v>
      </c>
      <c r="G21" s="55">
        <f t="shared" si="0"/>
        <v>400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200</v>
      </c>
      <c r="D22" s="70" t="s">
        <v>172</v>
      </c>
      <c r="E22" s="55">
        <v>2</v>
      </c>
      <c r="F22" s="55">
        <v>65</v>
      </c>
      <c r="G22" s="55">
        <f t="shared" si="0"/>
        <v>130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202</v>
      </c>
      <c r="D23" s="70" t="s">
        <v>172</v>
      </c>
      <c r="E23" s="55">
        <v>1</v>
      </c>
      <c r="F23" s="55">
        <v>200</v>
      </c>
      <c r="G23" s="55">
        <f t="shared" si="0"/>
        <v>200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203</v>
      </c>
      <c r="D24" s="70" t="s">
        <v>172</v>
      </c>
      <c r="E24" s="55">
        <v>2</v>
      </c>
      <c r="F24" s="55">
        <v>90</v>
      </c>
      <c r="G24" s="55">
        <f t="shared" si="0"/>
        <v>180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465</v>
      </c>
      <c r="H13" s="55">
        <v>30</v>
      </c>
      <c r="I13" s="55"/>
      <c r="J13" s="55">
        <v>85</v>
      </c>
      <c r="K13" s="55"/>
      <c r="L13" s="55"/>
      <c r="M13" s="55"/>
      <c r="N13" s="55"/>
      <c r="P13" s="88">
        <f>SUM(D13:N13)</f>
        <v>630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465</v>
      </c>
      <c r="H30" s="88">
        <f t="shared" si="1"/>
        <v>30</v>
      </c>
      <c r="I30" s="88">
        <f t="shared" si="1"/>
        <v>0</v>
      </c>
      <c r="J30" s="88">
        <f t="shared" si="1"/>
        <v>85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2018-06-01T03:26:22Z</dcterms:modified>
</cp:coreProperties>
</file>