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G16" i="9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<sst xmlns="http://schemas.openxmlformats.org/spreadsheetml/2006/main" count="486" uniqueCount="192">
  <si>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</si>
  <si>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</si>
  <si>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</si>
  <si>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</si>
  <si>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</si>
  <si>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</si>
  <si>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</si>
  <si>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</si>
  <si>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</si>
  <si>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</si>
  <si>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</si>
  <si>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</si>
  <si>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</si>
  <si>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</si>
  <si>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</si>
  <si>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</si>
  <si>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</si>
  <si>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</si>
  <si>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</si>
  <si>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</si>
  <si>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</si>
  <si>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</si>
  <si>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</si>
  <si>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</si>
  <si>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</si>
  <si>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</si>
  <si>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</si>
  <si>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</si>
  <si>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</si>
  <si>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</si>
  <si>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</si>
  <si>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</si>
  <si>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</si>
  <si>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</si>
  <si>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</si>
  <si>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</si>
  <si>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</si>
  <si>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</si>
  <si>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</si>
  <si>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</si>
  <si>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</si>
  <si>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</si>
  <si>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</si>
  <si>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</si>
  <si>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</si>
  <si>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</si>
  <si>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</si>
  <si>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</si>
  <si>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</si>
  <si>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</si>
  <si>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</si>
  <si>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</si>
  <si>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</si>
  <si>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</si>
  <si>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</si>
  <si>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</si>
  <si>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</si>
  <si>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</si>
  <si>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</si>
  <si>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</si>
  <si>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</si>
  <si>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</si>
  <si>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</si>
  <si>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</si>
  <si>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</si>
  <si>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</si>
  <si>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</si>
  <si>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</si>
  <si>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</si>
  <si>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</si>
  <si>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</si>
  <si>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</si>
  <si>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</si>
  <si>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</si>
  <si>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</si>
  <si>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</si>
  <si>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</si>
  <si>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</si>
  <si>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</si>
  <si>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</si>
  <si>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</si>
  <si>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</si>
  <si>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</si>
  <si>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</si>
  <si>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</si>
  <si>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</si>
  <si>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</si>
  <si>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</si>
  <si>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</si>
  <si>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</si>
  <si>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</si>
  <si>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</si>
  <si>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</si>
  <si>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</si>
  <si>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</si>
  <si>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</si>
  <si>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</si>
  <si>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</si>
  <si>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</si>
  <si>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</si>
  <si>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</si>
  <si>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</si>
  <si>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</si>
  <si>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</si>
  <si>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</si>
  <si>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</si>
  <si>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</si>
  <si>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</si>
  <si>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</si>
  <si>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</si>
  <si>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</si>
  <si>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</si>
  <si>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</si>
  <si>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</si>
  <si>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</si>
  <si>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</si>
  <si>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</si>
  <si>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</si>
  <si>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</si>
  <si>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</si>
  <si>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</si>
  <si>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</si>
  <si>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</si>
  <si>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</si>
  <si>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</si>
  <si>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</si>
  <si>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</si>
  <si>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</si>
  <si>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</si>
  <si>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</si>
  <si>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</si>
  <si>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</si>
  <si>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</si>
  <si>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</si>
  <si>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</si>
  <si>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</si>
  <si>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</si>
  <si>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</si>
  <si>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</si>
  <si>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</si>
  <si>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</si>
  <si>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</si>
  <si>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</si>
  <si>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</si>
  <si>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</si>
  <si>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</si>
  <si>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</si>
  <si>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</si>
  <si>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</si>
  <si>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</si>
  <si>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</si>
  <si>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</si>
  <si>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</si>
  <si>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</si>
  <si>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</si>
  <si>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</si>
  <si>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</si>
  <si>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</si>
  <si>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</si>
  <si>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</si>
  <si>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</si>
  <si>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</si>
  <si>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</si>
  <si>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</si>
  <si>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ACUTE GASTRITIS</t>
  </si>
  <si>
    <t>K29.1</t>
  </si>
  <si>
    <t>LABORATORY</t>
  </si>
  <si>
    <t>MEDICINES</t>
  </si>
  <si>
    <t>ROOM AND BOARD</t>
  </si>
  <si>
    <t>OMEPRAZOLE</t>
  </si>
  <si>
    <t>METOCLOPRAMIDE</t>
  </si>
  <si>
    <t>METRONIDAZOLE</t>
  </si>
  <si>
    <t>Visit in the ward</t>
  </si>
  <si>
    <t>NAKCL</t>
  </si>
  <si>
    <t>VIAL</t>
  </si>
  <si>
    <t>40MG</t>
  </si>
  <si>
    <t>AMPULE</t>
  </si>
  <si>
    <t>10MG/ML</t>
  </si>
  <si>
    <t>CEFUROXIME</t>
  </si>
  <si>
    <t>750MG</t>
  </si>
  <si>
    <t>ALMAGOH</t>
  </si>
  <si>
    <t>BOTTLE</t>
  </si>
  <si>
    <t>15ML</t>
  </si>
  <si>
    <t>5MG/ML</t>
  </si>
  <si>
    <t>HYOSCINE</t>
  </si>
  <si>
    <t>IV CATHETER G#22</t>
  </si>
  <si>
    <t>PIECE</t>
  </si>
  <si>
    <t>IV SET MACROSET</t>
  </si>
  <si>
    <t>PLASTER</t>
  </si>
  <si>
    <t>ROLL</t>
  </si>
  <si>
    <t>5CC SYRINGE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</si>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</sst>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63" zoomScaleNormal="100" workbookViewId="0">
      <selection activeCell="E37" sqref="E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163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166</v>
      </c>
      <c r="D66" s="55">
        <v>450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167</v>
      </c>
      <c r="D67" s="55">
        <v>2360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168</v>
      </c>
      <c r="D68" s="55">
        <v>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3110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174</v>
      </c>
      <c r="E11" s="27" t="s">
        <v>175</v>
      </c>
      <c r="F11" s="55">
        <v>1</v>
      </c>
      <c r="G11" s="55">
        <v>2</v>
      </c>
      <c r="H11" s="55">
        <v>2</v>
      </c>
      <c r="I11" s="55">
        <v>200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174</v>
      </c>
      <c r="E13" s="27" t="s">
        <v>179</v>
      </c>
      <c r="F13" s="55">
        <v>3</v>
      </c>
      <c r="G13" s="55">
        <v>3</v>
      </c>
      <c r="H13" s="55">
        <v>7</v>
      </c>
      <c r="I13" s="55">
        <v>60</v>
      </c>
      <c r="J13" s="55">
        <f t="shared" si="0"/>
        <v>420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174</v>
      </c>
      <c r="E14" s="27" t="s">
        <v>183</v>
      </c>
      <c r="F14" s="55">
        <v>4</v>
      </c>
      <c r="G14" s="55">
        <v>2</v>
      </c>
      <c r="H14" s="55">
        <v>5</v>
      </c>
      <c r="I14" s="55">
        <v>75</v>
      </c>
      <c r="J14" s="55">
        <f t="shared" si="0"/>
        <v>375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181</v>
      </c>
      <c r="E15" s="27" t="s">
        <v>182</v>
      </c>
      <c r="F15" s="55">
        <v>3</v>
      </c>
      <c r="G15" s="55">
        <v>3</v>
      </c>
      <c r="H15" s="55">
        <v>9</v>
      </c>
      <c r="I15" s="55">
        <v>50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176</v>
      </c>
      <c r="E16" s="27" t="s">
        <v>177</v>
      </c>
      <c r="F16" s="55">
        <v>3</v>
      </c>
      <c r="G16" s="55">
        <v>2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186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186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189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186</v>
      </c>
      <c r="E19" s="55">
        <v>9</v>
      </c>
      <c r="F19" s="55">
        <v>10</v>
      </c>
      <c r="G19" s="55">
        <f t="shared" si="0"/>
        <v>90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186</v>
      </c>
      <c r="E20" s="55">
        <v>1</v>
      </c>
      <c r="F20" s="55">
        <v>5</v>
      </c>
      <c r="G20" s="55">
        <f t="shared" si="0"/>
        <v>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172</v>
      </c>
      <c r="D13" s="55"/>
      <c r="E13" s="55">
        <f>10*3</f>
        <v>30</v>
      </c>
      <c r="F13" s="55"/>
      <c r="G13" s="55">
        <f>24*3*60/10</f>
        <v>432</v>
      </c>
      <c r="H13" s="55"/>
      <c r="I13" s="55"/>
      <c r="J13" s="55">
        <f>5*3</f>
        <v>15</v>
      </c>
      <c r="K13" s="55"/>
      <c r="L13" s="55"/>
      <c r="M13" s="55"/>
      <c r="N13" s="55"/>
      <c r="P13" s="88">
        <f>SUM(D13:N13)</f>
        <v>477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432</v>
      </c>
      <c r="H30" s="88">
        <f t="shared" si="1"/>
        <v>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2018-06-01T05:57:53Z</dcterms:modified>
</cp:coreProperties>
</file>