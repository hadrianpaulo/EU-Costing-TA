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7" i="2"/>
  <c r="J12" i="2"/>
  <c r="J13" i="2"/>
  <c r="J14" i="2"/>
  <c r="J15" i="2"/>
  <c r="J16" i="2"/>
  <c r="J11" i="2"/>
  <c r="G1" i="1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<sst xmlns="http://schemas.openxmlformats.org/spreadsheetml/2006/main" count="495" uniqueCount="201">
  <si>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</si>
  <si>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</si>
  <si>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</si>
  <si>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</si>
  <si>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</si>
  <si>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</si>
  <si>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</si>
  <si>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</si>
  <si>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</si>
  <si>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</si>
  <si>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</si>
  <si>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</si>
  <si>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</si>
  <si>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</si>
  <si>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</si>
  <si>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</si>
  <si>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</si>
  <si>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</si>
  <si>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</si>
  <si>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</si>
  <si>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</si>
  <si>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</si>
  <si>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</si>
  <si>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</si>
  <si>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</si>
  <si>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</si>
  <si>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</si>
  <si>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</si>
  <si>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</si>
  <si>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</si>
  <si>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</si>
  <si>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</si>
  <si>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</si>
  <si>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</si>
  <si>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</si>
  <si>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</si>
  <si>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</si>
  <si>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</si>
  <si>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</si>
  <si>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</si>
  <si>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</si>
  <si>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</si>
  <si>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</si>
  <si>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</si>
  <si>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</si>
  <si>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</si>
  <si>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</si>
  <si>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</si>
  <si>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</si>
  <si>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</si>
  <si>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</si>
  <si>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</si>
  <si>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</si>
  <si>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</si>
  <si>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</si>
  <si>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</si>
  <si>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</si>
  <si>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</si>
  <si>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</si>
  <si>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</si>
  <si>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</si>
  <si>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</si>
  <si>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</si>
  <si>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</si>
  <si>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</si>
  <si>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</si>
  <si>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</si>
  <si>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</si>
  <si>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</si>
  <si>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</si>
  <si>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</si>
  <si>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</si>
  <si>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</si>
  <si>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</si>
  <si>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</si>
  <si>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</si>
  <si>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</si>
  <si>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</si>
  <si>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</si>
  <si>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</si>
  <si>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</si>
  <si>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</si>
  <si>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</si>
  <si>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</si>
  <si>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</si>
  <si>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</si>
  <si>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</si>
  <si>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</si>
  <si>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</si>
  <si>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</si>
  <si>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</si>
  <si>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</si>
  <si>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</si>
  <si>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</si>
  <si>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</si>
  <si>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</si>
  <si>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</si>
  <si>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</si>
  <si>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</si>
  <si>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</si>
  <si>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</si>
  <si>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</si>
  <si>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</si>
  <si>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</si>
  <si>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</si>
  <si>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</si>
  <si>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</si>
  <si>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</si>
  <si>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</si>
  <si>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</si>
  <si>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</si>
  <si>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</si>
  <si>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</si>
  <si>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</si>
  <si>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</si>
  <si>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</si>
  <si>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</si>
  <si>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</si>
  <si>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</si>
  <si>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</si>
  <si>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</si>
  <si>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</si>
  <si>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</si>
  <si>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</si>
  <si>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</si>
  <si>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</si>
  <si>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</si>
  <si>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</si>
  <si>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</si>
  <si>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</si>
  <si>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</si>
  <si>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</si>
  <si>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</si>
  <si>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</si>
  <si>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</si>
  <si>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</si>
  <si>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</si>
  <si>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</si>
  <si>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</si>
  <si>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</si>
  <si>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</si>
  <si>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</si>
  <si>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</si>
  <si>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</si>
  <si>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</si>
  <si>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</si>
  <si>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</si>
  <si>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</si>
  <si>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</si>
  <si>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</si>
  <si>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</si>
  <si>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</si>
  <si>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</si>
  <si>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</si>
  <si>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</si>
  <si>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</si>
  <si>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</si>
  <si>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</si>
  <si>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</si>
  <si>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</si>
  <si>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</si>
  <si>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</si>
  <si>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</si>
  <si>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</si>
  <si>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</si>
  <si>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</si>
  <si>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</si>
  <si>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</si>
  <si>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</si>
  <si>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PLASTER 1/2</t>
  </si>
  <si>
    <t>PC</t>
  </si>
  <si>
    <t>CBC PLATELET COUNT</t>
  </si>
  <si>
    <t>ROOM AND BOARD</t>
  </si>
  <si>
    <t>40MG</t>
  </si>
  <si>
    <t>OMEPRAZOLE</t>
  </si>
  <si>
    <t>PLAIN NS SOLUTION</t>
  </si>
  <si>
    <t>1LITER</t>
  </si>
  <si>
    <t>ABOCATH 20</t>
  </si>
  <si>
    <t>MACRO SET</t>
  </si>
  <si>
    <t>NAKCL</t>
  </si>
  <si>
    <t>100MG</t>
  </si>
  <si>
    <t>K29.1</t>
  </si>
  <si>
    <t>RBS</t>
  </si>
  <si>
    <t>GLUCOSE</t>
  </si>
  <si>
    <t>CREATININE</t>
  </si>
  <si>
    <t>CHOLESTEROL</t>
  </si>
  <si>
    <t>URIC ACID</t>
  </si>
  <si>
    <t>TRIGLYCERIDES</t>
  </si>
  <si>
    <t>FECALYSIS</t>
  </si>
  <si>
    <t>FERROUS SULFATE</t>
  </si>
  <si>
    <t>ALLOPURINOL</t>
  </si>
  <si>
    <t>TABLET</t>
  </si>
  <si>
    <t>325MG</t>
  </si>
  <si>
    <t>KETOANALOGUE</t>
  </si>
  <si>
    <t>TABELT</t>
  </si>
  <si>
    <t>600MG</t>
  </si>
  <si>
    <t>D5 NSS</t>
  </si>
  <si>
    <t>DISTILLED WATER FOR INJECTION</t>
  </si>
  <si>
    <t>50CC</t>
  </si>
  <si>
    <t>5CC SYRINGE</t>
  </si>
  <si>
    <t>ACUTE GASTRITIS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</si>
</sst>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60" zoomScale="90" zoomScaleNormal="9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200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182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183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184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185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 t="s">
        <v>186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 t="s">
        <v>187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 t="s">
        <v>188</v>
      </c>
      <c r="D40" s="23"/>
      <c r="E40" s="57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30">
        <v>8</v>
      </c>
      <c r="C41" s="31" t="s">
        <v>179</v>
      </c>
      <c r="D41" s="23"/>
      <c r="E41" s="57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30">
        <v>9</v>
      </c>
      <c r="C42" s="31" t="s">
        <v>171</v>
      </c>
      <c r="D42" s="23"/>
      <c r="E42" s="57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164</v>
      </c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44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45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53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 t="s">
        <v>164</v>
      </c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20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 t="s">
        <v>164</v>
      </c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55</v>
      </c>
      <c r="C62" s="17" t="s">
        <v>51</v>
      </c>
      <c r="D62" s="17" t="s">
        <v>56</v>
      </c>
      <c r="E62" s="18" t="s">
        <v>57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165</v>
      </c>
      <c r="D63" s="55">
        <v>1600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166</v>
      </c>
      <c r="D64" s="55">
        <v>1315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172</v>
      </c>
      <c r="D65" s="55">
        <v>200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3115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password="C2E9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48:F48"/>
  </mergeCells>
  <dataValidations count="1">
    <dataValidation type="decimal" operator="greaterThanOrEqual" allowBlank="1" showInputMessage="1" showErrorMessage="1" sqref="E47 E49:F52 E54:F59 D63:F72 E44:E45 E34:E42 E23:F27 E3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zoomScale="85" zoomScaleNormal="85" workbookViewId="0">
      <selection activeCell="F34" sqref="F34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167</v>
      </c>
      <c r="E11" s="27" t="s">
        <v>173</v>
      </c>
      <c r="F11" s="55">
        <v>1</v>
      </c>
      <c r="G11" s="55">
        <v>3</v>
      </c>
      <c r="H11" s="55">
        <v>3</v>
      </c>
      <c r="I11" s="55">
        <v>200</v>
      </c>
      <c r="J11" s="55">
        <f>H11*I11</f>
        <v>600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189</v>
      </c>
      <c r="D12" s="27" t="s">
        <v>191</v>
      </c>
      <c r="E12" s="27" t="s">
        <v>192</v>
      </c>
      <c r="F12" s="55">
        <v>1</v>
      </c>
      <c r="G12" s="55">
        <v>1</v>
      </c>
      <c r="H12" s="55">
        <v>1</v>
      </c>
      <c r="I12" s="55">
        <v>1</v>
      </c>
      <c r="J12" s="55">
        <f t="shared" ref="J12:J17" si="0">H12*I12</f>
        <v>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190</v>
      </c>
      <c r="D13" s="27" t="s">
        <v>191</v>
      </c>
      <c r="E13" s="27" t="s">
        <v>180</v>
      </c>
      <c r="F13" s="55">
        <v>1</v>
      </c>
      <c r="G13" s="55">
        <v>2</v>
      </c>
      <c r="H13" s="55">
        <v>3</v>
      </c>
      <c r="I13" s="55">
        <v>3</v>
      </c>
      <c r="J13" s="55">
        <f t="shared" si="0"/>
        <v>9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193</v>
      </c>
      <c r="D14" s="27" t="s">
        <v>194</v>
      </c>
      <c r="E14" s="27" t="s">
        <v>195</v>
      </c>
      <c r="F14" s="55">
        <v>3</v>
      </c>
      <c r="G14" s="55">
        <v>2</v>
      </c>
      <c r="H14" s="55">
        <v>5</v>
      </c>
      <c r="I14" s="55">
        <v>65</v>
      </c>
      <c r="J14" s="55">
        <f t="shared" si="0"/>
        <v>325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196</v>
      </c>
      <c r="D15" s="27" t="s">
        <v>168</v>
      </c>
      <c r="E15" s="27" t="s">
        <v>176</v>
      </c>
      <c r="F15" s="55">
        <v>1</v>
      </c>
      <c r="G15" s="55">
        <v>1</v>
      </c>
      <c r="H15" s="55">
        <v>1</v>
      </c>
      <c r="I15" s="55">
        <v>100</v>
      </c>
      <c r="J15" s="55">
        <f t="shared" si="0"/>
        <v>100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175</v>
      </c>
      <c r="D16" s="27" t="s">
        <v>168</v>
      </c>
      <c r="E16" s="27" t="s">
        <v>176</v>
      </c>
      <c r="F16" s="55">
        <v>1</v>
      </c>
      <c r="G16" s="55">
        <v>3</v>
      </c>
      <c r="H16" s="55">
        <v>3</v>
      </c>
      <c r="I16" s="55">
        <v>100</v>
      </c>
      <c r="J16" s="55">
        <f t="shared" si="0"/>
        <v>300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197</v>
      </c>
      <c r="D17" s="27" t="s">
        <v>168</v>
      </c>
      <c r="E17" s="27" t="s">
        <v>198</v>
      </c>
      <c r="F17" s="55">
        <v>1</v>
      </c>
      <c r="G17" s="55">
        <v>1</v>
      </c>
      <c r="H17" s="55">
        <v>1</v>
      </c>
      <c r="I17" s="55">
        <v>85</v>
      </c>
      <c r="J17" s="55">
        <f t="shared" si="0"/>
        <v>85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16" sqref="G16:G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170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170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170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199</v>
      </c>
      <c r="D19" s="70" t="s">
        <v>170</v>
      </c>
      <c r="E19" s="55">
        <v>1</v>
      </c>
      <c r="F19" s="55">
        <v>10</v>
      </c>
      <c r="G19" s="55">
        <f t="shared" si="0"/>
        <v>10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360</v>
      </c>
      <c r="H13" s="55">
        <v>10</v>
      </c>
      <c r="I13" s="55"/>
      <c r="J13" s="55">
        <v>10</v>
      </c>
      <c r="K13" s="55"/>
      <c r="L13" s="55"/>
      <c r="M13" s="55"/>
      <c r="N13" s="55"/>
      <c r="P13" s="88">
        <f>SUM(D13:N13)</f>
        <v>400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360</v>
      </c>
      <c r="H30" s="88">
        <f t="shared" si="1"/>
        <v>10</v>
      </c>
      <c r="I30" s="88">
        <f t="shared" si="1"/>
        <v>0</v>
      </c>
      <c r="J30" s="88">
        <f t="shared" si="1"/>
        <v>10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2018-06-01T06:14:03Z</dcterms:modified>
</cp:coreProperties>
</file>