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20" i="2" l="1"/>
  <c r="J19" i="2"/>
  <c r="G17" i="9"/>
  <c r="G18" i="9"/>
  <c r="G19" i="9"/>
  <c r="G20" i="9"/>
  <c r="G16" i="9" l="1"/>
  <c r="J12" i="2" l="1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<sst xmlns="http://schemas.openxmlformats.org/spreadsheetml/2006/main" count="492" uniqueCount="200">
  <si>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</si>
  <si>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</si>
  <si>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</si>
  <si>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</si>
  <si>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</si>
  <si>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</si>
  <si>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</si>
  <si>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</si>
  <si>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</si>
  <si>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</si>
  <si>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</si>
  <si>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</si>
  <si>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</si>
  <si>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</si>
  <si>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</si>
  <si>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</si>
  <si>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</si>
  <si>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</si>
  <si>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</si>
  <si>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</si>
  <si>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</si>
  <si>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</si>
  <si>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</si>
  <si>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</si>
  <si>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</si>
  <si>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</si>
  <si>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</si>
  <si>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</si>
  <si>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</si>
  <si>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</si>
  <si>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</si>
  <si>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</si>
  <si>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</si>
  <si>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</si>
  <si>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</si>
  <si>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</si>
  <si>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</si>
  <si>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</si>
  <si>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</si>
  <si>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</si>
  <si>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</si>
  <si>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</si>
  <si>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</si>
  <si>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</si>
  <si>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</si>
  <si>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</si>
  <si>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</si>
  <si>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</si>
  <si>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</si>
  <si>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</si>
  <si>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</si>
  <si>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</si>
  <si>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</si>
  <si>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</si>
  <si>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</si>
  <si>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</si>
  <si>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</si>
  <si>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</si>
  <si>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</si>
  <si>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</si>
  <si>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</si>
  <si>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</si>
  <si>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</si>
  <si>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</si>
  <si>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</si>
  <si>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</si>
  <si>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</si>
  <si>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</si>
  <si>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</si>
  <si>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</si>
  <si>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</si>
  <si>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</si>
  <si>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</si>
  <si>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</si>
  <si>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</si>
  <si>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</si>
  <si>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</si>
  <si>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</si>
  <si>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</si>
  <si>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</si>
  <si>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</si>
  <si>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</si>
  <si>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</si>
  <si>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</si>
  <si>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</si>
  <si>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</si>
  <si>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</si>
  <si>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</si>
  <si>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</si>
  <si>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</si>
  <si>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</si>
  <si>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</si>
  <si>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</si>
  <si>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</si>
  <si>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</si>
  <si>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</si>
  <si>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</si>
  <si>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</si>
  <si>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</si>
  <si>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</si>
  <si>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</si>
  <si>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</si>
  <si>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</si>
  <si>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</si>
  <si>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</si>
  <si>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</si>
  <si>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</si>
  <si>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</si>
  <si>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</si>
  <si>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</si>
  <si>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</si>
  <si>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</si>
  <si>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</si>
  <si>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</si>
  <si>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</si>
  <si>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</si>
  <si>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</si>
  <si>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</si>
  <si>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</si>
  <si>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</si>
  <si>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</si>
  <si>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</si>
  <si>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</si>
  <si>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</si>
  <si>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</si>
  <si>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</si>
  <si>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</si>
  <si>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</si>
  <si>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</si>
  <si>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</si>
  <si>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</si>
  <si>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</si>
  <si>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</si>
  <si>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</si>
  <si>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</si>
  <si>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</si>
  <si>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</si>
  <si>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</si>
  <si>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</si>
  <si>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</si>
  <si>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</si>
  <si>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</si>
  <si>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</si>
  <si>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</si>
  <si>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</si>
  <si>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</si>
  <si>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</si>
  <si>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</si>
  <si>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</si>
  <si>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</si>
  <si>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</si>
  <si>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</si>
  <si>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</si>
  <si>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</si>
  <si>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</si>
  <si>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</si>
  <si>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</si>
  <si>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</si>
  <si>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</si>
  <si>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</si>
  <si>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</si>
  <si>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</si>
  <si>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</si>
  <si>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</si>
  <si>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</si>
  <si>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</si>
  <si>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</si>
  <si>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</si>
  <si>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URINALYSIS</t>
  </si>
  <si>
    <t>SYRINGE 3CC</t>
  </si>
  <si>
    <t>PC</t>
  </si>
  <si>
    <t>BOTTLE</t>
  </si>
  <si>
    <t>1LITER</t>
  </si>
  <si>
    <t>PLASTER 1/2</t>
  </si>
  <si>
    <t>CEFUROXIME</t>
  </si>
  <si>
    <t>VIAL</t>
  </si>
  <si>
    <t>SYRINGE 5CC</t>
  </si>
  <si>
    <t>AMPULE</t>
  </si>
  <si>
    <t>CBC PLATELET COUNT</t>
  </si>
  <si>
    <t>750MG</t>
  </si>
  <si>
    <t>K29.1</t>
  </si>
  <si>
    <t>GLUCOSE</t>
  </si>
  <si>
    <t>BUN</t>
  </si>
  <si>
    <t>CREATININE</t>
  </si>
  <si>
    <t>CHOLESTEROL</t>
  </si>
  <si>
    <t>URIC ACID</t>
  </si>
  <si>
    <t>NAKCL</t>
  </si>
  <si>
    <t>RANITIDINE</t>
  </si>
  <si>
    <t>50MG</t>
  </si>
  <si>
    <t>TABLET</t>
  </si>
  <si>
    <t>PLAIN NS SOLUTION</t>
  </si>
  <si>
    <t>ABOCATH G20</t>
  </si>
  <si>
    <t>MACRO SET</t>
  </si>
  <si>
    <t>RH TYPING</t>
  </si>
  <si>
    <t>ROD</t>
  </si>
  <si>
    <t>METOCLOPRAMIDE</t>
  </si>
  <si>
    <t>10ML</t>
  </si>
  <si>
    <t>25ML</t>
  </si>
  <si>
    <t>LOSARTAN</t>
  </si>
  <si>
    <t>ACUTE GASTRITIS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</si>
</sst>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opLeftCell="A60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9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186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168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181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30">
        <v>4</v>
      </c>
      <c r="C37" s="31" t="s">
        <v>182</v>
      </c>
      <c r="D37" s="23"/>
      <c r="E37" s="57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30">
        <v>5</v>
      </c>
      <c r="C38" s="31" t="s">
        <v>183</v>
      </c>
      <c r="D38" s="23"/>
      <c r="E38" s="57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30">
        <v>6</v>
      </c>
      <c r="C39" s="31" t="s">
        <v>184</v>
      </c>
      <c r="D39" s="23"/>
      <c r="E39" s="57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30">
        <v>7</v>
      </c>
      <c r="C40" s="31" t="s">
        <v>185</v>
      </c>
      <c r="D40" s="23"/>
      <c r="E40" s="57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30">
        <v>8</v>
      </c>
      <c r="C41" s="31" t="s">
        <v>178</v>
      </c>
      <c r="D41" s="23"/>
      <c r="E41" s="57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30">
        <v>9</v>
      </c>
      <c r="C42" s="31" t="s">
        <v>193</v>
      </c>
      <c r="D42" s="23"/>
      <c r="E42" s="57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19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</v>
      </c>
      <c r="C44" s="27" t="s">
        <v>164</v>
      </c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44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45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53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 t="s">
        <v>164</v>
      </c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20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 t="s">
        <v>164</v>
      </c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55</v>
      </c>
      <c r="C61" s="17" t="s">
        <v>51</v>
      </c>
      <c r="D61" s="17" t="s">
        <v>56</v>
      </c>
      <c r="E61" s="18" t="s">
        <v>57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165</v>
      </c>
      <c r="D62" s="55">
        <v>980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166</v>
      </c>
      <c r="D63" s="55">
        <v>1700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167</v>
      </c>
      <c r="D64" s="55">
        <v>800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 t="s">
        <v>194</v>
      </c>
      <c r="D65" s="55">
        <v>600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4080</v>
      </c>
      <c r="E73" s="59">
        <f>SUM(E62:E72)</f>
        <v>0</v>
      </c>
      <c r="F73" s="59">
        <f>SUM(F62:F72)</f>
        <v>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password="C2E9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3:F43"/>
    <mergeCell ref="B47:F47"/>
  </mergeCells>
  <dataValidations count="1">
    <dataValidation type="decimal" operator="greaterThanOrEqual" allowBlank="1" showInputMessage="1" showErrorMessage="1" sqref="E32 E44 E46 E23:F27 E48:F51 E53:F58 D62:F71 E34:E4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H14" sqref="H1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ACUTE GASTRITIS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175</v>
      </c>
      <c r="E11" s="27" t="s">
        <v>179</v>
      </c>
      <c r="F11" s="55">
        <v>3</v>
      </c>
      <c r="G11" s="55">
        <v>3</v>
      </c>
      <c r="H11" s="55">
        <v>5</v>
      </c>
      <c r="I11" s="55">
        <v>60</v>
      </c>
      <c r="J11" s="55">
        <f>H11*I11</f>
        <v>300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195</v>
      </c>
      <c r="D12" s="27" t="s">
        <v>177</v>
      </c>
      <c r="E12" s="27" t="s">
        <v>196</v>
      </c>
      <c r="F12" s="55">
        <v>1</v>
      </c>
      <c r="G12" s="55">
        <v>1</v>
      </c>
      <c r="H12" s="55">
        <v>1</v>
      </c>
      <c r="I12" s="55">
        <v>50</v>
      </c>
      <c r="J12" s="55">
        <f t="shared" ref="J12:J20" si="0">H12*I12</f>
        <v>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187</v>
      </c>
      <c r="D13" s="27" t="s">
        <v>177</v>
      </c>
      <c r="E13" s="27" t="s">
        <v>197</v>
      </c>
      <c r="F13" s="55">
        <v>2</v>
      </c>
      <c r="G13" s="55">
        <v>3</v>
      </c>
      <c r="H13" s="55">
        <v>3</v>
      </c>
      <c r="I13" s="55">
        <v>50</v>
      </c>
      <c r="J13" s="55">
        <f t="shared" si="0"/>
        <v>150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198</v>
      </c>
      <c r="D14" s="27" t="s">
        <v>189</v>
      </c>
      <c r="E14" s="27" t="s">
        <v>188</v>
      </c>
      <c r="F14" s="55">
        <v>1</v>
      </c>
      <c r="G14" s="55">
        <v>2</v>
      </c>
      <c r="H14" s="55">
        <v>5</v>
      </c>
      <c r="I14" s="55">
        <v>8</v>
      </c>
      <c r="J14" s="55">
        <f t="shared" si="0"/>
        <v>40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190</v>
      </c>
      <c r="D15" s="27" t="s">
        <v>171</v>
      </c>
      <c r="E15" s="27" t="s">
        <v>172</v>
      </c>
      <c r="F15" s="55">
        <v>1</v>
      </c>
      <c r="G15" s="55">
        <v>2</v>
      </c>
      <c r="H15" s="55">
        <v>2</v>
      </c>
      <c r="I15" s="55">
        <v>100</v>
      </c>
      <c r="J15" s="55">
        <f t="shared" si="0"/>
        <v>200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7" workbookViewId="0">
      <selection activeCell="E20" sqref="E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ACUTE GASTRITIS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191</v>
      </c>
      <c r="D16" s="70" t="s">
        <v>170</v>
      </c>
      <c r="E16" s="55">
        <v>1</v>
      </c>
      <c r="F16" s="55">
        <v>100</v>
      </c>
      <c r="G16" s="55">
        <f>E16*F16</f>
        <v>100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192</v>
      </c>
      <c r="D17" s="70" t="s">
        <v>170</v>
      </c>
      <c r="E17" s="55">
        <v>1</v>
      </c>
      <c r="F17" s="55">
        <v>40</v>
      </c>
      <c r="G17" s="55">
        <f t="shared" ref="G17:G20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173</v>
      </c>
      <c r="D18" s="70" t="s">
        <v>170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169</v>
      </c>
      <c r="D19" s="70" t="s">
        <v>170</v>
      </c>
      <c r="E19" s="55">
        <v>3</v>
      </c>
      <c r="F19" s="55">
        <v>10</v>
      </c>
      <c r="G19" s="55">
        <f t="shared" si="0"/>
        <v>30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176</v>
      </c>
      <c r="D20" s="70" t="s">
        <v>170</v>
      </c>
      <c r="E20" s="55">
        <v>3</v>
      </c>
      <c r="F20" s="55">
        <v>10</v>
      </c>
      <c r="G20" s="55">
        <f t="shared" si="0"/>
        <v>30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ACUTE GASTRITIS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20</v>
      </c>
      <c r="F13" s="55"/>
      <c r="G13" s="55">
        <v>410</v>
      </c>
      <c r="H13" s="55">
        <v>20</v>
      </c>
      <c r="I13" s="55"/>
      <c r="J13" s="55">
        <v>30</v>
      </c>
      <c r="K13" s="55"/>
      <c r="L13" s="55"/>
      <c r="M13" s="55"/>
      <c r="N13" s="55"/>
      <c r="P13" s="88">
        <f>SUM(D13:N13)</f>
        <v>480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20</v>
      </c>
      <c r="F30" s="88">
        <f t="shared" si="1"/>
        <v>0</v>
      </c>
      <c r="G30" s="88">
        <f t="shared" si="1"/>
        <v>410</v>
      </c>
      <c r="H30" s="88">
        <f t="shared" si="1"/>
        <v>20</v>
      </c>
      <c r="I30" s="88">
        <f t="shared" si="1"/>
        <v>0</v>
      </c>
      <c r="J30" s="88">
        <f t="shared" si="1"/>
        <v>30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480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2018-06-01T06:04:36Z</dcterms:modified>
</cp:coreProperties>
</file>