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5" i="2" l="1"/>
  <c r="G24" i="9"/>
  <c r="G23" i="9"/>
  <c r="J20" i="2"/>
  <c r="G17" i="9"/>
  <c r="G18" i="9"/>
  <c r="G19" i="9"/>
  <c r="G20" i="9"/>
  <c r="G21" i="9"/>
  <c r="G22" i="9"/>
  <c r="G16" i="9"/>
  <c r="J12" i="2"/>
  <c r="J13" i="2"/>
  <c r="J14" i="2"/>
  <c r="J16" i="2"/>
  <c r="J17" i="2"/>
  <c r="J18" i="2"/>
  <c r="J19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<sst xmlns="http://schemas.openxmlformats.org/spreadsheetml/2006/main" count="511" uniqueCount="210">
  <si>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</si>
  <si>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</si>
  <si>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</si>
  <si>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</si>
  <si>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</si>
  <si>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</si>
  <si>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</si>
  <si>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</si>
  <si>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</si>
  <si>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</si>
  <si>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</si>
  <si>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</si>
  <si>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</si>
  <si>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</si>
  <si>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</si>
  <si>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</si>
  <si>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</si>
  <si>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</si>
  <si>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</si>
  <si>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</si>
  <si>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</si>
  <si>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</si>
  <si>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</si>
  <si>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</si>
  <si>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</si>
  <si>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</si>
  <si>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</si>
  <si>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</si>
  <si>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</si>
  <si>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</si>
  <si>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</si>
  <si>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</si>
  <si>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</si>
  <si>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</si>
  <si>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</si>
  <si>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</si>
  <si>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</si>
  <si>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</si>
  <si>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</si>
  <si>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</si>
  <si>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</si>
  <si>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</si>
  <si>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</si>
  <si>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</si>
  <si>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</si>
  <si>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</si>
  <si>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</si>
  <si>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</si>
  <si>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</si>
  <si>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</si>
  <si>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</si>
  <si>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</si>
  <si>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</si>
  <si>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</si>
  <si>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</si>
  <si>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</si>
  <si>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</si>
  <si>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</si>
  <si>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</si>
  <si>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</si>
  <si>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</si>
  <si>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</si>
  <si>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</si>
  <si>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</si>
  <si>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</si>
  <si>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</si>
  <si>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</si>
  <si>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</si>
  <si>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</si>
  <si>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</si>
  <si>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</si>
  <si>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</si>
  <si>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</si>
  <si>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</si>
  <si>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</si>
  <si>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</si>
  <si>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</si>
  <si>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</si>
  <si>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</si>
  <si>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</si>
  <si>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</si>
  <si>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</si>
  <si>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</si>
  <si>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</si>
  <si>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</si>
  <si>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</si>
  <si>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</si>
  <si>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</si>
  <si>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</si>
  <si>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</si>
  <si>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</si>
  <si>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</si>
  <si>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</si>
  <si>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</si>
  <si>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</si>
  <si>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</si>
  <si>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</si>
  <si>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</si>
  <si>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</si>
  <si>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</si>
  <si>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</si>
  <si>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</si>
  <si>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</si>
  <si>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</si>
  <si>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</si>
  <si>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</si>
  <si>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</si>
  <si>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</si>
  <si>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</si>
  <si>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</si>
  <si>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</si>
  <si>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</si>
  <si>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</si>
  <si>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</si>
  <si>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</si>
  <si>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</si>
  <si>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</si>
  <si>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</si>
  <si>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</si>
  <si>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</si>
  <si>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</si>
  <si>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</si>
  <si>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</si>
  <si>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</si>
  <si>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</si>
  <si>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</si>
  <si>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</si>
  <si>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</si>
  <si>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</si>
  <si>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</si>
  <si>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</si>
  <si>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</si>
  <si>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</si>
  <si>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</si>
  <si>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</si>
  <si>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</si>
  <si>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</si>
  <si>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</si>
  <si>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</si>
  <si>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</si>
  <si>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</si>
  <si>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</si>
  <si>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</si>
  <si>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</si>
  <si>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</si>
  <si>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</si>
  <si>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</si>
  <si>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</si>
  <si>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</si>
  <si>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</si>
  <si>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</si>
  <si>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</si>
  <si>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</si>
  <si>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</si>
  <si>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</si>
  <si>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</si>
  <si>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</si>
  <si>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</si>
  <si>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</si>
  <si>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</si>
  <si>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</si>
  <si>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</si>
  <si>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</si>
  <si>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</si>
  <si>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</si>
  <si>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</si>
  <si>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</si>
  <si>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</si>
  <si>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BOTTLE</t>
  </si>
  <si>
    <t>PLASTER 1/2</t>
  </si>
  <si>
    <t>SYRINGE 3CC</t>
  </si>
  <si>
    <t>PC</t>
  </si>
  <si>
    <t>SYRINGE 5CC</t>
  </si>
  <si>
    <t>CBC PLATELET COUNT</t>
  </si>
  <si>
    <t>ROOM AND BOARD</t>
  </si>
  <si>
    <t>AMPULE</t>
  </si>
  <si>
    <t>40MG</t>
  </si>
  <si>
    <t>OMEPRAZOLE</t>
  </si>
  <si>
    <t>500MG</t>
  </si>
  <si>
    <t>1LITER</t>
  </si>
  <si>
    <t>MACRO SET</t>
  </si>
  <si>
    <t>METOCLOPRAMIDE</t>
  </si>
  <si>
    <t>URINALYSIS</t>
  </si>
  <si>
    <t>NAKCL</t>
  </si>
  <si>
    <t>METRONIDAZOLE</t>
  </si>
  <si>
    <t>HYOSCINE</t>
  </si>
  <si>
    <t>10ML</t>
  </si>
  <si>
    <t>RANITIDINE</t>
  </si>
  <si>
    <t>ABOCATH 20</t>
  </si>
  <si>
    <t>CEFUROXIME</t>
  </si>
  <si>
    <t>750MG</t>
  </si>
  <si>
    <t>GLUCOSE</t>
  </si>
  <si>
    <t>BUN</t>
  </si>
  <si>
    <t>CREATININE</t>
  </si>
  <si>
    <t>CHOLESTEROL</t>
  </si>
  <si>
    <t>BUA</t>
  </si>
  <si>
    <t>K29.1</t>
  </si>
  <si>
    <t>TRIGLYCERIDES</t>
  </si>
  <si>
    <t>25MG</t>
  </si>
  <si>
    <t>ALUMINUM MAGNESIUM</t>
  </si>
  <si>
    <t>30CC</t>
  </si>
  <si>
    <t>1AMP</t>
  </si>
  <si>
    <t>PLAIN  NS SOLUTION</t>
  </si>
  <si>
    <t>DISTILLED WATER FOR INJECTION</t>
  </si>
  <si>
    <t>50CC</t>
  </si>
  <si>
    <t>MICROSET</t>
  </si>
  <si>
    <t>INJECTION PLUG</t>
  </si>
  <si>
    <t>IV CATHETER G#24</t>
  </si>
  <si>
    <t>IV CATHETER G#26</t>
  </si>
  <si>
    <t>ACUTE GASTRITIS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</si>
</sst>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topLeftCell="A57" zoomScale="90" zoomScaleNormal="9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209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192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193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194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 t="s">
        <v>195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 t="s">
        <v>197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30">
        <v>7</v>
      </c>
      <c r="C40" s="31" t="s">
        <v>182</v>
      </c>
      <c r="D40" s="23"/>
      <c r="E40" s="57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30">
        <v>8</v>
      </c>
      <c r="C41" s="31" t="s">
        <v>173</v>
      </c>
      <c r="D41" s="23"/>
      <c r="E41" s="57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30">
        <v>9</v>
      </c>
      <c r="C42" s="31" t="s">
        <v>183</v>
      </c>
      <c r="D42" s="23"/>
      <c r="E42" s="57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19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164</v>
      </c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44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53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 t="s">
        <v>164</v>
      </c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 t="s">
        <v>164</v>
      </c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165</v>
      </c>
      <c r="D62" s="55">
        <v>4270</v>
      </c>
      <c r="E62" s="55">
        <v>885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166</v>
      </c>
      <c r="D63" s="55"/>
      <c r="E63" s="55">
        <v>1230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174</v>
      </c>
      <c r="D64" s="55"/>
      <c r="E64" s="55">
        <v>400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4270</v>
      </c>
      <c r="E73" s="59">
        <f>SUM(E62:E72)</f>
        <v>2515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rRlWudKeLGKa0bJRE1pme8RJUq0B24u5WlugaiIX4bqWFqZxgG/ieO7TY6DY6oPQ/KQUcPt7PwPH1hcYEazs8w==" saltValue="lg8b+62xmCTghlWKt0aaTw==" spinCount="100000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47:F47"/>
  </mergeCells>
  <dataValidations count="1">
    <dataValidation type="decimal" operator="greaterThanOrEqual" allowBlank="1" showInputMessage="1" showErrorMessage="1" sqref="E46 E48:F51 E53:F58 D62:F71 E44 E32 E23:F27 E34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zoomScale="85" zoomScaleNormal="85" workbookViewId="0">
      <selection activeCell="G27" sqref="G27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189</v>
      </c>
      <c r="D11" s="27" t="s">
        <v>167</v>
      </c>
      <c r="E11" s="27" t="s">
        <v>190</v>
      </c>
      <c r="F11" s="55">
        <v>3</v>
      </c>
      <c r="G11" s="55">
        <v>5</v>
      </c>
      <c r="H11" s="55">
        <v>13</v>
      </c>
      <c r="I11" s="55">
        <v>40</v>
      </c>
      <c r="J11" s="55">
        <f>H11*I11</f>
        <v>520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187</v>
      </c>
      <c r="D12" s="27" t="s">
        <v>175</v>
      </c>
      <c r="E12" s="27" t="s">
        <v>198</v>
      </c>
      <c r="F12" s="55">
        <v>2</v>
      </c>
      <c r="G12" s="55">
        <v>3</v>
      </c>
      <c r="H12" s="55">
        <v>5</v>
      </c>
      <c r="I12" s="55">
        <v>50</v>
      </c>
      <c r="J12" s="55">
        <f t="shared" ref="J12:J20" si="0">H12*I12</f>
        <v>250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181</v>
      </c>
      <c r="D13" s="27" t="s">
        <v>175</v>
      </c>
      <c r="E13" s="27" t="s">
        <v>186</v>
      </c>
      <c r="F13" s="55">
        <v>1</v>
      </c>
      <c r="G13" s="55">
        <v>1</v>
      </c>
      <c r="H13" s="55">
        <v>1</v>
      </c>
      <c r="I13" s="55">
        <v>50</v>
      </c>
      <c r="J13" s="55">
        <f t="shared" si="0"/>
        <v>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184</v>
      </c>
      <c r="D14" s="27" t="s">
        <v>167</v>
      </c>
      <c r="E14" s="27" t="s">
        <v>178</v>
      </c>
      <c r="F14" s="55">
        <v>4</v>
      </c>
      <c r="G14" s="55">
        <v>4</v>
      </c>
      <c r="H14" s="55">
        <v>11</v>
      </c>
      <c r="I14" s="55">
        <v>75</v>
      </c>
      <c r="J14" s="55">
        <f t="shared" si="0"/>
        <v>825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177</v>
      </c>
      <c r="D15" s="27" t="s">
        <v>167</v>
      </c>
      <c r="E15" s="27" t="s">
        <v>176</v>
      </c>
      <c r="F15" s="55">
        <v>1</v>
      </c>
      <c r="G15" s="55">
        <v>4</v>
      </c>
      <c r="H15" s="55">
        <v>4</v>
      </c>
      <c r="I15" s="55">
        <v>200</v>
      </c>
      <c r="J15" s="55">
        <f t="shared" si="0"/>
        <v>800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199</v>
      </c>
      <c r="D16" s="27" t="s">
        <v>168</v>
      </c>
      <c r="E16" s="27" t="s">
        <v>200</v>
      </c>
      <c r="F16" s="55">
        <v>3</v>
      </c>
      <c r="G16" s="55">
        <v>2</v>
      </c>
      <c r="H16" s="55">
        <v>4</v>
      </c>
      <c r="I16" s="55">
        <v>50</v>
      </c>
      <c r="J16" s="55">
        <f t="shared" si="0"/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185</v>
      </c>
      <c r="D17" s="27" t="s">
        <v>175</v>
      </c>
      <c r="E17" s="27" t="s">
        <v>201</v>
      </c>
      <c r="F17" s="55">
        <v>1</v>
      </c>
      <c r="G17" s="55">
        <v>1</v>
      </c>
      <c r="H17" s="55">
        <v>1</v>
      </c>
      <c r="I17" s="55">
        <v>100</v>
      </c>
      <c r="J17" s="55">
        <f t="shared" si="0"/>
        <v>100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202</v>
      </c>
      <c r="D18" s="27" t="s">
        <v>168</v>
      </c>
      <c r="E18" s="27" t="s">
        <v>179</v>
      </c>
      <c r="F18" s="55">
        <v>1</v>
      </c>
      <c r="G18" s="55">
        <v>4</v>
      </c>
      <c r="H18" s="55">
        <v>6</v>
      </c>
      <c r="I18" s="55">
        <v>100</v>
      </c>
      <c r="J18" s="55">
        <f t="shared" si="0"/>
        <v>600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203</v>
      </c>
      <c r="D19" s="27" t="s">
        <v>168</v>
      </c>
      <c r="E19" s="27" t="s">
        <v>204</v>
      </c>
      <c r="F19" s="55">
        <v>2</v>
      </c>
      <c r="G19" s="55">
        <v>4</v>
      </c>
      <c r="H19" s="55">
        <v>6</v>
      </c>
      <c r="I19" s="55">
        <v>85</v>
      </c>
      <c r="J19" s="55">
        <f t="shared" si="0"/>
        <v>510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16" sqref="G16:G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188</v>
      </c>
      <c r="D16" s="70" t="s">
        <v>171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180</v>
      </c>
      <c r="D17" s="70" t="s">
        <v>171</v>
      </c>
      <c r="E17" s="55">
        <v>1</v>
      </c>
      <c r="F17" s="55">
        <v>40</v>
      </c>
      <c r="G17" s="55">
        <f t="shared" ref="G17:G24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169</v>
      </c>
      <c r="D18" s="70" t="s">
        <v>171</v>
      </c>
      <c r="E18" s="55">
        <v>2</v>
      </c>
      <c r="F18" s="55">
        <v>40</v>
      </c>
      <c r="G18" s="55">
        <f t="shared" si="0"/>
        <v>80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171</v>
      </c>
      <c r="E19" s="55">
        <v>20</v>
      </c>
      <c r="F19" s="55">
        <v>10</v>
      </c>
      <c r="G19" s="55">
        <f t="shared" si="0"/>
        <v>200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172</v>
      </c>
      <c r="D20" s="70" t="s">
        <v>171</v>
      </c>
      <c r="E20" s="55">
        <v>35</v>
      </c>
      <c r="F20" s="55">
        <v>10</v>
      </c>
      <c r="G20" s="55">
        <f t="shared" si="0"/>
        <v>350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205</v>
      </c>
      <c r="D21" s="70" t="s">
        <v>171</v>
      </c>
      <c r="E21" s="55">
        <v>2</v>
      </c>
      <c r="F21" s="55">
        <v>40</v>
      </c>
      <c r="G21" s="55">
        <f t="shared" si="0"/>
        <v>80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206</v>
      </c>
      <c r="D22" s="70" t="s">
        <v>171</v>
      </c>
      <c r="E22" s="55">
        <v>2</v>
      </c>
      <c r="F22" s="55">
        <v>65</v>
      </c>
      <c r="G22" s="55">
        <f t="shared" si="0"/>
        <v>130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207</v>
      </c>
      <c r="D23" s="70" t="s">
        <v>171</v>
      </c>
      <c r="E23" s="55">
        <v>1</v>
      </c>
      <c r="F23" s="55">
        <v>90</v>
      </c>
      <c r="G23" s="55">
        <f t="shared" si="0"/>
        <v>90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208</v>
      </c>
      <c r="D24" s="70" t="s">
        <v>171</v>
      </c>
      <c r="E24" s="55">
        <v>2</v>
      </c>
      <c r="F24" s="55">
        <v>120</v>
      </c>
      <c r="G24" s="55">
        <f t="shared" si="0"/>
        <v>240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E14" sqref="E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50</v>
      </c>
      <c r="F13" s="55"/>
      <c r="G13" s="55">
        <v>510</v>
      </c>
      <c r="H13" s="55">
        <v>30</v>
      </c>
      <c r="I13" s="55"/>
      <c r="J13" s="55">
        <v>85</v>
      </c>
      <c r="K13" s="55"/>
      <c r="L13" s="55"/>
      <c r="M13" s="55"/>
      <c r="N13" s="55"/>
      <c r="P13" s="88">
        <f>SUM(D13:N13)</f>
        <v>675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510</v>
      </c>
      <c r="H30" s="88">
        <f t="shared" si="1"/>
        <v>30</v>
      </c>
      <c r="I30" s="88">
        <f t="shared" si="1"/>
        <v>0</v>
      </c>
      <c r="J30" s="88">
        <f t="shared" si="1"/>
        <v>85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2018-06-01T06:12:35Z</dcterms:modified>
</cp:coreProperties>
</file>