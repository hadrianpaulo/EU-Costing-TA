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4" i="9" l="1"/>
  <c r="G23" i="9"/>
  <c r="G22" i="9"/>
  <c r="G21" i="9"/>
  <c r="G17" i="9"/>
  <c r="G18" i="9"/>
  <c r="G19" i="9"/>
  <c r="G20" i="9"/>
  <c r="G16" i="9"/>
  <c r="J12" i="2"/>
  <c r="J13" i="2"/>
  <c r="J14" i="2"/>
  <c r="J15" i="2"/>
  <c r="J16" i="2"/>
  <c r="J17" i="2"/>
  <c r="J18" i="2"/>
  <c r="J19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<sst xmlns="http://schemas.openxmlformats.org/spreadsheetml/2006/main" count="505" uniqueCount="204">
  <si>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</si>
  <si>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</si>
  <si>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</si>
  <si>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</si>
  <si>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</si>
  <si>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</si>
  <si>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</si>
  <si>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</si>
  <si>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</si>
  <si>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</si>
  <si>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</si>
  <si>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</si>
  <si>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</si>
  <si>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</si>
  <si>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</si>
  <si>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</si>
  <si>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</si>
  <si>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</si>
  <si>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</si>
  <si>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</si>
  <si>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</si>
  <si>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</si>
  <si>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</si>
  <si>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</si>
  <si>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</si>
  <si>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</si>
  <si>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</si>
  <si>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</si>
  <si>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</si>
  <si>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</si>
  <si>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</si>
  <si>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</si>
  <si>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</si>
  <si>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</si>
  <si>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</si>
  <si>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</si>
  <si>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</si>
  <si>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</si>
  <si>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</si>
  <si>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</si>
  <si>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</si>
  <si>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</si>
  <si>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</si>
  <si>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</si>
  <si>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</si>
  <si>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</si>
  <si>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</si>
  <si>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</si>
  <si>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</si>
  <si>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</si>
  <si>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</si>
  <si>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</si>
  <si>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</si>
  <si>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</si>
  <si>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</si>
  <si>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</si>
  <si>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</si>
  <si>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</si>
  <si>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</si>
  <si>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</si>
  <si>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</si>
  <si>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</si>
  <si>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</si>
  <si>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</si>
  <si>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</si>
  <si>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</si>
  <si>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</si>
  <si>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</si>
  <si>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</si>
  <si>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</si>
  <si>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</si>
  <si>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</si>
  <si>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</si>
  <si>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</si>
  <si>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</si>
  <si>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</si>
  <si>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</si>
  <si>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</si>
  <si>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</si>
  <si>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</si>
  <si>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</si>
  <si>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</si>
  <si>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</si>
  <si>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</si>
  <si>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</si>
  <si>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</si>
  <si>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</si>
  <si>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</si>
  <si>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</si>
  <si>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</si>
  <si>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</si>
  <si>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</si>
  <si>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</si>
  <si>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</si>
  <si>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</si>
  <si>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</si>
  <si>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</si>
  <si>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</si>
  <si>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</si>
  <si>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</si>
  <si>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</si>
  <si>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</si>
  <si>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</si>
  <si>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</si>
  <si>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</si>
  <si>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</si>
  <si>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</si>
  <si>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</si>
  <si>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</si>
  <si>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</si>
  <si>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</si>
  <si>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</si>
  <si>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</si>
  <si>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</si>
  <si>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</si>
  <si>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</si>
  <si>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</si>
  <si>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</si>
  <si>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</si>
  <si>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</si>
  <si>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</si>
  <si>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</si>
  <si>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</si>
  <si>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</si>
  <si>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</si>
  <si>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</si>
  <si>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</si>
  <si>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</si>
  <si>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</si>
  <si>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</si>
  <si>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</si>
  <si>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</si>
  <si>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</si>
  <si>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</si>
  <si>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</si>
  <si>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</si>
  <si>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</si>
  <si>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</si>
  <si>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</si>
  <si>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</si>
  <si>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</si>
  <si>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</si>
  <si>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</si>
  <si>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</si>
  <si>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</si>
  <si>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</si>
  <si>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</si>
  <si>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</si>
  <si>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</si>
  <si>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</si>
  <si>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</si>
  <si>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</si>
  <si>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</si>
  <si>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</si>
  <si>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</si>
  <si>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</si>
  <si>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</si>
  <si>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</si>
  <si>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</si>
  <si>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</si>
  <si>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</si>
  <si>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</si>
  <si>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</si>
  <si>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</si>
  <si>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</si>
  <si>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</si>
  <si>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</si>
  <si>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</si>
  <si>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</si>
  <si>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</si>
  <si>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</si>
  <si>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</si>
  <si>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</si>
  <si>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</si>
  <si>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</si>
  <si>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</si>
  <si>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1LITER</t>
  </si>
  <si>
    <t>MACRO SET</t>
  </si>
  <si>
    <t>URINALYSIS</t>
  </si>
  <si>
    <t>HYOSCINE</t>
  </si>
  <si>
    <t>PLAIN NS SOLUTION</t>
  </si>
  <si>
    <t>ABOCATH 20</t>
  </si>
  <si>
    <t>CEFUROXIME</t>
  </si>
  <si>
    <t>750MG</t>
  </si>
  <si>
    <t>ROD</t>
  </si>
  <si>
    <t>50MG</t>
  </si>
  <si>
    <t>K29.1</t>
  </si>
  <si>
    <t>1AMP</t>
  </si>
  <si>
    <t>D5 WATER</t>
  </si>
  <si>
    <t>TRAMADOL</t>
  </si>
  <si>
    <t>ALMAGOH</t>
  </si>
  <si>
    <t>15ML</t>
  </si>
  <si>
    <t xml:space="preserve">MUCOSTA </t>
  </si>
  <si>
    <t>TABLET</t>
  </si>
  <si>
    <t>100MG</t>
  </si>
  <si>
    <t>OMEPRAZOLE</t>
  </si>
  <si>
    <t>80MG</t>
  </si>
  <si>
    <t>DISTILLED WATER FOR INJECTION</t>
  </si>
  <si>
    <t>50CC</t>
  </si>
  <si>
    <t>INJECTION PLUG</t>
  </si>
  <si>
    <t>IV CATHETER G#22</t>
  </si>
  <si>
    <t>IV CATHETER G#24</t>
  </si>
  <si>
    <t>SPLINT ADULT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</si>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</sst>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tabSelected="1" topLeftCell="A51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44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4" t="s">
        <v>45</v>
      </c>
      <c r="C39" s="13"/>
      <c r="D39" s="13"/>
      <c r="E39" s="16"/>
      <c r="F39" s="1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53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1</v>
      </c>
      <c r="C41" s="31" t="s">
        <v>164</v>
      </c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2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3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4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20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164</v>
      </c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5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6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/>
      <c r="C52" s="25"/>
      <c r="D52" s="25"/>
      <c r="E52" s="25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57.75" customHeight="1" thickBot="1" x14ac:dyDescent="0.35">
      <c r="A54" s="1"/>
      <c r="B54" s="17" t="s">
        <v>55</v>
      </c>
      <c r="C54" s="17" t="s">
        <v>51</v>
      </c>
      <c r="D54" s="17" t="s">
        <v>56</v>
      </c>
      <c r="E54" s="18" t="s">
        <v>57</v>
      </c>
      <c r="F54" s="19" t="s">
        <v>21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2">
        <v>1</v>
      </c>
      <c r="C55" s="27" t="s">
        <v>165</v>
      </c>
      <c r="D55" s="55">
        <v>3965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2</v>
      </c>
      <c r="C56" s="27" t="s">
        <v>166</v>
      </c>
      <c r="D56" s="55">
        <v>205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3</v>
      </c>
      <c r="C57" s="27" t="s">
        <v>174</v>
      </c>
      <c r="D57" s="55">
        <v>100</v>
      </c>
      <c r="E57" s="55"/>
      <c r="F57" s="55">
        <v>700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4</v>
      </c>
      <c r="C58" s="27" t="s">
        <v>184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5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6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7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8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9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10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SUM(D55:D65)</f>
        <v>4870</v>
      </c>
      <c r="E66" s="59">
        <f>SUM(E55:E65)</f>
        <v>0</v>
      </c>
      <c r="F66" s="59">
        <f>SUM(F55:F65)</f>
        <v>700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algorithmName="SHA-512" hashValue="DdAN5LqOk5i41EG9gepQ4n+hd9IPmOlYvLs70CdoNQ/9xHiwoJwnlQ0OHvhg9WpPqZpHUGp7PveUn5xrGoeJzQ==" saltValue="YM3KrIdVJSV2qLZCpWyvOw==" spinCount="100000" sheet="1" objects="1" scenarios="1" formatColumns="0" formatRows="0" sort="0" autoFilter="0"/>
  <mergeCells count="12">
    <mergeCell ref="B45:F45"/>
    <mergeCell ref="B38:F38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0:F40"/>
  </mergeCells>
  <dataValidations count="1">
    <dataValidation type="decimal" operator="greaterThanOrEqual" allowBlank="1" showInputMessage="1" showErrorMessage="1" sqref="E39 E41:F44 E46:F51 D55:F64 E37 E32 E23:F2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7" zoomScale="115" zoomScaleNormal="115" workbookViewId="0">
      <selection activeCell="C32" sqref="C32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167</v>
      </c>
      <c r="E11" s="27" t="s">
        <v>183</v>
      </c>
      <c r="F11" s="55">
        <v>3</v>
      </c>
      <c r="G11" s="55">
        <v>3</v>
      </c>
      <c r="H11" s="55">
        <v>9</v>
      </c>
      <c r="I11" s="55">
        <v>40</v>
      </c>
      <c r="J11" s="55">
        <f>I11*H11</f>
        <v>360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175</v>
      </c>
      <c r="E12" s="27" t="s">
        <v>187</v>
      </c>
      <c r="F12" s="55">
        <v>3</v>
      </c>
      <c r="G12" s="55">
        <v>2</v>
      </c>
      <c r="H12" s="55">
        <v>6</v>
      </c>
      <c r="I12" s="55">
        <v>100</v>
      </c>
      <c r="J12" s="55">
        <f t="shared" ref="J12:J19" si="0">I12*H12</f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175</v>
      </c>
      <c r="E13" s="27" t="s">
        <v>185</v>
      </c>
      <c r="F13" s="55">
        <v>3</v>
      </c>
      <c r="G13" s="55">
        <v>1</v>
      </c>
      <c r="H13" s="55">
        <v>3</v>
      </c>
      <c r="I13" s="55">
        <v>75</v>
      </c>
      <c r="J13" s="55">
        <f t="shared" si="0"/>
        <v>225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168</v>
      </c>
      <c r="E14" s="27" t="s">
        <v>176</v>
      </c>
      <c r="F14" s="55">
        <v>1</v>
      </c>
      <c r="G14" s="55">
        <v>3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168</v>
      </c>
      <c r="E15" s="27" t="s">
        <v>176</v>
      </c>
      <c r="F15" s="55">
        <v>2</v>
      </c>
      <c r="G15" s="55">
        <v>1</v>
      </c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168</v>
      </c>
      <c r="E16" s="27" t="s">
        <v>191</v>
      </c>
      <c r="F16" s="55">
        <v>3</v>
      </c>
      <c r="G16" s="55">
        <v>1</v>
      </c>
      <c r="H16" s="55">
        <v>3</v>
      </c>
      <c r="I16" s="55">
        <v>50</v>
      </c>
      <c r="J16" s="55">
        <f t="shared" si="0"/>
        <v>150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193</v>
      </c>
      <c r="E17" s="27" t="s">
        <v>194</v>
      </c>
      <c r="F17" s="55">
        <v>3</v>
      </c>
      <c r="G17" s="55">
        <v>1</v>
      </c>
      <c r="H17" s="55">
        <v>3</v>
      </c>
      <c r="I17" s="55">
        <v>40</v>
      </c>
      <c r="J17" s="55">
        <f t="shared" si="0"/>
        <v>120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195</v>
      </c>
      <c r="D18" s="27" t="s">
        <v>167</v>
      </c>
      <c r="E18" s="27" t="s">
        <v>196</v>
      </c>
      <c r="F18" s="55">
        <v>1</v>
      </c>
      <c r="G18" s="55">
        <v>2</v>
      </c>
      <c r="H18" s="55">
        <v>2</v>
      </c>
      <c r="I18" s="55">
        <v>400</v>
      </c>
      <c r="J18" s="55">
        <f t="shared" si="0"/>
        <v>800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197</v>
      </c>
      <c r="D19" s="27" t="s">
        <v>168</v>
      </c>
      <c r="E19" s="27" t="s">
        <v>198</v>
      </c>
      <c r="F19" s="55">
        <v>1</v>
      </c>
      <c r="G19" s="55">
        <v>2</v>
      </c>
      <c r="H19" s="55">
        <v>2</v>
      </c>
      <c r="I19" s="55">
        <v>85</v>
      </c>
      <c r="J19" s="55">
        <f t="shared" si="0"/>
        <v>170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171</v>
      </c>
      <c r="E17" s="55">
        <v>2</v>
      </c>
      <c r="F17" s="55">
        <v>40</v>
      </c>
      <c r="G17" s="55">
        <f t="shared" ref="G17:G20" si="0">E17*F17</f>
        <v>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2</v>
      </c>
      <c r="F18" s="55">
        <v>40</v>
      </c>
      <c r="G18" s="55">
        <f t="shared" si="0"/>
        <v>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15</v>
      </c>
      <c r="F19" s="55">
        <v>10</v>
      </c>
      <c r="G19" s="55">
        <f t="shared" si="0"/>
        <v>150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13</v>
      </c>
      <c r="F20" s="55">
        <v>10</v>
      </c>
      <c r="G20" s="55">
        <f t="shared" si="0"/>
        <v>130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199</v>
      </c>
      <c r="D21" s="70" t="s">
        <v>171</v>
      </c>
      <c r="E21" s="55">
        <v>2</v>
      </c>
      <c r="F21" s="55">
        <v>65</v>
      </c>
      <c r="G21" s="55">
        <f>E21*F21</f>
        <v>130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200</v>
      </c>
      <c r="D22" s="70" t="s">
        <v>171</v>
      </c>
      <c r="E22" s="55">
        <v>1</v>
      </c>
      <c r="F22" s="55">
        <v>90</v>
      </c>
      <c r="G22" s="55">
        <f>E22*F22</f>
        <v>90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201</v>
      </c>
      <c r="D23" s="70" t="s">
        <v>171</v>
      </c>
      <c r="E23" s="55">
        <v>1</v>
      </c>
      <c r="F23" s="55">
        <v>90</v>
      </c>
      <c r="G23" s="55">
        <f>E23*F23</f>
        <v>90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202</v>
      </c>
      <c r="D24" s="70" t="s">
        <v>171</v>
      </c>
      <c r="E24" s="55">
        <v>1</v>
      </c>
      <c r="F24" s="55">
        <v>200</v>
      </c>
      <c r="G24" s="55">
        <f>E24*F24</f>
        <v>200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410</v>
      </c>
      <c r="H13" s="55">
        <v>10</v>
      </c>
      <c r="I13" s="55"/>
      <c r="J13" s="55">
        <v>30</v>
      </c>
      <c r="K13" s="55"/>
      <c r="L13" s="55"/>
      <c r="M13" s="55"/>
      <c r="N13" s="55"/>
      <c r="P13" s="88">
        <f>SUM(D13:N13)</f>
        <v>470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410</v>
      </c>
      <c r="H30" s="88">
        <f t="shared" si="1"/>
        <v>10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2018-06-01T06:44:19Z</dcterms:modified>
</cp:coreProperties>
</file>