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8" i="2" l="1"/>
  <c r="J17" i="2"/>
  <c r="J16" i="2"/>
  <c r="J15" i="2"/>
  <c r="J14" i="2"/>
  <c r="J13" i="2"/>
  <c r="J12" i="2"/>
  <c r="J11" i="2"/>
  <c r="G20" i="9"/>
  <c r="G19" i="9"/>
  <c r="G18" i="9"/>
  <c r="G17" i="9"/>
  <c r="G16" i="9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<sst xmlns="http://schemas.openxmlformats.org/spreadsheetml/2006/main" count="478" uniqueCount="186">
  <si>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</si>
  <si>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</si>
  <si>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</si>
  <si>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</si>
  <si>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</si>
  <si>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</si>
  <si>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</si>
  <si>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</si>
  <si>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</si>
  <si>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</si>
  <si>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</si>
  <si>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</si>
  <si>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</si>
  <si>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</si>
  <si>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</si>
  <si>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</si>
  <si>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</si>
  <si>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</si>
  <si>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</si>
  <si>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</si>
  <si>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</si>
  <si>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</si>
  <si>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</si>
  <si>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</si>
  <si>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</si>
  <si>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</si>
  <si>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</si>
  <si>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</si>
  <si>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</si>
  <si>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</si>
  <si>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</si>
  <si>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</si>
  <si>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</si>
  <si>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</si>
  <si>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</si>
  <si>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</si>
  <si>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</si>
  <si>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</si>
  <si>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</si>
  <si>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</si>
  <si>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</si>
  <si>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</si>
  <si>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</si>
  <si>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</si>
  <si>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</si>
  <si>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</si>
  <si>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</si>
  <si>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</si>
  <si>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</si>
  <si>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</si>
  <si>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</si>
  <si>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</si>
  <si>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</si>
  <si>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</si>
  <si>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</si>
  <si>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</si>
  <si>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</si>
  <si>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</si>
  <si>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</si>
  <si>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</si>
  <si>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</si>
  <si>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</si>
  <si>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</si>
  <si>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</si>
  <si>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</si>
  <si>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</si>
  <si>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</si>
  <si>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</si>
  <si>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</si>
  <si>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</si>
  <si>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</si>
  <si>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</si>
  <si>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</si>
  <si>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</si>
  <si>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</si>
  <si>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</si>
  <si>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</si>
  <si>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</si>
  <si>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</si>
  <si>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</si>
  <si>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</si>
  <si>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</si>
  <si>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</si>
  <si>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</si>
  <si>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</si>
  <si>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</si>
  <si>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</si>
  <si>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</si>
  <si>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</si>
  <si>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</si>
  <si>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</si>
  <si>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</si>
  <si>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</si>
  <si>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</si>
  <si>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</si>
  <si>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</si>
  <si>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</si>
  <si>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</si>
  <si>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</si>
  <si>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</si>
  <si>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</si>
  <si>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</si>
  <si>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</si>
  <si>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</si>
  <si>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</si>
  <si>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</si>
  <si>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</si>
  <si>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</si>
  <si>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</si>
  <si>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</si>
  <si>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</si>
  <si>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</si>
  <si>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</si>
  <si>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</si>
  <si>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</si>
  <si>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</si>
  <si>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</si>
  <si>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</si>
  <si>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</si>
  <si>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</si>
  <si>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</si>
  <si>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</si>
  <si>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</si>
  <si>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</si>
  <si>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</si>
  <si>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</si>
  <si>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</si>
  <si>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</si>
  <si>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</si>
  <si>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</si>
  <si>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</si>
  <si>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</si>
  <si>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</si>
  <si>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</si>
  <si>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</si>
  <si>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</si>
  <si>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</si>
  <si>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</si>
  <si>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</si>
  <si>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</si>
  <si>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</si>
  <si>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</si>
  <si>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</si>
  <si>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</si>
  <si>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</si>
  <si>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</si>
  <si>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</si>
  <si>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</si>
  <si>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</si>
  <si>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</si>
  <si>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</si>
  <si>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</si>
  <si>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</si>
  <si>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</si>
  <si>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</si>
  <si>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</si>
  <si>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</si>
  <si>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</si>
  <si>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</si>
  <si>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</si>
  <si>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</si>
  <si>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</si>
  <si>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</si>
  <si>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</si>
  <si>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</si>
  <si>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ROOM AND BOARD</t>
  </si>
  <si>
    <t>ACUTE GASTRITIS WITH MOD DHN/ DM TYPE II</t>
  </si>
  <si>
    <t>K29.1</t>
  </si>
  <si>
    <t>E10.9</t>
  </si>
  <si>
    <t>ROD</t>
  </si>
  <si>
    <t>RANITIDINE</t>
  </si>
  <si>
    <t>CEFUROXIME</t>
  </si>
  <si>
    <t>METOCLOPROMIDE</t>
  </si>
  <si>
    <t>Visit in the ward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</si>
  <si>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</si>
  <si>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</si>
  <si>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</si>
  <si>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</si>
  <si>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</si>
  <si>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</si>
  <si>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</si>
  <si>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VIAL</t>
  </si>
  <si>
    <t>50MG</t>
  </si>
  <si>
    <t>750MG</t>
  </si>
  <si>
    <t>AMPULE</t>
  </si>
  <si>
    <t>10MG/ML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</si>
</sst>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B12" sqref="B12:F1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163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163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164</v>
      </c>
      <c r="D60" s="55">
        <v>1290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165</v>
      </c>
      <c r="D61" s="55">
        <v>1200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900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3390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ACUTE GASTRITIS WITH MOD DHN/ DM TYPE 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181</v>
      </c>
      <c r="E11" s="27" t="s">
        <v>182</v>
      </c>
      <c r="F11" s="55">
        <v>2</v>
      </c>
      <c r="G11" s="55">
        <v>4</v>
      </c>
      <c r="H11" s="55">
        <v>7</v>
      </c>
      <c r="I11" s="55">
        <v>50</v>
      </c>
      <c r="J11" s="55">
        <f>H11*I11</f>
        <v>350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181</v>
      </c>
      <c r="E12" s="27" t="s">
        <v>183</v>
      </c>
      <c r="F12" s="55">
        <v>3</v>
      </c>
      <c r="G12" s="55">
        <v>4</v>
      </c>
      <c r="H12" s="55">
        <v>10</v>
      </c>
      <c r="I12" s="55">
        <v>60</v>
      </c>
      <c r="J12" s="55">
        <f t="shared" ref="J12:J18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184</v>
      </c>
      <c r="E13" s="27" t="s">
        <v>185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ACUTE GASTRITIS WITH MOD DHN/ DM TYPE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175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175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178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175</v>
      </c>
      <c r="E19" s="55">
        <v>9</v>
      </c>
      <c r="F19" s="55">
        <v>10</v>
      </c>
      <c r="G19" s="55">
        <f t="shared" si="0"/>
        <v>90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175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D20" sqref="D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ACUTE GASTRITIS WITH MOD DHN/ DM TYPE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f>10*3</f>
        <v>30</v>
      </c>
      <c r="F13" s="55"/>
      <c r="G13" s="55">
        <f>24*3*60/8</f>
        <v>540</v>
      </c>
      <c r="H13" s="55"/>
      <c r="I13" s="55"/>
      <c r="J13" s="55">
        <f>5*3</f>
        <v>15</v>
      </c>
      <c r="K13" s="55"/>
      <c r="L13" s="55"/>
      <c r="M13" s="55"/>
      <c r="N13" s="55"/>
      <c r="P13" s="88">
        <f>SUM(D13:N13)</f>
        <v>585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2018-06-01T06:37:43Z</dcterms:modified>
</cp:coreProperties>
</file>