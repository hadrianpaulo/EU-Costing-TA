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<sst xmlns="http://schemas.openxmlformats.org/spreadsheetml/2006/main" count="488" uniqueCount="193">
  <si>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</si>
  <si>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</si>
  <si>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</si>
  <si>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</si>
  <si>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</si>
  <si>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</si>
  <si>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</si>
  <si>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</si>
  <si>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</si>
  <si>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</si>
  <si>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</si>
  <si>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</si>
  <si>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</si>
  <si>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</si>
  <si>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</si>
  <si>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</si>
  <si>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</si>
  <si>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</si>
  <si>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</si>
  <si>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</si>
  <si>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</si>
  <si>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</si>
  <si>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</si>
  <si>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</si>
  <si>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</si>
  <si>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</si>
  <si>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</si>
  <si>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</si>
  <si>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</si>
  <si>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</si>
  <si>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</si>
  <si>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</si>
  <si>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</si>
  <si>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</si>
  <si>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</si>
  <si>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</si>
  <si>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</si>
  <si>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</si>
  <si>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</si>
  <si>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</si>
  <si>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</si>
  <si>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</si>
  <si>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</si>
  <si>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</si>
  <si>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</si>
  <si>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</si>
  <si>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</si>
  <si>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</si>
  <si>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</si>
  <si>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</si>
  <si>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</si>
  <si>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</si>
  <si>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</si>
  <si>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</si>
  <si>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</si>
  <si>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</si>
  <si>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</si>
  <si>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</si>
  <si>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</si>
  <si>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</si>
  <si>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</si>
  <si>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</si>
  <si>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</si>
  <si>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</si>
  <si>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</si>
  <si>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</si>
  <si>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</si>
  <si>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</si>
  <si>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</si>
  <si>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</si>
  <si>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</si>
  <si>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</si>
  <si>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</si>
  <si>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</si>
  <si>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</si>
  <si>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</si>
  <si>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</si>
  <si>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</si>
  <si>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</si>
  <si>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</si>
  <si>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</si>
  <si>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</si>
  <si>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</si>
  <si>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</si>
  <si>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</si>
  <si>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</si>
  <si>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</si>
  <si>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</si>
  <si>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</si>
  <si>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</si>
  <si>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</si>
  <si>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</si>
  <si>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</si>
  <si>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</si>
  <si>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</si>
  <si>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</si>
  <si>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</si>
  <si>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</si>
  <si>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</si>
  <si>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</si>
  <si>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</si>
  <si>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</si>
  <si>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</si>
  <si>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</si>
  <si>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</si>
  <si>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</si>
  <si>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</si>
  <si>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</si>
  <si>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</si>
  <si>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</si>
  <si>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</si>
  <si>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</si>
  <si>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</si>
  <si>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</si>
  <si>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</si>
  <si>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</si>
  <si>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</si>
  <si>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</si>
  <si>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</si>
  <si>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</si>
  <si>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</si>
  <si>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</si>
  <si>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</si>
  <si>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</si>
  <si>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</si>
  <si>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</si>
  <si>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</si>
  <si>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</si>
  <si>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</si>
  <si>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</si>
  <si>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</si>
  <si>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</si>
  <si>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</si>
  <si>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</si>
  <si>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</si>
  <si>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</si>
  <si>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</si>
  <si>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</si>
  <si>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</si>
  <si>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</si>
  <si>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</si>
  <si>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</si>
  <si>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</si>
  <si>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</si>
  <si>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</si>
  <si>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</si>
  <si>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</si>
  <si>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</si>
  <si>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</si>
  <si>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</si>
  <si>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</si>
  <si>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</si>
  <si>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</si>
  <si>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</si>
  <si>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</si>
  <si>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</si>
  <si>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</si>
  <si>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</si>
  <si>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</si>
  <si>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</si>
  <si>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</si>
  <si>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</si>
  <si>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</si>
  <si>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</si>
  <si>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</si>
  <si>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</si>
  <si>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</si>
  <si>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</si>
  <si>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</si>
  <si>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500MG</t>
  </si>
  <si>
    <t>AMPULE</t>
  </si>
  <si>
    <t>SYRINGE 3CC</t>
  </si>
  <si>
    <t>PC</t>
  </si>
  <si>
    <t>BOTTLE</t>
  </si>
  <si>
    <t>1LITER</t>
  </si>
  <si>
    <t>MACRO SET</t>
  </si>
  <si>
    <t>PLASTER 1/2</t>
  </si>
  <si>
    <t>CBC PLATELET COUNT</t>
  </si>
  <si>
    <t>XRAY</t>
  </si>
  <si>
    <t>VIAL</t>
  </si>
  <si>
    <t>SYRINGE 5CC</t>
  </si>
  <si>
    <t>METOCLOPRAMIDE</t>
  </si>
  <si>
    <t>10MG</t>
  </si>
  <si>
    <t>D5LR</t>
  </si>
  <si>
    <t>METRONIDAZOLE</t>
  </si>
  <si>
    <t>CEFUROXIME</t>
  </si>
  <si>
    <t>ABOCATH GAUGE 22</t>
  </si>
  <si>
    <t>OMEPRAZOLE</t>
  </si>
  <si>
    <t>40MG</t>
  </si>
  <si>
    <t>750MG</t>
  </si>
  <si>
    <t>K29.1</t>
  </si>
  <si>
    <t>20MG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</si>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</sst>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topLeftCell="A54" zoomScaleNormal="100" workbookViewId="0">
      <selection activeCell="D26" sqref="D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3400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205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300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178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3905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3" sqref="C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181</v>
      </c>
      <c r="D11" s="27" t="s">
        <v>170</v>
      </c>
      <c r="E11" s="27" t="s">
        <v>182</v>
      </c>
      <c r="F11" s="55">
        <v>4</v>
      </c>
      <c r="G11" s="55">
        <v>2</v>
      </c>
      <c r="H11" s="55">
        <v>5</v>
      </c>
      <c r="I11" s="55">
        <v>50</v>
      </c>
      <c r="J11" s="55">
        <f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179</v>
      </c>
      <c r="E12" s="27" t="s">
        <v>191</v>
      </c>
      <c r="F12" s="55">
        <v>1</v>
      </c>
      <c r="G12" s="55">
        <v>3</v>
      </c>
      <c r="H12" s="55">
        <v>5</v>
      </c>
      <c r="I12" s="55">
        <v>200</v>
      </c>
      <c r="J12" s="55">
        <f t="shared" ref="J12:J16" si="0">H12*I12</f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179</v>
      </c>
      <c r="E13" s="27" t="s">
        <v>189</v>
      </c>
      <c r="F13" s="55">
        <v>2</v>
      </c>
      <c r="G13" s="55">
        <v>3</v>
      </c>
      <c r="H13" s="55">
        <v>5</v>
      </c>
      <c r="I13" s="55">
        <v>60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179</v>
      </c>
      <c r="E14" s="27" t="s">
        <v>169</v>
      </c>
      <c r="F14" s="55">
        <v>4</v>
      </c>
      <c r="G14" s="55">
        <v>3</v>
      </c>
      <c r="H14" s="55">
        <v>12</v>
      </c>
      <c r="I14" s="55">
        <v>60</v>
      </c>
      <c r="J14" s="55">
        <f t="shared" si="0"/>
        <v>720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179</v>
      </c>
      <c r="E15" s="27" t="s">
        <v>188</v>
      </c>
      <c r="F15" s="55">
        <v>1</v>
      </c>
      <c r="G15" s="55">
        <v>1</v>
      </c>
      <c r="H15" s="55">
        <v>1</v>
      </c>
      <c r="I15" s="55">
        <v>200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173</v>
      </c>
      <c r="E16" s="27" t="s">
        <v>174</v>
      </c>
      <c r="F16" s="55">
        <v>1</v>
      </c>
      <c r="G16" s="55">
        <v>3</v>
      </c>
      <c r="H16" s="55">
        <v>7</v>
      </c>
      <c r="I16" s="55">
        <v>100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10" workbookViewId="0">
      <selection activeCell="C26" sqref="C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172</v>
      </c>
      <c r="E17" s="55">
        <v>1</v>
      </c>
      <c r="F17" s="55">
        <v>10</v>
      </c>
      <c r="G17" s="55">
        <f t="shared" ref="G17:G20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172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400</v>
      </c>
      <c r="H13" s="55">
        <v>15</v>
      </c>
      <c r="I13" s="55"/>
      <c r="J13" s="55">
        <v>45</v>
      </c>
      <c r="K13" s="55"/>
      <c r="L13" s="55"/>
      <c r="M13" s="55"/>
      <c r="N13" s="55"/>
      <c r="P13" s="88">
        <f>SUM(D13:N13)</f>
        <v>480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400</v>
      </c>
      <c r="H30" s="88">
        <f t="shared" si="1"/>
        <v>15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2018-06-01T06:38:28Z</dcterms:modified>
</cp:coreProperties>
</file>