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data_general'!$B$1:$F$70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22" i="9"/>
  <c r="G16" i="9"/>
  <c r="J15" i="2"/>
  <c r="J20" i="2" l="1"/>
  <c r="J19" i="2"/>
  <c r="J12" i="2" l="1"/>
  <c r="J13" i="2"/>
  <c r="J14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<sst xmlns="http://schemas.openxmlformats.org/spreadsheetml/2006/main" count="490" uniqueCount="194">
  <si>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</si>
  <si>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</si>
  <si>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</si>
  <si>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</si>
  <si>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</si>
  <si>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</si>
  <si>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</si>
  <si>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</si>
  <si>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</si>
  <si>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</si>
  <si>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</si>
  <si>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</si>
  <si>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</si>
  <si>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</si>
  <si>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</si>
  <si>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</si>
  <si>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</si>
  <si>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</si>
  <si>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</si>
  <si>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</si>
  <si>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</si>
  <si>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</si>
  <si>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</si>
  <si>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</si>
  <si>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</si>
  <si>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</si>
  <si>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</si>
  <si>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</si>
  <si>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</si>
  <si>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</si>
  <si>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</si>
  <si>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</si>
  <si>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</si>
  <si>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</si>
  <si>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</si>
  <si>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</si>
  <si>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</si>
  <si>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</si>
  <si>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</si>
  <si>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</si>
  <si>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</si>
  <si>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</si>
  <si>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</si>
  <si>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</si>
  <si>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</si>
  <si>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</si>
  <si>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</si>
  <si>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</si>
  <si>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</si>
  <si>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</si>
  <si>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</si>
  <si>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</si>
  <si>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</si>
  <si>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</si>
  <si>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</si>
  <si>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</si>
  <si>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</si>
  <si>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</si>
  <si>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</si>
  <si>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</si>
  <si>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</si>
  <si>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</si>
  <si>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</si>
  <si>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</si>
  <si>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</si>
  <si>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</si>
  <si>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</si>
  <si>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</si>
  <si>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</si>
  <si>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</si>
  <si>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</si>
  <si>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</si>
  <si>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</si>
  <si>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</si>
  <si>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</si>
  <si>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</si>
  <si>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</si>
  <si>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</si>
  <si>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</si>
  <si>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</si>
  <si>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</si>
  <si>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</si>
  <si>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</si>
  <si>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</si>
  <si>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</si>
  <si>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</si>
  <si>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</si>
  <si>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</si>
  <si>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</si>
  <si>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</si>
  <si>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</si>
  <si>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</si>
  <si>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</si>
  <si>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</si>
  <si>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</si>
  <si>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</si>
  <si>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</si>
  <si>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</si>
  <si>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</si>
  <si>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</si>
  <si>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</si>
  <si>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</si>
  <si>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</si>
  <si>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</si>
  <si>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</si>
  <si>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</si>
  <si>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</si>
  <si>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</si>
  <si>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</si>
  <si>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</si>
  <si>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</si>
  <si>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</si>
  <si>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</si>
  <si>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</si>
  <si>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</si>
  <si>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</si>
  <si>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</si>
  <si>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</si>
  <si>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</si>
  <si>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</si>
  <si>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</si>
  <si>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</si>
  <si>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</si>
  <si>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</si>
  <si>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</si>
  <si>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</si>
  <si>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</si>
  <si>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</si>
  <si>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</si>
  <si>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</si>
  <si>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</si>
  <si>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</si>
  <si>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</si>
  <si>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</si>
  <si>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</si>
  <si>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</si>
  <si>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</si>
  <si>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</si>
  <si>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</si>
  <si>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</si>
  <si>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</si>
  <si>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</si>
  <si>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</si>
  <si>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</si>
  <si>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</si>
  <si>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</si>
  <si>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</si>
  <si>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</si>
  <si>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</si>
  <si>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</si>
  <si>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</si>
  <si>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</si>
  <si>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</si>
  <si>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</si>
  <si>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</si>
  <si>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</si>
  <si>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</si>
  <si>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</si>
  <si>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</si>
  <si>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</si>
  <si>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</si>
  <si>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</si>
  <si>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</si>
  <si>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</si>
  <si>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</si>
  <si>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</si>
  <si>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</si>
  <si>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</si>
  <si>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URINALYSIS</t>
  </si>
  <si>
    <t>500MG</t>
  </si>
  <si>
    <t>SYRINGE 3CC</t>
  </si>
  <si>
    <t>PC</t>
  </si>
  <si>
    <t>BOTTLE</t>
  </si>
  <si>
    <t>1LITER</t>
  </si>
  <si>
    <t>ABOCATH GAUGE 20</t>
  </si>
  <si>
    <t>MACRO SET</t>
  </si>
  <si>
    <t>PLASTER 1/2</t>
  </si>
  <si>
    <t>CBC PLATELET COUNT</t>
  </si>
  <si>
    <t>CEFUROXIME</t>
  </si>
  <si>
    <t>VIAL</t>
  </si>
  <si>
    <t>40MG</t>
  </si>
  <si>
    <t>NAKCL</t>
  </si>
  <si>
    <t>METRONIDAZOLE</t>
  </si>
  <si>
    <t>OMEPRAZOLE</t>
  </si>
  <si>
    <t>PLAIN LR SOLUTION</t>
  </si>
  <si>
    <t>750MG</t>
  </si>
  <si>
    <t>K29.1</t>
  </si>
  <si>
    <t>ALUMINUM MAGNESIUM</t>
  </si>
  <si>
    <t>30CC</t>
  </si>
  <si>
    <t>SYRUP</t>
  </si>
  <si>
    <t>D5 LR SOLUTION</t>
  </si>
  <si>
    <t>SYRINGE 5CC</t>
  </si>
  <si>
    <t>DISPOSABLE FACE MASK</t>
  </si>
  <si>
    <t>ACUTE GASTRITIS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</si>
</sst>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abSelected="1" topLeftCell="A54" zoomScaleNormal="100" workbookViewId="0">
      <selection activeCell="D62" sqref="D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181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164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44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53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164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164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165</v>
      </c>
      <c r="D59" s="55">
        <v>2780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166</v>
      </c>
      <c r="D60" s="55">
        <v>655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167</v>
      </c>
      <c r="D61" s="55">
        <v>200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3635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zoomScale="80" zoomScaleNormal="80" workbookViewId="0">
      <selection activeCell="J11" sqref="J11:J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178</v>
      </c>
      <c r="D11" s="27" t="s">
        <v>179</v>
      </c>
      <c r="E11" s="27" t="s">
        <v>185</v>
      </c>
      <c r="F11" s="55">
        <v>2</v>
      </c>
      <c r="G11" s="55">
        <v>3</v>
      </c>
      <c r="H11" s="55">
        <v>5</v>
      </c>
      <c r="I11" s="55">
        <v>60</v>
      </c>
      <c r="J11" s="55">
        <f>H11*I11</f>
        <v>300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183</v>
      </c>
      <c r="D12" s="27" t="s">
        <v>179</v>
      </c>
      <c r="E12" s="27" t="s">
        <v>180</v>
      </c>
      <c r="F12" s="55">
        <v>2</v>
      </c>
      <c r="G12" s="55">
        <v>3</v>
      </c>
      <c r="H12" s="55">
        <v>5</v>
      </c>
      <c r="I12" s="55">
        <v>200</v>
      </c>
      <c r="J12" s="55">
        <f t="shared" ref="J12:J20" si="0">H12*I12</f>
        <v>1000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179</v>
      </c>
      <c r="E13" s="27" t="s">
        <v>169</v>
      </c>
      <c r="F13" s="55">
        <v>4</v>
      </c>
      <c r="G13" s="55">
        <v>3</v>
      </c>
      <c r="H13" s="55">
        <v>7</v>
      </c>
      <c r="I13" s="55">
        <v>75</v>
      </c>
      <c r="J13" s="55">
        <f t="shared" si="0"/>
        <v>525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189</v>
      </c>
      <c r="E14" s="27" t="s">
        <v>188</v>
      </c>
      <c r="F14" s="55">
        <v>3</v>
      </c>
      <c r="G14" s="55">
        <v>2</v>
      </c>
      <c r="H14" s="55">
        <v>1</v>
      </c>
      <c r="I14" s="55">
        <v>50</v>
      </c>
      <c r="J14" s="55">
        <f t="shared" si="0"/>
        <v>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172</v>
      </c>
      <c r="E15" s="27" t="s">
        <v>173</v>
      </c>
      <c r="F15" s="55">
        <v>1</v>
      </c>
      <c r="G15" s="55">
        <v>1</v>
      </c>
      <c r="H15" s="55">
        <v>1</v>
      </c>
      <c r="I15" s="55">
        <v>100</v>
      </c>
      <c r="J15" s="55">
        <f t="shared" si="0"/>
        <v>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190</v>
      </c>
      <c r="D16" s="27" t="s">
        <v>172</v>
      </c>
      <c r="E16" s="27" t="s">
        <v>173</v>
      </c>
      <c r="F16" s="55">
        <v>3</v>
      </c>
      <c r="G16" s="55">
        <v>2</v>
      </c>
      <c r="H16" s="55">
        <v>6</v>
      </c>
      <c r="I16" s="55">
        <v>100</v>
      </c>
      <c r="J16" s="55">
        <f t="shared" si="0"/>
        <v>600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" zoomScale="90" zoomScaleNormal="90" workbookViewId="0">
      <selection activeCell="G16" sqref="G16: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170</v>
      </c>
      <c r="D16" s="70" t="s">
        <v>171</v>
      </c>
      <c r="E16" s="55">
        <v>1</v>
      </c>
      <c r="F16" s="55">
        <v>10</v>
      </c>
      <c r="G16" s="55">
        <f>E16*F16</f>
        <v>10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174</v>
      </c>
      <c r="D17" s="70" t="s">
        <v>171</v>
      </c>
      <c r="E17" s="55">
        <v>1</v>
      </c>
      <c r="F17" s="55">
        <v>90</v>
      </c>
      <c r="G17" s="55">
        <f t="shared" ref="G17:G22" si="0">E17*F17</f>
        <v>90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175</v>
      </c>
      <c r="D18" s="70" t="s">
        <v>171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176</v>
      </c>
      <c r="D19" s="70" t="s">
        <v>171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191</v>
      </c>
      <c r="D20" s="70" t="s">
        <v>171</v>
      </c>
      <c r="E20" s="55">
        <v>2</v>
      </c>
      <c r="F20" s="55">
        <v>10</v>
      </c>
      <c r="G20" s="55">
        <f t="shared" si="0"/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192</v>
      </c>
      <c r="D21" s="70" t="s">
        <v>171</v>
      </c>
      <c r="E21" s="55">
        <v>1</v>
      </c>
      <c r="F21" s="55">
        <v>5</v>
      </c>
      <c r="G21" s="55">
        <f t="shared" si="0"/>
        <v>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411</v>
      </c>
      <c r="H13" s="55">
        <v>10</v>
      </c>
      <c r="I13" s="55"/>
      <c r="J13" s="55">
        <v>25</v>
      </c>
      <c r="K13" s="55"/>
      <c r="L13" s="55"/>
      <c r="M13" s="55"/>
      <c r="N13" s="55"/>
      <c r="P13" s="88">
        <f>SUM(D13:N13)</f>
        <v>466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20</v>
      </c>
      <c r="F30" s="88">
        <f t="shared" si="1"/>
        <v>0</v>
      </c>
      <c r="G30" s="88">
        <f t="shared" si="1"/>
        <v>411</v>
      </c>
      <c r="H30" s="88">
        <f t="shared" si="1"/>
        <v>10</v>
      </c>
      <c r="I30" s="88">
        <f t="shared" si="1"/>
        <v>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466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2018-06-01T06:36:46Z</dcterms:modified>
</cp:coreProperties>
</file>