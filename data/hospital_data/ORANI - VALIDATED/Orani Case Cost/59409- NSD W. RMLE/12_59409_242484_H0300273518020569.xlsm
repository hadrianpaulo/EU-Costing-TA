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Supplies_Medical'!$C$15:$C$45</definedName>
    <definedName name="Drugs">'1.2 Drugs&amp;Med'!$C$11:$C$18</definedName>
    <definedName name="_xlnm.Print_Area" localSheetId="0">'1.1 Case data_general'!$B$1:$F$67</definedName>
    <definedName name="_xlnm.Print_Area" localSheetId="1">'1.2 Drugs&amp;Med'!$B$2:$J$19</definedName>
  </definedNames>
  <calcPr calcId="145621"/>
</workbook>
</file>

<file path=xl/calcChain.xml><?xml version="1.0" encoding="utf-8"?>
<calcChain xmlns="http://schemas.openxmlformats.org/spreadsheetml/2006/main">
  <c r="G34" i="9" l="1"/>
  <c r="G29" i="9" l="1"/>
  <c r="G30" i="9"/>
  <c r="G31" i="9"/>
  <c r="G32" i="9"/>
  <c r="G33" i="9"/>
  <c r="G28" i="9"/>
  <c r="J12" i="2"/>
  <c r="J13" i="2"/>
  <c r="J14" i="2"/>
  <c r="J15" i="2"/>
  <c r="J16" i="2"/>
  <c r="J17" i="2"/>
  <c r="J18" i="2"/>
  <c r="J11" i="2"/>
  <c r="G1" i="1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7" i="1"/>
  <c r="E67" i="1"/>
  <c r="D67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<sst xmlns="http://schemas.openxmlformats.org/spreadsheetml/2006/main" count="503" uniqueCount="204">
  <si>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</si>
  <si>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</si>
  <si>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</si>
  <si>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</si>
  <si>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</si>
  <si>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</si>
  <si>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</si>
  <si>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</si>
  <si>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</si>
  <si>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</si>
  <si>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</si>
  <si>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</si>
  <si>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</si>
  <si>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</si>
  <si>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</si>
  <si>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</si>
  <si>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</si>
  <si>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</si>
  <si>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</si>
  <si>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</si>
  <si>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</si>
  <si>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</si>
  <si>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</si>
  <si>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</si>
  <si>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</si>
  <si>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</si>
  <si>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</si>
  <si>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</si>
  <si>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</si>
  <si>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</si>
  <si>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</si>
  <si>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</si>
  <si>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</si>
  <si>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</si>
  <si>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</si>
  <si>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</si>
  <si>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</si>
  <si>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</si>
  <si>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</si>
  <si>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</si>
  <si>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</si>
  <si>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</si>
  <si>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</si>
  <si>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</si>
  <si>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</si>
  <si>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</si>
  <si>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</si>
  <si>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</si>
  <si>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</si>
  <si>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</si>
  <si>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</si>
  <si>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</si>
  <si>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</si>
  <si>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</si>
  <si>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</si>
  <si>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</si>
  <si>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</si>
  <si>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</si>
  <si>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</si>
  <si>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</si>
  <si>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</si>
  <si>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</si>
  <si>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</si>
  <si>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</si>
  <si>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</si>
  <si>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</si>
  <si>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</si>
  <si>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</si>
  <si>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</si>
  <si>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</si>
  <si>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</si>
  <si>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</si>
  <si>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</si>
  <si>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</si>
  <si>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</si>
  <si>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</si>
  <si>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</si>
  <si>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</si>
  <si>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</si>
  <si>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</si>
  <si>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</si>
  <si>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</si>
  <si>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</si>
  <si>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</si>
  <si>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</si>
  <si>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</si>
  <si>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</si>
  <si>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</si>
  <si>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</si>
  <si>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</si>
  <si>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</si>
  <si>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</si>
  <si>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</si>
  <si>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</si>
  <si>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</si>
  <si>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</si>
  <si>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</si>
  <si>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</si>
  <si>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</si>
  <si>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</si>
  <si>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</si>
  <si>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</si>
  <si>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</si>
  <si>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</si>
  <si>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</si>
  <si>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</si>
  <si>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</si>
  <si>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</si>
  <si>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</si>
  <si>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</si>
  <si>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</si>
  <si>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</si>
  <si>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</si>
  <si>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</si>
  <si>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</si>
  <si>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</si>
  <si>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</si>
  <si>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</si>
  <si>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</si>
  <si>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</si>
  <si>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</si>
  <si>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</si>
  <si>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</si>
  <si>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</si>
  <si>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</si>
  <si>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</si>
  <si>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</si>
  <si>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</si>
  <si>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</si>
  <si>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</si>
  <si>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</si>
  <si>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</si>
  <si>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</si>
  <si>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</si>
  <si>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</si>
  <si>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</si>
  <si>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</si>
  <si>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</si>
  <si>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</si>
  <si>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</si>
  <si>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</si>
  <si>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</si>
  <si>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</si>
  <si>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</si>
  <si>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</si>
  <si>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</si>
  <si>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</si>
  <si>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</si>
  <si>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</si>
  <si>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</si>
  <si>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</si>
  <si>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</si>
  <si>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</si>
  <si>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</si>
  <si>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</si>
  <si>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</si>
  <si>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</si>
  <si>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</si>
  <si>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</si>
  <si>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</si>
  <si>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</si>
  <si>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</si>
  <si>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</si>
  <si>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</si>
  <si>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</si>
  <si>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</si>
  <si>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</si>
  <si>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VIAL</t>
  </si>
  <si>
    <t>BOTTLE</t>
  </si>
  <si>
    <t>PLASTER 1/2</t>
  </si>
  <si>
    <t>SYRINGE 3CC</t>
  </si>
  <si>
    <t>PC</t>
  </si>
  <si>
    <t>SYRINGE 5CC</t>
  </si>
  <si>
    <t>CBC PLATELET COUNT</t>
  </si>
  <si>
    <t>ROOM AND BOARD</t>
  </si>
  <si>
    <t>AMPULE</t>
  </si>
  <si>
    <t>RH TYPING</t>
  </si>
  <si>
    <t>500MG</t>
  </si>
  <si>
    <t>1LITER</t>
  </si>
  <si>
    <t>D5 LR</t>
  </si>
  <si>
    <t>ABOCATH 20</t>
  </si>
  <si>
    <t>MACRO SET</t>
  </si>
  <si>
    <t>ROD</t>
  </si>
  <si>
    <t>AMPICILLIN</t>
  </si>
  <si>
    <t>200ML</t>
  </si>
  <si>
    <t>FERROUS SULFATE</t>
  </si>
  <si>
    <t>TABLET</t>
  </si>
  <si>
    <t>325MG</t>
  </si>
  <si>
    <t>Z37.0</t>
  </si>
  <si>
    <t>O80.9</t>
  </si>
  <si>
    <t>DELIVERY ROOM</t>
  </si>
  <si>
    <t>METHERGINE</t>
  </si>
  <si>
    <t>CEFALEXIN</t>
  </si>
  <si>
    <t>HYOSCINE U-BUTYL</t>
  </si>
  <si>
    <t>MEFENAMIC ACID</t>
  </si>
  <si>
    <t>20ML</t>
  </si>
  <si>
    <t>125MG</t>
  </si>
  <si>
    <t>GLOVES 7.0</t>
  </si>
  <si>
    <t>Procedure</t>
  </si>
  <si>
    <t>Perineal Care</t>
  </si>
  <si>
    <t>CHROMIC 2/0 ROUND</t>
  </si>
  <si>
    <t>O69.2</t>
  </si>
  <si>
    <t>VAGINAL DELIVERY WITH RMLE</t>
  </si>
  <si>
    <t>NSD W/ RMLE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</si>
</sst>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55</xdr:row>
          <xdr:rowOff>19050</xdr:rowOff>
        </xdr:from>
        <xdr:to>
          <xdr:col>1</xdr:col>
          <xdr:colOff>733425</xdr:colOff>
          <xdr:row>55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55</xdr:row>
          <xdr:rowOff>19050</xdr:rowOff>
        </xdr:from>
        <xdr:to>
          <xdr:col>1</xdr:col>
          <xdr:colOff>1504950</xdr:colOff>
          <xdr:row>55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723900</xdr:colOff>
          <xdr:row>10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1485900</xdr:colOff>
          <xdr:row>10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28575</xdr:rowOff>
        </xdr:from>
        <xdr:to>
          <xdr:col>1</xdr:col>
          <xdr:colOff>771525</xdr:colOff>
          <xdr:row>35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35</xdr:row>
          <xdr:rowOff>28575</xdr:rowOff>
        </xdr:from>
        <xdr:to>
          <xdr:col>1</xdr:col>
          <xdr:colOff>1543050</xdr:colOff>
          <xdr:row>35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4"/>
  <sheetViews>
    <sheetView topLeftCell="A45" zoomScale="90" zoomScaleNormal="90" workbookViewId="0">
      <selection activeCell="D56" sqref="D5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203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2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188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 t="s">
        <v>201</v>
      </c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59409</v>
      </c>
      <c r="D23" s="29" t="s">
        <v>202</v>
      </c>
      <c r="E23" s="55">
        <v>1</v>
      </c>
      <c r="F23" s="55">
        <v>10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142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173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176</v>
      </c>
      <c r="D35" s="23"/>
      <c r="E35" s="57">
        <v>2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19</v>
      </c>
      <c r="C36" s="119"/>
      <c r="D36" s="116"/>
      <c r="E36" s="119"/>
      <c r="F36" s="117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 t="s">
        <v>164</v>
      </c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thickBot="1" x14ac:dyDescent="0.35">
      <c r="A39" s="1"/>
      <c r="B39" s="118" t="s">
        <v>44</v>
      </c>
      <c r="C39" s="119"/>
      <c r="D39" s="116"/>
      <c r="E39" s="119"/>
      <c r="F39" s="117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14" t="s">
        <v>45</v>
      </c>
      <c r="C40" s="13"/>
      <c r="D40" s="13"/>
      <c r="E40" s="16"/>
      <c r="F40" s="13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5" t="s">
        <v>53</v>
      </c>
      <c r="C41" s="116"/>
      <c r="D41" s="116"/>
      <c r="E41" s="116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20"/>
      <c r="B42" s="30">
        <v>1</v>
      </c>
      <c r="C42" s="31" t="s">
        <v>164</v>
      </c>
      <c r="D42" s="32"/>
      <c r="E42" s="57"/>
      <c r="F42" s="5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30">
        <v>2</v>
      </c>
      <c r="C43" s="31"/>
      <c r="D43" s="32"/>
      <c r="E43" s="57"/>
      <c r="F43" s="5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26">
        <v>3</v>
      </c>
      <c r="C44" s="27"/>
      <c r="D44" s="28"/>
      <c r="E44" s="55"/>
      <c r="F44" s="55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26">
        <v>4</v>
      </c>
      <c r="C45" s="27"/>
      <c r="D45" s="28"/>
      <c r="E45" s="55"/>
      <c r="F45" s="55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5" t="s">
        <v>20</v>
      </c>
      <c r="C46" s="116"/>
      <c r="D46" s="116"/>
      <c r="E46" s="116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1</v>
      </c>
      <c r="C47" s="27" t="s">
        <v>164</v>
      </c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2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3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4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5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6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5"/>
      <c r="C53" s="25"/>
      <c r="D53" s="25"/>
      <c r="E53" s="25"/>
      <c r="F53" s="2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57.75" customHeight="1" thickBot="1" x14ac:dyDescent="0.35">
      <c r="A55" s="1"/>
      <c r="B55" s="17" t="s">
        <v>55</v>
      </c>
      <c r="C55" s="17" t="s">
        <v>51</v>
      </c>
      <c r="D55" s="17" t="s">
        <v>56</v>
      </c>
      <c r="E55" s="18" t="s">
        <v>57</v>
      </c>
      <c r="F55" s="19" t="s">
        <v>21</v>
      </c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2">
        <v>1</v>
      </c>
      <c r="C56" s="27" t="s">
        <v>165</v>
      </c>
      <c r="D56" s="55">
        <v>1250</v>
      </c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0">
        <v>2</v>
      </c>
      <c r="C57" s="27" t="s">
        <v>166</v>
      </c>
      <c r="D57" s="55">
        <v>650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3</v>
      </c>
      <c r="C58" s="27" t="s">
        <v>174</v>
      </c>
      <c r="D58" s="55">
        <v>400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4</v>
      </c>
      <c r="C59" s="27" t="s">
        <v>190</v>
      </c>
      <c r="D59" s="55">
        <v>1140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5</v>
      </c>
      <c r="C60" s="27" t="s">
        <v>182</v>
      </c>
      <c r="D60" s="55">
        <v>2000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6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7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8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9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10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4.9000000000000004" customHeight="1" thickBot="1" x14ac:dyDescent="0.35">
      <c r="A66" s="1"/>
      <c r="B66" s="1"/>
      <c r="C66" s="1"/>
      <c r="D66" s="58"/>
      <c r="E66" s="58"/>
      <c r="F66" s="58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thickTop="1" x14ac:dyDescent="0.3">
      <c r="A67" s="1"/>
      <c r="B67" s="11"/>
      <c r="C67" s="4" t="s">
        <v>22</v>
      </c>
      <c r="D67" s="59">
        <f>SUM(D56:D66)</f>
        <v>5440</v>
      </c>
      <c r="E67" s="59">
        <f>SUM(E56:E66)</f>
        <v>0</v>
      </c>
      <c r="F67" s="59">
        <f>SUM(F56:F66)</f>
        <v>0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</sheetData>
  <sheetProtection password="C2E9" sheet="1" objects="1" scenarios="1" formatColumns="0" formatRows="0" sort="0" autoFilter="0"/>
  <mergeCells count="12">
    <mergeCell ref="B46:F46"/>
    <mergeCell ref="B39:F39"/>
    <mergeCell ref="B12:F12"/>
    <mergeCell ref="B13:F13"/>
    <mergeCell ref="B14:F14"/>
    <mergeCell ref="B15:F15"/>
    <mergeCell ref="B18:F18"/>
    <mergeCell ref="B22:F22"/>
    <mergeCell ref="B33:F33"/>
    <mergeCell ref="B28:F28"/>
    <mergeCell ref="B36:F36"/>
    <mergeCell ref="B41:F41"/>
  </mergeCells>
  <dataValidations count="1">
    <dataValidation type="decimal" operator="greaterThanOrEqual" allowBlank="1" showInputMessage="1" showErrorMessage="1" sqref="E40 E42:F45 E47:F52 D56:F65 E37:E38 E32 E23:F27 E34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4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55</xdr:row>
                    <xdr:rowOff>19050</xdr:rowOff>
                  </from>
                  <to>
                    <xdr:col>1</xdr:col>
                    <xdr:colOff>733425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55</xdr:row>
                    <xdr:rowOff>19050</xdr:rowOff>
                  </from>
                  <to>
                    <xdr:col>1</xdr:col>
                    <xdr:colOff>1504950</xdr:colOff>
                    <xdr:row>55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9"/>
  <sheetViews>
    <sheetView zoomScaleNormal="100" workbookViewId="0">
      <selection activeCell="F14" sqref="F14"/>
    </sheetView>
  </sheetViews>
  <sheetFormatPr defaultColWidth="14.42578125" defaultRowHeight="15" customHeight="1" outlineLevelRow="1" x14ac:dyDescent="0.25"/>
  <cols>
    <col min="1" max="1" width="1.710937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NSD W/ RMLE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8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191</v>
      </c>
      <c r="D11" s="27" t="s">
        <v>175</v>
      </c>
      <c r="E11" s="27" t="s">
        <v>184</v>
      </c>
      <c r="F11" s="55">
        <v>1</v>
      </c>
      <c r="G11" s="55">
        <v>1</v>
      </c>
      <c r="H11" s="55">
        <v>1</v>
      </c>
      <c r="I11" s="55">
        <v>75</v>
      </c>
      <c r="J11" s="55">
        <f>H11*I11</f>
        <v>75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194</v>
      </c>
      <c r="D12" s="27" t="s">
        <v>186</v>
      </c>
      <c r="E12" s="27" t="s">
        <v>177</v>
      </c>
      <c r="F12" s="55">
        <v>3</v>
      </c>
      <c r="G12" s="55">
        <v>2</v>
      </c>
      <c r="H12" s="55">
        <v>9</v>
      </c>
      <c r="I12" s="55">
        <v>5</v>
      </c>
      <c r="J12" s="55">
        <f t="shared" ref="J12:J18" si="0">H12*I12</f>
        <v>45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192</v>
      </c>
      <c r="D13" s="27" t="s">
        <v>186</v>
      </c>
      <c r="E13" s="27" t="s">
        <v>177</v>
      </c>
      <c r="F13" s="55">
        <v>3</v>
      </c>
      <c r="G13" s="55">
        <v>2</v>
      </c>
      <c r="H13" s="55">
        <v>20</v>
      </c>
      <c r="I13" s="55">
        <v>7</v>
      </c>
      <c r="J13" s="55">
        <f t="shared" si="0"/>
        <v>140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185</v>
      </c>
      <c r="D14" s="27" t="s">
        <v>186</v>
      </c>
      <c r="E14" s="27" t="s">
        <v>187</v>
      </c>
      <c r="F14" s="55">
        <v>1</v>
      </c>
      <c r="G14" s="55">
        <v>2</v>
      </c>
      <c r="H14" s="55">
        <v>30</v>
      </c>
      <c r="I14" s="55">
        <v>1</v>
      </c>
      <c r="J14" s="55">
        <f t="shared" si="0"/>
        <v>30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193</v>
      </c>
      <c r="D15" s="27" t="s">
        <v>175</v>
      </c>
      <c r="E15" s="27" t="s">
        <v>195</v>
      </c>
      <c r="F15" s="55">
        <v>6</v>
      </c>
      <c r="G15" s="55">
        <v>1</v>
      </c>
      <c r="H15" s="55">
        <v>2</v>
      </c>
      <c r="I15" s="55">
        <v>100</v>
      </c>
      <c r="J15" s="55">
        <f t="shared" si="0"/>
        <v>200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191</v>
      </c>
      <c r="D16" s="27" t="s">
        <v>186</v>
      </c>
      <c r="E16" s="27" t="s">
        <v>196</v>
      </c>
      <c r="F16" s="55">
        <v>3</v>
      </c>
      <c r="G16" s="55">
        <v>1</v>
      </c>
      <c r="H16" s="55">
        <v>9</v>
      </c>
      <c r="I16" s="55">
        <v>5</v>
      </c>
      <c r="J16" s="55">
        <f t="shared" si="0"/>
        <v>45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179</v>
      </c>
      <c r="D17" s="27" t="s">
        <v>168</v>
      </c>
      <c r="E17" s="27" t="s">
        <v>178</v>
      </c>
      <c r="F17" s="55">
        <v>1</v>
      </c>
      <c r="G17" s="55">
        <v>1</v>
      </c>
      <c r="H17" s="55">
        <v>1</v>
      </c>
      <c r="I17" s="55">
        <v>100</v>
      </c>
      <c r="J17" s="55">
        <f t="shared" si="0"/>
        <v>100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183</v>
      </c>
      <c r="D18" s="27" t="s">
        <v>167</v>
      </c>
      <c r="E18" s="27" t="s">
        <v>177</v>
      </c>
      <c r="F18" s="55">
        <v>5</v>
      </c>
      <c r="G18" s="55">
        <v>1</v>
      </c>
      <c r="H18" s="55">
        <v>2</v>
      </c>
      <c r="I18" s="55">
        <v>40</v>
      </c>
      <c r="J18" s="55">
        <f t="shared" si="0"/>
        <v>80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25">
      <c r="A19" s="33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</row>
    <row r="20" spans="1:20" ht="15.75" customHeight="1" x14ac:dyDescent="0.25"/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8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723900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1485900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69"/>
  <sheetViews>
    <sheetView topLeftCell="A22" workbookViewId="0">
      <selection activeCell="D37" sqref="D3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NSD W/ RMLE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7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180</v>
      </c>
      <c r="D28" s="70" t="s">
        <v>171</v>
      </c>
      <c r="E28" s="55">
        <v>1</v>
      </c>
      <c r="F28" s="55">
        <v>100</v>
      </c>
      <c r="G28" s="55">
        <f>E28*F28</f>
        <v>100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181</v>
      </c>
      <c r="D29" s="70" t="s">
        <v>171</v>
      </c>
      <c r="E29" s="55">
        <v>1</v>
      </c>
      <c r="F29" s="55">
        <v>40</v>
      </c>
      <c r="G29" s="55">
        <f t="shared" ref="G29:G33" si="0">E29*F29</f>
        <v>40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169</v>
      </c>
      <c r="D30" s="70" t="s">
        <v>171</v>
      </c>
      <c r="E30" s="55">
        <v>1</v>
      </c>
      <c r="F30" s="55">
        <v>40</v>
      </c>
      <c r="G30" s="55">
        <f t="shared" si="0"/>
        <v>40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170</v>
      </c>
      <c r="D31" s="70" t="s">
        <v>171</v>
      </c>
      <c r="E31" s="55">
        <v>2</v>
      </c>
      <c r="F31" s="55">
        <v>10</v>
      </c>
      <c r="G31" s="55">
        <f t="shared" si="0"/>
        <v>20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172</v>
      </c>
      <c r="D32" s="70" t="s">
        <v>171</v>
      </c>
      <c r="E32" s="55">
        <v>1</v>
      </c>
      <c r="F32" s="55">
        <v>10</v>
      </c>
      <c r="G32" s="55">
        <f t="shared" si="0"/>
        <v>10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6</v>
      </c>
      <c r="C33" s="69" t="s">
        <v>197</v>
      </c>
      <c r="D33" s="70" t="s">
        <v>171</v>
      </c>
      <c r="E33" s="55">
        <v>1</v>
      </c>
      <c r="F33" s="55">
        <v>25</v>
      </c>
      <c r="G33" s="55">
        <f t="shared" si="0"/>
        <v>25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7</v>
      </c>
      <c r="C34" s="69" t="s">
        <v>200</v>
      </c>
      <c r="D34" s="70" t="s">
        <v>171</v>
      </c>
      <c r="E34" s="55">
        <v>1</v>
      </c>
      <c r="F34" s="55">
        <v>300</v>
      </c>
      <c r="G34" s="55">
        <f>E34*F34</f>
        <v>300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136" t="s">
        <v>29</v>
      </c>
      <c r="C35" s="137"/>
      <c r="D35" s="137"/>
      <c r="E35" s="137"/>
      <c r="F35" s="137"/>
      <c r="G35" s="138"/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1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2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3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4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5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6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7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B43" s="68">
        <v>8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B44" s="68">
        <v>9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4.25" customHeight="1" x14ac:dyDescent="0.3">
      <c r="B45" s="68">
        <v>10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1:16" ht="14.25" customHeight="1" x14ac:dyDescent="0.3">
      <c r="A46" s="44"/>
      <c r="B46" s="39"/>
      <c r="C46" s="44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</row>
    <row r="47" spans="1:16" ht="14.25" customHeight="1" x14ac:dyDescent="0.3">
      <c r="A47" s="44"/>
      <c r="B47" s="39"/>
      <c r="C47" s="44"/>
      <c r="D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</row>
    <row r="48" spans="1:16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35:G35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5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35</xdr:row>
                    <xdr:rowOff>28575</xdr:rowOff>
                  </from>
                  <to>
                    <xdr:col>1</xdr:col>
                    <xdr:colOff>771525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35</xdr:row>
                    <xdr:rowOff>28575</xdr:rowOff>
                  </from>
                  <to>
                    <xdr:col>1</xdr:col>
                    <xdr:colOff>1543050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I1" workbookViewId="0">
      <selection activeCell="G14" sqref="G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NSD W/ RMLE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15</v>
      </c>
      <c r="F13" s="55"/>
      <c r="G13" s="55">
        <v>240</v>
      </c>
      <c r="H13" s="55">
        <v>10</v>
      </c>
      <c r="I13" s="55"/>
      <c r="J13" s="55">
        <v>15</v>
      </c>
      <c r="K13" s="55"/>
      <c r="L13" s="55"/>
      <c r="M13" s="55"/>
      <c r="N13" s="55"/>
      <c r="P13" s="88">
        <f>SUM(D13:N13)</f>
        <v>280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198</v>
      </c>
      <c r="D14" s="55"/>
      <c r="E14" s="55">
        <v>180</v>
      </c>
      <c r="F14" s="55"/>
      <c r="G14" s="55">
        <v>180</v>
      </c>
      <c r="H14" s="55"/>
      <c r="I14" s="55">
        <v>180</v>
      </c>
      <c r="J14" s="55"/>
      <c r="K14" s="55"/>
      <c r="L14" s="55"/>
      <c r="M14" s="55"/>
      <c r="N14" s="55"/>
      <c r="P14" s="88">
        <f t="shared" ref="P14:P22" si="0">SUM(D14:N14)</f>
        <v>540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199</v>
      </c>
      <c r="D15" s="55"/>
      <c r="E15" s="55"/>
      <c r="F15" s="55"/>
      <c r="G15" s="55"/>
      <c r="H15" s="55"/>
      <c r="I15" s="55">
        <v>15</v>
      </c>
      <c r="J15" s="55"/>
      <c r="K15" s="55"/>
      <c r="L15" s="55"/>
      <c r="M15" s="55"/>
      <c r="N15" s="55"/>
      <c r="P15" s="88">
        <f t="shared" si="0"/>
        <v>15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195</v>
      </c>
      <c r="F30" s="88">
        <f t="shared" si="1"/>
        <v>0</v>
      </c>
      <c r="G30" s="88">
        <f t="shared" si="1"/>
        <v>420</v>
      </c>
      <c r="H30" s="88">
        <f t="shared" si="1"/>
        <v>10</v>
      </c>
      <c r="I30" s="88">
        <f t="shared" si="1"/>
        <v>195</v>
      </c>
      <c r="J30" s="88">
        <f t="shared" si="1"/>
        <v>15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835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2018-06-02T02:20:43Z</dcterms:modified>
</cp:coreProperties>
</file>