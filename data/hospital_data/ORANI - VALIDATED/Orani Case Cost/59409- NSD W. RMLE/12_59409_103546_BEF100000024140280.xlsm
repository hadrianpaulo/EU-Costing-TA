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Supplies_Medical'!$C$15:$C$50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45621"/>
</workbook>
</file>

<file path=xl/calcChain.xml><?xml version="1.0" encoding="utf-8"?>
<calcChain xmlns="http://schemas.openxmlformats.org/spreadsheetml/2006/main">
  <c r="G39" i="9" l="1"/>
  <c r="G38" i="9"/>
  <c r="J21" i="2"/>
  <c r="J11" i="2"/>
  <c r="G37" i="9"/>
  <c r="G36" i="9"/>
  <c r="G35" i="9"/>
  <c r="G34" i="9"/>
  <c r="G33" i="9"/>
  <c r="G32" i="9"/>
  <c r="G31" i="9"/>
  <c r="G30" i="9"/>
  <c r="G29" i="9"/>
  <c r="G28" i="9"/>
  <c r="J20" i="2" l="1"/>
  <c r="J19" i="2"/>
  <c r="G17" i="9" l="1"/>
  <c r="G18" i="9"/>
  <c r="G19" i="9"/>
  <c r="G20" i="9"/>
  <c r="G21" i="9"/>
  <c r="G22" i="9"/>
  <c r="G23" i="9"/>
  <c r="G24" i="9"/>
  <c r="G16" i="9"/>
  <c r="J12" i="2" l="1"/>
  <c r="J13" i="2"/>
  <c r="J14" i="2"/>
  <c r="J15" i="2"/>
  <c r="J16" i="2"/>
  <c r="J17" i="2"/>
  <c r="J18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<sst xmlns="http://schemas.openxmlformats.org/spreadsheetml/2006/main" count="523" uniqueCount="218">
  <si>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</si>
  <si>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</si>
  <si>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</si>
  <si>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</si>
  <si>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</si>
  <si>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</si>
  <si>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</si>
  <si>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</si>
  <si>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</si>
  <si>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</si>
  <si>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</si>
  <si>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</si>
  <si>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</si>
  <si>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</si>
  <si>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</si>
  <si>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</si>
  <si>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</si>
  <si>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</si>
  <si>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</si>
  <si>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</si>
  <si>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</si>
  <si>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</si>
  <si>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</si>
  <si>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</si>
  <si>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</si>
  <si>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</si>
  <si>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</si>
  <si>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</si>
  <si>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</si>
  <si>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</si>
  <si>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</si>
  <si>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</si>
  <si>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</si>
  <si>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</si>
  <si>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</si>
  <si>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</si>
  <si>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</si>
  <si>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</si>
  <si>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</si>
  <si>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</si>
  <si>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</si>
  <si>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</si>
  <si>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</si>
  <si>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</si>
  <si>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</si>
  <si>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</si>
  <si>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</si>
  <si>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</si>
  <si>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</si>
  <si>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</si>
  <si>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</si>
  <si>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</si>
  <si>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</si>
  <si>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</si>
  <si>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</si>
  <si>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</si>
  <si>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</si>
  <si>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</si>
  <si>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</si>
  <si>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</si>
  <si>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</si>
  <si>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</si>
  <si>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</si>
  <si>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</si>
  <si>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</si>
  <si>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</si>
  <si>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</si>
  <si>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</si>
  <si>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</si>
  <si>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</si>
  <si>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</si>
  <si>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</si>
  <si>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</si>
  <si>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</si>
  <si>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</si>
  <si>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</si>
  <si>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</si>
  <si>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</si>
  <si>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</si>
  <si>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</si>
  <si>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</si>
  <si>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</si>
  <si>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</si>
  <si>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</si>
  <si>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</si>
  <si>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</si>
  <si>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</si>
  <si>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</si>
  <si>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</si>
  <si>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</si>
  <si>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</si>
  <si>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</si>
  <si>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</si>
  <si>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</si>
  <si>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</si>
  <si>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</si>
  <si>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</si>
  <si>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</si>
  <si>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</si>
  <si>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</si>
  <si>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</si>
  <si>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</si>
  <si>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</si>
  <si>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</si>
  <si>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</si>
  <si>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</si>
  <si>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</si>
  <si>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</si>
  <si>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</si>
  <si>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</si>
  <si>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</si>
  <si>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</si>
  <si>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</si>
  <si>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</si>
  <si>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</si>
  <si>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</si>
  <si>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</si>
  <si>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</si>
  <si>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</si>
  <si>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</si>
  <si>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</si>
  <si>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</si>
  <si>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</si>
  <si>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</si>
  <si>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</si>
  <si>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</si>
  <si>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</si>
  <si>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</si>
  <si>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</si>
  <si>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</si>
  <si>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</si>
  <si>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</si>
  <si>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</si>
  <si>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</si>
  <si>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</si>
  <si>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</si>
  <si>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</si>
  <si>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</si>
  <si>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</si>
  <si>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</si>
  <si>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</si>
  <si>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</si>
  <si>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</si>
  <si>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</si>
  <si>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</si>
  <si>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</si>
  <si>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</si>
  <si>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</si>
  <si>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</si>
  <si>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</si>
  <si>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</si>
  <si>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</si>
  <si>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</si>
  <si>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</si>
  <si>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</si>
  <si>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</si>
  <si>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</si>
  <si>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</si>
  <si>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</si>
  <si>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</si>
  <si>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</si>
  <si>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</si>
  <si>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</si>
  <si>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</si>
  <si>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</si>
  <si>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N/A</t>
  </si>
  <si>
    <t>MEDICINES</t>
  </si>
  <si>
    <t>LABORATORY</t>
  </si>
  <si>
    <t>ROOM AND BOARD</t>
  </si>
  <si>
    <t>URINALYSIS</t>
  </si>
  <si>
    <t>TABLET</t>
  </si>
  <si>
    <t>500MG</t>
  </si>
  <si>
    <t>SYRINGE 3CC</t>
  </si>
  <si>
    <t>PC</t>
  </si>
  <si>
    <t>BOTTLE</t>
  </si>
  <si>
    <t>1LITER</t>
  </si>
  <si>
    <t>MACRO SET</t>
  </si>
  <si>
    <t>Perineal Care</t>
  </si>
  <si>
    <t>CBC PLATELET COUNT</t>
  </si>
  <si>
    <t>VIAL</t>
  </si>
  <si>
    <t>CAPSULE</t>
  </si>
  <si>
    <t>PLAIN NS SOLUTION</t>
  </si>
  <si>
    <t>ABOCATH G20</t>
  </si>
  <si>
    <t>SYRINGE 5CC</t>
  </si>
  <si>
    <t>DELIVERY ROOM</t>
  </si>
  <si>
    <t>RH TYPING</t>
  </si>
  <si>
    <t>CROSS MATCHING</t>
  </si>
  <si>
    <t>METHERGIN</t>
  </si>
  <si>
    <t>AMPULE</t>
  </si>
  <si>
    <t>200MG</t>
  </si>
  <si>
    <t>CEFALEXIN</t>
  </si>
  <si>
    <t>MEFENAMIC ACID</t>
  </si>
  <si>
    <t>FERROUS SULFATE</t>
  </si>
  <si>
    <t>325MG</t>
  </si>
  <si>
    <t>HYOSCINE</t>
  </si>
  <si>
    <t>10MG</t>
  </si>
  <si>
    <t>AMPICILLIN</t>
  </si>
  <si>
    <t>2GM</t>
  </si>
  <si>
    <t>125MG</t>
  </si>
  <si>
    <t>PARACETAMOL</t>
  </si>
  <si>
    <t>D5 LR</t>
  </si>
  <si>
    <t>BLOOD TRANSFUSION SET</t>
  </si>
  <si>
    <t>GLOVES 7.0</t>
  </si>
  <si>
    <t>SANITEX</t>
  </si>
  <si>
    <t>UNDERPADS</t>
  </si>
  <si>
    <t>RAZOR</t>
  </si>
  <si>
    <t>PACK</t>
  </si>
  <si>
    <t>O80.9</t>
  </si>
  <si>
    <t>Z37.0</t>
  </si>
  <si>
    <t>O69.2</t>
  </si>
  <si>
    <t>CHROMIC 2/0 ROUND</t>
  </si>
  <si>
    <t>OXYTOCYN</t>
  </si>
  <si>
    <t>10IU</t>
  </si>
  <si>
    <t>DISPOSABLE FACE MASK</t>
  </si>
  <si>
    <t>PLASTER</t>
  </si>
  <si>
    <t>ROLL</t>
  </si>
  <si>
    <t>VAGINAL DELIVERY WITH RMLE</t>
  </si>
  <si>
    <t>NSD W/ RMLE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</si>
</sst>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40</xdr:row>
          <xdr:rowOff>28575</xdr:rowOff>
        </xdr:from>
        <xdr:to>
          <xdr:col>1</xdr:col>
          <xdr:colOff>771525</xdr:colOff>
          <xdr:row>40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40</xdr:row>
          <xdr:rowOff>28575</xdr:rowOff>
        </xdr:from>
        <xdr:to>
          <xdr:col>1</xdr:col>
          <xdr:colOff>1543050</xdr:colOff>
          <xdr:row>40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opLeftCell="A54" zoomScaleNormal="100" workbookViewId="0">
      <selection activeCell="D23" sqref="D23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217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207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208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 t="s">
        <v>209</v>
      </c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>
        <v>59409</v>
      </c>
      <c r="D23" s="29" t="s">
        <v>216</v>
      </c>
      <c r="E23" s="55">
        <v>1</v>
      </c>
      <c r="F23" s="55">
        <v>8.5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4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178</v>
      </c>
      <c r="D34" s="23"/>
      <c r="E34" s="57">
        <v>5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185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169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186</v>
      </c>
      <c r="D37" s="23"/>
      <c r="E37" s="55">
        <v>3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19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 t="s">
        <v>165</v>
      </c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45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46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54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 t="s">
        <v>165</v>
      </c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 t="s">
        <v>165</v>
      </c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56</v>
      </c>
      <c r="C59" s="17" t="s">
        <v>52</v>
      </c>
      <c r="D59" s="17" t="s">
        <v>57</v>
      </c>
      <c r="E59" s="18" t="s">
        <v>58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166</v>
      </c>
      <c r="D60" s="55">
        <v>3100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167</v>
      </c>
      <c r="D61" s="55">
        <v>1915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168</v>
      </c>
      <c r="D62" s="55">
        <v>300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 t="s">
        <v>184</v>
      </c>
      <c r="D63" s="55">
        <v>100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5415</v>
      </c>
      <c r="E71" s="59">
        <f>SUM(E60:E70)</f>
        <v>0</v>
      </c>
      <c r="F71" s="59">
        <f>SUM(F60:F70)</f>
        <v>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password="C2E9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:E36 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C8" zoomScale="90" zoomScaleNormal="90" workbookViewId="0">
      <selection activeCell="H14" sqref="H14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NSD W/ RMLE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187</v>
      </c>
      <c r="D11" s="27" t="s">
        <v>188</v>
      </c>
      <c r="E11" s="27" t="s">
        <v>189</v>
      </c>
      <c r="F11" s="55">
        <v>2</v>
      </c>
      <c r="G11" s="55">
        <v>3</v>
      </c>
      <c r="H11" s="55">
        <v>5</v>
      </c>
      <c r="I11" s="55">
        <v>75</v>
      </c>
      <c r="J11" s="55">
        <f t="shared" ref="J11:J21" si="0">H11*I11</f>
        <v>375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190</v>
      </c>
      <c r="D12" s="27" t="s">
        <v>180</v>
      </c>
      <c r="E12" s="27" t="s">
        <v>171</v>
      </c>
      <c r="F12" s="55">
        <v>3</v>
      </c>
      <c r="G12" s="55">
        <v>3</v>
      </c>
      <c r="H12" s="55">
        <v>21</v>
      </c>
      <c r="I12" s="55">
        <v>7</v>
      </c>
      <c r="J12" s="55">
        <f t="shared" si="0"/>
        <v>147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191</v>
      </c>
      <c r="D13" s="27" t="s">
        <v>180</v>
      </c>
      <c r="E13" s="27" t="s">
        <v>171</v>
      </c>
      <c r="F13" s="55">
        <v>3</v>
      </c>
      <c r="G13" s="55">
        <v>3</v>
      </c>
      <c r="H13" s="55">
        <v>9</v>
      </c>
      <c r="I13" s="55">
        <v>5</v>
      </c>
      <c r="J13" s="55">
        <f t="shared" si="0"/>
        <v>45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192</v>
      </c>
      <c r="D14" s="27" t="s">
        <v>170</v>
      </c>
      <c r="E14" s="27" t="s">
        <v>193</v>
      </c>
      <c r="F14" s="55">
        <v>2</v>
      </c>
      <c r="G14" s="55">
        <v>3</v>
      </c>
      <c r="H14" s="55">
        <v>33</v>
      </c>
      <c r="I14" s="55">
        <v>1</v>
      </c>
      <c r="J14" s="55">
        <f t="shared" si="0"/>
        <v>33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194</v>
      </c>
      <c r="D15" s="27" t="s">
        <v>188</v>
      </c>
      <c r="E15" s="27" t="s">
        <v>195</v>
      </c>
      <c r="F15" s="55">
        <v>2</v>
      </c>
      <c r="G15" s="55">
        <v>1</v>
      </c>
      <c r="H15" s="55">
        <v>1</v>
      </c>
      <c r="I15" s="55">
        <v>100</v>
      </c>
      <c r="J15" s="55">
        <f t="shared" si="0"/>
        <v>100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196</v>
      </c>
      <c r="D16" s="27" t="s">
        <v>179</v>
      </c>
      <c r="E16" s="27" t="s">
        <v>197</v>
      </c>
      <c r="F16" s="55">
        <v>1</v>
      </c>
      <c r="G16" s="55">
        <v>1</v>
      </c>
      <c r="H16" s="55">
        <v>1</v>
      </c>
      <c r="I16" s="55">
        <v>40</v>
      </c>
      <c r="J16" s="55">
        <f t="shared" si="0"/>
        <v>40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187</v>
      </c>
      <c r="D17" s="27" t="s">
        <v>180</v>
      </c>
      <c r="E17" s="27" t="s">
        <v>198</v>
      </c>
      <c r="F17" s="55">
        <v>1</v>
      </c>
      <c r="G17" s="55">
        <v>1</v>
      </c>
      <c r="H17" s="55">
        <v>9</v>
      </c>
      <c r="I17" s="55">
        <v>5</v>
      </c>
      <c r="J17" s="55">
        <f t="shared" si="0"/>
        <v>45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199</v>
      </c>
      <c r="D18" s="27" t="s">
        <v>188</v>
      </c>
      <c r="E18" s="27" t="s">
        <v>171</v>
      </c>
      <c r="F18" s="55">
        <v>1</v>
      </c>
      <c r="G18" s="55">
        <v>2</v>
      </c>
      <c r="H18" s="55">
        <v>2</v>
      </c>
      <c r="I18" s="55">
        <v>50</v>
      </c>
      <c r="J18" s="55">
        <f t="shared" si="0"/>
        <v>100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200</v>
      </c>
      <c r="D19" s="27" t="s">
        <v>174</v>
      </c>
      <c r="E19" s="27" t="s">
        <v>175</v>
      </c>
      <c r="F19" s="55">
        <v>1</v>
      </c>
      <c r="G19" s="55">
        <v>2</v>
      </c>
      <c r="H19" s="55">
        <v>2</v>
      </c>
      <c r="I19" s="55">
        <v>100</v>
      </c>
      <c r="J19" s="55">
        <f t="shared" si="0"/>
        <v>200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 t="s">
        <v>181</v>
      </c>
      <c r="D20" s="27" t="s">
        <v>174</v>
      </c>
      <c r="E20" s="27" t="s">
        <v>175</v>
      </c>
      <c r="F20" s="55">
        <v>2</v>
      </c>
      <c r="G20" s="55">
        <v>1</v>
      </c>
      <c r="H20" s="55">
        <v>2</v>
      </c>
      <c r="I20" s="55">
        <v>100</v>
      </c>
      <c r="J20" s="55">
        <f t="shared" si="0"/>
        <v>200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 t="s">
        <v>211</v>
      </c>
      <c r="D21" s="27" t="s">
        <v>188</v>
      </c>
      <c r="E21" s="27" t="s">
        <v>212</v>
      </c>
      <c r="F21" s="55">
        <v>1</v>
      </c>
      <c r="G21" s="55">
        <v>2</v>
      </c>
      <c r="H21" s="55">
        <v>2</v>
      </c>
      <c r="I21" s="55">
        <v>50</v>
      </c>
      <c r="J21" s="55">
        <f t="shared" si="0"/>
        <v>100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4"/>
  <sheetViews>
    <sheetView topLeftCell="A16" zoomScale="90" zoomScaleNormal="90" workbookViewId="0">
      <selection activeCell="G34" sqref="G34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NSD W/ RMLE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12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>
        <f>E16*F16</f>
        <v>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>
        <f t="shared" ref="G17:G24" si="0">E17*F17</f>
        <v>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>
        <f t="shared" si="0"/>
        <v>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>
        <f t="shared" si="0"/>
        <v>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>
        <f t="shared" si="0"/>
        <v>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>
        <f t="shared" si="0"/>
        <v>0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>
        <f t="shared" si="0"/>
        <v>0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>
        <f t="shared" si="0"/>
        <v>0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>
        <f t="shared" si="0"/>
        <v>0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77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 t="s">
        <v>182</v>
      </c>
      <c r="D28" s="70" t="s">
        <v>173</v>
      </c>
      <c r="E28" s="55">
        <v>1</v>
      </c>
      <c r="F28" s="55">
        <v>90</v>
      </c>
      <c r="G28" s="55">
        <f>E28*F28</f>
        <v>90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 t="s">
        <v>176</v>
      </c>
      <c r="D29" s="70" t="s">
        <v>173</v>
      </c>
      <c r="E29" s="55">
        <v>1</v>
      </c>
      <c r="F29" s="55">
        <v>40</v>
      </c>
      <c r="G29" s="55">
        <f t="shared" ref="G29:G39" si="1">E29*F29</f>
        <v>40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 t="s">
        <v>201</v>
      </c>
      <c r="D30" s="70" t="s">
        <v>173</v>
      </c>
      <c r="E30" s="55">
        <v>1</v>
      </c>
      <c r="F30" s="55">
        <v>100</v>
      </c>
      <c r="G30" s="55">
        <f t="shared" si="1"/>
        <v>100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 t="s">
        <v>202</v>
      </c>
      <c r="D31" s="70" t="s">
        <v>173</v>
      </c>
      <c r="E31" s="55">
        <v>5</v>
      </c>
      <c r="F31" s="55">
        <v>25</v>
      </c>
      <c r="G31" s="55">
        <f t="shared" si="1"/>
        <v>125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 t="s">
        <v>203</v>
      </c>
      <c r="D32" s="70" t="s">
        <v>206</v>
      </c>
      <c r="E32" s="55">
        <v>4</v>
      </c>
      <c r="F32" s="55">
        <v>100</v>
      </c>
      <c r="G32" s="55">
        <f t="shared" si="1"/>
        <v>400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 t="s">
        <v>204</v>
      </c>
      <c r="D33" s="70" t="s">
        <v>173</v>
      </c>
      <c r="E33" s="55">
        <v>5</v>
      </c>
      <c r="F33" s="55">
        <v>30</v>
      </c>
      <c r="G33" s="55">
        <f t="shared" si="1"/>
        <v>150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 t="s">
        <v>172</v>
      </c>
      <c r="D34" s="70" t="s">
        <v>173</v>
      </c>
      <c r="E34" s="55">
        <v>7</v>
      </c>
      <c r="F34" s="55">
        <v>10</v>
      </c>
      <c r="G34" s="55">
        <f t="shared" si="1"/>
        <v>70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 t="s">
        <v>183</v>
      </c>
      <c r="D35" s="70" t="s">
        <v>173</v>
      </c>
      <c r="E35" s="55">
        <v>3</v>
      </c>
      <c r="F35" s="55">
        <v>10</v>
      </c>
      <c r="G35" s="55">
        <f t="shared" si="1"/>
        <v>30</v>
      </c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 t="s">
        <v>205</v>
      </c>
      <c r="D36" s="70" t="s">
        <v>173</v>
      </c>
      <c r="E36" s="55">
        <v>1</v>
      </c>
      <c r="F36" s="55">
        <v>25</v>
      </c>
      <c r="G36" s="55">
        <f t="shared" si="1"/>
        <v>25</v>
      </c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 t="s">
        <v>210</v>
      </c>
      <c r="D37" s="70" t="s">
        <v>173</v>
      </c>
      <c r="E37" s="55">
        <v>2</v>
      </c>
      <c r="F37" s="55">
        <v>300</v>
      </c>
      <c r="G37" s="55">
        <f t="shared" si="1"/>
        <v>600</v>
      </c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11</v>
      </c>
      <c r="C38" s="69" t="s">
        <v>213</v>
      </c>
      <c r="D38" s="70" t="s">
        <v>173</v>
      </c>
      <c r="E38" s="55">
        <v>1</v>
      </c>
      <c r="F38" s="55">
        <v>5</v>
      </c>
      <c r="G38" s="55">
        <f t="shared" si="1"/>
        <v>5</v>
      </c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12</v>
      </c>
      <c r="C39" s="69" t="s">
        <v>214</v>
      </c>
      <c r="D39" s="70" t="s">
        <v>215</v>
      </c>
      <c r="E39" s="55">
        <v>2</v>
      </c>
      <c r="F39" s="55">
        <v>40</v>
      </c>
      <c r="G39" s="55">
        <f t="shared" si="1"/>
        <v>80</v>
      </c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136" t="s">
        <v>29</v>
      </c>
      <c r="C40" s="137"/>
      <c r="D40" s="137"/>
      <c r="E40" s="137"/>
      <c r="F40" s="137"/>
      <c r="G40" s="138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1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2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3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4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5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6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7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8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9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68">
        <v>10</v>
      </c>
      <c r="C50" s="69"/>
      <c r="D50" s="70"/>
      <c r="E50" s="55"/>
      <c r="F50" s="55"/>
      <c r="G50" s="55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A51" s="44"/>
      <c r="B51" s="39"/>
      <c r="C51" s="44"/>
      <c r="D51" s="39"/>
      <c r="E51" s="39"/>
      <c r="F51" s="39"/>
      <c r="G51" s="39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A52" s="44"/>
      <c r="B52" s="39"/>
      <c r="C52" s="44"/>
      <c r="D52" s="39"/>
      <c r="F52" s="39"/>
      <c r="G52" s="39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</sheetData>
  <sheetProtection password="C2E9" sheet="1" objects="1" scenarios="1" formatColumns="0" formatRows="0" sort="0" autoFilter="0"/>
  <mergeCells count="9">
    <mergeCell ref="B7:G7"/>
    <mergeCell ref="B27:G27"/>
    <mergeCell ref="B40:G40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50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40</xdr:row>
                    <xdr:rowOff>28575</xdr:rowOff>
                  </from>
                  <to>
                    <xdr:col>1</xdr:col>
                    <xdr:colOff>771525</xdr:colOff>
                    <xdr:row>40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40</xdr:row>
                    <xdr:rowOff>28575</xdr:rowOff>
                  </from>
                  <to>
                    <xdr:col>1</xdr:col>
                    <xdr:colOff>1543050</xdr:colOff>
                    <xdr:row>40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D1" workbookViewId="0">
      <selection activeCell="F23" sqref="F23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NSD W/ RMLE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85</v>
      </c>
      <c r="J12" s="86" t="s">
        <v>83</v>
      </c>
      <c r="K12" s="85" t="s">
        <v>40</v>
      </c>
      <c r="L12" s="85" t="s">
        <v>84</v>
      </c>
      <c r="M12" s="90" t="s">
        <v>86</v>
      </c>
      <c r="N12" s="90" t="s">
        <v>87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30</v>
      </c>
      <c r="F13" s="55"/>
      <c r="G13" s="55">
        <v>430</v>
      </c>
      <c r="H13" s="55">
        <v>15</v>
      </c>
      <c r="I13" s="55"/>
      <c r="J13" s="55">
        <v>85</v>
      </c>
      <c r="K13" s="55"/>
      <c r="L13" s="55"/>
      <c r="M13" s="55"/>
      <c r="N13" s="55"/>
      <c r="P13" s="88">
        <f>SUM(D13:N13)</f>
        <v>560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42</v>
      </c>
      <c r="D14" s="55"/>
      <c r="E14" s="55">
        <v>160</v>
      </c>
      <c r="F14" s="55"/>
      <c r="G14" s="55">
        <v>160</v>
      </c>
      <c r="H14" s="55"/>
      <c r="I14" s="55">
        <v>160</v>
      </c>
      <c r="J14" s="55"/>
      <c r="K14" s="55"/>
      <c r="L14" s="55"/>
      <c r="M14" s="55"/>
      <c r="N14" s="55"/>
      <c r="P14" s="88">
        <f t="shared" ref="P14:P22" si="0">SUM(D14:N14)</f>
        <v>480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 t="s">
        <v>177</v>
      </c>
      <c r="D15" s="55"/>
      <c r="E15" s="55"/>
      <c r="F15" s="55"/>
      <c r="G15" s="55"/>
      <c r="H15" s="55"/>
      <c r="I15" s="55">
        <v>15</v>
      </c>
      <c r="J15" s="55"/>
      <c r="K15" s="55"/>
      <c r="L15" s="55"/>
      <c r="M15" s="55"/>
      <c r="N15" s="55"/>
      <c r="P15" s="88">
        <f t="shared" si="0"/>
        <v>15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0</v>
      </c>
      <c r="E30" s="88">
        <f t="shared" si="1"/>
        <v>190</v>
      </c>
      <c r="F30" s="88">
        <f t="shared" si="1"/>
        <v>0</v>
      </c>
      <c r="G30" s="88">
        <f t="shared" si="1"/>
        <v>590</v>
      </c>
      <c r="H30" s="88">
        <f t="shared" si="1"/>
        <v>15</v>
      </c>
      <c r="I30" s="88">
        <f t="shared" si="1"/>
        <v>175</v>
      </c>
      <c r="J30" s="88">
        <f t="shared" si="1"/>
        <v>85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1055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2018-06-02T02:11:39Z</dcterms:modified>
</cp:coreProperties>
</file>