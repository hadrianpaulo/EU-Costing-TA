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Drugs&amp;Med'!$C$11:$C$18</definedName>
    <definedName name="_xlnm.Print_Area" localSheetId="0">'1.1 Case data_general'!$B$1:$F$69</definedName>
    <definedName name="_xlnm.Print_Area" localSheetId="1">'1.2 Drugs&amp;Med'!$B$2:$J$19</definedName>
  </definedNames>
  <calcPr calcId="145621"/>
</workbook>
</file>

<file path=xl/calcChain.xml><?xml version="1.0" encoding="utf-8"?>
<calcChain xmlns="http://schemas.openxmlformats.org/spreadsheetml/2006/main">
  <c r="G36" i="9" l="1"/>
  <c r="G29" i="9"/>
  <c r="G30" i="9"/>
  <c r="G31" i="9"/>
  <c r="G32" i="9"/>
  <c r="G33" i="9"/>
  <c r="G34" i="9"/>
  <c r="G35" i="9"/>
  <c r="G28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<sst xmlns="http://schemas.openxmlformats.org/spreadsheetml/2006/main" count="506" uniqueCount="205">
  <si>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</si>
  <si>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</si>
  <si>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</si>
  <si>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</si>
  <si>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</si>
  <si>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</si>
  <si>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</si>
  <si>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</si>
  <si>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</si>
  <si>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</si>
  <si>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</si>
  <si>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</si>
  <si>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</si>
  <si>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</si>
  <si>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</si>
  <si>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</si>
  <si>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</si>
  <si>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</si>
  <si>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</si>
  <si>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</si>
  <si>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</si>
  <si>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</si>
  <si>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</si>
  <si>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</si>
  <si>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</si>
  <si>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</si>
  <si>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</si>
  <si>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</si>
  <si>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</si>
  <si>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</si>
  <si>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</si>
  <si>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</si>
  <si>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</si>
  <si>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</si>
  <si>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</si>
  <si>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</si>
  <si>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</si>
  <si>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</si>
  <si>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</si>
  <si>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</si>
  <si>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</si>
  <si>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</si>
  <si>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</si>
  <si>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</si>
  <si>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</si>
  <si>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</si>
  <si>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</si>
  <si>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</si>
  <si>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</si>
  <si>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</si>
  <si>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</si>
  <si>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</si>
  <si>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</si>
  <si>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</si>
  <si>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</si>
  <si>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</si>
  <si>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</si>
  <si>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</si>
  <si>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</si>
  <si>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</si>
  <si>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</si>
  <si>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</si>
  <si>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</si>
  <si>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</si>
  <si>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</si>
  <si>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</si>
  <si>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</si>
  <si>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</si>
  <si>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</si>
  <si>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</si>
  <si>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</si>
  <si>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</si>
  <si>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</si>
  <si>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</si>
  <si>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</si>
  <si>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</si>
  <si>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</si>
  <si>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</si>
  <si>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</si>
  <si>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</si>
  <si>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</si>
  <si>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</si>
  <si>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</si>
  <si>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</si>
  <si>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</si>
  <si>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</si>
  <si>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</si>
  <si>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</si>
  <si>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</si>
  <si>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</si>
  <si>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</si>
  <si>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</si>
  <si>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</si>
  <si>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</si>
  <si>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</si>
  <si>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</si>
  <si>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</si>
  <si>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</si>
  <si>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</si>
  <si>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</si>
  <si>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</si>
  <si>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</si>
  <si>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</si>
  <si>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</si>
  <si>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</si>
  <si>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</si>
  <si>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</si>
  <si>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</si>
  <si>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</si>
  <si>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</si>
  <si>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</si>
  <si>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</si>
  <si>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</si>
  <si>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</si>
  <si>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</si>
  <si>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</si>
  <si>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</si>
  <si>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</si>
  <si>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</si>
  <si>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</si>
  <si>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</si>
  <si>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</si>
  <si>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</si>
  <si>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</si>
  <si>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</si>
  <si>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</si>
  <si>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</si>
  <si>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</si>
  <si>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</si>
  <si>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</si>
  <si>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</si>
  <si>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</si>
  <si>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</si>
  <si>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</si>
  <si>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</si>
  <si>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</si>
  <si>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</si>
  <si>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</si>
  <si>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</si>
  <si>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</si>
  <si>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</si>
  <si>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</si>
  <si>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</si>
  <si>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</si>
  <si>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</si>
  <si>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</si>
  <si>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</si>
  <si>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</si>
  <si>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</si>
  <si>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</si>
  <si>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</si>
  <si>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</si>
  <si>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</si>
  <si>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</si>
  <si>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</si>
  <si>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</si>
  <si>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</si>
  <si>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</si>
  <si>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</si>
  <si>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</si>
  <si>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</si>
  <si>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</si>
  <si>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</si>
  <si>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</si>
  <si>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</si>
  <si>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</si>
  <si>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</si>
  <si>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</si>
  <si>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</si>
  <si>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</si>
  <si>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</si>
  <si>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</si>
  <si>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</si>
  <si>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TABLET</t>
  </si>
  <si>
    <t>125MG</t>
  </si>
  <si>
    <t>CEFALEXIN</t>
  </si>
  <si>
    <t>500MG</t>
  </si>
  <si>
    <t>MEFENAMIC ACID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</si>
  <si>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</si>
  <si>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</si>
  <si>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</si>
  <si>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</si>
  <si>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</si>
  <si>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</si>
  <si>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</si>
  <si>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</si>
  <si>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</si>
  <si>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</si>
  <si>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</si>
  <si>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</si>
  <si>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</si>
  <si>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</si>
  <si>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</si>
  <si>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SYRINGE 5CC</t>
  </si>
  <si>
    <t>1AMP</t>
  </si>
  <si>
    <t>HNBB</t>
  </si>
  <si>
    <t>50MG</t>
  </si>
  <si>
    <t>O69.2</t>
  </si>
  <si>
    <t>NALBUPHINE</t>
  </si>
  <si>
    <t>METHERGINE MALEATE</t>
  </si>
  <si>
    <t>10MG</t>
  </si>
  <si>
    <t>PROMETHAZINE</t>
  </si>
  <si>
    <t>CHROMIC 2/0 ROUND</t>
  </si>
  <si>
    <t>NSD W/ RMLE</t>
  </si>
  <si>
    <t>VAGINAL DELIVERY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</si>
</sst>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E27" sqref="E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197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204</v>
      </c>
      <c r="E23" s="55">
        <v>1</v>
      </c>
      <c r="F23" s="55">
        <v>1.1499999999999999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1470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480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3890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workbookViewId="0">
      <selection activeCell="D26" sqref="D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178</v>
      </c>
      <c r="E11" s="27" t="s">
        <v>194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178</v>
      </c>
      <c r="E12" s="27" t="s">
        <v>200</v>
      </c>
      <c r="F12" s="55">
        <v>1</v>
      </c>
      <c r="G12" s="55">
        <v>1</v>
      </c>
      <c r="H12" s="55">
        <v>1</v>
      </c>
      <c r="I12" s="55">
        <v>170</v>
      </c>
      <c r="J12" s="55">
        <f t="shared" ref="J12:J18" si="0">H12*I12</f>
        <v>170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201</v>
      </c>
      <c r="D13" s="27" t="s">
        <v>178</v>
      </c>
      <c r="E13" s="27" t="s">
        <v>196</v>
      </c>
      <c r="F13" s="55">
        <v>1</v>
      </c>
      <c r="G13" s="55">
        <v>1</v>
      </c>
      <c r="H13" s="55">
        <v>1</v>
      </c>
      <c r="I13" s="55">
        <v>75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178</v>
      </c>
      <c r="E14" s="27" t="s">
        <v>200</v>
      </c>
      <c r="F14" s="55">
        <v>1</v>
      </c>
      <c r="G14" s="55">
        <v>1</v>
      </c>
      <c r="H14" s="55">
        <v>1</v>
      </c>
      <c r="I14" s="55">
        <v>75</v>
      </c>
      <c r="J14" s="55">
        <f t="shared" si="0"/>
        <v>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175</v>
      </c>
      <c r="D15" s="27" t="s">
        <v>173</v>
      </c>
      <c r="E15" s="27" t="s">
        <v>176</v>
      </c>
      <c r="F15" s="55">
        <v>3</v>
      </c>
      <c r="G15" s="55">
        <v>2</v>
      </c>
      <c r="H15" s="55">
        <v>15</v>
      </c>
      <c r="I15" s="55">
        <v>7</v>
      </c>
      <c r="J15" s="55">
        <f t="shared" si="0"/>
        <v>105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173</v>
      </c>
      <c r="E16" s="27" t="s">
        <v>176</v>
      </c>
      <c r="F16" s="55">
        <v>3</v>
      </c>
      <c r="G16" s="55">
        <v>2</v>
      </c>
      <c r="H16" s="55">
        <v>9</v>
      </c>
      <c r="I16" s="55">
        <v>5</v>
      </c>
      <c r="J16" s="55">
        <f t="shared" si="0"/>
        <v>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173</v>
      </c>
      <c r="E17" s="27" t="s">
        <v>174</v>
      </c>
      <c r="F17" s="55">
        <v>3</v>
      </c>
      <c r="G17" s="55">
        <v>2</v>
      </c>
      <c r="H17" s="55">
        <v>9</v>
      </c>
      <c r="I17" s="55">
        <v>5</v>
      </c>
      <c r="J17" s="55">
        <f t="shared" si="0"/>
        <v>45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181</v>
      </c>
      <c r="D18" s="27" t="s">
        <v>182</v>
      </c>
      <c r="E18" s="27" t="s">
        <v>183</v>
      </c>
      <c r="F18" s="55">
        <v>1</v>
      </c>
      <c r="G18" s="55">
        <v>2</v>
      </c>
      <c r="H18" s="55">
        <v>1</v>
      </c>
      <c r="I18" s="55">
        <v>100</v>
      </c>
      <c r="J18" s="55">
        <f t="shared" si="0"/>
        <v>100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6" workbookViewId="0">
      <selection activeCell="E32" sqref="E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180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180</v>
      </c>
      <c r="E29" s="55">
        <v>1</v>
      </c>
      <c r="F29" s="55">
        <v>40</v>
      </c>
      <c r="G29" s="55">
        <f t="shared" ref="G29:G35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180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179</v>
      </c>
      <c r="D31" s="70" t="s">
        <v>180</v>
      </c>
      <c r="E31" s="55">
        <v>3</v>
      </c>
      <c r="F31" s="55">
        <v>10</v>
      </c>
      <c r="G31" s="55">
        <f t="shared" si="0"/>
        <v>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180</v>
      </c>
      <c r="E32" s="55">
        <v>2</v>
      </c>
      <c r="F32" s="55">
        <v>10</v>
      </c>
      <c r="G32" s="55">
        <f t="shared" si="0"/>
        <v>20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180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184</v>
      </c>
      <c r="D35" s="70" t="s">
        <v>180</v>
      </c>
      <c r="E35" s="55">
        <v>4</v>
      </c>
      <c r="F35" s="55">
        <v>25</v>
      </c>
      <c r="G35" s="55">
        <f t="shared" si="0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202</v>
      </c>
      <c r="D36" s="70" t="s">
        <v>180</v>
      </c>
      <c r="E36" s="55">
        <v>300</v>
      </c>
      <c r="F36" s="55">
        <v>1</v>
      </c>
      <c r="G36" s="55">
        <f t="shared" ref="G36" si="1">E36*F36</f>
        <v>300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480</v>
      </c>
      <c r="H13" s="55">
        <v>30</v>
      </c>
      <c r="I13" s="55"/>
      <c r="J13" s="55">
        <v>30</v>
      </c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30</v>
      </c>
      <c r="H14" s="55"/>
      <c r="I14" s="55">
        <v>30</v>
      </c>
      <c r="J14" s="55"/>
      <c r="K14" s="55"/>
      <c r="L14" s="55"/>
      <c r="M14" s="55"/>
      <c r="N14" s="55"/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510</v>
      </c>
      <c r="H30" s="88">
        <f t="shared" si="1"/>
        <v>30</v>
      </c>
      <c r="I30" s="88">
        <f t="shared" si="1"/>
        <v>45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2018-06-02T02:10:19Z</dcterms:modified>
</cp:coreProperties>
</file>