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data_general'!$B$1:$F$69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36" i="9" l="1"/>
  <c r="G35" i="9"/>
  <c r="G34" i="9"/>
  <c r="G33" i="9" l="1"/>
  <c r="G29" i="9"/>
  <c r="G30" i="9"/>
  <c r="G31" i="9"/>
  <c r="G32" i="9"/>
  <c r="G28" i="9"/>
  <c r="J12" i="2"/>
  <c r="J13" i="2"/>
  <c r="J14" i="2"/>
  <c r="J15" i="2"/>
  <c r="J16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<sst xmlns="http://schemas.openxmlformats.org/spreadsheetml/2006/main" count="501" uniqueCount="203">
  <si>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</si>
  <si>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</si>
  <si>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</si>
  <si>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</si>
  <si>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</si>
  <si>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</si>
  <si>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</si>
  <si>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</si>
  <si>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</si>
  <si>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</si>
  <si>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</si>
  <si>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</si>
  <si>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</si>
  <si>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</si>
  <si>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</si>
  <si>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</si>
  <si>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</si>
  <si>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</si>
  <si>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</si>
  <si>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</si>
  <si>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</si>
  <si>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</si>
  <si>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</si>
  <si>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</si>
  <si>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</si>
  <si>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</si>
  <si>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</si>
  <si>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</si>
  <si>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</si>
  <si>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</si>
  <si>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</si>
  <si>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</si>
  <si>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</si>
  <si>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</si>
  <si>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</si>
  <si>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</si>
  <si>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</si>
  <si>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</si>
  <si>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</si>
  <si>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</si>
  <si>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</si>
  <si>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</si>
  <si>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</si>
  <si>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</si>
  <si>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</si>
  <si>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</si>
  <si>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</si>
  <si>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</si>
  <si>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</si>
  <si>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</si>
  <si>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</si>
  <si>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</si>
  <si>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</si>
  <si>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</si>
  <si>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</si>
  <si>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</si>
  <si>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</si>
  <si>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</si>
  <si>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</si>
  <si>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</si>
  <si>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</si>
  <si>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</si>
  <si>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</si>
  <si>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</si>
  <si>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</si>
  <si>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</si>
  <si>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</si>
  <si>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</si>
  <si>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</si>
  <si>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</si>
  <si>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</si>
  <si>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</si>
  <si>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</si>
  <si>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</si>
  <si>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</si>
  <si>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</si>
  <si>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</si>
  <si>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</si>
  <si>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</si>
  <si>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</si>
  <si>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</si>
  <si>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</si>
  <si>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</si>
  <si>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</si>
  <si>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</si>
  <si>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</si>
  <si>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</si>
  <si>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</si>
  <si>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</si>
  <si>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</si>
  <si>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</si>
  <si>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</si>
  <si>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</si>
  <si>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</si>
  <si>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</si>
  <si>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</si>
  <si>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</si>
  <si>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</si>
  <si>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</si>
  <si>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</si>
  <si>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</si>
  <si>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</si>
  <si>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</si>
  <si>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</si>
  <si>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</si>
  <si>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</si>
  <si>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</si>
  <si>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</si>
  <si>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</si>
  <si>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</si>
  <si>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</si>
  <si>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</si>
  <si>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</si>
  <si>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</si>
  <si>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</si>
  <si>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</si>
  <si>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</si>
  <si>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</si>
  <si>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</si>
  <si>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</si>
  <si>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</si>
  <si>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</si>
  <si>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</si>
  <si>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</si>
  <si>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</si>
  <si>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</si>
  <si>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</si>
  <si>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</si>
  <si>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</si>
  <si>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</si>
  <si>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</si>
  <si>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</si>
  <si>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</si>
  <si>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</si>
  <si>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</si>
  <si>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</si>
  <si>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</si>
  <si>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</si>
  <si>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</si>
  <si>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</si>
  <si>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</si>
  <si>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</si>
  <si>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</si>
  <si>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</si>
  <si>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</si>
  <si>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</si>
  <si>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</si>
  <si>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</si>
  <si>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</si>
  <si>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</si>
  <si>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</si>
  <si>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</si>
  <si>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</si>
  <si>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</si>
  <si>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</si>
  <si>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</si>
  <si>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</si>
  <si>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</si>
  <si>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</si>
  <si>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</si>
  <si>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</si>
  <si>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</si>
  <si>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</si>
  <si>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</si>
  <si>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</si>
  <si>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</si>
  <si>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CBC PLATELET COUNT</t>
  </si>
  <si>
    <t>RH TYPING</t>
  </si>
  <si>
    <t>MEDICINES</t>
  </si>
  <si>
    <t>LABORATORY</t>
  </si>
  <si>
    <t>ROOM AND BOARD</t>
  </si>
  <si>
    <t>500MG</t>
  </si>
  <si>
    <t>TABLET</t>
  </si>
  <si>
    <t>ABOCATH GAUGE 20</t>
  </si>
  <si>
    <t>MACRO SET</t>
  </si>
  <si>
    <t>PLASTER 1/2</t>
  </si>
  <si>
    <t>SYRINGE 3CC</t>
  </si>
  <si>
    <t>PC</t>
  </si>
  <si>
    <t>BOTTLE</t>
  </si>
  <si>
    <t>AMPULE</t>
  </si>
  <si>
    <t>D5LR</t>
  </si>
  <si>
    <t>1LITTER</t>
  </si>
  <si>
    <t>O80.9</t>
  </si>
  <si>
    <t>Z37.0</t>
  </si>
  <si>
    <t>O69.2</t>
  </si>
  <si>
    <t>DELIVERY ROOM</t>
  </si>
  <si>
    <t>ROD</t>
  </si>
  <si>
    <t>METHERGEN</t>
  </si>
  <si>
    <t>200MG</t>
  </si>
  <si>
    <t>125MG</t>
  </si>
  <si>
    <t>CEFALEXIN</t>
  </si>
  <si>
    <t>MEFENAMIC ACID</t>
  </si>
  <si>
    <t>FERROUS SULFATE</t>
  </si>
  <si>
    <t>325MG</t>
  </si>
  <si>
    <t>GLOVES 7.0</t>
  </si>
  <si>
    <t>Perineal Care</t>
  </si>
  <si>
    <t>SANITEX</t>
  </si>
  <si>
    <t>PACK</t>
  </si>
  <si>
    <t>UNDERPADS</t>
  </si>
  <si>
    <t>SYRINGE 5CC</t>
  </si>
  <si>
    <t>CHROMIC 2/0 ROUND</t>
  </si>
  <si>
    <t>VAGINAL DELIVERY WITH RMLE</t>
  </si>
  <si>
    <t>NSD W/ RMLE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</si>
</sst>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48" zoomScaleNormal="100" workbookViewId="0">
      <selection activeCell="D23" sqref="D2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183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184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59409</v>
      </c>
      <c r="D23" s="29" t="s">
        <v>201</v>
      </c>
      <c r="E23" s="55">
        <v>1</v>
      </c>
      <c r="F23" s="55">
        <v>1.25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27" t="s">
        <v>166</v>
      </c>
      <c r="D34" s="23"/>
      <c r="E34" s="55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27" t="s">
        <v>167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165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45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54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165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165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168</v>
      </c>
      <c r="D58" s="55">
        <v>1179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169</v>
      </c>
      <c r="D59" s="55">
        <v>650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170</v>
      </c>
      <c r="D60" s="55">
        <v>400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185</v>
      </c>
      <c r="D61" s="55">
        <v>1140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186</v>
      </c>
      <c r="D62" s="55">
        <v>2000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5369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H12" sqref="H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 W/ RMLE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187</v>
      </c>
      <c r="D11" s="27" t="s">
        <v>179</v>
      </c>
      <c r="E11" s="27" t="s">
        <v>188</v>
      </c>
      <c r="F11" s="55">
        <v>2</v>
      </c>
      <c r="G11" s="55">
        <v>1</v>
      </c>
      <c r="H11" s="55">
        <v>1</v>
      </c>
      <c r="I11" s="55">
        <v>75</v>
      </c>
      <c r="J11" s="55">
        <f>H11*I11</f>
        <v>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187</v>
      </c>
      <c r="D12" s="27" t="s">
        <v>172</v>
      </c>
      <c r="E12" s="27" t="s">
        <v>189</v>
      </c>
      <c r="F12" s="55">
        <v>3</v>
      </c>
      <c r="G12" s="55">
        <v>1</v>
      </c>
      <c r="H12" s="55">
        <v>9</v>
      </c>
      <c r="I12" s="55">
        <v>5</v>
      </c>
      <c r="J12" s="55">
        <f t="shared" ref="J12:J16" si="0">H12*I12</f>
        <v>45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190</v>
      </c>
      <c r="D13" s="27" t="s">
        <v>172</v>
      </c>
      <c r="E13" s="27" t="s">
        <v>171</v>
      </c>
      <c r="F13" s="55">
        <v>3</v>
      </c>
      <c r="G13" s="55">
        <v>2</v>
      </c>
      <c r="H13" s="55">
        <v>21</v>
      </c>
      <c r="I13" s="55">
        <v>7</v>
      </c>
      <c r="J13" s="55">
        <f t="shared" si="0"/>
        <v>147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172</v>
      </c>
      <c r="E14" s="27" t="s">
        <v>171</v>
      </c>
      <c r="F14" s="55">
        <v>3</v>
      </c>
      <c r="G14" s="55">
        <v>2</v>
      </c>
      <c r="H14" s="55">
        <v>9</v>
      </c>
      <c r="I14" s="55">
        <v>5</v>
      </c>
      <c r="J14" s="55">
        <f t="shared" si="0"/>
        <v>45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192</v>
      </c>
      <c r="D15" s="27" t="s">
        <v>172</v>
      </c>
      <c r="E15" s="27" t="s">
        <v>193</v>
      </c>
      <c r="F15" s="55">
        <v>1</v>
      </c>
      <c r="G15" s="55">
        <v>2</v>
      </c>
      <c r="H15" s="55">
        <v>32</v>
      </c>
      <c r="I15" s="55">
        <v>1</v>
      </c>
      <c r="J15" s="55">
        <f t="shared" si="0"/>
        <v>32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180</v>
      </c>
      <c r="D16" s="27" t="s">
        <v>178</v>
      </c>
      <c r="E16" s="27" t="s">
        <v>181</v>
      </c>
      <c r="F16" s="55">
        <v>1</v>
      </c>
      <c r="G16" s="55">
        <v>1</v>
      </c>
      <c r="H16" s="55">
        <v>1</v>
      </c>
      <c r="I16" s="55">
        <v>100</v>
      </c>
      <c r="J16" s="55">
        <f t="shared" si="0"/>
        <v>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2" workbookViewId="0">
      <selection activeCell="C37" sqref="C3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 W/ RMLE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173</v>
      </c>
      <c r="D28" s="70" t="s">
        <v>177</v>
      </c>
      <c r="E28" s="55">
        <v>1</v>
      </c>
      <c r="F28" s="55">
        <v>100</v>
      </c>
      <c r="G28" s="55">
        <f>E28*F28</f>
        <v>100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174</v>
      </c>
      <c r="D29" s="70" t="s">
        <v>177</v>
      </c>
      <c r="E29" s="55">
        <v>1</v>
      </c>
      <c r="F29" s="55">
        <v>40</v>
      </c>
      <c r="G29" s="55">
        <f t="shared" ref="G29:G33" si="0">E29*F29</f>
        <v>40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175</v>
      </c>
      <c r="D30" s="70" t="s">
        <v>177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176</v>
      </c>
      <c r="D31" s="70" t="s">
        <v>177</v>
      </c>
      <c r="E31" s="55">
        <v>3</v>
      </c>
      <c r="F31" s="55">
        <v>10</v>
      </c>
      <c r="G31" s="55">
        <f t="shared" si="0"/>
        <v>30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194</v>
      </c>
      <c r="D32" s="70" t="s">
        <v>177</v>
      </c>
      <c r="E32" s="55">
        <v>3</v>
      </c>
      <c r="F32" s="55">
        <v>25</v>
      </c>
      <c r="G32" s="55">
        <f t="shared" si="0"/>
        <v>75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196</v>
      </c>
      <c r="D33" s="70" t="s">
        <v>197</v>
      </c>
      <c r="E33" s="55">
        <v>1</v>
      </c>
      <c r="F33" s="55">
        <v>100</v>
      </c>
      <c r="G33" s="55">
        <f t="shared" si="0"/>
        <v>100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199</v>
      </c>
      <c r="D34" s="70" t="s">
        <v>177</v>
      </c>
      <c r="E34" s="55">
        <v>2</v>
      </c>
      <c r="F34" s="55">
        <v>10</v>
      </c>
      <c r="G34" s="55">
        <f t="shared" ref="G34:G36" si="1">E34*F34</f>
        <v>20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200</v>
      </c>
      <c r="D35" s="70" t="s">
        <v>177</v>
      </c>
      <c r="E35" s="55">
        <v>1</v>
      </c>
      <c r="F35" s="55">
        <v>300</v>
      </c>
      <c r="G35" s="55">
        <f t="shared" si="1"/>
        <v>300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198</v>
      </c>
      <c r="D36" s="70" t="s">
        <v>177</v>
      </c>
      <c r="E36" s="55">
        <v>1</v>
      </c>
      <c r="F36" s="55">
        <v>30</v>
      </c>
      <c r="G36" s="55">
        <f t="shared" si="1"/>
        <v>30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B3" workbookViewId="0">
      <selection activeCell="H18" sqref="H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 W/ RMLE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540</v>
      </c>
      <c r="H13" s="55"/>
      <c r="I13" s="55"/>
      <c r="J13" s="55">
        <v>25</v>
      </c>
      <c r="K13" s="55"/>
      <c r="L13" s="55"/>
      <c r="M13" s="55"/>
      <c r="N13" s="55"/>
      <c r="P13" s="88">
        <f>SUM(D13:N13)</f>
        <v>595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25</v>
      </c>
      <c r="F14" s="55"/>
      <c r="G14" s="55">
        <v>25</v>
      </c>
      <c r="H14" s="55"/>
      <c r="I14" s="55">
        <v>25</v>
      </c>
      <c r="J14" s="55"/>
      <c r="K14" s="55"/>
      <c r="L14" s="55"/>
      <c r="M14" s="55"/>
      <c r="N14" s="55"/>
      <c r="P14" s="88">
        <f t="shared" ref="P14:P22" si="0">SUM(D14:N14)</f>
        <v>75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195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55</v>
      </c>
      <c r="F30" s="88">
        <f t="shared" si="1"/>
        <v>0</v>
      </c>
      <c r="G30" s="88">
        <f t="shared" si="1"/>
        <v>565</v>
      </c>
      <c r="H30" s="88">
        <f t="shared" si="1"/>
        <v>0</v>
      </c>
      <c r="I30" s="88">
        <f t="shared" si="1"/>
        <v>40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685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2018-06-02T02:13:54Z</dcterms:modified>
</cp:coreProperties>
</file>