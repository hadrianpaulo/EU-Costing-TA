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36" i="9" l="1"/>
  <c r="G29" i="9"/>
  <c r="G30" i="9"/>
  <c r="G31" i="9"/>
  <c r="G32" i="9"/>
  <c r="G33" i="9"/>
  <c r="G34" i="9"/>
  <c r="G35" i="9"/>
  <c r="G28" i="9"/>
  <c r="J12" i="2"/>
  <c r="J13" i="2"/>
  <c r="J14" i="2"/>
  <c r="J15" i="2"/>
  <c r="J16" i="2"/>
  <c r="J17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<sst xmlns="http://schemas.openxmlformats.org/spreadsheetml/2006/main" count="505" uniqueCount="206">
  <si>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</si>
  <si>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</si>
  <si>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</si>
  <si>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</si>
  <si>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</si>
  <si>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</si>
  <si>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</si>
  <si>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</si>
  <si>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</si>
  <si>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</si>
  <si>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</si>
  <si>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</si>
  <si>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</si>
  <si>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</si>
  <si>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</si>
  <si>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</si>
  <si>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</si>
  <si>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</si>
  <si>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</si>
  <si>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</si>
  <si>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</si>
  <si>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</si>
  <si>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</si>
  <si>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</si>
  <si>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</si>
  <si>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</si>
  <si>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</si>
  <si>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</si>
  <si>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</si>
  <si>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</si>
  <si>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</si>
  <si>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</si>
  <si>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</si>
  <si>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</si>
  <si>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</si>
  <si>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</si>
  <si>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</si>
  <si>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</si>
  <si>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</si>
  <si>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</si>
  <si>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</si>
  <si>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</si>
  <si>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</si>
  <si>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</si>
  <si>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</si>
  <si>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</si>
  <si>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</si>
  <si>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</si>
  <si>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</si>
  <si>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</si>
  <si>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</si>
  <si>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</si>
  <si>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</si>
  <si>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</si>
  <si>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</si>
  <si>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</si>
  <si>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</si>
  <si>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</si>
  <si>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</si>
  <si>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</si>
  <si>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</si>
  <si>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</si>
  <si>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</si>
  <si>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</si>
  <si>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</si>
  <si>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</si>
  <si>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</si>
  <si>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</si>
  <si>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</si>
  <si>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</si>
  <si>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</si>
  <si>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</si>
  <si>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</si>
  <si>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</si>
  <si>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</si>
  <si>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</si>
  <si>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</si>
  <si>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</si>
  <si>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</si>
  <si>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</si>
  <si>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</si>
  <si>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</si>
  <si>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</si>
  <si>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</si>
  <si>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</si>
  <si>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</si>
  <si>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</si>
  <si>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</si>
  <si>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</si>
  <si>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</si>
  <si>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</si>
  <si>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</si>
  <si>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</si>
  <si>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</si>
  <si>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</si>
  <si>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</si>
  <si>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</si>
  <si>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</si>
  <si>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</si>
  <si>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</si>
  <si>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</si>
  <si>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</si>
  <si>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</si>
  <si>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</si>
  <si>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</si>
  <si>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</si>
  <si>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</si>
  <si>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</si>
  <si>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</si>
  <si>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</si>
  <si>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</si>
  <si>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</si>
  <si>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</si>
  <si>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</si>
  <si>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</si>
  <si>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</si>
  <si>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</si>
  <si>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</si>
  <si>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</si>
  <si>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</si>
  <si>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</si>
  <si>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</si>
  <si>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</si>
  <si>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</si>
  <si>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</si>
  <si>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</si>
  <si>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</si>
  <si>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</si>
  <si>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</si>
  <si>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</si>
  <si>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</si>
  <si>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</si>
  <si>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</si>
  <si>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</si>
  <si>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</si>
  <si>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</si>
  <si>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</si>
  <si>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</si>
  <si>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</si>
  <si>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</si>
  <si>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</si>
  <si>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</si>
  <si>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</si>
  <si>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</si>
  <si>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</si>
  <si>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</si>
  <si>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</si>
  <si>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</si>
  <si>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</si>
  <si>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</si>
  <si>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</si>
  <si>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</si>
  <si>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</si>
  <si>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</si>
  <si>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</si>
  <si>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</si>
  <si>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</si>
  <si>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</si>
  <si>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</si>
  <si>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</si>
  <si>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</si>
  <si>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</si>
  <si>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</si>
  <si>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</si>
  <si>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</si>
  <si>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</si>
  <si>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</si>
  <si>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BOTTLE</t>
  </si>
  <si>
    <t>SYRINGE 3CC</t>
  </si>
  <si>
    <t>PC</t>
  </si>
  <si>
    <t>CBC PLATELET COUNT</t>
  </si>
  <si>
    <t>ROOM AND BOARD</t>
  </si>
  <si>
    <t>1LITER</t>
  </si>
  <si>
    <t>MACRO SET</t>
  </si>
  <si>
    <t>TABLET</t>
  </si>
  <si>
    <t>AMPULE</t>
  </si>
  <si>
    <t>500MG</t>
  </si>
  <si>
    <t>RH TYPING</t>
  </si>
  <si>
    <t>ROD</t>
  </si>
  <si>
    <t>O80.9</t>
  </si>
  <si>
    <t>Z37.0</t>
  </si>
  <si>
    <t>O69.2</t>
  </si>
  <si>
    <t>HBsAg</t>
  </si>
  <si>
    <t>DELIVERY ROOM</t>
  </si>
  <si>
    <t>METHYLERGOMETRINE MALEATE</t>
  </si>
  <si>
    <t>1AMP</t>
  </si>
  <si>
    <t>125MCG</t>
  </si>
  <si>
    <t>CEFALEXIN</t>
  </si>
  <si>
    <t>MEFENAMIC ACID</t>
  </si>
  <si>
    <t>CAPSULE</t>
  </si>
  <si>
    <t>D5 LR</t>
  </si>
  <si>
    <t>ABOCATH GAUGE 20</t>
  </si>
  <si>
    <t>PLASTER</t>
  </si>
  <si>
    <t>GLOVES 7.0</t>
  </si>
  <si>
    <t>SANITEX</t>
  </si>
  <si>
    <t>RAZOR</t>
  </si>
  <si>
    <t>PACK</t>
  </si>
  <si>
    <t>Procedure</t>
  </si>
  <si>
    <t>Perineal Care</t>
  </si>
  <si>
    <t>OXYTOCIN</t>
  </si>
  <si>
    <t>10IU</t>
  </si>
  <si>
    <t>FERROUS SULFATE</t>
  </si>
  <si>
    <t>UNDERPADS</t>
  </si>
  <si>
    <t>CHROMIC 2.0</t>
  </si>
  <si>
    <t>VAGINAL DELIVERY WITH RMLE</t>
  </si>
  <si>
    <t>NSD W/ RMLE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</si>
</sst>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D60" sqref="D6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181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59409</v>
      </c>
      <c r="D23" s="29" t="s">
        <v>204</v>
      </c>
      <c r="E23" s="55">
        <v>1</v>
      </c>
      <c r="F23" s="55">
        <v>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170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177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1849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810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171</v>
      </c>
      <c r="D59" s="55">
        <v>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 t="s">
        <v>178</v>
      </c>
      <c r="D60" s="55">
        <v>2000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 t="s">
        <v>183</v>
      </c>
      <c r="D61" s="55">
        <v>1140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6199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algorithmName="SHA-512" hashValue="lB3+f6tehq/7V3V9MavdzuPawq6WrM/tb/UEyKeuOByy4rfcHcUe8GA/uMBKYhlGUz3WJ5E2j7RJAfAkvd9ETQ==" saltValue="KCuIYC0lp179p/D/pQ8XUQ==" spinCount="100000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2:F42"/>
  </mergeCells>
  <dataValidations count="1">
    <dataValidation type="decimal" operator="greaterThanOrEqual" allowBlank="1" showInputMessage="1" showErrorMessage="1" sqref="E41 E43:F46 E48:F53 D57:F66 E38:E39 E34:E36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zoomScale="90" zoomScaleNormal="90" workbookViewId="0">
      <selection activeCell="F24" sqref="F24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NSD W/ RMLE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175</v>
      </c>
      <c r="E11" s="27" t="s">
        <v>185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174</v>
      </c>
      <c r="E12" s="27" t="s">
        <v>186</v>
      </c>
      <c r="F12" s="55">
        <v>3</v>
      </c>
      <c r="G12" s="55">
        <v>1</v>
      </c>
      <c r="H12" s="55">
        <v>21</v>
      </c>
      <c r="I12" s="55">
        <v>5</v>
      </c>
      <c r="J12" s="55">
        <f t="shared" ref="J12:J17" si="0">H12*I12</f>
        <v>105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189</v>
      </c>
      <c r="E13" s="27" t="s">
        <v>176</v>
      </c>
      <c r="F13" s="55">
        <v>3</v>
      </c>
      <c r="G13" s="55">
        <v>2</v>
      </c>
      <c r="H13" s="55">
        <v>22</v>
      </c>
      <c r="I13" s="55">
        <v>7</v>
      </c>
      <c r="J13" s="55">
        <f t="shared" si="0"/>
        <v>154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189</v>
      </c>
      <c r="E14" s="27" t="s">
        <v>176</v>
      </c>
      <c r="F14" s="55">
        <v>3</v>
      </c>
      <c r="G14" s="55">
        <v>2</v>
      </c>
      <c r="H14" s="55">
        <v>21</v>
      </c>
      <c r="I14" s="55">
        <v>5</v>
      </c>
      <c r="J14" s="55">
        <f t="shared" si="0"/>
        <v>105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201</v>
      </c>
      <c r="D15" s="27" t="s">
        <v>189</v>
      </c>
      <c r="E15" s="27" t="s">
        <v>176</v>
      </c>
      <c r="F15" s="55">
        <v>1</v>
      </c>
      <c r="G15" s="55">
        <v>2</v>
      </c>
      <c r="H15" s="55">
        <v>30</v>
      </c>
      <c r="I15" s="55">
        <v>1</v>
      </c>
      <c r="J15" s="55">
        <f t="shared" si="0"/>
        <v>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167</v>
      </c>
      <c r="E16" s="27" t="s">
        <v>172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175</v>
      </c>
      <c r="E17" s="27" t="s">
        <v>200</v>
      </c>
      <c r="F17" s="55">
        <v>1</v>
      </c>
      <c r="G17" s="55">
        <v>1</v>
      </c>
      <c r="H17" s="55">
        <v>1</v>
      </c>
      <c r="I17" s="55">
        <v>50</v>
      </c>
      <c r="J17" s="55">
        <f t="shared" si="0"/>
        <v>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8" zoomScale="90" zoomScaleNormal="90" workbookViewId="0">
      <selection activeCell="E37" sqref="E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168</v>
      </c>
      <c r="D28" s="70" t="s">
        <v>169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191</v>
      </c>
      <c r="D29" s="70" t="s">
        <v>169</v>
      </c>
      <c r="E29" s="55">
        <v>2</v>
      </c>
      <c r="F29" s="55">
        <v>90</v>
      </c>
      <c r="G29" s="55">
        <f t="shared" ref="G29:G36" si="0">E29*F29</f>
        <v>180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173</v>
      </c>
      <c r="D30" s="70" t="s">
        <v>169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192</v>
      </c>
      <c r="D31" s="70" t="s">
        <v>169</v>
      </c>
      <c r="E31" s="55">
        <v>1</v>
      </c>
      <c r="F31" s="55">
        <v>40</v>
      </c>
      <c r="G31" s="55">
        <f t="shared" si="0"/>
        <v>40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193</v>
      </c>
      <c r="D32" s="70" t="s">
        <v>169</v>
      </c>
      <c r="E32" s="55">
        <v>5</v>
      </c>
      <c r="F32" s="55">
        <v>25</v>
      </c>
      <c r="G32" s="55">
        <f t="shared" si="0"/>
        <v>125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194</v>
      </c>
      <c r="D33" s="70" t="s">
        <v>169</v>
      </c>
      <c r="E33" s="55">
        <v>4</v>
      </c>
      <c r="F33" s="55">
        <v>100</v>
      </c>
      <c r="G33" s="55">
        <f t="shared" si="0"/>
        <v>400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195</v>
      </c>
      <c r="D34" s="70" t="s">
        <v>196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202</v>
      </c>
      <c r="D35" s="70" t="s">
        <v>169</v>
      </c>
      <c r="E35" s="55">
        <v>3</v>
      </c>
      <c r="F35" s="55">
        <v>30</v>
      </c>
      <c r="G35" s="55">
        <f t="shared" si="0"/>
        <v>90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203</v>
      </c>
      <c r="D36" s="70" t="s">
        <v>169</v>
      </c>
      <c r="E36" s="55">
        <v>1</v>
      </c>
      <c r="F36" s="55">
        <v>300</v>
      </c>
      <c r="G36" s="55">
        <f t="shared" si="0"/>
        <v>300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J18" sqref="J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360</v>
      </c>
      <c r="H13" s="55">
        <v>15</v>
      </c>
      <c r="I13" s="55"/>
      <c r="J13" s="55">
        <v>65</v>
      </c>
      <c r="K13" s="55"/>
      <c r="L13" s="55"/>
      <c r="M13" s="55"/>
      <c r="N13" s="55"/>
      <c r="P13" s="88">
        <f>SUM(D13:N13)</f>
        <v>480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197</v>
      </c>
      <c r="D14" s="55"/>
      <c r="E14" s="55">
        <v>60</v>
      </c>
      <c r="F14" s="55"/>
      <c r="G14" s="55">
        <v>60</v>
      </c>
      <c r="H14" s="55"/>
      <c r="I14" s="55">
        <v>60</v>
      </c>
      <c r="J14" s="55"/>
      <c r="K14" s="55"/>
      <c r="L14" s="55"/>
      <c r="M14" s="55"/>
      <c r="N14" s="55"/>
      <c r="P14" s="88">
        <f t="shared" ref="P14:P22" si="0">SUM(D14:N14)</f>
        <v>180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198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100</v>
      </c>
      <c r="F30" s="88">
        <f t="shared" si="1"/>
        <v>0</v>
      </c>
      <c r="G30" s="88">
        <f t="shared" si="1"/>
        <v>420</v>
      </c>
      <c r="H30" s="88">
        <f t="shared" si="1"/>
        <v>15</v>
      </c>
      <c r="I30" s="88">
        <f t="shared" si="1"/>
        <v>75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2018-06-02T02:12:56Z</dcterms:modified>
</cp:coreProperties>
</file>