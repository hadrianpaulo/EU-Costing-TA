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data_general'!$B$1:$F$69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37" i="9" l="1"/>
  <c r="G36" i="9"/>
  <c r="G35" i="9"/>
  <c r="J12" i="2"/>
  <c r="J13" i="2"/>
  <c r="J14" i="2"/>
  <c r="J15" i="2"/>
  <c r="J16" i="2"/>
  <c r="J17" i="2"/>
  <c r="J11" i="2"/>
  <c r="G33" i="9"/>
  <c r="G34" i="9"/>
  <c r="G29" i="9"/>
  <c r="G30" i="9"/>
  <c r="G31" i="9"/>
  <c r="G32" i="9"/>
  <c r="G28" i="9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9" i="1"/>
  <c r="E69" i="1"/>
  <c r="D6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<sst xmlns="http://schemas.openxmlformats.org/spreadsheetml/2006/main" count="505" uniqueCount="207">
  <si>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</si>
  <si>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</si>
  <si>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</si>
  <si>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</si>
  <si>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</si>
  <si>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</si>
  <si>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</si>
  <si>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</si>
  <si>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</si>
  <si>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</si>
  <si>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</si>
  <si>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</si>
  <si>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</si>
  <si>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</si>
  <si>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</si>
  <si>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</si>
  <si>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</si>
  <si>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</si>
  <si>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</si>
  <si>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</si>
  <si>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</si>
  <si>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</si>
  <si>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</si>
  <si>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</si>
  <si>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</si>
  <si>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</si>
  <si>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</si>
  <si>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</si>
  <si>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</si>
  <si>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</si>
  <si>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</si>
  <si>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</si>
  <si>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</si>
  <si>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</si>
  <si>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</si>
  <si>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</si>
  <si>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</si>
  <si>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</si>
  <si>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</si>
  <si>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</si>
  <si>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</si>
  <si>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</si>
  <si>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</si>
  <si>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</si>
  <si>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</si>
  <si>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</si>
  <si>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</si>
  <si>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</si>
  <si>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</si>
  <si>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</si>
  <si>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</si>
  <si>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</si>
  <si>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</si>
  <si>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</si>
  <si>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</si>
  <si>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</si>
  <si>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</si>
  <si>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</si>
  <si>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</si>
  <si>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</si>
  <si>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</si>
  <si>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</si>
  <si>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</si>
  <si>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</si>
  <si>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</si>
  <si>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</si>
  <si>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</si>
  <si>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</si>
  <si>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</si>
  <si>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</si>
  <si>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</si>
  <si>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</si>
  <si>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</si>
  <si>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</si>
  <si>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</si>
  <si>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</si>
  <si>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</si>
  <si>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</si>
  <si>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</si>
  <si>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</si>
  <si>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</si>
  <si>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</si>
  <si>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</si>
  <si>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</si>
  <si>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</si>
  <si>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</si>
  <si>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</si>
  <si>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</si>
  <si>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</si>
  <si>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</si>
  <si>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</si>
  <si>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</si>
  <si>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</si>
  <si>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</si>
  <si>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</si>
  <si>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</si>
  <si>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</si>
  <si>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</si>
  <si>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</si>
  <si>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</si>
  <si>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</si>
  <si>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</si>
  <si>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</si>
  <si>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</si>
  <si>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</si>
  <si>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</si>
  <si>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</si>
  <si>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</si>
  <si>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</si>
  <si>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</si>
  <si>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</si>
  <si>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</si>
  <si>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</si>
  <si>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</si>
  <si>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</si>
  <si>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</si>
  <si>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</si>
  <si>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</si>
  <si>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</si>
  <si>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</si>
  <si>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</si>
  <si>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</si>
  <si>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</si>
  <si>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</si>
  <si>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</si>
  <si>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</si>
  <si>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</si>
  <si>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</si>
  <si>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</si>
  <si>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</si>
  <si>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</si>
  <si>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</si>
  <si>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</si>
  <si>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</si>
  <si>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</si>
  <si>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</si>
  <si>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</si>
  <si>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</si>
  <si>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</si>
  <si>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</si>
  <si>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</si>
  <si>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</si>
  <si>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</si>
  <si>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</si>
  <si>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</si>
  <si>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</si>
  <si>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</si>
  <si>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</si>
  <si>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</si>
  <si>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</si>
  <si>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</si>
  <si>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</si>
  <si>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</si>
  <si>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</si>
  <si>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</si>
  <si>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</si>
  <si>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</si>
  <si>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</si>
  <si>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</si>
  <si>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</si>
  <si>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</si>
  <si>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</si>
  <si>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</si>
  <si>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</si>
  <si>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</si>
  <si>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</si>
  <si>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CBC PLATELET COUNT</t>
  </si>
  <si>
    <t>RH TYPING</t>
  </si>
  <si>
    <t>MEDICINES</t>
  </si>
  <si>
    <t>LABORATORY</t>
  </si>
  <si>
    <t>ROOM AND BOARD</t>
  </si>
  <si>
    <t>O80.9</t>
  </si>
  <si>
    <t>Z37.0</t>
  </si>
  <si>
    <t>O69.2</t>
  </si>
  <si>
    <t>CEFALEXIN</t>
  </si>
  <si>
    <t>TABLET</t>
  </si>
  <si>
    <t>500MG</t>
  </si>
  <si>
    <t>MEFENAMIC ACID</t>
  </si>
  <si>
    <t>FERROUS SULFATE</t>
  </si>
  <si>
    <t>325MG</t>
  </si>
  <si>
    <t>HYOSCINE U-BUTYL BROMIDE</t>
  </si>
  <si>
    <t>AMPULE</t>
  </si>
  <si>
    <t>20MG</t>
  </si>
  <si>
    <t>AMPICILLIN</t>
  </si>
  <si>
    <t>VIAL</t>
  </si>
  <si>
    <t>2GRAMS</t>
  </si>
  <si>
    <t>METHYLDOPA</t>
  </si>
  <si>
    <t>250MG</t>
  </si>
  <si>
    <t>D5LR</t>
  </si>
  <si>
    <t>BOTTLE</t>
  </si>
  <si>
    <t>1LITTER</t>
  </si>
  <si>
    <t>SYRINGE 3CC</t>
  </si>
  <si>
    <t>PC</t>
  </si>
  <si>
    <t>ABOCATH GAUGE 20</t>
  </si>
  <si>
    <t>PLASTER  1/2</t>
  </si>
  <si>
    <t>MACRO SET</t>
  </si>
  <si>
    <t>GLOVES 7.0</t>
  </si>
  <si>
    <t>DELIVERY ROOM</t>
  </si>
  <si>
    <t>Perineal Care</t>
  </si>
  <si>
    <t>SANITEX</t>
  </si>
  <si>
    <t>PACK</t>
  </si>
  <si>
    <t>RAZOR</t>
  </si>
  <si>
    <t>CHROMIC 2/0 ROUND</t>
  </si>
  <si>
    <t>SYRINGE 5CC</t>
  </si>
  <si>
    <t>DISPOSABLE FACE MASK</t>
  </si>
  <si>
    <t>VAGINAL DELIVERY WITH RMLE</t>
  </si>
  <si>
    <t>NSD W/ RMLE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</si>
</sst>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6"/>
  <sheetViews>
    <sheetView topLeftCell="A51" zoomScaleNormal="100" workbookViewId="0">
      <selection activeCell="C23" sqref="C2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206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171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172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 t="s">
        <v>173</v>
      </c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59409</v>
      </c>
      <c r="D23" s="29" t="s">
        <v>205</v>
      </c>
      <c r="E23" s="55">
        <v>1</v>
      </c>
      <c r="F23" s="55">
        <v>10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166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167</v>
      </c>
      <c r="D35" s="23"/>
      <c r="E35" s="55">
        <v>2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 t="s">
        <v>165</v>
      </c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8" t="s">
        <v>45</v>
      </c>
      <c r="C41" s="119"/>
      <c r="D41" s="116"/>
      <c r="E41" s="119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5" t="s">
        <v>54</v>
      </c>
      <c r="C43" s="116"/>
      <c r="D43" s="116"/>
      <c r="E43" s="116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 t="s">
        <v>165</v>
      </c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20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 t="s">
        <v>165</v>
      </c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168</v>
      </c>
      <c r="D58" s="55">
        <v>1685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169</v>
      </c>
      <c r="D59" s="55">
        <v>650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170</v>
      </c>
      <c r="D60" s="55">
        <v>200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197</v>
      </c>
      <c r="D61" s="55">
        <v>100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6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7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8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9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10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4.9000000000000004" customHeight="1" thickBot="1" x14ac:dyDescent="0.35">
      <c r="A68" s="1"/>
      <c r="B68" s="1"/>
      <c r="C68" s="1"/>
      <c r="D68" s="58"/>
      <c r="E68" s="58"/>
      <c r="F68" s="58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thickTop="1" x14ac:dyDescent="0.3">
      <c r="A69" s="1"/>
      <c r="B69" s="11"/>
      <c r="C69" s="4" t="s">
        <v>22</v>
      </c>
      <c r="D69" s="59">
        <f>SUM(D58:D68)</f>
        <v>2635</v>
      </c>
      <c r="E69" s="59">
        <f>SUM(E58:E68)</f>
        <v>0</v>
      </c>
      <c r="F69" s="59">
        <f>SUM(F58:F68)</f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</sheetData>
  <sheetProtection password="C2E9" sheet="1" objects="1" scenarios="1"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2:F22"/>
    <mergeCell ref="B33:F33"/>
    <mergeCell ref="B28:F28"/>
    <mergeCell ref="B36:F36"/>
    <mergeCell ref="B43:F43"/>
  </mergeCells>
  <dataValidations count="1">
    <dataValidation type="decimal" operator="greaterThanOrEqual" allowBlank="1" showInputMessage="1" showErrorMessage="1" sqref="E32 E37:E40 E42 E23:F27 E44:F47 E49:F54 D58:F67 E34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H14" sqref="H1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NSD W/ RMLE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174</v>
      </c>
      <c r="D11" s="27" t="s">
        <v>175</v>
      </c>
      <c r="E11" s="27" t="s">
        <v>176</v>
      </c>
      <c r="F11" s="55">
        <v>2</v>
      </c>
      <c r="G11" s="55">
        <v>3</v>
      </c>
      <c r="H11" s="55">
        <v>21</v>
      </c>
      <c r="I11" s="55">
        <v>7</v>
      </c>
      <c r="J11" s="55">
        <f>H11*I11</f>
        <v>147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177</v>
      </c>
      <c r="D12" s="27" t="s">
        <v>175</v>
      </c>
      <c r="E12" s="27" t="s">
        <v>176</v>
      </c>
      <c r="F12" s="55">
        <v>2</v>
      </c>
      <c r="G12" s="55">
        <v>3</v>
      </c>
      <c r="H12" s="55">
        <v>9</v>
      </c>
      <c r="I12" s="55">
        <v>5</v>
      </c>
      <c r="J12" s="55">
        <f t="shared" ref="J12:J17" si="0">H12*I12</f>
        <v>45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178</v>
      </c>
      <c r="D13" s="27" t="s">
        <v>175</v>
      </c>
      <c r="E13" s="27" t="s">
        <v>179</v>
      </c>
      <c r="F13" s="55">
        <v>1</v>
      </c>
      <c r="G13" s="55">
        <v>1</v>
      </c>
      <c r="H13" s="55">
        <v>33</v>
      </c>
      <c r="I13" s="55">
        <v>1</v>
      </c>
      <c r="J13" s="55">
        <f t="shared" si="0"/>
        <v>33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180</v>
      </c>
      <c r="D14" s="27" t="s">
        <v>181</v>
      </c>
      <c r="E14" s="27" t="s">
        <v>182</v>
      </c>
      <c r="F14" s="55">
        <v>3</v>
      </c>
      <c r="G14" s="55">
        <v>1</v>
      </c>
      <c r="H14" s="55">
        <v>3</v>
      </c>
      <c r="I14" s="55">
        <v>100</v>
      </c>
      <c r="J14" s="55">
        <f t="shared" si="0"/>
        <v>300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183</v>
      </c>
      <c r="D15" s="27" t="s">
        <v>184</v>
      </c>
      <c r="E15" s="27" t="s">
        <v>185</v>
      </c>
      <c r="F15" s="55">
        <v>1</v>
      </c>
      <c r="G15" s="55">
        <v>1</v>
      </c>
      <c r="H15" s="55">
        <v>1</v>
      </c>
      <c r="I15" s="55">
        <v>40</v>
      </c>
      <c r="J15" s="55">
        <f t="shared" si="0"/>
        <v>40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186</v>
      </c>
      <c r="D16" s="27" t="s">
        <v>175</v>
      </c>
      <c r="E16" s="27" t="s">
        <v>187</v>
      </c>
      <c r="F16" s="55">
        <v>2</v>
      </c>
      <c r="G16" s="55">
        <v>3</v>
      </c>
      <c r="H16" s="55">
        <v>5</v>
      </c>
      <c r="I16" s="55">
        <v>25</v>
      </c>
      <c r="J16" s="55">
        <f t="shared" si="0"/>
        <v>125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188</v>
      </c>
      <c r="D17" s="27" t="s">
        <v>189</v>
      </c>
      <c r="E17" s="27" t="s">
        <v>190</v>
      </c>
      <c r="F17" s="55">
        <v>2</v>
      </c>
      <c r="G17" s="55">
        <v>1</v>
      </c>
      <c r="H17" s="55">
        <v>2</v>
      </c>
      <c r="I17" s="55">
        <v>100</v>
      </c>
      <c r="J17" s="55">
        <f t="shared" si="0"/>
        <v>200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9" workbookViewId="0">
      <selection activeCell="G37" sqref="G3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NSD W/ RMLE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191</v>
      </c>
      <c r="D28" s="70" t="s">
        <v>192</v>
      </c>
      <c r="E28" s="55">
        <v>4</v>
      </c>
      <c r="F28" s="55">
        <v>10</v>
      </c>
      <c r="G28" s="55">
        <f>E28*F28</f>
        <v>40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193</v>
      </c>
      <c r="D29" s="70" t="s">
        <v>192</v>
      </c>
      <c r="E29" s="55">
        <v>2</v>
      </c>
      <c r="F29" s="55">
        <v>100</v>
      </c>
      <c r="G29" s="55">
        <f t="shared" ref="G29:G37" si="0">E29*F29</f>
        <v>200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194</v>
      </c>
      <c r="D30" s="70" t="s">
        <v>192</v>
      </c>
      <c r="E30" s="55">
        <v>1</v>
      </c>
      <c r="F30" s="55">
        <v>40</v>
      </c>
      <c r="G30" s="55">
        <f t="shared" si="0"/>
        <v>40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195</v>
      </c>
      <c r="D31" s="70" t="s">
        <v>192</v>
      </c>
      <c r="E31" s="55">
        <v>1</v>
      </c>
      <c r="F31" s="55">
        <v>40</v>
      </c>
      <c r="G31" s="55">
        <f t="shared" si="0"/>
        <v>40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196</v>
      </c>
      <c r="D32" s="70" t="s">
        <v>192</v>
      </c>
      <c r="E32" s="55">
        <v>1</v>
      </c>
      <c r="F32" s="55">
        <v>25</v>
      </c>
      <c r="G32" s="55">
        <f t="shared" si="0"/>
        <v>25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199</v>
      </c>
      <c r="D33" s="70" t="s">
        <v>200</v>
      </c>
      <c r="E33" s="55">
        <v>1</v>
      </c>
      <c r="F33" s="55">
        <v>100</v>
      </c>
      <c r="G33" s="55">
        <f t="shared" si="0"/>
        <v>100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201</v>
      </c>
      <c r="D34" s="70" t="s">
        <v>192</v>
      </c>
      <c r="E34" s="55">
        <v>1</v>
      </c>
      <c r="F34" s="55">
        <v>25</v>
      </c>
      <c r="G34" s="55">
        <f t="shared" si="0"/>
        <v>25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202</v>
      </c>
      <c r="D35" s="70" t="s">
        <v>192</v>
      </c>
      <c r="E35" s="55">
        <v>1</v>
      </c>
      <c r="F35" s="55">
        <v>300</v>
      </c>
      <c r="G35" s="55">
        <f t="shared" si="0"/>
        <v>300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 t="s">
        <v>203</v>
      </c>
      <c r="D36" s="70" t="s">
        <v>192</v>
      </c>
      <c r="E36" s="55">
        <v>2</v>
      </c>
      <c r="F36" s="55">
        <v>10</v>
      </c>
      <c r="G36" s="55">
        <f t="shared" si="0"/>
        <v>20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 t="s">
        <v>204</v>
      </c>
      <c r="D37" s="70" t="s">
        <v>192</v>
      </c>
      <c r="E37" s="55">
        <v>1</v>
      </c>
      <c r="F37" s="55">
        <v>5</v>
      </c>
      <c r="G37" s="55">
        <f t="shared" si="0"/>
        <v>5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J18" sqref="J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NSD W/ RMLE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15</v>
      </c>
      <c r="F13" s="55"/>
      <c r="G13" s="55">
        <v>360</v>
      </c>
      <c r="H13" s="55">
        <v>5</v>
      </c>
      <c r="I13" s="55"/>
      <c r="J13" s="55">
        <v>20</v>
      </c>
      <c r="K13" s="55"/>
      <c r="L13" s="55"/>
      <c r="M13" s="55"/>
      <c r="N13" s="55"/>
      <c r="P13" s="88">
        <f>SUM(D13:N13)</f>
        <v>400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>
        <v>200</v>
      </c>
      <c r="F14" s="55"/>
      <c r="G14" s="55">
        <v>200</v>
      </c>
      <c r="H14" s="55"/>
      <c r="I14" s="55">
        <v>200</v>
      </c>
      <c r="J14" s="55"/>
      <c r="K14" s="55"/>
      <c r="L14" s="55"/>
      <c r="M14" s="55"/>
      <c r="N14" s="55"/>
      <c r="P14" s="88">
        <f t="shared" ref="P14:P22" si="0">SUM(D14:N14)</f>
        <v>600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198</v>
      </c>
      <c r="D15" s="55"/>
      <c r="E15" s="55">
        <v>1</v>
      </c>
      <c r="F15" s="55"/>
      <c r="G15" s="55"/>
      <c r="H15" s="55"/>
      <c r="I15" s="55">
        <v>15</v>
      </c>
      <c r="J15" s="55"/>
      <c r="K15" s="55"/>
      <c r="L15" s="55"/>
      <c r="M15" s="55"/>
      <c r="N15" s="55"/>
      <c r="P15" s="88">
        <f t="shared" si="0"/>
        <v>16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216</v>
      </c>
      <c r="F30" s="88">
        <f t="shared" si="1"/>
        <v>0</v>
      </c>
      <c r="G30" s="88">
        <f t="shared" si="1"/>
        <v>560</v>
      </c>
      <c r="H30" s="88">
        <f t="shared" si="1"/>
        <v>5</v>
      </c>
      <c r="I30" s="88">
        <f t="shared" si="1"/>
        <v>215</v>
      </c>
      <c r="J30" s="88">
        <f t="shared" si="1"/>
        <v>20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1016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2018-06-02T02:15:43Z</dcterms:modified>
</cp:coreProperties>
</file>