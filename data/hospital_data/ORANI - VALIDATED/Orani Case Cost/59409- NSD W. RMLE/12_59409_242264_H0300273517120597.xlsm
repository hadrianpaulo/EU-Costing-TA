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36" i="9"/>
  <c r="G28" i="9"/>
  <c r="J20" i="2" l="1"/>
  <c r="J19" i="2"/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<sst xmlns="http://schemas.openxmlformats.org/spreadsheetml/2006/main" count="504" uniqueCount="206">
  <si>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</si>
  <si>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</si>
  <si>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</si>
  <si>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</si>
  <si>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</si>
  <si>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</si>
  <si>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</si>
  <si>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</si>
  <si>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</si>
  <si>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</si>
  <si>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</si>
  <si>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</si>
  <si>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</si>
  <si>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</si>
  <si>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</si>
  <si>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</si>
  <si>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</si>
  <si>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</si>
  <si>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</si>
  <si>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</si>
  <si>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</si>
  <si>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</si>
  <si>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</si>
  <si>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</si>
  <si>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</si>
  <si>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</si>
  <si>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</si>
  <si>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</si>
  <si>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</si>
  <si>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</si>
  <si>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</si>
  <si>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</si>
  <si>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</si>
  <si>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</si>
  <si>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</si>
  <si>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</si>
  <si>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</si>
  <si>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</si>
  <si>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</si>
  <si>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</si>
  <si>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</si>
  <si>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</si>
  <si>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</si>
  <si>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</si>
  <si>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</si>
  <si>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</si>
  <si>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</si>
  <si>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</si>
  <si>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</si>
  <si>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</si>
  <si>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</si>
  <si>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</si>
  <si>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</si>
  <si>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</si>
  <si>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</si>
  <si>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</si>
  <si>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</si>
  <si>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</si>
  <si>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</si>
  <si>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</si>
  <si>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</si>
  <si>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</si>
  <si>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</si>
  <si>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</si>
  <si>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</si>
  <si>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</si>
  <si>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</si>
  <si>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</si>
  <si>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</si>
  <si>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</si>
  <si>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</si>
  <si>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</si>
  <si>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</si>
  <si>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</si>
  <si>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</si>
  <si>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</si>
  <si>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</si>
  <si>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</si>
  <si>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</si>
  <si>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</si>
  <si>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</si>
  <si>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</si>
  <si>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</si>
  <si>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</si>
  <si>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</si>
  <si>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</si>
  <si>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</si>
  <si>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</si>
  <si>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</si>
  <si>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</si>
  <si>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</si>
  <si>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</si>
  <si>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</si>
  <si>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</si>
  <si>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</si>
  <si>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</si>
  <si>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</si>
  <si>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</si>
  <si>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</si>
  <si>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</si>
  <si>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</si>
  <si>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</si>
  <si>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</si>
  <si>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</si>
  <si>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</si>
  <si>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</si>
  <si>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</si>
  <si>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</si>
  <si>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</si>
  <si>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</si>
  <si>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</si>
  <si>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</si>
  <si>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</si>
  <si>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</si>
  <si>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</si>
  <si>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</si>
  <si>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</si>
  <si>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</si>
  <si>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</si>
  <si>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</si>
  <si>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</si>
  <si>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</si>
  <si>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</si>
  <si>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</si>
  <si>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</si>
  <si>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</si>
  <si>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</si>
  <si>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</si>
  <si>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</si>
  <si>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</si>
  <si>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</si>
  <si>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</si>
  <si>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</si>
  <si>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</si>
  <si>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</si>
  <si>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</si>
  <si>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</si>
  <si>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</si>
  <si>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</si>
  <si>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</si>
  <si>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</si>
  <si>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</si>
  <si>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</si>
  <si>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</si>
  <si>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</si>
  <si>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</si>
  <si>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</si>
  <si>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</si>
  <si>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</si>
  <si>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</si>
  <si>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</si>
  <si>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</si>
  <si>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</si>
  <si>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</si>
  <si>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</si>
  <si>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</si>
  <si>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</si>
  <si>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</si>
  <si>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</si>
  <si>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</si>
  <si>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</si>
  <si>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</si>
  <si>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</si>
  <si>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</si>
  <si>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</si>
  <si>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</si>
  <si>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</si>
  <si>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</si>
  <si>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</si>
  <si>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</si>
  <si>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</si>
  <si>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</si>
  <si>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</si>
  <si>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</si>
  <si>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</si>
  <si>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</si>
  <si>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</si>
  <si>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</si>
  <si>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</si>
  <si>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</si>
  <si>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</si>
  <si>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</si>
  <si>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</si>
  <si>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AMPULE</t>
  </si>
  <si>
    <t>CEFALEXIN</t>
  </si>
  <si>
    <t>MEFENAMIC ACID</t>
  </si>
  <si>
    <t>FERROUS SULFATE</t>
  </si>
  <si>
    <t>325MG</t>
  </si>
  <si>
    <t>125MG</t>
  </si>
  <si>
    <t>D5 LR</t>
  </si>
  <si>
    <t>GLOVES 7.0</t>
  </si>
  <si>
    <t>SANITEX</t>
  </si>
  <si>
    <t>UNDERPADS</t>
  </si>
  <si>
    <t>RAZOR</t>
  </si>
  <si>
    <t>PACK</t>
  </si>
  <si>
    <t>ROD</t>
  </si>
  <si>
    <t>O80.9</t>
  </si>
  <si>
    <t>Z37.0</t>
  </si>
  <si>
    <t>O69.2</t>
  </si>
  <si>
    <t>METHYLERGOMETRINE</t>
  </si>
  <si>
    <t>200MCG</t>
  </si>
  <si>
    <t>CHROMIC ROUND 2/0</t>
  </si>
  <si>
    <t>OXYTOCIN</t>
  </si>
  <si>
    <t>10IU</t>
  </si>
  <si>
    <t>VAGINAL DELIVERY WITH RMLE</t>
  </si>
  <si>
    <t>NSD W/ RMLE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</si>
</sst>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4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198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59409</v>
      </c>
      <c r="D23" s="29" t="s">
        <v>204</v>
      </c>
      <c r="E23" s="55">
        <v>1</v>
      </c>
      <c r="F23" s="55">
        <v>0.75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1210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195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5800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zoomScale="90" zoomScaleNormal="90" workbookViewId="0">
      <selection activeCell="G23" sqref="G22:G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 W/ RMLE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183</v>
      </c>
      <c r="E11" s="27" t="s">
        <v>200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199</v>
      </c>
      <c r="D12" s="27" t="s">
        <v>169</v>
      </c>
      <c r="E12" s="27" t="s">
        <v>188</v>
      </c>
      <c r="F12" s="55">
        <v>3</v>
      </c>
      <c r="G12" s="55">
        <v>3</v>
      </c>
      <c r="H12" s="55">
        <v>9</v>
      </c>
      <c r="I12" s="55">
        <v>5</v>
      </c>
      <c r="J12" s="55">
        <f t="shared" ref="J12:J20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169</v>
      </c>
      <c r="E13" s="27" t="s">
        <v>170</v>
      </c>
      <c r="F13" s="55">
        <v>3</v>
      </c>
      <c r="G13" s="55">
        <v>2</v>
      </c>
      <c r="H13" s="55">
        <v>20</v>
      </c>
      <c r="I13" s="55">
        <v>7</v>
      </c>
      <c r="J13" s="55">
        <f t="shared" si="0"/>
        <v>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178</v>
      </c>
      <c r="E14" s="27" t="s">
        <v>170</v>
      </c>
      <c r="F14" s="55">
        <v>3</v>
      </c>
      <c r="G14" s="55">
        <v>2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169</v>
      </c>
      <c r="E15" s="27" t="s">
        <v>187</v>
      </c>
      <c r="F15" s="55">
        <v>1</v>
      </c>
      <c r="G15" s="55">
        <v>2</v>
      </c>
      <c r="H15" s="55">
        <v>30</v>
      </c>
      <c r="I15" s="55">
        <v>1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174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202</v>
      </c>
      <c r="D17" s="27" t="s">
        <v>183</v>
      </c>
      <c r="E17" s="27" t="s">
        <v>203</v>
      </c>
      <c r="F17" s="55">
        <v>1</v>
      </c>
      <c r="G17" s="55">
        <v>1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zoomScale="90" zoomScaleNormal="90" workbookViewId="0">
      <selection activeCell="F33" sqref="F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1</v>
      </c>
      <c r="F28" s="55">
        <v>90</v>
      </c>
      <c r="G28" s="55">
        <f t="shared" ref="G28:G36" si="1">E28*F28</f>
        <v>90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si="1"/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190</v>
      </c>
      <c r="D30" s="70" t="s">
        <v>172</v>
      </c>
      <c r="E30" s="55">
        <v>2</v>
      </c>
      <c r="F30" s="55">
        <v>25</v>
      </c>
      <c r="G30" s="55">
        <f t="shared" si="1"/>
        <v>50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191</v>
      </c>
      <c r="D31" s="70" t="s">
        <v>194</v>
      </c>
      <c r="E31" s="55">
        <v>1</v>
      </c>
      <c r="F31" s="55">
        <v>100</v>
      </c>
      <c r="G31" s="55">
        <f t="shared" si="1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192</v>
      </c>
      <c r="D32" s="70" t="s">
        <v>172</v>
      </c>
      <c r="E32" s="55">
        <v>3</v>
      </c>
      <c r="F32" s="55">
        <v>30</v>
      </c>
      <c r="G32" s="55">
        <f t="shared" si="1"/>
        <v>90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171</v>
      </c>
      <c r="D33" s="70" t="s">
        <v>172</v>
      </c>
      <c r="E33" s="55">
        <v>2</v>
      </c>
      <c r="F33" s="55">
        <v>10</v>
      </c>
      <c r="G33" s="55">
        <f t="shared" si="1"/>
        <v>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180</v>
      </c>
      <c r="D34" s="70" t="s">
        <v>172</v>
      </c>
      <c r="E34" s="55">
        <v>1</v>
      </c>
      <c r="F34" s="55">
        <v>10</v>
      </c>
      <c r="G34" s="55">
        <f t="shared" si="1"/>
        <v>10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193</v>
      </c>
      <c r="D35" s="70" t="s">
        <v>172</v>
      </c>
      <c r="E35" s="55">
        <v>1</v>
      </c>
      <c r="F35" s="55">
        <v>25</v>
      </c>
      <c r="G35" s="55">
        <f t="shared" si="1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201</v>
      </c>
      <c r="D36" s="70" t="s">
        <v>172</v>
      </c>
      <c r="E36" s="55">
        <v>1</v>
      </c>
      <c r="F36" s="55">
        <v>300</v>
      </c>
      <c r="G36" s="55">
        <f t="shared" si="1"/>
        <v>300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 W/ RMLE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480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590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</v>
      </c>
      <c r="F14" s="55"/>
      <c r="G14" s="55">
        <v>10</v>
      </c>
      <c r="H14" s="55"/>
      <c r="I14" s="55">
        <v>10</v>
      </c>
      <c r="J14" s="55"/>
      <c r="K14" s="55"/>
      <c r="L14" s="55"/>
      <c r="M14" s="55"/>
      <c r="N14" s="55"/>
      <c r="P14" s="88">
        <f t="shared" ref="P14:P22" si="0">SUM(D14:N14)</f>
        <v>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490</v>
      </c>
      <c r="H30" s="88">
        <f t="shared" si="1"/>
        <v>15</v>
      </c>
      <c r="I30" s="88">
        <f t="shared" si="1"/>
        <v>25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2018-06-02T02:18:21Z</dcterms:modified>
</cp:coreProperties>
</file>