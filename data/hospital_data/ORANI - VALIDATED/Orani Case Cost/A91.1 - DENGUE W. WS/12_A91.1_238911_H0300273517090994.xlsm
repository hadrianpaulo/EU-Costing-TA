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Drugs&amp;Med'!$C$11:$C$17</definedName>
    <definedName name="_xlnm.Print_Area" localSheetId="0">'1.1 Case data_general'!$B$1:$F$69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<sst xmlns="http://schemas.openxmlformats.org/spreadsheetml/2006/main" count="490" uniqueCount="197">
  <si>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</si>
  <si>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</si>
  <si>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</si>
  <si>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</si>
  <si>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</si>
  <si>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</si>
  <si>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</si>
  <si>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</si>
  <si>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</si>
  <si>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</si>
  <si>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</si>
  <si>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</si>
  <si>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</si>
  <si>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</si>
  <si>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</si>
  <si>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</si>
  <si>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</si>
  <si>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</si>
  <si>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</si>
  <si>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</si>
  <si>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</si>
  <si>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</si>
  <si>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</si>
  <si>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</si>
  <si>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</si>
  <si>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</si>
  <si>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</si>
  <si>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</si>
  <si>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</si>
  <si>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</si>
  <si>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</si>
  <si>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</si>
  <si>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</si>
  <si>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</si>
  <si>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</si>
  <si>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</si>
  <si>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</si>
  <si>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</si>
  <si>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</si>
  <si>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</si>
  <si>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</si>
  <si>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</si>
  <si>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</si>
  <si>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</si>
  <si>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</si>
  <si>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</si>
  <si>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</si>
  <si>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</si>
  <si>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</si>
  <si>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</si>
  <si>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</si>
  <si>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</si>
  <si>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</si>
  <si>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</si>
  <si>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</si>
  <si>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</si>
  <si>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</si>
  <si>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</si>
  <si>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</si>
  <si>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</si>
  <si>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</si>
  <si>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</si>
  <si>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</si>
  <si>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</si>
  <si>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</si>
  <si>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</si>
  <si>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</si>
  <si>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</si>
  <si>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</si>
  <si>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</si>
  <si>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</si>
  <si>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</si>
  <si>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</si>
  <si>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</si>
  <si>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</si>
  <si>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</si>
  <si>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</si>
  <si>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</si>
  <si>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</si>
  <si>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</si>
  <si>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</si>
  <si>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</si>
  <si>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</si>
  <si>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</si>
  <si>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</si>
  <si>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</si>
  <si>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</si>
  <si>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</si>
  <si>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</si>
  <si>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</si>
  <si>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</si>
  <si>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</si>
  <si>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</si>
  <si>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</si>
  <si>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</si>
  <si>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</si>
  <si>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</si>
  <si>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</si>
  <si>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</si>
  <si>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</si>
  <si>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</si>
  <si>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</si>
  <si>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</si>
  <si>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</si>
  <si>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</si>
  <si>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</si>
  <si>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</si>
  <si>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</si>
  <si>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</si>
  <si>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</si>
  <si>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</si>
  <si>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</si>
  <si>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</si>
  <si>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</si>
  <si>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</si>
  <si>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</si>
  <si>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</si>
  <si>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</si>
  <si>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</si>
  <si>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</si>
  <si>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</si>
  <si>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</si>
  <si>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</si>
  <si>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</si>
  <si>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</si>
  <si>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</si>
  <si>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</si>
  <si>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</si>
  <si>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</si>
  <si>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</si>
  <si>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</si>
  <si>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</si>
  <si>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</si>
  <si>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</si>
  <si>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</si>
  <si>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</si>
  <si>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</si>
  <si>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</si>
  <si>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</si>
  <si>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</si>
  <si>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</si>
  <si>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</si>
  <si>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</si>
  <si>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</si>
  <si>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</si>
  <si>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</si>
  <si>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</si>
  <si>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</si>
  <si>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</si>
  <si>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</si>
  <si>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</si>
  <si>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</si>
  <si>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</si>
  <si>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</si>
  <si>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</si>
  <si>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</si>
  <si>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</si>
  <si>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</si>
  <si>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</si>
  <si>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</si>
  <si>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</si>
  <si>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</si>
  <si>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</si>
  <si>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</si>
  <si>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</si>
  <si>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</si>
  <si>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</si>
  <si>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</si>
  <si>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</si>
  <si>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</si>
  <si>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AMPULE</t>
  </si>
  <si>
    <t>SYRINGE 3CC</t>
  </si>
  <si>
    <t>PC</t>
  </si>
  <si>
    <t>BOTTLE</t>
  </si>
  <si>
    <t>1LITER</t>
  </si>
  <si>
    <t>ABOCATH GAUGE 20</t>
  </si>
  <si>
    <t>MACRO SET</t>
  </si>
  <si>
    <t>CBC PLATELET COUNT</t>
  </si>
  <si>
    <t>VIAL</t>
  </si>
  <si>
    <t>A91.1</t>
  </si>
  <si>
    <t>DENGUE NS1</t>
  </si>
  <si>
    <t>CHEST PA</t>
  </si>
  <si>
    <t>XRAY</t>
  </si>
  <si>
    <t>IMMUNOSIN</t>
  </si>
  <si>
    <t>METOCLOPRAMIDE</t>
  </si>
  <si>
    <t>10MG</t>
  </si>
  <si>
    <t>OMEPRAZOLE</t>
  </si>
  <si>
    <t>20MG</t>
  </si>
  <si>
    <t>MULTIVITAMINS</t>
  </si>
  <si>
    <t>CAPSULE</t>
  </si>
  <si>
    <t>CEFUROXIME</t>
  </si>
  <si>
    <t>750MG</t>
  </si>
  <si>
    <t>PLASTER</t>
  </si>
  <si>
    <t>PLAIN NSS</t>
  </si>
  <si>
    <t>PLAIN LR</t>
  </si>
  <si>
    <t>SYRINGE 5CC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</si>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</sst>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E24" sqref="E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5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1975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182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4815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168</v>
      </c>
      <c r="E11" s="27" t="s">
        <v>169</v>
      </c>
      <c r="F11" s="55">
        <v>3</v>
      </c>
      <c r="G11" s="55">
        <v>3</v>
      </c>
      <c r="H11" s="55">
        <v>5</v>
      </c>
      <c r="I11" s="55">
        <v>50</v>
      </c>
      <c r="J11" s="55">
        <f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170</v>
      </c>
      <c r="E12" s="27" t="s">
        <v>185</v>
      </c>
      <c r="F12" s="55">
        <v>2</v>
      </c>
      <c r="G12" s="55">
        <v>1</v>
      </c>
      <c r="H12" s="55">
        <v>2</v>
      </c>
      <c r="I12" s="55">
        <v>50</v>
      </c>
      <c r="J12" s="55">
        <f t="shared" ref="J12:J17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178</v>
      </c>
      <c r="E13" s="27" t="s">
        <v>187</v>
      </c>
      <c r="F13" s="55">
        <v>1</v>
      </c>
      <c r="G13" s="55">
        <v>3</v>
      </c>
      <c r="H13" s="55">
        <v>3</v>
      </c>
      <c r="I13" s="55">
        <v>200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/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178</v>
      </c>
      <c r="E15" s="27" t="s">
        <v>191</v>
      </c>
      <c r="F15" s="55">
        <v>2</v>
      </c>
      <c r="G15" s="55">
        <v>2</v>
      </c>
      <c r="H15" s="55">
        <v>4</v>
      </c>
      <c r="I15" s="55">
        <v>60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173</v>
      </c>
      <c r="E16" s="27" t="s">
        <v>174</v>
      </c>
      <c r="F16" s="55">
        <v>1</v>
      </c>
      <c r="G16" s="55">
        <v>2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173</v>
      </c>
      <c r="E17" s="27" t="s">
        <v>174</v>
      </c>
      <c r="F17" s="55">
        <v>1</v>
      </c>
      <c r="G17" s="55">
        <v>4</v>
      </c>
      <c r="H17" s="55">
        <v>4</v>
      </c>
      <c r="I17" s="55">
        <v>100</v>
      </c>
      <c r="J17" s="55">
        <f t="shared" si="0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3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172</v>
      </c>
      <c r="E17" s="55">
        <v>1</v>
      </c>
      <c r="F17" s="55">
        <v>100</v>
      </c>
      <c r="G17" s="55">
        <f t="shared" ref="G17:G20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172</v>
      </c>
      <c r="E20" s="55">
        <v>5</v>
      </c>
      <c r="F20" s="55">
        <v>10</v>
      </c>
      <c r="G20" s="55">
        <f t="shared" si="0"/>
        <v>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2" sqref="H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576</v>
      </c>
      <c r="H13" s="55">
        <v>20</v>
      </c>
      <c r="I13" s="55"/>
      <c r="J13" s="55">
        <v>35</v>
      </c>
      <c r="K13" s="55"/>
      <c r="L13" s="55"/>
      <c r="M13" s="55"/>
      <c r="N13" s="55"/>
      <c r="P13" s="88">
        <f>SUM(D13:N13)</f>
        <v>671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576</v>
      </c>
      <c r="H30" s="88">
        <f t="shared" si="1"/>
        <v>20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2018-06-01T04:19:51Z</dcterms:modified>
</cp:coreProperties>
</file>