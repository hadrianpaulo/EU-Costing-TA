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Drugs&amp;Med'!$C$11:$C$14</definedName>
    <definedName name="_xlnm.Print_Area" localSheetId="0">'1.1 Case data_general'!$B$1:$F$69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G20" i="9" l="1"/>
  <c r="G19" i="9"/>
  <c r="G18" i="9"/>
  <c r="G17" i="9"/>
  <c r="G16" i="9"/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<sst xmlns="http://schemas.openxmlformats.org/spreadsheetml/2006/main" count="483" uniqueCount="192">
  <si>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</si>
  <si>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</si>
  <si>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</si>
  <si>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</si>
  <si>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</si>
  <si>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</si>
  <si>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</si>
  <si>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</si>
  <si>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</si>
  <si>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</si>
  <si>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</si>
  <si>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</si>
  <si>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</si>
  <si>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</si>
  <si>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</si>
  <si>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</si>
  <si>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</si>
  <si>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</si>
  <si>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</si>
  <si>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</si>
  <si>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</si>
  <si>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</si>
  <si>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</si>
  <si>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</si>
  <si>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</si>
  <si>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</si>
  <si>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</si>
  <si>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</si>
  <si>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</si>
  <si>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</si>
  <si>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</si>
  <si>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</si>
  <si>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</si>
  <si>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</si>
  <si>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</si>
  <si>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</si>
  <si>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</si>
  <si>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</si>
  <si>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</si>
  <si>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</si>
  <si>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</si>
  <si>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</si>
  <si>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</si>
  <si>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</si>
  <si>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</si>
  <si>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</si>
  <si>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</si>
  <si>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</si>
  <si>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</si>
  <si>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</si>
  <si>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</si>
  <si>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</si>
  <si>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</si>
  <si>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</si>
  <si>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</si>
  <si>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</si>
  <si>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</si>
  <si>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</si>
  <si>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</si>
  <si>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</si>
  <si>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</si>
  <si>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</si>
  <si>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</si>
  <si>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</si>
  <si>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</si>
  <si>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</si>
  <si>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</si>
  <si>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</si>
  <si>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</si>
  <si>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</si>
  <si>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</si>
  <si>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</si>
  <si>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</si>
  <si>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</si>
  <si>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</si>
  <si>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</si>
  <si>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</si>
  <si>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</si>
  <si>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</si>
  <si>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</si>
  <si>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</si>
  <si>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</si>
  <si>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</si>
  <si>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</si>
  <si>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</si>
  <si>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</si>
  <si>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</si>
  <si>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</si>
  <si>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</si>
  <si>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</si>
  <si>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</si>
  <si>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</si>
  <si>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</si>
  <si>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</si>
  <si>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</si>
  <si>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</si>
  <si>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</si>
  <si>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</si>
  <si>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</si>
  <si>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</si>
  <si>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</si>
  <si>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</si>
  <si>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</si>
  <si>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</si>
  <si>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</si>
  <si>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</si>
  <si>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</si>
  <si>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</si>
  <si>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</si>
  <si>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</si>
  <si>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</si>
  <si>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</si>
  <si>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</si>
  <si>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</si>
  <si>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</si>
  <si>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</si>
  <si>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</si>
  <si>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</si>
  <si>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</si>
  <si>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</si>
  <si>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</si>
  <si>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</si>
  <si>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</si>
  <si>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</si>
  <si>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</si>
  <si>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</si>
  <si>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</si>
  <si>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</si>
  <si>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</si>
  <si>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</si>
  <si>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</si>
  <si>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</si>
  <si>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</si>
  <si>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</si>
  <si>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</si>
  <si>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</si>
  <si>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</si>
  <si>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</si>
  <si>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</si>
  <si>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</si>
  <si>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</si>
  <si>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</si>
  <si>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</si>
  <si>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</si>
  <si>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</si>
  <si>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</si>
  <si>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</si>
  <si>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</si>
  <si>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</si>
  <si>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</si>
  <si>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</si>
  <si>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</si>
  <si>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</si>
  <si>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</si>
  <si>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</si>
  <si>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</si>
  <si>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</si>
  <si>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</si>
  <si>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</si>
  <si>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</si>
  <si>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</si>
  <si>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</si>
  <si>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</si>
  <si>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</si>
  <si>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</si>
  <si>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</si>
  <si>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</si>
  <si>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</si>
  <si>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AMPULE</t>
  </si>
  <si>
    <t>SYRINGE 3CC</t>
  </si>
  <si>
    <t>PC</t>
  </si>
  <si>
    <t>BOTTLE</t>
  </si>
  <si>
    <t>1LITER</t>
  </si>
  <si>
    <t>PLASTER 1/2</t>
  </si>
  <si>
    <t>CBC PLATELET COUNT</t>
  </si>
  <si>
    <t>VIAL</t>
  </si>
  <si>
    <t>A91.1</t>
  </si>
  <si>
    <t>URINALYSIS</t>
  </si>
  <si>
    <t>CHEST APL</t>
  </si>
  <si>
    <t>XRAY</t>
  </si>
  <si>
    <t>ROD</t>
  </si>
  <si>
    <t>RANITIDINE</t>
  </si>
  <si>
    <t>25MG</t>
  </si>
  <si>
    <t>CEFUROXIME</t>
  </si>
  <si>
    <t>600MG</t>
  </si>
  <si>
    <t>PARACETAMOL</t>
  </si>
  <si>
    <t>180MG</t>
  </si>
  <si>
    <t>D5 0.3 NACL</t>
  </si>
  <si>
    <t>SYRINGE 5CC</t>
  </si>
  <si>
    <t>ABOCATH GAUGE 24</t>
  </si>
  <si>
    <t>MICRO SET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</si>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</sst>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zoomScaleNormal="100" workbookViewId="0">
      <selection activeCell="C25" sqref="C2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177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178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1290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515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179</v>
      </c>
      <c r="D60" s="55">
        <v>320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167</v>
      </c>
      <c r="D61" s="55">
        <v>1200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>
        <v>900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4225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F16" sqref="F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168</v>
      </c>
      <c r="E11" s="27" t="s">
        <v>182</v>
      </c>
      <c r="F11" s="55">
        <v>3</v>
      </c>
      <c r="G11" s="55">
        <v>4</v>
      </c>
      <c r="H11" s="55">
        <v>6</v>
      </c>
      <c r="I11" s="55">
        <v>50</v>
      </c>
      <c r="J11" s="55">
        <f>H11*I11</f>
        <v>300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175</v>
      </c>
      <c r="E12" s="27" t="s">
        <v>184</v>
      </c>
      <c r="F12" s="55">
        <v>3</v>
      </c>
      <c r="G12" s="55">
        <v>3</v>
      </c>
      <c r="H12" s="55">
        <v>6</v>
      </c>
      <c r="I12" s="55">
        <v>60</v>
      </c>
      <c r="J12" s="55">
        <f t="shared" ref="J12:J14" si="0">H12*I12</f>
        <v>360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168</v>
      </c>
      <c r="E13" s="27" t="s">
        <v>186</v>
      </c>
      <c r="F13" s="55">
        <v>1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171</v>
      </c>
      <c r="E14" s="27" t="s">
        <v>172</v>
      </c>
      <c r="F14" s="55">
        <v>2</v>
      </c>
      <c r="G14" s="55">
        <v>3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13" workbookViewId="0">
      <selection activeCell="C31" sqref="C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7</v>
      </c>
      <c r="F16" s="55">
        <v>10</v>
      </c>
      <c r="G16" s="55">
        <f>E16*F16</f>
        <v>70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188</v>
      </c>
      <c r="D17" s="70" t="s">
        <v>170</v>
      </c>
      <c r="E17" s="55">
        <v>3</v>
      </c>
      <c r="F17" s="55">
        <v>10</v>
      </c>
      <c r="G17" s="55">
        <f t="shared" ref="G17:G20" si="0">E17*F17</f>
        <v>30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170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190</v>
      </c>
      <c r="D19" s="70" t="s">
        <v>170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170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8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514</v>
      </c>
      <c r="H13" s="55">
        <v>15</v>
      </c>
      <c r="I13" s="55"/>
      <c r="J13" s="55">
        <v>25</v>
      </c>
      <c r="K13" s="55"/>
      <c r="L13" s="55"/>
      <c r="M13" s="55"/>
      <c r="N13" s="55"/>
      <c r="P13" s="88">
        <f>SUM(D13:N13)</f>
        <v>584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514</v>
      </c>
      <c r="H30" s="88">
        <f t="shared" si="1"/>
        <v>15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584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2018-06-01T03:51:22Z</dcterms:modified>
</cp:coreProperties>
</file>