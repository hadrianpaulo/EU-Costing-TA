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Supplies_Medical'!$C$15:$C$42</definedName>
    <definedName name="Drugs">'1.2 Drugs&amp;Med'!$C$11:$C$14</definedName>
    <definedName name="_xlnm.Print_Area" localSheetId="0">'1.1 Case data_general'!$B$1:$F$69</definedName>
    <definedName name="_xlnm.Print_Area" localSheetId="1">'1.2 Drugs&amp;Med'!$B$2:$J$15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16" i="9"/>
  <c r="J12" i="2" l="1"/>
  <c r="J13" i="2"/>
  <c r="J14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<sst xmlns="http://schemas.openxmlformats.org/spreadsheetml/2006/main" count="482" uniqueCount="188">
  <si>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</si>
  <si>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</si>
  <si>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</si>
  <si>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</si>
  <si>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</si>
  <si>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</si>
  <si>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</si>
  <si>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</si>
  <si>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</si>
  <si>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</si>
  <si>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</si>
  <si>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</si>
  <si>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</si>
  <si>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</si>
  <si>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</si>
  <si>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</si>
  <si>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</si>
  <si>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</si>
  <si>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</si>
  <si>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</si>
  <si>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</si>
  <si>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</si>
  <si>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</si>
  <si>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</si>
  <si>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</si>
  <si>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</si>
  <si>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</si>
  <si>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</si>
  <si>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</si>
  <si>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</si>
  <si>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</si>
  <si>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</si>
  <si>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</si>
  <si>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</si>
  <si>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</si>
  <si>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</si>
  <si>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</si>
  <si>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</si>
  <si>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</si>
  <si>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</si>
  <si>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</si>
  <si>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</si>
  <si>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</si>
  <si>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</si>
  <si>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</si>
  <si>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</si>
  <si>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</si>
  <si>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</si>
  <si>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</si>
  <si>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</si>
  <si>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</si>
  <si>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</si>
  <si>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</si>
  <si>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</si>
  <si>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</si>
  <si>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</si>
  <si>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</si>
  <si>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</si>
  <si>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</si>
  <si>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</si>
  <si>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</si>
  <si>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</si>
  <si>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</si>
  <si>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</si>
  <si>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</si>
  <si>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</si>
  <si>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</si>
  <si>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</si>
  <si>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</si>
  <si>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</si>
  <si>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</si>
  <si>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</si>
  <si>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</si>
  <si>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</si>
  <si>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</si>
  <si>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</si>
  <si>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</si>
  <si>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</si>
  <si>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</si>
  <si>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</si>
  <si>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</si>
  <si>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</si>
  <si>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</si>
  <si>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</si>
  <si>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</si>
  <si>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</si>
  <si>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</si>
  <si>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</si>
  <si>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</si>
  <si>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</si>
  <si>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</si>
  <si>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</si>
  <si>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</si>
  <si>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</si>
  <si>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</si>
  <si>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</si>
  <si>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</si>
  <si>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</si>
  <si>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</si>
  <si>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</si>
  <si>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</si>
  <si>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</si>
  <si>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</si>
  <si>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</si>
  <si>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</si>
  <si>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</si>
  <si>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</si>
  <si>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</si>
  <si>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</si>
  <si>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</si>
  <si>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</si>
  <si>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</si>
  <si>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</si>
  <si>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</si>
  <si>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</si>
  <si>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</si>
  <si>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</si>
  <si>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</si>
  <si>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</si>
  <si>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</si>
  <si>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</si>
  <si>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</si>
  <si>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</si>
  <si>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</si>
  <si>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</si>
  <si>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</si>
  <si>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</si>
  <si>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</si>
  <si>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</si>
  <si>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</si>
  <si>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</si>
  <si>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</si>
  <si>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</si>
  <si>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</si>
  <si>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</si>
  <si>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</si>
  <si>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</si>
  <si>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</si>
  <si>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</si>
  <si>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</si>
  <si>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</si>
  <si>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</si>
  <si>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</si>
  <si>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</si>
  <si>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</si>
  <si>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</si>
  <si>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</si>
  <si>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</si>
  <si>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</si>
  <si>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</si>
  <si>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</si>
  <si>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</si>
  <si>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</si>
  <si>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</si>
  <si>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</si>
  <si>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</si>
  <si>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</si>
  <si>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</si>
  <si>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</si>
  <si>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</si>
  <si>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</si>
  <si>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</si>
  <si>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</si>
  <si>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</si>
  <si>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</si>
  <si>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RH TYPING</t>
  </si>
  <si>
    <t>MEDICINES</t>
  </si>
  <si>
    <t>LABORATORY</t>
  </si>
  <si>
    <t>ROOM AND BOARD</t>
  </si>
  <si>
    <t>AMPULE</t>
  </si>
  <si>
    <t>SYRINGE 3CC</t>
  </si>
  <si>
    <t>PC</t>
  </si>
  <si>
    <t>D5 LR</t>
  </si>
  <si>
    <t>BOTTLE</t>
  </si>
  <si>
    <t>1LITER</t>
  </si>
  <si>
    <t>ABOCATH GAUGE 20</t>
  </si>
  <si>
    <t>MACRO SET</t>
  </si>
  <si>
    <t>PLASTER 1/2</t>
  </si>
  <si>
    <t>A91.1</t>
  </si>
  <si>
    <t>CBC PLATELET COUNT</t>
  </si>
  <si>
    <t>PARACETAMOL</t>
  </si>
  <si>
    <t>PLAIN NS SOLUTION</t>
  </si>
  <si>
    <t>SYRINGE 5CC</t>
  </si>
  <si>
    <t>300MG</t>
  </si>
  <si>
    <t>RANITIDINE</t>
  </si>
  <si>
    <t>25MG</t>
  </si>
  <si>
    <t>ROD</t>
  </si>
  <si>
    <t>DENGUE WITH WARNING SIGNS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</si>
</sst>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21</xdr:row>
          <xdr:rowOff>28575</xdr:rowOff>
        </xdr:from>
        <xdr:to>
          <xdr:col>1</xdr:col>
          <xdr:colOff>762000</xdr:colOff>
          <xdr:row>21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21</xdr:row>
          <xdr:rowOff>28575</xdr:rowOff>
        </xdr:from>
        <xdr:to>
          <xdr:col>1</xdr:col>
          <xdr:colOff>1533525</xdr:colOff>
          <xdr:row>21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28575</xdr:rowOff>
        </xdr:from>
        <xdr:to>
          <xdr:col>1</xdr:col>
          <xdr:colOff>771525</xdr:colOff>
          <xdr:row>32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32</xdr:row>
          <xdr:rowOff>28575</xdr:rowOff>
        </xdr:from>
        <xdr:to>
          <xdr:col>1</xdr:col>
          <xdr:colOff>1543050</xdr:colOff>
          <xdr:row>32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opLeftCell="A51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179</v>
      </c>
      <c r="D34" s="23"/>
      <c r="E34" s="57">
        <v>7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165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164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44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45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53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164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164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55</v>
      </c>
      <c r="C57" s="17" t="s">
        <v>51</v>
      </c>
      <c r="D57" s="17" t="s">
        <v>56</v>
      </c>
      <c r="E57" s="18" t="s">
        <v>57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980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1185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168</v>
      </c>
      <c r="D60" s="55">
        <v>1600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186</v>
      </c>
      <c r="D61" s="55">
        <v>1200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4965</v>
      </c>
      <c r="E69" s="59">
        <f>SUM(E58:E68)</f>
        <v>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3:F43"/>
  </mergeCells>
  <dataValidations count="1">
    <dataValidation type="decimal" operator="greaterThanOrEqual" allowBlank="1" showInputMessage="1" showErrorMessage="1" sqref="E32 E37:E40 E42 E23:F27 E44:F47 E49:F54 D58:F6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5"/>
  <sheetViews>
    <sheetView workbookViewId="0">
      <selection activeCell="H18" sqref="H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DENGUE WITH WARNING SIGNS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4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4.25" customHeight="1" x14ac:dyDescent="0.3">
      <c r="B11" s="42">
        <v>1</v>
      </c>
      <c r="C11" s="27" t="s">
        <v>180</v>
      </c>
      <c r="D11" s="27" t="s">
        <v>169</v>
      </c>
      <c r="E11" s="27" t="s">
        <v>183</v>
      </c>
      <c r="F11" s="55">
        <v>2</v>
      </c>
      <c r="G11" s="55">
        <v>1</v>
      </c>
      <c r="H11" s="55">
        <v>2</v>
      </c>
      <c r="I11" s="55">
        <v>50</v>
      </c>
      <c r="J11" s="55">
        <f>H11*I11</f>
        <v>100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184</v>
      </c>
      <c r="D12" s="27" t="s">
        <v>169</v>
      </c>
      <c r="E12" s="27" t="s">
        <v>185</v>
      </c>
      <c r="F12" s="55">
        <v>3</v>
      </c>
      <c r="G12" s="55">
        <v>3</v>
      </c>
      <c r="H12" s="55">
        <v>5</v>
      </c>
      <c r="I12" s="55">
        <v>50</v>
      </c>
      <c r="J12" s="55">
        <f t="shared" ref="J12:J14" si="0">H12*I12</f>
        <v>250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181</v>
      </c>
      <c r="D13" s="27" t="s">
        <v>173</v>
      </c>
      <c r="E13" s="27" t="s">
        <v>174</v>
      </c>
      <c r="F13" s="55">
        <v>2</v>
      </c>
      <c r="G13" s="55">
        <v>3</v>
      </c>
      <c r="H13" s="55">
        <v>3</v>
      </c>
      <c r="I13" s="55">
        <v>100</v>
      </c>
      <c r="J13" s="55">
        <f t="shared" si="0"/>
        <v>300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172</v>
      </c>
      <c r="D14" s="27" t="s">
        <v>173</v>
      </c>
      <c r="E14" s="27" t="s">
        <v>174</v>
      </c>
      <c r="F14" s="55">
        <v>1</v>
      </c>
      <c r="G14" s="55">
        <v>1</v>
      </c>
      <c r="H14" s="55">
        <v>1</v>
      </c>
      <c r="I14" s="55">
        <v>100</v>
      </c>
      <c r="J14" s="55">
        <f t="shared" si="0"/>
        <v>100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25">
      <c r="A15" s="33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</row>
    <row r="16" spans="1:20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4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6"/>
  <sheetViews>
    <sheetView topLeftCell="A10" workbookViewId="0">
      <selection activeCell="C29" sqref="C2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DENGUE WITH WARNING SIGNS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5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170</v>
      </c>
      <c r="D16" s="70" t="s">
        <v>171</v>
      </c>
      <c r="E16" s="55">
        <v>3</v>
      </c>
      <c r="F16" s="55">
        <v>10</v>
      </c>
      <c r="G16" s="55">
        <f>E16*F16</f>
        <v>30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182</v>
      </c>
      <c r="D17" s="70" t="s">
        <v>171</v>
      </c>
      <c r="E17" s="55">
        <v>2</v>
      </c>
      <c r="F17" s="55">
        <v>10</v>
      </c>
      <c r="G17" s="55">
        <f t="shared" ref="G17:G20" si="0">E17*F17</f>
        <v>20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175</v>
      </c>
      <c r="D18" s="70" t="s">
        <v>171</v>
      </c>
      <c r="E18" s="55">
        <v>1</v>
      </c>
      <c r="F18" s="55">
        <v>100</v>
      </c>
      <c r="G18" s="55">
        <f t="shared" si="0"/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176</v>
      </c>
      <c r="D19" s="70" t="s">
        <v>171</v>
      </c>
      <c r="E19" s="55">
        <v>1</v>
      </c>
      <c r="F19" s="55">
        <v>40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177</v>
      </c>
      <c r="D20" s="70" t="s">
        <v>171</v>
      </c>
      <c r="E20" s="55">
        <v>1</v>
      </c>
      <c r="F20" s="55">
        <v>40</v>
      </c>
      <c r="G20" s="55">
        <f t="shared" si="0"/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136" t="s">
        <v>76</v>
      </c>
      <c r="C21" s="137"/>
      <c r="D21" s="137"/>
      <c r="E21" s="137"/>
      <c r="F21" s="137"/>
      <c r="G21" s="138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1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2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3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4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5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6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7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8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9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10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136" t="s">
        <v>29</v>
      </c>
      <c r="C32" s="137"/>
      <c r="D32" s="137"/>
      <c r="E32" s="137"/>
      <c r="F32" s="137"/>
      <c r="G32" s="138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1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2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3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4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5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6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7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8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9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10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A43" s="44"/>
      <c r="B43" s="39"/>
      <c r="C43" s="44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A44" s="44"/>
      <c r="B44" s="39"/>
      <c r="C44" s="44"/>
      <c r="D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5.75" customHeight="1" x14ac:dyDescent="0.25"/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</sheetData>
  <sheetProtection password="C2E9" sheet="1" objects="1" scenarios="1" formatColumns="0" formatRows="0" sort="0" autoFilter="0"/>
  <mergeCells count="9">
    <mergeCell ref="B7:G7"/>
    <mergeCell ref="B21:G21"/>
    <mergeCell ref="B32:G3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21</xdr:row>
                    <xdr:rowOff>28575</xdr:rowOff>
                  </from>
                  <to>
                    <xdr:col>1</xdr:col>
                    <xdr:colOff>762000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21</xdr:row>
                    <xdr:rowOff>28575</xdr:rowOff>
                  </from>
                  <to>
                    <xdr:col>1</xdr:col>
                    <xdr:colOff>1533525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32</xdr:row>
                    <xdr:rowOff>28575</xdr:rowOff>
                  </from>
                  <to>
                    <xdr:col>1</xdr:col>
                    <xdr:colOff>771525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32</xdr:row>
                    <xdr:rowOff>28575</xdr:rowOff>
                  </from>
                  <to>
                    <xdr:col>1</xdr:col>
                    <xdr:colOff>1543050</xdr:colOff>
                    <xdr:row>32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DENGUE WITH WARNING SIGNS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30</v>
      </c>
      <c r="F13" s="55"/>
      <c r="G13" s="55">
        <v>490</v>
      </c>
      <c r="H13" s="55">
        <v>20</v>
      </c>
      <c r="I13" s="55"/>
      <c r="J13" s="55">
        <v>25</v>
      </c>
      <c r="K13" s="55"/>
      <c r="L13" s="55"/>
      <c r="M13" s="55"/>
      <c r="N13" s="55"/>
      <c r="P13" s="88">
        <f>SUM(D13:N13)</f>
        <v>565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30</v>
      </c>
      <c r="F30" s="88">
        <f t="shared" si="1"/>
        <v>0</v>
      </c>
      <c r="G30" s="88">
        <f t="shared" si="1"/>
        <v>490</v>
      </c>
      <c r="H30" s="88">
        <f t="shared" si="1"/>
        <v>20</v>
      </c>
      <c r="I30" s="88">
        <f t="shared" si="1"/>
        <v>0</v>
      </c>
      <c r="J30" s="88">
        <f t="shared" si="1"/>
        <v>25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565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2018-06-01T05:02:56Z</dcterms:modified>
</cp:coreProperties>
</file>