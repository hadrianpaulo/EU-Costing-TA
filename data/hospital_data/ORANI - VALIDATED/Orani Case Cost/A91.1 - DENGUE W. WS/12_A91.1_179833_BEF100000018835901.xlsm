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3" i="9" l="1"/>
  <c r="G22" i="9"/>
  <c r="G21" i="9"/>
  <c r="G20" i="9"/>
  <c r="G19" i="9"/>
  <c r="G18" i="9"/>
  <c r="G17" i="9"/>
  <c r="G16" i="9"/>
  <c r="J21" i="2"/>
  <c r="J20" i="2"/>
  <c r="J19" i="2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<sst xmlns="http://schemas.openxmlformats.org/spreadsheetml/2006/main" count="493" uniqueCount="197">
  <si>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</si>
  <si>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</si>
  <si>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</si>
  <si>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</si>
  <si>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</si>
  <si>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</si>
  <si>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</si>
  <si>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</si>
  <si>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</si>
  <si>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</si>
  <si>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</si>
  <si>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</si>
  <si>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</si>
  <si>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</si>
  <si>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</si>
  <si>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</si>
  <si>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</si>
  <si>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</si>
  <si>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</si>
  <si>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</si>
  <si>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</si>
  <si>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</si>
  <si>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</si>
  <si>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</si>
  <si>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</si>
  <si>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</si>
  <si>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</si>
  <si>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</si>
  <si>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</si>
  <si>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</si>
  <si>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</si>
  <si>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</si>
  <si>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</si>
  <si>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</si>
  <si>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</si>
  <si>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</si>
  <si>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</si>
  <si>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</si>
  <si>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</si>
  <si>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</si>
  <si>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</si>
  <si>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</si>
  <si>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</si>
  <si>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</si>
  <si>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</si>
  <si>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</si>
  <si>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</si>
  <si>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</si>
  <si>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</si>
  <si>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</si>
  <si>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</si>
  <si>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</si>
  <si>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</si>
  <si>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</si>
  <si>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</si>
  <si>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</si>
  <si>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</si>
  <si>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</si>
  <si>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</si>
  <si>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</si>
  <si>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</si>
  <si>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</si>
  <si>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</si>
  <si>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</si>
  <si>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</si>
  <si>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</si>
  <si>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</si>
  <si>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</si>
  <si>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</si>
  <si>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</si>
  <si>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</si>
  <si>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</si>
  <si>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</si>
  <si>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</si>
  <si>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</si>
  <si>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</si>
  <si>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</si>
  <si>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</si>
  <si>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</si>
  <si>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</si>
  <si>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</si>
  <si>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</si>
  <si>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</si>
  <si>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</si>
  <si>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</si>
  <si>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</si>
  <si>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</si>
  <si>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</si>
  <si>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</si>
  <si>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</si>
  <si>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</si>
  <si>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</si>
  <si>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</si>
  <si>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</si>
  <si>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</si>
  <si>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</si>
  <si>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</si>
  <si>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</si>
  <si>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</si>
  <si>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</si>
  <si>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</si>
  <si>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</si>
  <si>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</si>
  <si>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</si>
  <si>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</si>
  <si>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</si>
  <si>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</si>
  <si>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</si>
  <si>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</si>
  <si>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</si>
  <si>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</si>
  <si>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</si>
  <si>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</si>
  <si>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</si>
  <si>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</si>
  <si>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</si>
  <si>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</si>
  <si>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</si>
  <si>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</si>
  <si>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</si>
  <si>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</si>
  <si>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</si>
  <si>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</si>
  <si>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</si>
  <si>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</si>
  <si>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</si>
  <si>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</si>
  <si>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</si>
  <si>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</si>
  <si>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</si>
  <si>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</si>
  <si>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</si>
  <si>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</si>
  <si>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</si>
  <si>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</si>
  <si>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</si>
  <si>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</si>
  <si>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</si>
  <si>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</si>
  <si>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</si>
  <si>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</si>
  <si>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</si>
  <si>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</si>
  <si>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</si>
  <si>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</si>
  <si>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</si>
  <si>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</si>
  <si>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</si>
  <si>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</si>
  <si>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</si>
  <si>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</si>
  <si>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</si>
  <si>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</si>
  <si>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</si>
  <si>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</si>
  <si>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</si>
  <si>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</si>
  <si>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</si>
  <si>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</si>
  <si>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</si>
  <si>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</si>
  <si>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</si>
  <si>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</si>
  <si>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</si>
  <si>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A91.1</t>
  </si>
  <si>
    <t>LABORATORY</t>
  </si>
  <si>
    <t>MEDICINES</t>
  </si>
  <si>
    <t>ROOM AND BOARD</t>
  </si>
  <si>
    <t>ABO - RH TYPING</t>
  </si>
  <si>
    <t>CBC PLATELET</t>
  </si>
  <si>
    <t>METOCLOPRAMIDE</t>
  </si>
  <si>
    <t>RANITIDINE</t>
  </si>
  <si>
    <t>PARACETAMOL</t>
  </si>
  <si>
    <t>Visit in the ward</t>
  </si>
  <si>
    <t>VIAL</t>
  </si>
  <si>
    <t>1MG</t>
  </si>
  <si>
    <t>AMPULE</t>
  </si>
  <si>
    <t>50MG</t>
  </si>
  <si>
    <t>TABLET</t>
  </si>
  <si>
    <t>500MG</t>
  </si>
  <si>
    <t>OMEPRAZOLE</t>
  </si>
  <si>
    <t>40MG</t>
  </si>
  <si>
    <t>PNSS</t>
  </si>
  <si>
    <t>BOTTLE</t>
  </si>
  <si>
    <t>1LITER</t>
  </si>
  <si>
    <t>PLR</t>
  </si>
  <si>
    <t>D5 0.9 NaCL</t>
  </si>
  <si>
    <t>ABBOCATH #22</t>
  </si>
  <si>
    <t>PIECE</t>
  </si>
  <si>
    <t>MACROSET</t>
  </si>
  <si>
    <t>PLASTER</t>
  </si>
  <si>
    <t>ROLL</t>
  </si>
  <si>
    <t>3CC SYRINGE</t>
  </si>
  <si>
    <t>5CC SYRINGE</t>
  </si>
  <si>
    <t>DISTILLED WATER FOR INJECTION</t>
  </si>
  <si>
    <t>50CC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</si>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</sst>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zoomScaleNormal="100" workbookViewId="0">
      <selection activeCell="E26" sqref="E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5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163</v>
      </c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945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2310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3755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G17" sqref="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176</v>
      </c>
      <c r="E12" s="27" t="s">
        <v>177</v>
      </c>
      <c r="F12" s="55">
        <v>2</v>
      </c>
      <c r="G12" s="55">
        <v>2</v>
      </c>
      <c r="H12" s="55">
        <v>3</v>
      </c>
      <c r="I12" s="55">
        <v>50</v>
      </c>
      <c r="J12" s="55">
        <f t="shared" ref="J12:J21" si="0">H12*I12</f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178</v>
      </c>
      <c r="E13" s="27" t="s">
        <v>179</v>
      </c>
      <c r="F13" s="55">
        <v>6</v>
      </c>
      <c r="G13" s="55">
        <v>2</v>
      </c>
      <c r="H13" s="55">
        <v>5</v>
      </c>
      <c r="I13" s="55">
        <v>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174</v>
      </c>
      <c r="E14" s="27" t="s">
        <v>181</v>
      </c>
      <c r="F14" s="55">
        <v>1</v>
      </c>
      <c r="G14" s="55">
        <v>4</v>
      </c>
      <c r="H14" s="55">
        <v>4</v>
      </c>
      <c r="I14" s="55">
        <v>200</v>
      </c>
      <c r="J14" s="55">
        <f t="shared" si="0"/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183</v>
      </c>
      <c r="E15" s="27" t="s">
        <v>184</v>
      </c>
      <c r="F15" s="55">
        <v>2</v>
      </c>
      <c r="G15" s="55">
        <v>2</v>
      </c>
      <c r="H15" s="55">
        <v>4</v>
      </c>
      <c r="I15" s="55">
        <v>100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183</v>
      </c>
      <c r="E16" s="27" t="s">
        <v>184</v>
      </c>
      <c r="F16" s="55">
        <v>1</v>
      </c>
      <c r="G16" s="55">
        <v>2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183</v>
      </c>
      <c r="E17" s="27" t="s">
        <v>184</v>
      </c>
      <c r="F17" s="55">
        <v>1</v>
      </c>
      <c r="G17" s="55">
        <v>2</v>
      </c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194</v>
      </c>
      <c r="D18" s="27" t="s">
        <v>183</v>
      </c>
      <c r="E18" s="27" t="s">
        <v>195</v>
      </c>
      <c r="F18" s="55">
        <v>1</v>
      </c>
      <c r="G18" s="55">
        <v>1</v>
      </c>
      <c r="H18" s="55">
        <v>1</v>
      </c>
      <c r="I18" s="55">
        <v>85</v>
      </c>
      <c r="J18" s="55">
        <f t="shared" si="0"/>
        <v>85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188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188</v>
      </c>
      <c r="E17" s="55">
        <v>1</v>
      </c>
      <c r="F17" s="55">
        <v>40</v>
      </c>
      <c r="G17" s="55">
        <f t="shared" ref="G17:G23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191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188</v>
      </c>
      <c r="E19" s="55">
        <v>16</v>
      </c>
      <c r="F19" s="55">
        <v>10</v>
      </c>
      <c r="G19" s="55">
        <f t="shared" si="0"/>
        <v>160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188</v>
      </c>
      <c r="E20" s="55">
        <v>7</v>
      </c>
      <c r="F20" s="55">
        <v>10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f>10*5</f>
        <v>50</v>
      </c>
      <c r="F13" s="55"/>
      <c r="G13" s="55">
        <f>24*5*60/25</f>
        <v>288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363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288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363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2018-06-01T04:10:24Z</dcterms:modified>
</cp:coreProperties>
</file>