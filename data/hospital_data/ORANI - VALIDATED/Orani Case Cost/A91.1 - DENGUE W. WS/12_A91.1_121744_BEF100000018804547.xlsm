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3" i="9" l="1"/>
  <c r="G22" i="9"/>
  <c r="G21" i="9"/>
  <c r="G20" i="9"/>
  <c r="G19" i="9"/>
  <c r="G18" i="9"/>
  <c r="G17" i="9"/>
  <c r="G16" i="9"/>
  <c r="J21" i="2"/>
  <c r="J20" i="2"/>
  <c r="J19" i="2"/>
  <c r="J18" i="2"/>
  <c r="J17" i="2"/>
  <c r="J16" i="2"/>
  <c r="J15" i="2"/>
  <c r="J14" i="2"/>
  <c r="J13" i="2"/>
  <c r="J12" i="2"/>
  <c r="J11" i="2"/>
  <c r="J13" i="10" l="1"/>
  <c r="G13" i="10"/>
  <c r="E13" i="10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<sst xmlns="http://schemas.openxmlformats.org/spreadsheetml/2006/main" count="482" uniqueCount="192">
  <si>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</si>
  <si>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</si>
  <si>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</si>
  <si>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</si>
  <si>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</si>
  <si>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</si>
  <si>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</si>
  <si>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</si>
  <si>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</si>
  <si>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</si>
  <si>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</si>
  <si>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</si>
  <si>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</si>
  <si>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</si>
  <si>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</si>
  <si>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</si>
  <si>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</si>
  <si>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</si>
  <si>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</si>
  <si>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</si>
  <si>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</si>
  <si>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</si>
  <si>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</si>
  <si>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</si>
  <si>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</si>
  <si>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</si>
  <si>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</si>
  <si>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</si>
  <si>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</si>
  <si>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</si>
  <si>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</si>
  <si>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</si>
  <si>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</si>
  <si>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</si>
  <si>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</si>
  <si>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</si>
  <si>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</si>
  <si>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</si>
  <si>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</si>
  <si>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</si>
  <si>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</si>
  <si>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</si>
  <si>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</si>
  <si>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</si>
  <si>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</si>
  <si>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</si>
  <si>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</si>
  <si>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</si>
  <si>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</si>
  <si>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</si>
  <si>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</si>
  <si>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</si>
  <si>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</si>
  <si>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</si>
  <si>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</si>
  <si>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</si>
  <si>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</si>
  <si>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</si>
  <si>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</si>
  <si>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</si>
  <si>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</si>
  <si>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</si>
  <si>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</si>
  <si>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</si>
  <si>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</si>
  <si>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</si>
  <si>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</si>
  <si>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</si>
  <si>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</si>
  <si>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</si>
  <si>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</si>
  <si>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</si>
  <si>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</si>
  <si>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</si>
  <si>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</si>
  <si>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</si>
  <si>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</si>
  <si>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</si>
  <si>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</si>
  <si>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</si>
  <si>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</si>
  <si>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</si>
  <si>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</si>
  <si>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</si>
  <si>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</si>
  <si>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</si>
  <si>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</si>
  <si>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</si>
  <si>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</si>
  <si>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</si>
  <si>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</si>
  <si>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</si>
  <si>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</si>
  <si>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</si>
  <si>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</si>
  <si>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</si>
  <si>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</si>
  <si>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</si>
  <si>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</si>
  <si>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</si>
  <si>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</si>
  <si>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</si>
  <si>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</si>
  <si>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</si>
  <si>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</si>
  <si>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</si>
  <si>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</si>
  <si>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</si>
  <si>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</si>
  <si>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</si>
  <si>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</si>
  <si>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</si>
  <si>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</si>
  <si>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</si>
  <si>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</si>
  <si>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</si>
  <si>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</si>
  <si>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</si>
  <si>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</si>
  <si>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</si>
  <si>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</si>
  <si>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</si>
  <si>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</si>
  <si>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</si>
  <si>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</si>
  <si>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</si>
  <si>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</si>
  <si>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</si>
  <si>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</si>
  <si>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</si>
  <si>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</si>
  <si>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</si>
  <si>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</si>
  <si>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</si>
  <si>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</si>
  <si>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</si>
  <si>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</si>
  <si>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</si>
  <si>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</si>
  <si>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</si>
  <si>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</si>
  <si>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</si>
  <si>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</si>
  <si>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</si>
  <si>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</si>
  <si>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</si>
  <si>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</si>
  <si>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</si>
  <si>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</si>
  <si>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</si>
  <si>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</si>
  <si>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</si>
  <si>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</si>
  <si>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</si>
  <si>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</si>
  <si>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</si>
  <si>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</si>
  <si>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</si>
  <si>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</si>
  <si>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</si>
  <si>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</si>
  <si>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</si>
  <si>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</si>
  <si>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</si>
  <si>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A91.1</t>
  </si>
  <si>
    <t>LABORATORY</t>
  </si>
  <si>
    <t>MEDICINES</t>
  </si>
  <si>
    <t>ROOM AND BOARD</t>
  </si>
  <si>
    <t>CBC PLATELET</t>
  </si>
  <si>
    <t>SODIUM</t>
  </si>
  <si>
    <t>POTASSIUM</t>
  </si>
  <si>
    <t>CHLORIDE</t>
  </si>
  <si>
    <t>METOCLOPRAMIDE</t>
  </si>
  <si>
    <t>OMEPRAZOLE</t>
  </si>
  <si>
    <t>CELECOXIB</t>
  </si>
  <si>
    <t>Visit in the ward</t>
  </si>
  <si>
    <t>10MG</t>
  </si>
  <si>
    <t>VIAL</t>
  </si>
  <si>
    <t>20MG</t>
  </si>
  <si>
    <t>NORGESIC FORTE</t>
  </si>
  <si>
    <t>TABLET</t>
  </si>
  <si>
    <t>500MG</t>
  </si>
  <si>
    <t>CAPSULE</t>
  </si>
  <si>
    <t>200MG</t>
  </si>
  <si>
    <t>D5LR</t>
  </si>
  <si>
    <t>BOTTLE</t>
  </si>
  <si>
    <t>1LITER</t>
  </si>
  <si>
    <t>IV CATHETER G#22</t>
  </si>
  <si>
    <t>PIECE</t>
  </si>
  <si>
    <t>IV SET MACROSET</t>
  </si>
  <si>
    <t>5CC SYRINGE</t>
  </si>
  <si>
    <t>DENGUE WITH WARNING SIGNS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</si>
</sst>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abSelected="1" zoomScaleNormal="100" workbookViewId="0">
      <selection activeCell="B22" sqref="B22:F2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191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3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19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 t="s">
        <v>163</v>
      </c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8" t="s">
        <v>43</v>
      </c>
      <c r="C49" s="119"/>
      <c r="D49" s="116"/>
      <c r="E49" s="119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4" t="s">
        <v>44</v>
      </c>
      <c r="C50" s="13"/>
      <c r="D50" s="13"/>
      <c r="E50" s="16"/>
      <c r="F50" s="1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52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1</v>
      </c>
      <c r="C52" s="31" t="s">
        <v>163</v>
      </c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2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15" t="s">
        <v>20</v>
      </c>
      <c r="C56" s="116"/>
      <c r="D56" s="116"/>
      <c r="E56" s="116"/>
      <c r="F56" s="11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1</v>
      </c>
      <c r="C57" s="27" t="s">
        <v>163</v>
      </c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2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3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4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5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6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5"/>
      <c r="C63" s="25"/>
      <c r="D63" s="25"/>
      <c r="E63" s="25"/>
      <c r="F63" s="2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57.75" customHeight="1" thickBot="1" x14ac:dyDescent="0.35">
      <c r="A65" s="1"/>
      <c r="B65" s="17" t="s">
        <v>54</v>
      </c>
      <c r="C65" s="17" t="s">
        <v>50</v>
      </c>
      <c r="D65" s="17" t="s">
        <v>55</v>
      </c>
      <c r="E65" s="18" t="s">
        <v>56</v>
      </c>
      <c r="F65" s="19" t="s">
        <v>21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2">
        <v>1</v>
      </c>
      <c r="C66" s="27" t="s">
        <v>165</v>
      </c>
      <c r="D66" s="55">
        <v>915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2</v>
      </c>
      <c r="C67" s="27" t="s">
        <v>166</v>
      </c>
      <c r="D67" s="55">
        <v>2255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3</v>
      </c>
      <c r="C68" s="27" t="s">
        <v>167</v>
      </c>
      <c r="D68" s="55">
        <v>500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4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5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6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7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8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9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10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SUM(D66:D76)</f>
        <v>3670</v>
      </c>
      <c r="E77" s="59">
        <f>SUM(E66:E76)</f>
        <v>0</v>
      </c>
      <c r="F77" s="59">
        <f>SUM(F66:F76)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password="C2E9" sheet="1" objects="1" scenarios="1" formatColumns="0" formatRows="0" sort="0" autoFilter="0"/>
  <mergeCells count="12">
    <mergeCell ref="B56:F56"/>
    <mergeCell ref="B49:F49"/>
    <mergeCell ref="B12:F12"/>
    <mergeCell ref="B13:F13"/>
    <mergeCell ref="B14:F14"/>
    <mergeCell ref="B15:F15"/>
    <mergeCell ref="B18:F18"/>
    <mergeCell ref="B22:F22"/>
    <mergeCell ref="B33:F33"/>
    <mergeCell ref="B28:F28"/>
    <mergeCell ref="B44:F44"/>
    <mergeCell ref="B51:F51"/>
  </mergeCells>
  <dataValidations count="1">
    <dataValidation type="decimal" operator="greaterThanOrEqual" allowBlank="1" showInputMessage="1" showErrorMessage="1" sqref="E32 E45:E48 E50 E23:F27 E52:F55 E57:F62 D66:F75 E34:E36 E37:E4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1" sqref="J11:J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177</v>
      </c>
      <c r="E11" s="27" t="s">
        <v>176</v>
      </c>
      <c r="F11" s="55">
        <v>4</v>
      </c>
      <c r="G11" s="55">
        <v>1</v>
      </c>
      <c r="H11" s="55">
        <v>4</v>
      </c>
      <c r="I11" s="55">
        <v>50</v>
      </c>
      <c r="J11" s="55">
        <f>H11*I11</f>
        <v>200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177</v>
      </c>
      <c r="E12" s="27" t="s">
        <v>178</v>
      </c>
      <c r="F12" s="55">
        <v>1</v>
      </c>
      <c r="G12" s="55">
        <v>6</v>
      </c>
      <c r="H12" s="55">
        <v>5</v>
      </c>
      <c r="I12" s="55">
        <v>100</v>
      </c>
      <c r="J12" s="55">
        <f t="shared" ref="J12:J21" si="0">H12*I12</f>
        <v>500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180</v>
      </c>
      <c r="E13" s="27" t="s">
        <v>181</v>
      </c>
      <c r="F13" s="55">
        <v>3</v>
      </c>
      <c r="G13" s="55">
        <v>4</v>
      </c>
      <c r="H13" s="55">
        <v>10</v>
      </c>
      <c r="I13" s="55">
        <v>40</v>
      </c>
      <c r="J13" s="55">
        <f t="shared" si="0"/>
        <v>400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174</v>
      </c>
      <c r="D14" s="27" t="s">
        <v>182</v>
      </c>
      <c r="E14" s="27" t="s">
        <v>183</v>
      </c>
      <c r="F14" s="55">
        <v>2</v>
      </c>
      <c r="G14" s="55">
        <v>4</v>
      </c>
      <c r="H14" s="55">
        <v>5</v>
      </c>
      <c r="I14" s="55">
        <v>23</v>
      </c>
      <c r="J14" s="55">
        <f t="shared" si="0"/>
        <v>115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185</v>
      </c>
      <c r="E15" s="27" t="s">
        <v>186</v>
      </c>
      <c r="F15" s="55">
        <v>2</v>
      </c>
      <c r="G15" s="55">
        <v>5</v>
      </c>
      <c r="H15" s="55">
        <v>9</v>
      </c>
      <c r="I15" s="55">
        <v>100</v>
      </c>
      <c r="J15" s="55">
        <f t="shared" si="0"/>
        <v>900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B7" sqref="B7:G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187</v>
      </c>
      <c r="D16" s="70" t="s">
        <v>188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189</v>
      </c>
      <c r="D17" s="70" t="s">
        <v>188</v>
      </c>
      <c r="E17" s="55">
        <v>1</v>
      </c>
      <c r="F17" s="55">
        <v>40</v>
      </c>
      <c r="G17" s="55">
        <f t="shared" ref="G17:G23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190</v>
      </c>
      <c r="D18" s="70" t="s">
        <v>188</v>
      </c>
      <c r="E18" s="55">
        <v>1</v>
      </c>
      <c r="F18" s="55">
        <v>10</v>
      </c>
      <c r="G18" s="55">
        <f t="shared" si="0"/>
        <v>10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175</v>
      </c>
      <c r="D13" s="55"/>
      <c r="E13" s="55">
        <f>10*5</f>
        <v>50</v>
      </c>
      <c r="F13" s="55"/>
      <c r="G13" s="55">
        <f>24*5*60/20</f>
        <v>360</v>
      </c>
      <c r="H13" s="55"/>
      <c r="I13" s="55"/>
      <c r="J13" s="55">
        <f>5*5</f>
        <v>25</v>
      </c>
      <c r="K13" s="55"/>
      <c r="L13" s="55"/>
      <c r="M13" s="55"/>
      <c r="N13" s="55"/>
      <c r="P13" s="88">
        <f>SUM(D13:N13)</f>
        <v>435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360</v>
      </c>
      <c r="H30" s="88">
        <f t="shared" si="1"/>
        <v>0</v>
      </c>
      <c r="I30" s="88">
        <f t="shared" si="1"/>
        <v>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2018-06-01T03:49:50Z</dcterms:modified>
</cp:coreProperties>
</file>