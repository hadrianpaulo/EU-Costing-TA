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23" i="2"/>
  <c r="J22" i="2"/>
  <c r="J21" i="2"/>
  <c r="J20" i="2"/>
  <c r="J19" i="2"/>
  <c r="J18" i="2"/>
  <c r="J17" i="2"/>
  <c r="J16" i="2"/>
  <c r="J15" i="2"/>
  <c r="J14" i="2"/>
  <c r="J13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<sst xmlns="http://schemas.openxmlformats.org/spreadsheetml/2006/main" count="468" uniqueCount="179">
  <si>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</si>
  <si>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</si>
  <si>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</si>
  <si>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</si>
  <si>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</si>
  <si>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</si>
  <si>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</si>
  <si>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</si>
  <si>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</si>
  <si>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</si>
  <si>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</si>
  <si>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</si>
  <si>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</si>
  <si>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</si>
  <si>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</si>
  <si>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</si>
  <si>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</si>
  <si>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</si>
  <si>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</si>
  <si>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</si>
  <si>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</si>
  <si>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</si>
  <si>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</si>
  <si>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</si>
  <si>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</si>
  <si>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</si>
  <si>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</si>
  <si>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</si>
  <si>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</si>
  <si>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</si>
  <si>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</si>
  <si>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</si>
  <si>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</si>
  <si>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</si>
  <si>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</si>
  <si>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</si>
  <si>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</si>
  <si>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</si>
  <si>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</si>
  <si>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</si>
  <si>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</si>
  <si>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</si>
  <si>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</si>
  <si>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</si>
  <si>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</si>
  <si>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</si>
  <si>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</si>
  <si>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</si>
  <si>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</si>
  <si>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</si>
  <si>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</si>
  <si>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</si>
  <si>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</si>
  <si>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</si>
  <si>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</si>
  <si>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</si>
  <si>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</si>
  <si>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</si>
  <si>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</si>
  <si>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</si>
  <si>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</si>
  <si>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</si>
  <si>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</si>
  <si>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</si>
  <si>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</si>
  <si>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</si>
  <si>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</si>
  <si>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</si>
  <si>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</si>
  <si>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</si>
  <si>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</si>
  <si>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</si>
  <si>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</si>
  <si>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</si>
  <si>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</si>
  <si>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</si>
  <si>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</si>
  <si>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</si>
  <si>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</si>
  <si>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</si>
  <si>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</si>
  <si>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</si>
  <si>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</si>
  <si>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</si>
  <si>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</si>
  <si>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</si>
  <si>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</si>
  <si>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</si>
  <si>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</si>
  <si>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</si>
  <si>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</si>
  <si>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</si>
  <si>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</si>
  <si>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</si>
  <si>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</si>
  <si>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</si>
  <si>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</si>
  <si>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</si>
  <si>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</si>
  <si>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</si>
  <si>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</si>
  <si>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</si>
  <si>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</si>
  <si>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</si>
  <si>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</si>
  <si>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</si>
  <si>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</si>
  <si>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</si>
  <si>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</si>
  <si>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</si>
  <si>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</si>
  <si>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</si>
  <si>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</si>
  <si>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</si>
  <si>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</si>
  <si>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</si>
  <si>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</si>
  <si>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</si>
  <si>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</si>
  <si>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</si>
  <si>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</si>
  <si>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</si>
  <si>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</si>
  <si>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</si>
  <si>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</si>
  <si>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</si>
  <si>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</si>
  <si>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</si>
  <si>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</si>
  <si>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</si>
  <si>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</si>
  <si>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</si>
  <si>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</si>
  <si>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</si>
  <si>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</si>
  <si>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</si>
  <si>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</si>
  <si>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</si>
  <si>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</si>
  <si>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</si>
  <si>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</si>
  <si>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</si>
  <si>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</si>
  <si>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</si>
  <si>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</si>
  <si>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</si>
  <si>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</si>
  <si>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</si>
  <si>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</si>
  <si>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</si>
  <si>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</si>
  <si>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</si>
  <si>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</si>
  <si>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</si>
  <si>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</si>
  <si>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</si>
  <si>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</si>
  <si>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</si>
  <si>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</si>
  <si>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</si>
  <si>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</si>
  <si>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</si>
  <si>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</si>
  <si>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</si>
  <si>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A91.1</t>
  </si>
  <si>
    <t>LABORATORY</t>
  </si>
  <si>
    <t>MEDICINES</t>
  </si>
  <si>
    <t>ROOM AND BOARD</t>
  </si>
  <si>
    <t>ABO - RH TYPING</t>
  </si>
  <si>
    <t>CBC PLATELET</t>
  </si>
  <si>
    <t>RANITIDINE</t>
  </si>
  <si>
    <t>Visit in the ward</t>
  </si>
  <si>
    <t>AMPULE</t>
  </si>
  <si>
    <t>50MG</t>
  </si>
  <si>
    <t>IV CATHETER G#22</t>
  </si>
  <si>
    <t>PIECE</t>
  </si>
  <si>
    <t>IV SET MACROSET</t>
  </si>
  <si>
    <t>PLASTER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</si>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</sst>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zoomScaleNormal="100" workbookViewId="0">
      <selection activeCell="C21" sqref="C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5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163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165</v>
      </c>
      <c r="D66" s="55">
        <v>945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520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167</v>
      </c>
      <c r="D68" s="55">
        <v>500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1965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172</v>
      </c>
      <c r="E11" s="27" t="s">
        <v>173</v>
      </c>
      <c r="F11" s="55">
        <v>2</v>
      </c>
      <c r="G11" s="55">
        <v>4</v>
      </c>
      <c r="H11" s="55">
        <v>7</v>
      </c>
      <c r="I11" s="55">
        <v>50</v>
      </c>
      <c r="J11" s="55">
        <f>H11*I11</f>
        <v>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3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175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175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175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171</v>
      </c>
      <c r="D13" s="55"/>
      <c r="E13" s="55">
        <f>10*5</f>
        <v>50</v>
      </c>
      <c r="F13" s="55"/>
      <c r="G13" s="55">
        <f>24*5*60/10</f>
        <v>720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795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720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2018-06-01T03:48:50Z</dcterms:modified>
</cp:coreProperties>
</file>