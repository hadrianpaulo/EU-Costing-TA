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6" i="9" l="1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<sst xmlns="http://schemas.openxmlformats.org/spreadsheetml/2006/main" count="481" uniqueCount="189">
  <si>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</si>
  <si>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</si>
  <si>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</si>
  <si>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</si>
  <si>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</si>
  <si>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</si>
  <si>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</si>
  <si>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</si>
  <si>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</si>
  <si>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</si>
  <si>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</si>
  <si>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</si>
  <si>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</si>
  <si>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</si>
  <si>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</si>
  <si>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</si>
  <si>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</si>
  <si>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</si>
  <si>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</si>
  <si>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</si>
  <si>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</si>
  <si>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</si>
  <si>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</si>
  <si>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</si>
  <si>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</si>
  <si>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</si>
  <si>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</si>
  <si>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</si>
  <si>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</si>
  <si>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</si>
  <si>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</si>
  <si>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</si>
  <si>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</si>
  <si>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</si>
  <si>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</si>
  <si>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</si>
  <si>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</si>
  <si>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</si>
  <si>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</si>
  <si>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</si>
  <si>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</si>
  <si>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</si>
  <si>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</si>
  <si>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</si>
  <si>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</si>
  <si>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</si>
  <si>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</si>
  <si>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</si>
  <si>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</si>
  <si>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</si>
  <si>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</si>
  <si>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</si>
  <si>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</si>
  <si>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</si>
  <si>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</si>
  <si>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</si>
  <si>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</si>
  <si>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</si>
  <si>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</si>
  <si>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</si>
  <si>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</si>
  <si>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</si>
  <si>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</si>
  <si>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</si>
  <si>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</si>
  <si>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</si>
  <si>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</si>
  <si>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</si>
  <si>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</si>
  <si>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</si>
  <si>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</si>
  <si>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</si>
  <si>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</si>
  <si>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</si>
  <si>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</si>
  <si>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</si>
  <si>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</si>
  <si>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</si>
  <si>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</si>
  <si>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</si>
  <si>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</si>
  <si>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</si>
  <si>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</si>
  <si>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</si>
  <si>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</si>
  <si>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</si>
  <si>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</si>
  <si>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</si>
  <si>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</si>
  <si>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</si>
  <si>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</si>
  <si>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</si>
  <si>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</si>
  <si>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</si>
  <si>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</si>
  <si>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</si>
  <si>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</si>
  <si>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</si>
  <si>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</si>
  <si>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</si>
  <si>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</si>
  <si>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</si>
  <si>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</si>
  <si>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</si>
  <si>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</si>
  <si>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</si>
  <si>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</si>
  <si>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</si>
  <si>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</si>
  <si>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</si>
  <si>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</si>
  <si>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</si>
  <si>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</si>
  <si>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</si>
  <si>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</si>
  <si>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</si>
  <si>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</si>
  <si>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</si>
  <si>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</si>
  <si>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</si>
  <si>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</si>
  <si>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</si>
  <si>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</si>
  <si>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</si>
  <si>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</si>
  <si>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</si>
  <si>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</si>
  <si>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</si>
  <si>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</si>
  <si>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</si>
  <si>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</si>
  <si>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</si>
  <si>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</si>
  <si>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</si>
  <si>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</si>
  <si>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</si>
  <si>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</si>
  <si>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</si>
  <si>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</si>
  <si>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</si>
  <si>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</si>
  <si>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</si>
  <si>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</si>
  <si>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</si>
  <si>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</si>
  <si>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</si>
  <si>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</si>
  <si>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</si>
  <si>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</si>
  <si>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</si>
  <si>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</si>
  <si>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</si>
  <si>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</si>
  <si>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</si>
  <si>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</si>
  <si>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</si>
  <si>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</si>
  <si>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</si>
  <si>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</si>
  <si>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</si>
  <si>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</si>
  <si>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</si>
  <si>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</si>
  <si>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</si>
  <si>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</si>
  <si>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</si>
  <si>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</si>
  <si>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</si>
  <si>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500MG</t>
  </si>
  <si>
    <t>SYRINGE 3CC</t>
  </si>
  <si>
    <t>PC</t>
  </si>
  <si>
    <t>BOTTLE</t>
  </si>
  <si>
    <t>1LITER</t>
  </si>
  <si>
    <t>PLASTER 1/2</t>
  </si>
  <si>
    <t>A91.1</t>
  </si>
  <si>
    <t>CBC PLATELET COUNT</t>
  </si>
  <si>
    <t>NAKCL</t>
  </si>
  <si>
    <t>CEFTRIAXONE</t>
  </si>
  <si>
    <t>VIAL</t>
  </si>
  <si>
    <t>PARACETAMOL</t>
  </si>
  <si>
    <t>SYRUP</t>
  </si>
  <si>
    <t>5ML</t>
  </si>
  <si>
    <t>MULTIVITAMINS</t>
  </si>
  <si>
    <t>7.5ML</t>
  </si>
  <si>
    <t>D5 0.3 NACL</t>
  </si>
  <si>
    <t>ABOCATH GAUGE 24</t>
  </si>
  <si>
    <t>MICRO SET</t>
  </si>
  <si>
    <t>SYRINGE 5CC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</si>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</sst>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4" sqref="D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7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2255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1535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4390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D22" sqref="D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25" customHeight="1" x14ac:dyDescent="0.3">
      <c r="B11" s="42">
        <v>1</v>
      </c>
      <c r="C11" s="27" t="s">
        <v>177</v>
      </c>
      <c r="D11" s="27" t="s">
        <v>178</v>
      </c>
      <c r="E11" s="27" t="s">
        <v>168</v>
      </c>
      <c r="F11" s="55">
        <v>2</v>
      </c>
      <c r="G11" s="55">
        <v>6</v>
      </c>
      <c r="H11" s="55">
        <v>11</v>
      </c>
      <c r="I11" s="55">
        <v>100</v>
      </c>
      <c r="J11" s="55">
        <f>H11*I11</f>
        <v>1100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 t="s">
        <v>181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4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180</v>
      </c>
      <c r="E13" s="27" t="s">
        <v>183</v>
      </c>
      <c r="F13" s="55">
        <v>1</v>
      </c>
      <c r="G13" s="55">
        <v>1</v>
      </c>
      <c r="H13" s="55">
        <v>1</v>
      </c>
      <c r="I13" s="55">
        <v>65</v>
      </c>
      <c r="J13" s="55">
        <f t="shared" si="0"/>
        <v>65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171</v>
      </c>
      <c r="E14" s="27" t="s">
        <v>172</v>
      </c>
      <c r="F14" s="55">
        <v>2</v>
      </c>
      <c r="G14" s="55">
        <v>5</v>
      </c>
      <c r="H14" s="55">
        <v>8</v>
      </c>
      <c r="I14" s="55">
        <v>100</v>
      </c>
      <c r="J14" s="55">
        <f t="shared" si="0"/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22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170</v>
      </c>
      <c r="E17" s="55">
        <v>1</v>
      </c>
      <c r="F17" s="55">
        <v>100</v>
      </c>
      <c r="G17" s="55"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170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173</v>
      </c>
      <c r="D19" s="70" t="s">
        <v>170</v>
      </c>
      <c r="E19" s="55">
        <v>1</v>
      </c>
      <c r="F19" s="55">
        <v>40</v>
      </c>
      <c r="G19" s="55"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170</v>
      </c>
      <c r="E20" s="55">
        <v>1</v>
      </c>
      <c r="F20" s="55">
        <v>10</v>
      </c>
      <c r="G20" s="55"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540</v>
      </c>
      <c r="H13" s="55">
        <v>30</v>
      </c>
      <c r="I13" s="55"/>
      <c r="J13" s="55">
        <v>30</v>
      </c>
      <c r="K13" s="55"/>
      <c r="L13" s="55"/>
      <c r="M13" s="55"/>
      <c r="N13" s="55"/>
      <c r="P13" s="88">
        <f>SUM(D13:N13)</f>
        <v>650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540</v>
      </c>
      <c r="H30" s="88">
        <f t="shared" si="1"/>
        <v>30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2018-06-01T04:15:06Z</dcterms:modified>
</cp:coreProperties>
</file>