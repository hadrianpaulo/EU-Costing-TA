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Supplies_Medical'!$C$15:$C$40</definedName>
    <definedName name="Drugs">'1.2 Drugs&amp;Med'!$C$11:$C$14</definedName>
    <definedName name="_xlnm.Print_Area" localSheetId="0">'1.1 Case data_general'!$B$1:$F$68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<sst xmlns="http://schemas.openxmlformats.org/spreadsheetml/2006/main" count="468" uniqueCount="181">
  <si>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</si>
  <si>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</si>
  <si>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</si>
  <si>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</si>
  <si>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</si>
  <si>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</si>
  <si>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</si>
  <si>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</si>
  <si>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</si>
  <si>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</si>
  <si>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</si>
  <si>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</si>
  <si>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</si>
  <si>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</si>
  <si>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</si>
  <si>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</si>
  <si>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</si>
  <si>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</si>
  <si>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</si>
  <si>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</si>
  <si>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</si>
  <si>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</si>
  <si>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</si>
  <si>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</si>
  <si>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</si>
  <si>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</si>
  <si>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</si>
  <si>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</si>
  <si>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</si>
  <si>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</si>
  <si>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</si>
  <si>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</si>
  <si>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</si>
  <si>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</si>
  <si>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</si>
  <si>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</si>
  <si>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</si>
  <si>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</si>
  <si>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</si>
  <si>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</si>
  <si>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</si>
  <si>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</si>
  <si>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</si>
  <si>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</si>
  <si>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</si>
  <si>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</si>
  <si>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</si>
  <si>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</si>
  <si>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</si>
  <si>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</si>
  <si>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</si>
  <si>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</si>
  <si>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</si>
  <si>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</si>
  <si>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</si>
  <si>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</si>
  <si>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</si>
  <si>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</si>
  <si>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</si>
  <si>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</si>
  <si>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</si>
  <si>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</si>
  <si>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</si>
  <si>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</si>
  <si>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</si>
  <si>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</si>
  <si>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</si>
  <si>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</si>
  <si>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</si>
  <si>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</si>
  <si>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</si>
  <si>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</si>
  <si>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</si>
  <si>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</si>
  <si>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</si>
  <si>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</si>
  <si>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</si>
  <si>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</si>
  <si>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</si>
  <si>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</si>
  <si>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</si>
  <si>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</si>
  <si>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</si>
  <si>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</si>
  <si>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</si>
  <si>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</si>
  <si>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</si>
  <si>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</si>
  <si>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</si>
  <si>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</si>
  <si>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</si>
  <si>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</si>
  <si>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</si>
  <si>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</si>
  <si>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</si>
  <si>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</si>
  <si>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</si>
  <si>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</si>
  <si>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</si>
  <si>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</si>
  <si>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</si>
  <si>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</si>
  <si>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</si>
  <si>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</si>
  <si>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</si>
  <si>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</si>
  <si>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</si>
  <si>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</si>
  <si>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</si>
  <si>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</si>
  <si>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</si>
  <si>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</si>
  <si>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</si>
  <si>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</si>
  <si>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</si>
  <si>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</si>
  <si>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</si>
  <si>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</si>
  <si>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</si>
  <si>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</si>
  <si>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</si>
  <si>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</si>
  <si>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</si>
  <si>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</si>
  <si>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</si>
  <si>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</si>
  <si>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</si>
  <si>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</si>
  <si>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</si>
  <si>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</si>
  <si>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</si>
  <si>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</si>
  <si>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</si>
  <si>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</si>
  <si>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</si>
  <si>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</si>
  <si>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</si>
  <si>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</si>
  <si>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</si>
  <si>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</si>
  <si>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</si>
  <si>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</si>
  <si>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</si>
  <si>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</si>
  <si>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</si>
  <si>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</si>
  <si>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</si>
  <si>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</si>
  <si>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</si>
  <si>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</si>
  <si>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</si>
  <si>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</si>
  <si>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</si>
  <si>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</si>
  <si>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</si>
  <si>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</si>
  <si>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</si>
  <si>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</si>
  <si>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</si>
  <si>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</si>
  <si>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</si>
  <si>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</si>
  <si>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</si>
  <si>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</si>
  <si>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</si>
  <si>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</si>
  <si>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</si>
  <si>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AMPULE</t>
  </si>
  <si>
    <t>VIAL</t>
  </si>
  <si>
    <t>Z38.0</t>
  </si>
  <si>
    <t>NEWBORN SCREENING</t>
  </si>
  <si>
    <t>CREDES PROPHYLAXIS</t>
  </si>
  <si>
    <t>TUBE</t>
  </si>
  <si>
    <t>VITAMIN K</t>
  </si>
  <si>
    <t>HEPA B</t>
  </si>
  <si>
    <t>BCG</t>
  </si>
  <si>
    <t>0.1ML</t>
  </si>
  <si>
    <t>0.5ML</t>
  </si>
  <si>
    <t>0.05ML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</si>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</sst>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28575</xdr:rowOff>
        </xdr:from>
        <xdr:to>
          <xdr:col>1</xdr:col>
          <xdr:colOff>771525</xdr:colOff>
          <xdr:row>30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30</xdr:row>
          <xdr:rowOff>28575</xdr:rowOff>
        </xdr:from>
        <xdr:to>
          <xdr:col>1</xdr:col>
          <xdr:colOff>1543050</xdr:colOff>
          <xdr:row>30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45" zoomScaleNormal="100" workbookViewId="0">
      <selection activeCell="C59" sqref="C59:C6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180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B23" sqref="B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7.25" customHeight="1" x14ac:dyDescent="0.3">
      <c r="B11" s="42">
        <v>1</v>
      </c>
      <c r="C11" s="27" t="s">
        <v>173</v>
      </c>
      <c r="D11" s="27" t="s">
        <v>167</v>
      </c>
      <c r="E11" s="27" t="s">
        <v>176</v>
      </c>
      <c r="F11" s="55">
        <v>1</v>
      </c>
      <c r="G11" s="55">
        <v>1</v>
      </c>
      <c r="H11" s="55">
        <v>1</v>
      </c>
      <c r="I11" s="55">
        <v>100</v>
      </c>
      <c r="J11" s="55">
        <f>H11*I11</f>
        <v>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168</v>
      </c>
      <c r="E12" s="27" t="s">
        <v>178</v>
      </c>
      <c r="F12" s="55">
        <v>1</v>
      </c>
      <c r="G12" s="55">
        <v>1</v>
      </c>
      <c r="H12" s="55">
        <v>1</v>
      </c>
      <c r="I12" s="55">
        <v>149.4</v>
      </c>
      <c r="J12" s="55">
        <f t="shared" ref="J12:J14" si="0">H12*I12</f>
        <v>149.4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174</v>
      </c>
      <c r="D13" s="27" t="s">
        <v>167</v>
      </c>
      <c r="E13" s="27" t="s">
        <v>177</v>
      </c>
      <c r="F13" s="55">
        <v>1</v>
      </c>
      <c r="G13" s="55">
        <v>1</v>
      </c>
      <c r="H13" s="55">
        <v>1</v>
      </c>
      <c r="I13" s="55">
        <v>100</v>
      </c>
      <c r="J13" s="55">
        <f t="shared" si="0"/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171</v>
      </c>
      <c r="D14" s="27" t="s">
        <v>172</v>
      </c>
      <c r="E14" s="27"/>
      <c r="F14" s="55">
        <v>1</v>
      </c>
      <c r="G14" s="55">
        <v>1</v>
      </c>
      <c r="H14" s="55">
        <v>1</v>
      </c>
      <c r="I14" s="55">
        <v>100.6</v>
      </c>
      <c r="J14" s="55">
        <f t="shared" si="0"/>
        <v>100.6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4"/>
  <sheetViews>
    <sheetView workbookViewId="0">
      <selection activeCell="C29" sqref="C2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136" t="s">
        <v>29</v>
      </c>
      <c r="C30" s="137"/>
      <c r="D30" s="137"/>
      <c r="E30" s="137"/>
      <c r="F30" s="137"/>
      <c r="G30" s="138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2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3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4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5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6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7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8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9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10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A41" s="44"/>
      <c r="B41" s="39"/>
      <c r="C41" s="44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A42" s="44"/>
      <c r="B42" s="39"/>
      <c r="C42" s="44"/>
      <c r="D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5.75" customHeight="1" x14ac:dyDescent="0.25"/>
    <row r="44" spans="1:16" ht="15.75" customHeight="1" x14ac:dyDescent="0.25"/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0:G3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30</xdr:row>
                    <xdr:rowOff>28575</xdr:rowOff>
                  </from>
                  <to>
                    <xdr:col>1</xdr:col>
                    <xdr:colOff>771525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30</xdr:row>
                    <xdr:rowOff>28575</xdr:rowOff>
                  </from>
                  <to>
                    <xdr:col>1</xdr:col>
                    <xdr:colOff>1543050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480</v>
      </c>
      <c r="H13" s="55"/>
      <c r="I13" s="55"/>
      <c r="J13" s="55"/>
      <c r="K13" s="55"/>
      <c r="L13" s="55"/>
      <c r="M13" s="55"/>
      <c r="N13" s="55"/>
      <c r="P13" s="88">
        <f>SUM(D13:N13)</f>
        <v>495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480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2018-06-02T01:04:43Z</dcterms:modified>
</cp:coreProperties>
</file>