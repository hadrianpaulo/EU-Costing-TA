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Drugs&amp;Med'!$C$11:$C$14</definedName>
    <definedName name="_xlnm.Print_Area" localSheetId="0">'1.1 Case data_general'!$B$1:$F$69</definedName>
    <definedName name="_xlnm.Print_Area" localSheetId="1">'1.2 Drugs&amp;Med'!$B$2:$J$15</definedName>
  </definedNames>
  <calcPr calcId="145621"/>
</workbook>
</file>

<file path=xl/calcChain.xml><?xml version="1.0" encoding="utf-8"?>
<calcChain xmlns="http://schemas.openxmlformats.org/spreadsheetml/2006/main">
  <c r="J12" i="2" l="1"/>
  <c r="J13" i="2"/>
  <c r="J14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<sst xmlns="http://schemas.openxmlformats.org/spreadsheetml/2006/main" count="469" uniqueCount="182">
  <si>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</si>
  <si>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</si>
  <si>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</si>
  <si>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</si>
  <si>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</si>
  <si>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</si>
  <si>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</si>
  <si>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</si>
  <si>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</si>
  <si>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</si>
  <si>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</si>
  <si>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</si>
  <si>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</si>
  <si>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</si>
  <si>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</si>
  <si>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</si>
  <si>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</si>
  <si>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</si>
  <si>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</si>
  <si>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</si>
  <si>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</si>
  <si>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</si>
  <si>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</si>
  <si>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</si>
  <si>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</si>
  <si>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</si>
  <si>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</si>
  <si>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</si>
  <si>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</si>
  <si>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</si>
  <si>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</si>
  <si>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</si>
  <si>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</si>
  <si>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</si>
  <si>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</si>
  <si>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</si>
  <si>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</si>
  <si>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</si>
  <si>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</si>
  <si>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</si>
  <si>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</si>
  <si>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</si>
  <si>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</si>
  <si>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</si>
  <si>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</si>
  <si>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</si>
  <si>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</si>
  <si>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</si>
  <si>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</si>
  <si>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</si>
  <si>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</si>
  <si>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</si>
  <si>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</si>
  <si>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</si>
  <si>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</si>
  <si>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</si>
  <si>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</si>
  <si>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</si>
  <si>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</si>
  <si>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</si>
  <si>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</si>
  <si>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</si>
  <si>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</si>
  <si>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</si>
  <si>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</si>
  <si>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</si>
  <si>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</si>
  <si>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</si>
  <si>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</si>
  <si>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</si>
  <si>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</si>
  <si>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</si>
  <si>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</si>
  <si>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</si>
  <si>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</si>
  <si>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</si>
  <si>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</si>
  <si>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</si>
  <si>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</si>
  <si>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</si>
  <si>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</si>
  <si>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</si>
  <si>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</si>
  <si>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</si>
  <si>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</si>
  <si>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</si>
  <si>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</si>
  <si>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</si>
  <si>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</si>
  <si>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</si>
  <si>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</si>
  <si>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</si>
  <si>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</si>
  <si>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</si>
  <si>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</si>
  <si>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</si>
  <si>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</si>
  <si>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</si>
  <si>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</si>
  <si>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</si>
  <si>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</si>
  <si>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</si>
  <si>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</si>
  <si>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</si>
  <si>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</si>
  <si>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</si>
  <si>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</si>
  <si>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</si>
  <si>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</si>
  <si>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</si>
  <si>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</si>
  <si>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</si>
  <si>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</si>
  <si>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</si>
  <si>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</si>
  <si>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</si>
  <si>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</si>
  <si>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</si>
  <si>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</si>
  <si>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</si>
  <si>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</si>
  <si>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</si>
  <si>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</si>
  <si>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</si>
  <si>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</si>
  <si>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</si>
  <si>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</si>
  <si>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</si>
  <si>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</si>
  <si>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</si>
  <si>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</si>
  <si>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</si>
  <si>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</si>
  <si>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</si>
  <si>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</si>
  <si>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</si>
  <si>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</si>
  <si>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</si>
  <si>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</si>
  <si>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</si>
  <si>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</si>
  <si>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</si>
  <si>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</si>
  <si>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</si>
  <si>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</si>
  <si>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</si>
  <si>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</si>
  <si>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</si>
  <si>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</si>
  <si>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</si>
  <si>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</si>
  <si>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</si>
  <si>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</si>
  <si>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</si>
  <si>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</si>
  <si>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</si>
  <si>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</si>
  <si>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</si>
  <si>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</si>
  <si>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</si>
  <si>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</si>
  <si>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</si>
  <si>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</si>
  <si>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</si>
  <si>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</si>
  <si>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RH TYPING</t>
  </si>
  <si>
    <t>MEDICINES</t>
  </si>
  <si>
    <t>LABORATORY</t>
  </si>
  <si>
    <t>AMPULE</t>
  </si>
  <si>
    <t>CBC PLATELET COUNT</t>
  </si>
  <si>
    <t>Z38.0</t>
  </si>
  <si>
    <t>CREDES PROPHYLAXIS</t>
  </si>
  <si>
    <t>VITAMIN K</t>
  </si>
  <si>
    <t>HEPA B</t>
  </si>
  <si>
    <t>BCG</t>
  </si>
  <si>
    <t>TUBE</t>
  </si>
  <si>
    <t>VIAL</t>
  </si>
  <si>
    <t>0.1CC</t>
  </si>
  <si>
    <t>0.5CC</t>
  </si>
  <si>
    <t>0.05CC</t>
  </si>
  <si>
    <t>NBS</t>
  </si>
  <si>
    <t>NEWBORN CARE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</si>
</sst>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51" zoomScaleNormal="100" workbookViewId="0">
      <selection activeCell="C60" sqref="C6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181</v>
      </c>
      <c r="E23" s="55"/>
      <c r="F23" s="55">
        <v>0.25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165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164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44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45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53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164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164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55</v>
      </c>
      <c r="C57" s="17" t="s">
        <v>51</v>
      </c>
      <c r="D57" s="17" t="s">
        <v>56</v>
      </c>
      <c r="E57" s="18" t="s">
        <v>57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450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600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1050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D58:F6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5"/>
  <sheetViews>
    <sheetView workbookViewId="0">
      <selection activeCell="C22" sqref="C2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NBS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4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171</v>
      </c>
      <c r="D11" s="27" t="s">
        <v>175</v>
      </c>
      <c r="E11" s="27"/>
      <c r="F11" s="55">
        <v>1</v>
      </c>
      <c r="G11" s="55">
        <v>1</v>
      </c>
      <c r="H11" s="55">
        <v>1</v>
      </c>
      <c r="I11" s="55">
        <v>100.6</v>
      </c>
      <c r="J11" s="55">
        <f>H11*I11</f>
        <v>100.6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172</v>
      </c>
      <c r="D12" s="27" t="s">
        <v>168</v>
      </c>
      <c r="E12" s="27" t="s">
        <v>177</v>
      </c>
      <c r="F12" s="55">
        <v>1</v>
      </c>
      <c r="G12" s="55">
        <v>1</v>
      </c>
      <c r="H12" s="55">
        <v>1</v>
      </c>
      <c r="I12" s="55">
        <v>100</v>
      </c>
      <c r="J12" s="55">
        <f t="shared" ref="J12:J14" si="0">H12*I12</f>
        <v>100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173</v>
      </c>
      <c r="D13" s="27" t="s">
        <v>168</v>
      </c>
      <c r="E13" s="27" t="s">
        <v>178</v>
      </c>
      <c r="F13" s="55">
        <v>1</v>
      </c>
      <c r="G13" s="55">
        <v>1</v>
      </c>
      <c r="H13" s="55">
        <v>1</v>
      </c>
      <c r="I13" s="55">
        <v>100</v>
      </c>
      <c r="J13" s="55">
        <f t="shared" si="0"/>
        <v>100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174</v>
      </c>
      <c r="D14" s="27" t="s">
        <v>176</v>
      </c>
      <c r="E14" s="27" t="s">
        <v>179</v>
      </c>
      <c r="F14" s="55">
        <v>1</v>
      </c>
      <c r="G14" s="55">
        <v>1</v>
      </c>
      <c r="H14" s="55">
        <v>1</v>
      </c>
      <c r="I14" s="55">
        <v>149.4</v>
      </c>
      <c r="J14" s="55">
        <f t="shared" si="0"/>
        <v>149.4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25">
      <c r="A15" s="33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</row>
    <row r="16" spans="1:20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4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B28" sqref="B2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H13" sqref="H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15</v>
      </c>
      <c r="F13" s="55"/>
      <c r="G13" s="55">
        <v>360</v>
      </c>
      <c r="H13" s="55"/>
      <c r="I13" s="55"/>
      <c r="J13" s="55"/>
      <c r="K13" s="55"/>
      <c r="L13" s="55"/>
      <c r="M13" s="55"/>
      <c r="N13" s="55"/>
      <c r="P13" s="88">
        <f>SUM(D13:N13)</f>
        <v>375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15</v>
      </c>
      <c r="F30" s="88">
        <f t="shared" si="1"/>
        <v>0</v>
      </c>
      <c r="G30" s="88">
        <f t="shared" si="1"/>
        <v>360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375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2018-06-01T10:06:28Z</dcterms:modified>
</cp:coreProperties>
</file>