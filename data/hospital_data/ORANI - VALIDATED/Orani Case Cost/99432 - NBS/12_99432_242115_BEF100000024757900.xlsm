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data_general'!$B$1:$F$68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4" i="2" l="1"/>
  <c r="J13" i="2"/>
  <c r="J12" i="2"/>
  <c r="J11" i="2"/>
  <c r="J20" i="2" l="1"/>
  <c r="J19" i="2"/>
  <c r="G17" i="9" l="1"/>
  <c r="G18" i="9"/>
  <c r="G19" i="9"/>
  <c r="G20" i="9"/>
  <c r="G21" i="9"/>
  <c r="G22" i="9"/>
  <c r="G23" i="9"/>
  <c r="G24" i="9"/>
  <c r="G16" i="9"/>
  <c r="J15" i="2" l="1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<sst xmlns="http://schemas.openxmlformats.org/spreadsheetml/2006/main" count="468" uniqueCount="181">
  <si>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</si>
  <si>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</si>
  <si>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</si>
  <si>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</si>
  <si>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</si>
  <si>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</si>
  <si>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</si>
  <si>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</si>
  <si>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</si>
  <si>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</si>
  <si>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</si>
  <si>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</si>
  <si>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</si>
  <si>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</si>
  <si>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</si>
  <si>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</si>
  <si>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</si>
  <si>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</si>
  <si>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</si>
  <si>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</si>
  <si>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</si>
  <si>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</si>
  <si>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</si>
  <si>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</si>
  <si>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</si>
  <si>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</si>
  <si>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</si>
  <si>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</si>
  <si>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</si>
  <si>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</si>
  <si>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</si>
  <si>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</si>
  <si>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</si>
  <si>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</si>
  <si>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</si>
  <si>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</si>
  <si>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</si>
  <si>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</si>
  <si>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</si>
  <si>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</si>
  <si>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</si>
  <si>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</si>
  <si>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</si>
  <si>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</si>
  <si>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</si>
  <si>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</si>
  <si>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</si>
  <si>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</si>
  <si>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</si>
  <si>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</si>
  <si>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</si>
  <si>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</si>
  <si>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</si>
  <si>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</si>
  <si>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</si>
  <si>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</si>
  <si>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</si>
  <si>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</si>
  <si>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</si>
  <si>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</si>
  <si>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</si>
  <si>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</si>
  <si>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</si>
  <si>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</si>
  <si>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</si>
  <si>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</si>
  <si>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</si>
  <si>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</si>
  <si>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</si>
  <si>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</si>
  <si>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</si>
  <si>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</si>
  <si>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</si>
  <si>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</si>
  <si>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</si>
  <si>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</si>
  <si>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</si>
  <si>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</si>
  <si>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</si>
  <si>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</si>
  <si>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</si>
  <si>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</si>
  <si>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</si>
  <si>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</si>
  <si>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</si>
  <si>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</si>
  <si>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</si>
  <si>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</si>
  <si>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</si>
  <si>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</si>
  <si>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</si>
  <si>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</si>
  <si>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</si>
  <si>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</si>
  <si>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</si>
  <si>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</si>
  <si>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</si>
  <si>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</si>
  <si>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</si>
  <si>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</si>
  <si>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</si>
  <si>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</si>
  <si>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</si>
  <si>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</si>
  <si>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</si>
  <si>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</si>
  <si>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</si>
  <si>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</si>
  <si>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</si>
  <si>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</si>
  <si>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</si>
  <si>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</si>
  <si>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</si>
  <si>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</si>
  <si>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</si>
  <si>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</si>
  <si>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</si>
  <si>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</si>
  <si>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</si>
  <si>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</si>
  <si>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</si>
  <si>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</si>
  <si>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</si>
  <si>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</si>
  <si>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</si>
  <si>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</si>
  <si>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</si>
  <si>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</si>
  <si>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</si>
  <si>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</si>
  <si>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</si>
  <si>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</si>
  <si>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</si>
  <si>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</si>
  <si>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</si>
  <si>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</si>
  <si>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</si>
  <si>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</si>
  <si>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</si>
  <si>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</si>
  <si>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</si>
  <si>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</si>
  <si>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</si>
  <si>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</si>
  <si>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</si>
  <si>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</si>
  <si>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</si>
  <si>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</si>
  <si>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</si>
  <si>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</si>
  <si>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</si>
  <si>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</si>
  <si>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</si>
  <si>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</si>
  <si>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</si>
  <si>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</si>
  <si>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</si>
  <si>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</si>
  <si>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</si>
  <si>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</si>
  <si>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</si>
  <si>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</si>
  <si>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</si>
  <si>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</si>
  <si>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</si>
  <si>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</si>
  <si>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</si>
  <si>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AMPULE</t>
  </si>
  <si>
    <t>Z38.0</t>
  </si>
  <si>
    <t>NEWBORN SCREENING</t>
  </si>
  <si>
    <t>CREDES PROPHYLAXIS</t>
  </si>
  <si>
    <t>VITAMIN K</t>
  </si>
  <si>
    <t>HEPA B</t>
  </si>
  <si>
    <t>BCG</t>
  </si>
  <si>
    <t>TUBE</t>
  </si>
  <si>
    <t>VIAL</t>
  </si>
  <si>
    <t>NBS</t>
  </si>
  <si>
    <t>NEWBORN CARE</t>
  </si>
  <si>
    <t>0.1CC</t>
  </si>
  <si>
    <t>0.05CC</t>
  </si>
  <si>
    <t>0.5CC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</si>
</sst>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51" zoomScaleNormal="100" workbookViewId="0">
      <selection activeCell="C59" sqref="C59:C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177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C31" sqref="C3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174</v>
      </c>
      <c r="E11" s="27"/>
      <c r="F11" s="55">
        <v>1</v>
      </c>
      <c r="G11" s="55">
        <v>1</v>
      </c>
      <c r="H11" s="55">
        <v>1</v>
      </c>
      <c r="I11" s="55">
        <v>100.6</v>
      </c>
      <c r="J11" s="55">
        <f>H11*I11</f>
        <v>100.6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167</v>
      </c>
      <c r="E12" s="27" t="s">
        <v>178</v>
      </c>
      <c r="F12" s="55">
        <v>1</v>
      </c>
      <c r="G12" s="55">
        <v>1</v>
      </c>
      <c r="H12" s="55">
        <v>1</v>
      </c>
      <c r="I12" s="55">
        <v>100</v>
      </c>
      <c r="J12" s="55">
        <f t="shared" ref="J12:J14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173</v>
      </c>
      <c r="D13" s="27" t="s">
        <v>175</v>
      </c>
      <c r="E13" s="27" t="s">
        <v>179</v>
      </c>
      <c r="F13" s="55">
        <v>1</v>
      </c>
      <c r="G13" s="55">
        <v>1</v>
      </c>
      <c r="H13" s="55">
        <v>1</v>
      </c>
      <c r="I13" s="55">
        <v>149.4</v>
      </c>
      <c r="J13" s="55">
        <f t="shared" si="0"/>
        <v>149.4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172</v>
      </c>
      <c r="D14" s="27" t="s">
        <v>167</v>
      </c>
      <c r="E14" s="27" t="s">
        <v>180</v>
      </c>
      <c r="F14" s="55">
        <v>1</v>
      </c>
      <c r="G14" s="55">
        <v>1</v>
      </c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ref="J15:J20" si="1">H15*I15</f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1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1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1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1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1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C16" sqref="C1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>
        <f>E16*F16</f>
        <v>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>
        <f t="shared" ref="G17:G24" si="0"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 t="shared" si="0"/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K13" sqref="K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255</v>
      </c>
      <c r="H13" s="55"/>
      <c r="I13" s="55"/>
      <c r="J13" s="55"/>
      <c r="K13" s="55"/>
      <c r="L13" s="55"/>
      <c r="M13" s="55"/>
      <c r="N13" s="55"/>
      <c r="P13" s="88">
        <f>SUM(D13:N13)</f>
        <v>270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255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2018-06-02T00:55:45Z</dcterms:modified>
</cp:coreProperties>
</file>