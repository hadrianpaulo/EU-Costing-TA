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data_general'!$B$1:$F$68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J12" i="2" l="1"/>
  <c r="J13" i="2"/>
  <c r="J14" i="2"/>
  <c r="J15" i="2"/>
  <c r="J16" i="2"/>
  <c r="J17" i="2"/>
  <c r="J18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8" i="1"/>
  <c r="E68" i="1"/>
  <c r="D68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<sst xmlns="http://schemas.openxmlformats.org/spreadsheetml/2006/main" count="468" uniqueCount="181">
  <si>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</si>
  <si>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</si>
  <si>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</si>
  <si>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</si>
  <si>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</si>
  <si>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</si>
  <si>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</si>
  <si>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</si>
  <si>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</si>
  <si>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</si>
  <si>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</si>
  <si>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</si>
  <si>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</si>
  <si>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</si>
  <si>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</si>
  <si>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</si>
  <si>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</si>
  <si>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</si>
  <si>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</si>
  <si>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</si>
  <si>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</si>
  <si>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</si>
  <si>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</si>
  <si>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</si>
  <si>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</si>
  <si>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</si>
  <si>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</si>
  <si>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</si>
  <si>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</si>
  <si>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</si>
  <si>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</si>
  <si>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</si>
  <si>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</si>
  <si>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</si>
  <si>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</si>
  <si>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</si>
  <si>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</si>
  <si>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</si>
  <si>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</si>
  <si>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</si>
  <si>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</si>
  <si>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</si>
  <si>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</si>
  <si>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</si>
  <si>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</si>
  <si>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</si>
  <si>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</si>
  <si>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</si>
  <si>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</si>
  <si>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</si>
  <si>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</si>
  <si>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</si>
  <si>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</si>
  <si>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</si>
  <si>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</si>
  <si>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</si>
  <si>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</si>
  <si>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</si>
  <si>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</si>
  <si>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</si>
  <si>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</si>
  <si>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</si>
  <si>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</si>
  <si>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</si>
  <si>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</si>
  <si>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</si>
  <si>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</si>
  <si>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</si>
  <si>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</si>
  <si>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</si>
  <si>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</si>
  <si>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</si>
  <si>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</si>
  <si>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</si>
  <si>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</si>
  <si>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</si>
  <si>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</si>
  <si>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</si>
  <si>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</si>
  <si>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</si>
  <si>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</si>
  <si>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</si>
  <si>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</si>
  <si>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</si>
  <si>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</si>
  <si>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</si>
  <si>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</si>
  <si>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</si>
  <si>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</si>
  <si>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</si>
  <si>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</si>
  <si>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</si>
  <si>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</si>
  <si>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</si>
  <si>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</si>
  <si>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</si>
  <si>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</si>
  <si>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</si>
  <si>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</si>
  <si>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</si>
  <si>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</si>
  <si>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</si>
  <si>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</si>
  <si>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</si>
  <si>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</si>
  <si>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</si>
  <si>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</si>
  <si>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</si>
  <si>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</si>
  <si>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</si>
  <si>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</si>
  <si>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</si>
  <si>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</si>
  <si>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</si>
  <si>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</si>
  <si>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</si>
  <si>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</si>
  <si>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</si>
  <si>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</si>
  <si>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</si>
  <si>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</si>
  <si>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</si>
  <si>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</si>
  <si>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</si>
  <si>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</si>
  <si>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</si>
  <si>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</si>
  <si>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</si>
  <si>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</si>
  <si>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</si>
  <si>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</si>
  <si>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</si>
  <si>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</si>
  <si>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</si>
  <si>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</si>
  <si>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</si>
  <si>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</si>
  <si>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</si>
  <si>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</si>
  <si>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</si>
  <si>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</si>
  <si>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</si>
  <si>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</si>
  <si>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</si>
  <si>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</si>
  <si>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</si>
  <si>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</si>
  <si>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</si>
  <si>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</si>
  <si>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</si>
  <si>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</si>
  <si>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</si>
  <si>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</si>
  <si>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</si>
  <si>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</si>
  <si>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</si>
  <si>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</si>
  <si>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</si>
  <si>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</si>
  <si>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</si>
  <si>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</si>
  <si>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</si>
  <si>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</si>
  <si>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</si>
  <si>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</si>
  <si>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</si>
  <si>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</si>
  <si>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AMPULE</t>
  </si>
  <si>
    <t>Z38.0</t>
  </si>
  <si>
    <t>NEWBORN SCREENING</t>
  </si>
  <si>
    <t>CREDES PROPHYLAXIS</t>
  </si>
  <si>
    <t>VITAMIN K</t>
  </si>
  <si>
    <t>HEPA B</t>
  </si>
  <si>
    <t>TUBE</t>
  </si>
  <si>
    <t>VIAL</t>
  </si>
  <si>
    <t>BCG</t>
  </si>
  <si>
    <t>0.1CC</t>
  </si>
  <si>
    <t>0.5CC</t>
  </si>
  <si>
    <t>0.05CC</t>
  </si>
  <si>
    <t>NBS</t>
  </si>
  <si>
    <t>NEWBORN CARE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</si>
</sst>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35</xdr:row>
          <xdr:rowOff>19050</xdr:rowOff>
        </xdr:from>
        <xdr:to>
          <xdr:col>1</xdr:col>
          <xdr:colOff>733425</xdr:colOff>
          <xdr:row>35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35</xdr:row>
          <xdr:rowOff>19050</xdr:rowOff>
        </xdr:from>
        <xdr:to>
          <xdr:col>1</xdr:col>
          <xdr:colOff>1504950</xdr:colOff>
          <xdr:row>35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56</xdr:row>
          <xdr:rowOff>19050</xdr:rowOff>
        </xdr:from>
        <xdr:to>
          <xdr:col>1</xdr:col>
          <xdr:colOff>733425</xdr:colOff>
          <xdr:row>56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56</xdr:row>
          <xdr:rowOff>19050</xdr:rowOff>
        </xdr:from>
        <xdr:to>
          <xdr:col>1</xdr:col>
          <xdr:colOff>1504950</xdr:colOff>
          <xdr:row>56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5"/>
  <sheetViews>
    <sheetView topLeftCell="A48" zoomScaleNormal="100" workbookViewId="0">
      <selection activeCell="C59" sqref="C59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179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1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168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99432</v>
      </c>
      <c r="D23" s="29" t="s">
        <v>180</v>
      </c>
      <c r="E23" s="55"/>
      <c r="F23" s="55">
        <v>0.25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141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1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169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thickBot="1" x14ac:dyDescent="0.35">
      <c r="A35" s="1"/>
      <c r="B35" s="118" t="s">
        <v>19</v>
      </c>
      <c r="C35" s="119"/>
      <c r="D35" s="116"/>
      <c r="E35" s="119"/>
      <c r="F35" s="117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1</v>
      </c>
      <c r="C36" s="27" t="s">
        <v>164</v>
      </c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2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3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4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18" t="s">
        <v>44</v>
      </c>
      <c r="C40" s="119"/>
      <c r="D40" s="116"/>
      <c r="E40" s="119"/>
      <c r="F40" s="117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14" t="s">
        <v>45</v>
      </c>
      <c r="C41" s="13"/>
      <c r="D41" s="13"/>
      <c r="E41" s="16"/>
      <c r="F41" s="13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5" t="s">
        <v>53</v>
      </c>
      <c r="C42" s="116"/>
      <c r="D42" s="116"/>
      <c r="E42" s="116"/>
      <c r="F42" s="11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20"/>
      <c r="B43" s="30">
        <v>1</v>
      </c>
      <c r="C43" s="31" t="s">
        <v>164</v>
      </c>
      <c r="D43" s="32"/>
      <c r="E43" s="57"/>
      <c r="F43" s="5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2</v>
      </c>
      <c r="C44" s="31"/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26">
        <v>3</v>
      </c>
      <c r="C45" s="27"/>
      <c r="D45" s="28"/>
      <c r="E45" s="55"/>
      <c r="F45" s="55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4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5" t="s">
        <v>20</v>
      </c>
      <c r="C47" s="116"/>
      <c r="D47" s="116"/>
      <c r="E47" s="116"/>
      <c r="F47" s="11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1</v>
      </c>
      <c r="C48" s="27" t="s">
        <v>164</v>
      </c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2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3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4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5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6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5"/>
      <c r="C54" s="25"/>
      <c r="D54" s="25"/>
      <c r="E54" s="25"/>
      <c r="F54" s="2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57.75" customHeight="1" thickBot="1" x14ac:dyDescent="0.35">
      <c r="A56" s="1"/>
      <c r="B56" s="17" t="s">
        <v>55</v>
      </c>
      <c r="C56" s="17" t="s">
        <v>51</v>
      </c>
      <c r="D56" s="17" t="s">
        <v>56</v>
      </c>
      <c r="E56" s="18" t="s">
        <v>57</v>
      </c>
      <c r="F56" s="19" t="s">
        <v>21</v>
      </c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2">
        <v>1</v>
      </c>
      <c r="C57" s="27" t="s">
        <v>165</v>
      </c>
      <c r="D57" s="55">
        <v>450</v>
      </c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0">
        <v>2</v>
      </c>
      <c r="C58" s="27" t="s">
        <v>166</v>
      </c>
      <c r="D58" s="55">
        <v>600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3</v>
      </c>
      <c r="C59" s="27"/>
      <c r="D59" s="55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4</v>
      </c>
      <c r="C60" s="27"/>
      <c r="D60" s="55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5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6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7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8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9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10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4.9000000000000004" customHeight="1" thickBot="1" x14ac:dyDescent="0.35">
      <c r="A67" s="1"/>
      <c r="B67" s="1"/>
      <c r="C67" s="1"/>
      <c r="D67" s="58"/>
      <c r="E67" s="58"/>
      <c r="F67" s="58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thickTop="1" x14ac:dyDescent="0.3">
      <c r="A68" s="1"/>
      <c r="B68" s="11"/>
      <c r="C68" s="4" t="s">
        <v>22</v>
      </c>
      <c r="D68" s="59">
        <f>SUM(D57:D67)</f>
        <v>1050</v>
      </c>
      <c r="E68" s="59">
        <f>SUM(E57:E67)</f>
        <v>0</v>
      </c>
      <c r="F68" s="59">
        <f>SUM(F57:F67)</f>
        <v>0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</sheetData>
  <sheetProtection password="C2E9" sheet="1" objects="1" scenarios="1" formatColumns="0" formatRows="0" sort="0" autoFilter="0"/>
  <mergeCells count="12">
    <mergeCell ref="B47:F47"/>
    <mergeCell ref="B40:F40"/>
    <mergeCell ref="B12:F12"/>
    <mergeCell ref="B13:F13"/>
    <mergeCell ref="B14:F14"/>
    <mergeCell ref="B15:F15"/>
    <mergeCell ref="B18:F18"/>
    <mergeCell ref="B22:F22"/>
    <mergeCell ref="B33:F33"/>
    <mergeCell ref="B28:F28"/>
    <mergeCell ref="B35:F35"/>
    <mergeCell ref="B42:F42"/>
  </mergeCells>
  <dataValidations count="1">
    <dataValidation type="decimal" operator="greaterThanOrEqual" allowBlank="1" showInputMessage="1" showErrorMessage="1" sqref="E32 E36:E39 E41 E23:F27 E43:F46 E48:F53 D57:F66 E34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5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35</xdr:row>
                    <xdr:rowOff>19050</xdr:rowOff>
                  </from>
                  <to>
                    <xdr:col>1</xdr:col>
                    <xdr:colOff>733425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35</xdr:row>
                    <xdr:rowOff>19050</xdr:rowOff>
                  </from>
                  <to>
                    <xdr:col>1</xdr:col>
                    <xdr:colOff>1504950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56</xdr:row>
                    <xdr:rowOff>19050</xdr:rowOff>
                  </from>
                  <to>
                    <xdr:col>1</xdr:col>
                    <xdr:colOff>733425</xdr:colOff>
                    <xdr:row>56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56</xdr:row>
                    <xdr:rowOff>19050</xdr:rowOff>
                  </from>
                  <to>
                    <xdr:col>1</xdr:col>
                    <xdr:colOff>1504950</xdr:colOff>
                    <xdr:row>56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I15" sqref="I15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NBS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170</v>
      </c>
      <c r="D11" s="27" t="s">
        <v>173</v>
      </c>
      <c r="E11" s="27"/>
      <c r="F11" s="55">
        <v>1</v>
      </c>
      <c r="G11" s="55">
        <v>1</v>
      </c>
      <c r="H11" s="55">
        <v>1</v>
      </c>
      <c r="I11" s="55">
        <v>100.6</v>
      </c>
      <c r="J11" s="55">
        <f>H11*I11</f>
        <v>100.6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171</v>
      </c>
      <c r="D12" s="27" t="s">
        <v>167</v>
      </c>
      <c r="E12" s="27" t="s">
        <v>176</v>
      </c>
      <c r="F12" s="55">
        <v>1</v>
      </c>
      <c r="G12" s="55">
        <v>1</v>
      </c>
      <c r="H12" s="55">
        <v>1</v>
      </c>
      <c r="I12" s="55">
        <v>100</v>
      </c>
      <c r="J12" s="55">
        <f t="shared" ref="J12:J18" si="0">H12*I12</f>
        <v>100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172</v>
      </c>
      <c r="D13" s="27" t="s">
        <v>167</v>
      </c>
      <c r="E13" s="27" t="s">
        <v>177</v>
      </c>
      <c r="F13" s="55">
        <v>1</v>
      </c>
      <c r="G13" s="55">
        <v>1</v>
      </c>
      <c r="H13" s="55">
        <v>1</v>
      </c>
      <c r="I13" s="55">
        <v>100</v>
      </c>
      <c r="J13" s="55">
        <f t="shared" si="0"/>
        <v>100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175</v>
      </c>
      <c r="D14" s="27" t="s">
        <v>174</v>
      </c>
      <c r="E14" s="27" t="s">
        <v>178</v>
      </c>
      <c r="F14" s="55">
        <v>1</v>
      </c>
      <c r="G14" s="55">
        <v>1</v>
      </c>
      <c r="H14" s="55">
        <v>1</v>
      </c>
      <c r="I14" s="55">
        <v>149.4</v>
      </c>
      <c r="J14" s="55">
        <f t="shared" si="0"/>
        <v>149.4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3" workbookViewId="0">
      <selection activeCell="C28" sqref="C28:F30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NBS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workbookViewId="0">
      <selection activeCell="H14" sqref="H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NBS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15</v>
      </c>
      <c r="F13" s="55"/>
      <c r="G13" s="55">
        <v>360</v>
      </c>
      <c r="H13" s="55"/>
      <c r="I13" s="55"/>
      <c r="J13" s="55"/>
      <c r="K13" s="55"/>
      <c r="L13" s="55"/>
      <c r="M13" s="55"/>
      <c r="N13" s="55"/>
      <c r="P13" s="88">
        <f>SUM(D13:N13)</f>
        <v>375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15</v>
      </c>
      <c r="F30" s="88">
        <f t="shared" si="1"/>
        <v>0</v>
      </c>
      <c r="G30" s="88">
        <f t="shared" si="1"/>
        <v>360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375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2018-06-01T10:08:22Z</dcterms:modified>
</cp:coreProperties>
</file>