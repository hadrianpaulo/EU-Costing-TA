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C:\Users\julienne\Desktop\ORANI - VALIDATED\"/>
    </mc:Choice>
  </mc:AlternateContent>
  <xr:revisionPtr revIDLastSave="0" documentId="8_{92418EAB-0806-4B1B-B7BD-53C12BCB58A7}" xr6:coauthVersionLast="33" xr6:coauthVersionMax="33" xr10:uidLastSave="{00000000-0000-0000-0000-000000000000}"/>
  <workbookProtection workbookAlgorithmName="SHA-512" workbookHashValue="pkNjBuPwykpDM814fbzRp6A5MIV0YB8G/G+FdjMuEHGngiEqiivyYMIWne/kKqwqW2ydJnoEjQEgI6Lw7ffMbA==" workbookSaltValue="DNU3A3C7J/vBMsOVYm1yAQ==" workbookSpinCount="100000" lockStructure="1"/>
  <bookViews>
    <workbookView xWindow="0" yWindow="0" windowWidth="15530" windowHeight="7050" xr2:uid="{00000000-000D-0000-FFFF-FFFF00000000}"/>
  </bookViews>
  <sheets>
    <sheet name="10.1 Payroll" sheetId="1" r:id="rId1"/>
    <sheet name="10.2 Revenue&amp;Expenditure" sheetId="2" r:id="rId2"/>
    <sheet name="SelectDept" sheetId="5" state="hidden" r:id="rId3"/>
    <sheet name="Level I_Departments" sheetId="6" state="hidden" r:id="rId4"/>
    <sheet name="Level IIandIII_Departments" sheetId="7" state="hidden" r:id="rId5"/>
  </sheets>
  <definedNames>
    <definedName name="_xlnm._FilterDatabase" localSheetId="0" hidden="1">'10.1 Payroll'!$C$14:$AK$142</definedName>
  </definedNames>
  <calcPr calcId="179017"/>
</workbook>
</file>

<file path=xl/calcChain.xml><?xml version="1.0" encoding="utf-8"?>
<calcChain xmlns="http://schemas.openxmlformats.org/spreadsheetml/2006/main">
  <c r="AK93" i="1" l="1"/>
  <c r="AK92" i="1"/>
  <c r="C34" i="2" l="1"/>
  <c r="B56" i="5" l="1"/>
  <c r="B57" i="5"/>
  <c r="B58" i="5"/>
  <c r="B59" i="5"/>
  <c r="B60" i="5"/>
  <c r="B61" i="5"/>
  <c r="B62" i="5"/>
  <c r="B63" i="5"/>
  <c r="B64" i="5"/>
  <c r="B65" i="5"/>
  <c r="B66" i="5"/>
  <c r="B67" i="5"/>
  <c r="C4" i="7" l="1"/>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4" i="6"/>
  <c r="B2" i="5" s="1"/>
  <c r="C5" i="6"/>
  <c r="B3" i="5" s="1"/>
  <c r="C6" i="6"/>
  <c r="B4" i="5" s="1"/>
  <c r="C7" i="6"/>
  <c r="B5" i="5" s="1"/>
  <c r="C8" i="6"/>
  <c r="B6" i="5" s="1"/>
  <c r="C9" i="6"/>
  <c r="B7" i="5" s="1"/>
  <c r="C10" i="6"/>
  <c r="B8" i="5" s="1"/>
  <c r="C11" i="6"/>
  <c r="B9" i="5" s="1"/>
  <c r="C12" i="6"/>
  <c r="B10" i="5" s="1"/>
  <c r="C13" i="6"/>
  <c r="B11" i="5" s="1"/>
  <c r="C14" i="6"/>
  <c r="B12" i="5" s="1"/>
  <c r="C15" i="6"/>
  <c r="B13" i="5" s="1"/>
  <c r="C16" i="6"/>
  <c r="B14" i="5" s="1"/>
  <c r="C17" i="6"/>
  <c r="B15" i="5" s="1"/>
  <c r="C18" i="6"/>
  <c r="B16" i="5" s="1"/>
  <c r="C19" i="6"/>
  <c r="B17" i="5" s="1"/>
  <c r="C20" i="6"/>
  <c r="B18" i="5" s="1"/>
  <c r="C21" i="6"/>
  <c r="B19" i="5" s="1"/>
  <c r="C22" i="6"/>
  <c r="B20" i="5" s="1"/>
  <c r="C23" i="6"/>
  <c r="B21" i="5" s="1"/>
  <c r="C24" i="6"/>
  <c r="B22" i="5" s="1"/>
  <c r="C25" i="6"/>
  <c r="B23" i="5" s="1"/>
  <c r="C26" i="6"/>
  <c r="B24" i="5" s="1"/>
  <c r="C27" i="6"/>
  <c r="B25" i="5" s="1"/>
  <c r="C28" i="6"/>
  <c r="B26" i="5" s="1"/>
  <c r="C29" i="6"/>
  <c r="B27" i="5" s="1"/>
  <c r="C30" i="6"/>
  <c r="B28" i="5" s="1"/>
  <c r="C31" i="6"/>
  <c r="B29" i="5" s="1"/>
  <c r="C32" i="6"/>
  <c r="B30" i="5" s="1"/>
  <c r="C33" i="6"/>
  <c r="B31" i="5" s="1"/>
  <c r="C34" i="6"/>
  <c r="B32" i="5" s="1"/>
  <c r="C35" i="6"/>
  <c r="B33" i="5" s="1"/>
  <c r="C36" i="6"/>
  <c r="B34" i="5" s="1"/>
  <c r="C37" i="6"/>
  <c r="B35" i="5" s="1"/>
  <c r="C38" i="6"/>
  <c r="B36" i="5" s="1"/>
  <c r="C39" i="6"/>
  <c r="B37" i="5" s="1"/>
  <c r="C40" i="6"/>
  <c r="B38" i="5" s="1"/>
  <c r="C41" i="6"/>
  <c r="B39" i="5" s="1"/>
  <c r="C42" i="6"/>
  <c r="B40" i="5" s="1"/>
  <c r="C43" i="6"/>
  <c r="B41" i="5" s="1"/>
  <c r="C44" i="6"/>
  <c r="B42" i="5" s="1"/>
  <c r="C45" i="6"/>
  <c r="B43" i="5" s="1"/>
  <c r="C46" i="6"/>
  <c r="B44" i="5" s="1"/>
  <c r="C47" i="6"/>
  <c r="B45" i="5" s="1"/>
  <c r="C48" i="6"/>
  <c r="B46" i="5" s="1"/>
  <c r="C49" i="6"/>
  <c r="B47" i="5" s="1"/>
  <c r="C50" i="6"/>
  <c r="B48" i="5" s="1"/>
  <c r="C51" i="6"/>
  <c r="B49" i="5" s="1"/>
  <c r="C52" i="6"/>
  <c r="B50" i="5" s="1"/>
  <c r="C53" i="6"/>
  <c r="B51" i="5" s="1"/>
  <c r="C54" i="6"/>
  <c r="B52" i="5" s="1"/>
  <c r="C55" i="6"/>
  <c r="B53" i="5" s="1"/>
  <c r="C56" i="6"/>
  <c r="B54" i="5" s="1"/>
  <c r="C57" i="6"/>
  <c r="B55" i="5"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alcChain>
</file>

<file path=xl/sharedStrings.xml><?xml version="1.0" encoding="utf-8"?>
<sst xmlns="http://schemas.openxmlformats.org/spreadsheetml/2006/main" count="1228" uniqueCount="542">
  <si>
    <t>Hospital Revenue and Expenditure</t>
  </si>
  <si>
    <t xml:space="preserve">Personnel Services Cost </t>
  </si>
  <si>
    <r>
      <rPr>
        <b/>
        <sz val="10"/>
        <color rgb="FF000000"/>
        <rFont val="Arial Narrow"/>
        <family val="2"/>
      </rPr>
      <t>Objective</t>
    </r>
    <r>
      <rPr>
        <sz val="10"/>
        <color rgb="FF000000"/>
        <rFont val="Arial Narrow"/>
        <family val="2"/>
      </rPr>
      <t xml:space="preserve">: Obtain cost of all personnel services per each department and unit </t>
    </r>
  </si>
  <si>
    <r>
      <rPr>
        <b/>
        <sz val="10"/>
        <color rgb="FF000000"/>
        <rFont val="Arial Narrow"/>
        <family val="2"/>
      </rPr>
      <t>Data collector:</t>
    </r>
    <r>
      <rPr>
        <sz val="10"/>
        <color rgb="FF000000"/>
        <rFont val="Arial Narrow"/>
        <family val="2"/>
      </rPr>
      <t xml:space="preserve"> Accounting officer/Accounting officer in charge of payroll</t>
    </r>
  </si>
  <si>
    <r>
      <rPr>
        <b/>
        <sz val="10"/>
        <color rgb="FF000000"/>
        <rFont val="Arial Narrow"/>
        <family val="2"/>
      </rPr>
      <t>Instructions:</t>
    </r>
    <r>
      <rPr>
        <sz val="10"/>
        <color rgb="FF000000"/>
        <rFont val="Arial Narrow"/>
        <family val="2"/>
      </rPr>
      <t xml:space="preserve"> Only insert staff/personnel/emplyees rendered services during time period of data collection. Fill in table with </t>
    </r>
    <r>
      <rPr>
        <b/>
        <sz val="10"/>
        <color rgb="FF000000"/>
        <rFont val="Arial Narrow"/>
        <family val="2"/>
      </rPr>
      <t>monthly</t>
    </r>
    <r>
      <rPr>
        <sz val="10"/>
        <color rgb="FF000000"/>
        <rFont val="Arial Narrow"/>
        <family val="2"/>
      </rPr>
      <t xml:space="preserve"> details. Please add rows if necessary.</t>
    </r>
  </si>
  <si>
    <t>#</t>
  </si>
  <si>
    <t>Time period covered for: 2017  (peso)</t>
  </si>
  <si>
    <t xml:space="preserve">1.0 DOH/LGU subsidy income </t>
  </si>
  <si>
    <t>2.0 Philhealth reimbursement</t>
  </si>
  <si>
    <t>3.0 Hospital business income:</t>
  </si>
  <si>
    <t xml:space="preserve">3.1. Fees/charges: </t>
  </si>
  <si>
    <t>Clearance and certification fees</t>
  </si>
  <si>
    <t>Name</t>
  </si>
  <si>
    <t>Position</t>
  </si>
  <si>
    <t>Department/Unit</t>
  </si>
  <si>
    <t>Full Time or Part Time?</t>
  </si>
  <si>
    <t>Status of employment (Permanent, Contractual,JO)</t>
  </si>
  <si>
    <t>Monthly Salaries and Wages-Regular and Casual/Contractual</t>
  </si>
  <si>
    <t>Personal Economic Relief Allowance (PERA)</t>
  </si>
  <si>
    <t>Representation Allowance (RA)</t>
  </si>
  <si>
    <t>Transportation Allowance (TA)</t>
  </si>
  <si>
    <t>Clothing/Uniform Allowance</t>
  </si>
  <si>
    <t>Subsistence Allowance</t>
  </si>
  <si>
    <t>Laundry  Allowance</t>
  </si>
  <si>
    <t>Quarters Allowance</t>
  </si>
  <si>
    <t>Productivity Incentive Allowance/SIL??</t>
  </si>
  <si>
    <t>Overseas Allowance</t>
  </si>
  <si>
    <t>Honoraria</t>
  </si>
  <si>
    <t>Hazard Pay</t>
  </si>
  <si>
    <t>Longevity Pay</t>
  </si>
  <si>
    <t>Overtime and Night Pay</t>
  </si>
  <si>
    <t>Year End Bonus</t>
  </si>
  <si>
    <t>Cash Gift</t>
  </si>
  <si>
    <t>Other Bonuses and Allowances</t>
  </si>
  <si>
    <t>Retirement and Life Insurance Premiums</t>
  </si>
  <si>
    <t xml:space="preserve">Medical, Dental, and Laboratory fees </t>
  </si>
  <si>
    <t>Pag-IBIG Contributions</t>
  </si>
  <si>
    <t>PhilHealth Contributions</t>
  </si>
  <si>
    <t>Employees Compensation Insurance Premiums</t>
  </si>
  <si>
    <t>Provident/Welfare Fund Contributions</t>
  </si>
  <si>
    <t xml:space="preserve">Pension Benefits </t>
  </si>
  <si>
    <t>Other service income</t>
  </si>
  <si>
    <t xml:space="preserve">Retirement Gratuity </t>
  </si>
  <si>
    <t>Terminal Leave Benefits</t>
  </si>
  <si>
    <t>Other Personnel Benefits</t>
  </si>
  <si>
    <t>Total  amount of Compensation Salary/Wage (For entire 2017)</t>
  </si>
  <si>
    <t>Hospital fees</t>
  </si>
  <si>
    <t xml:space="preserve">3.2. Rent income </t>
  </si>
  <si>
    <t>3.3. Other business income</t>
  </si>
  <si>
    <t>4.0 Income from grant and donations</t>
  </si>
  <si>
    <t>3.4. Sales revenue</t>
  </si>
  <si>
    <t>3.5. Cost of goods sold</t>
  </si>
  <si>
    <t>3.6. Fines and penalties</t>
  </si>
  <si>
    <t>3.7. Sale of disposed assets</t>
  </si>
  <si>
    <t>5.0 Other (Specify):</t>
  </si>
  <si>
    <t xml:space="preserve">Laboratory (sent out) </t>
  </si>
  <si>
    <t xml:space="preserve">Blood Bank </t>
  </si>
  <si>
    <t xml:space="preserve">OPD Patient's Card </t>
  </si>
  <si>
    <t>Total Revenue</t>
  </si>
  <si>
    <t>Line Items of Expenses</t>
  </si>
  <si>
    <t>Salaries and Wages - Regular</t>
  </si>
  <si>
    <t>Salaries and Wages - Casual/Contractual</t>
  </si>
  <si>
    <t>Productivity Incentive Allowance</t>
  </si>
  <si>
    <t>2.0 Maintenance and Operating Expenses</t>
  </si>
  <si>
    <t>Traveling Expenses - Local</t>
  </si>
  <si>
    <t>Traveling Expenses - Foreign</t>
  </si>
  <si>
    <t>Training Expenses</t>
  </si>
  <si>
    <t>Scholarship Grants/Expenses</t>
  </si>
  <si>
    <t xml:space="preserve">Office Supplies Expenses </t>
  </si>
  <si>
    <t>Accountable Forms Expenses</t>
  </si>
  <si>
    <t>Non-Accountable Forms Expenses</t>
  </si>
  <si>
    <t>Animal/Zoological Supplies Expenses</t>
  </si>
  <si>
    <t>Food Supplies Expenses</t>
  </si>
  <si>
    <t>Welfare Goods Expenses</t>
  </si>
  <si>
    <t>Drugs and Medicines Expenses</t>
  </si>
  <si>
    <t>Medical Supplies Expenses</t>
  </si>
  <si>
    <t>Dental Supplies Expenses</t>
  </si>
  <si>
    <t>Laboratory Supplies Expenses (Including Radiology)</t>
  </si>
  <si>
    <t>Fuel, Oil and Lubricants Expenses</t>
  </si>
  <si>
    <t>Other Supplies and Materials Expenses (Cleaning/Housekeeping Supplies)</t>
  </si>
  <si>
    <t>Water Expenses</t>
  </si>
  <si>
    <t>Electricity Expenses</t>
  </si>
  <si>
    <t>Cooking Gas Expenses</t>
  </si>
  <si>
    <t xml:space="preserve">Postage and Courier Services </t>
  </si>
  <si>
    <t>Telephone Expenses</t>
  </si>
  <si>
    <t>Internet Subscription Expenses</t>
  </si>
  <si>
    <t>Cable, Satellite, Telegraph and Radio Expenses</t>
  </si>
  <si>
    <t>Legal Services</t>
  </si>
  <si>
    <t>Auditing Services</t>
  </si>
  <si>
    <t>Consultancy Services</t>
  </si>
  <si>
    <t>Other Professional Services</t>
  </si>
  <si>
    <t>Environment/Sanitary Services</t>
  </si>
  <si>
    <t>Janitorial Services</t>
  </si>
  <si>
    <t>Security Services</t>
  </si>
  <si>
    <t>Other General Services</t>
  </si>
  <si>
    <t>Repairs and Maintenance - Investment Property</t>
  </si>
  <si>
    <t>Repairs and Maintenance - Land Improvements</t>
  </si>
  <si>
    <t>Repairs and Maintenance - Infrastructure Assets</t>
  </si>
  <si>
    <t>Repairs and Maintenance - Buildings and Other Structures</t>
  </si>
  <si>
    <t xml:space="preserve">Repairs and Maintenance - Machinery and Equipment </t>
  </si>
  <si>
    <t xml:space="preserve">Repairs and Maintenance - Transportation Equipment  </t>
  </si>
  <si>
    <t>Repairs and Maintenance - Other Property, Plant and Equipment</t>
  </si>
  <si>
    <t>Taxes, Duties and Licenses</t>
  </si>
  <si>
    <t xml:space="preserve">Fidelity Bond Premiums </t>
  </si>
  <si>
    <t>Insurance Expenses</t>
  </si>
  <si>
    <t>Labor and Wages</t>
  </si>
  <si>
    <t>Advertising Expenses</t>
  </si>
  <si>
    <t>Membership Dues and Contributions to Organizations</t>
  </si>
  <si>
    <t>Subscription Expenses</t>
  </si>
  <si>
    <t>Donations</t>
  </si>
  <si>
    <t>Litigation/Acquired Assets Expenses</t>
  </si>
  <si>
    <t>Rent Expense</t>
  </si>
  <si>
    <t xml:space="preserve">Other Maintenance and Operating Expenses  </t>
  </si>
  <si>
    <t>Total Expenditure</t>
  </si>
  <si>
    <r>
      <rPr>
        <b/>
        <sz val="10"/>
        <color rgb="FF000000"/>
        <rFont val="Arial Narrow"/>
        <family val="2"/>
      </rPr>
      <t>Source Document:</t>
    </r>
    <r>
      <rPr>
        <sz val="10"/>
        <color rgb="FF000000"/>
        <rFont val="Arial Narrow"/>
        <family val="2"/>
      </rPr>
      <t xml:space="preserve"> Payroll sheet and Work/labor contracts with respective staff</t>
    </r>
  </si>
  <si>
    <r>
      <rPr>
        <b/>
        <sz val="11"/>
        <rFont val="Arial Narrow"/>
        <family val="2"/>
      </rPr>
      <t>Objective:</t>
    </r>
    <r>
      <rPr>
        <sz val="11"/>
        <color rgb="FF000000"/>
        <rFont val="Arial Narrow"/>
        <family val="2"/>
      </rPr>
      <t xml:space="preserve"> Account and Gather all types of Income and expenses of the Hospital and record in monetary value.</t>
    </r>
  </si>
  <si>
    <r>
      <rPr>
        <b/>
        <sz val="11"/>
        <rFont val="Arial Narrow"/>
        <family val="2"/>
      </rPr>
      <t>Source Document:</t>
    </r>
    <r>
      <rPr>
        <sz val="11"/>
        <color rgb="FF000000"/>
        <rFont val="Arial Narrow"/>
        <family val="2"/>
      </rPr>
      <t xml:space="preserve"> Financial statements, program reports, hospital internal records</t>
    </r>
  </si>
  <si>
    <r>
      <rPr>
        <b/>
        <sz val="11"/>
        <color rgb="FF000000"/>
        <rFont val="Arial Narrow"/>
        <family val="2"/>
      </rPr>
      <t>Data collector:</t>
    </r>
    <r>
      <rPr>
        <sz val="11"/>
        <color rgb="FF000000"/>
        <rFont val="Arial Narrow"/>
        <family val="2"/>
      </rPr>
      <t xml:space="preserve"> Accounting officer/Accounting officer in charge of payroll/Accounting officer at LGU via Liaison officer (Hospital chief of Administration) at the hospital </t>
    </r>
  </si>
  <si>
    <t>Daily Rate (if applicable and/or especially for casual and contractual</t>
  </si>
  <si>
    <t xml:space="preserve">Total number of Work Hours during time period of data </t>
  </si>
  <si>
    <t>JO</t>
  </si>
  <si>
    <t xml:space="preserve">Total number of  work Days during time period of data </t>
  </si>
  <si>
    <t>Sources</t>
  </si>
  <si>
    <t>1.0 Personnel  expenses</t>
  </si>
  <si>
    <t>Building</t>
  </si>
  <si>
    <t>Office equipment</t>
  </si>
  <si>
    <t>Furniture and Fixtures</t>
  </si>
  <si>
    <t>Medical and laboratory equipment</t>
  </si>
  <si>
    <t>Other property and equipment</t>
  </si>
  <si>
    <t>3.0 Fixed assets/Property, Plant and equipment</t>
  </si>
  <si>
    <r>
      <t xml:space="preserve">Level of care </t>
    </r>
    <r>
      <rPr>
        <b/>
        <sz val="11"/>
        <color rgb="FFFF0000"/>
        <rFont val="Arial Narrow"/>
        <family val="2"/>
      </rPr>
      <t>(always update)</t>
    </r>
    <r>
      <rPr>
        <b/>
        <sz val="11"/>
        <color rgb="FF000000"/>
        <rFont val="Arial Narrow"/>
        <family val="2"/>
      </rPr>
      <t>:</t>
    </r>
  </si>
  <si>
    <t>Departments to select from</t>
  </si>
  <si>
    <t>https://www.dbm.gov.ph/wp-content/uploads/Issuances/2013/Joint%20Circular%202013/DOH/Manual%20RSSGH_%203%20levels.pdf</t>
  </si>
  <si>
    <t>https://hfsrb.doh.gov.ph/images/Hospital/issuances/ao2012-0012.pdf</t>
  </si>
  <si>
    <t>References:</t>
  </si>
  <si>
    <t>Private Ward</t>
  </si>
  <si>
    <t>Clinical/Medical services</t>
  </si>
  <si>
    <t>Ob/Gyne Ward</t>
  </si>
  <si>
    <t>Surgical Ward</t>
  </si>
  <si>
    <t>Pediatric Ward</t>
  </si>
  <si>
    <t>Internal Medicine Ward</t>
  </si>
  <si>
    <t>Dental</t>
  </si>
  <si>
    <t>Radiation Oncology Unit*</t>
  </si>
  <si>
    <t>Dialysis Unit</t>
  </si>
  <si>
    <t>Emergency Medicine Department</t>
  </si>
  <si>
    <t>Hypertension</t>
  </si>
  <si>
    <t xml:space="preserve">Diabetes </t>
  </si>
  <si>
    <t>Malaria</t>
  </si>
  <si>
    <t>Smoking Cessation</t>
  </si>
  <si>
    <t>Family Planning Unit</t>
  </si>
  <si>
    <t>HIV Aids</t>
  </si>
  <si>
    <t>TB Dots</t>
  </si>
  <si>
    <t>Animal Bite Center</t>
  </si>
  <si>
    <t>Outpatient Department (general)</t>
  </si>
  <si>
    <t>Others</t>
  </si>
  <si>
    <t>Ancillary services/Support services</t>
  </si>
  <si>
    <t>Morgue</t>
  </si>
  <si>
    <t>Burn Unit</t>
  </si>
  <si>
    <t>Pediatric ICU*</t>
  </si>
  <si>
    <t>Surgical ICU*</t>
  </si>
  <si>
    <t>Neonatal ICU*</t>
  </si>
  <si>
    <t>Medical ICU</t>
  </si>
  <si>
    <t>Respiratory Unit</t>
  </si>
  <si>
    <t>Operating Room / Aneasthesiology / PACU / Recovery Room</t>
  </si>
  <si>
    <t>Delivery Room</t>
  </si>
  <si>
    <t>Physiotherapy / Rehabilitation</t>
  </si>
  <si>
    <t>Radiology / Diagnostic Imaging (CT Scan, MRI, ECG, Mammography, Endoscopy)</t>
  </si>
  <si>
    <t>Laboratory</t>
  </si>
  <si>
    <t>Blood Bank</t>
  </si>
  <si>
    <t>Pharmacy</t>
  </si>
  <si>
    <t>Sterilization</t>
  </si>
  <si>
    <t>Nutrition and Dietetics</t>
  </si>
  <si>
    <t>Laundry</t>
  </si>
  <si>
    <t>Administrative/Overhead services</t>
  </si>
  <si>
    <t>Office of the Chief of Medical Professional Staff</t>
  </si>
  <si>
    <t>Security</t>
  </si>
  <si>
    <t>Cash Operations</t>
  </si>
  <si>
    <t>Billing and Claims</t>
  </si>
  <si>
    <t>Central Supply Office</t>
  </si>
  <si>
    <t>Health Info Mgt (Admitting)</t>
  </si>
  <si>
    <t>Office of the Chief Nurse</t>
  </si>
  <si>
    <t>Medical Social Work</t>
  </si>
  <si>
    <t>Budget and Accounting</t>
  </si>
  <si>
    <t>Housekeeping</t>
  </si>
  <si>
    <t>Engineering and Facilities Management</t>
  </si>
  <si>
    <t>Materials Management</t>
  </si>
  <si>
    <t>Procurement</t>
  </si>
  <si>
    <t>Human Resource Management</t>
  </si>
  <si>
    <t>Office of the Administrative Officer</t>
  </si>
  <si>
    <t>IT Departments</t>
  </si>
  <si>
    <t>Office of the Medical Center Chief</t>
  </si>
  <si>
    <t>Department Name / Unit</t>
  </si>
  <si>
    <t>Classification of Hospital Departments</t>
  </si>
  <si>
    <t>DEPARTMENT LIST</t>
  </si>
  <si>
    <t>ENT Ward*</t>
  </si>
  <si>
    <t>Psychiatric Ward*</t>
  </si>
  <si>
    <t>Orthopedic Ward*</t>
  </si>
  <si>
    <t>Neurosurgery Ward*</t>
  </si>
  <si>
    <t>Endoscopy Unit</t>
  </si>
  <si>
    <t>Nuclear Medicine</t>
  </si>
  <si>
    <t>Hypertension MAP</t>
  </si>
  <si>
    <t>Diabetes MAP</t>
  </si>
  <si>
    <t>Outpatient Department</t>
  </si>
  <si>
    <t>Heart Station</t>
  </si>
  <si>
    <t>Office of the Chief of Medical Professional Staff / Chief of Clinics</t>
  </si>
  <si>
    <t xml:space="preserve">Housekeeping </t>
  </si>
  <si>
    <t>IT Department</t>
  </si>
  <si>
    <r>
      <rPr>
        <b/>
        <sz val="11"/>
        <rFont val="Arial Narrow"/>
        <family val="2"/>
      </rPr>
      <t>Instructions:</t>
    </r>
    <r>
      <rPr>
        <sz val="11"/>
        <color rgb="FF000000"/>
        <rFont val="Arial Narrow"/>
        <family val="2"/>
      </rPr>
      <t xml:space="preserve"> Fill in items accordingly. Please include all expenses regardless of the sources of income. If peso value of the donated items is not available Please include proxy value for the donated itmes. Use empty rows to add if necessary.</t>
    </r>
  </si>
  <si>
    <t xml:space="preserve">Time period covered: </t>
  </si>
  <si>
    <t># Personen</t>
  </si>
  <si>
    <t>Level I</t>
  </si>
  <si>
    <t>Loyalty Award</t>
  </si>
  <si>
    <t>Side Leave Benefits</t>
  </si>
  <si>
    <t>Adraneda, Ethel S.</t>
  </si>
  <si>
    <t>Nursing Attendant I</t>
  </si>
  <si>
    <t>Clinical/Medical services -&gt; Ob/Gyne Ward</t>
  </si>
  <si>
    <t>Full Time</t>
  </si>
  <si>
    <t>Permament</t>
  </si>
  <si>
    <t>Almero, Juliana B.</t>
  </si>
  <si>
    <t>Pharmacist III</t>
  </si>
  <si>
    <t>Ancillary services/Support services -&gt; Pharmacy</t>
  </si>
  <si>
    <t>Barrion, Cecilia A.</t>
  </si>
  <si>
    <t>Clinical/Medical services -&gt; Outpatient Department (general)</t>
  </si>
  <si>
    <t>Bringula, Carmelito R.</t>
  </si>
  <si>
    <t>Utility Worker I</t>
  </si>
  <si>
    <t>Ancillary services/Support services -&gt; Nutrition and Dietetics</t>
  </si>
  <si>
    <t>Bringula, Maita-Mia D.</t>
  </si>
  <si>
    <t>Rad. Tech II</t>
  </si>
  <si>
    <t>Ancillary services/Support services -&gt; Radiology / Diagnostic Imaging (CT Scan, MRI, ECG, Mammography, Endoscopy)</t>
  </si>
  <si>
    <t>Cabalic, Necitta I.</t>
  </si>
  <si>
    <t>Nurse I</t>
  </si>
  <si>
    <t>Canlas, Mary Rose R.</t>
  </si>
  <si>
    <t>Capili, Emily B.</t>
  </si>
  <si>
    <t>Storekeeper II</t>
  </si>
  <si>
    <t>Administrative/Overhead services -&gt; Central Supply Office</t>
  </si>
  <si>
    <t>Casimiro, Felicidad M.</t>
  </si>
  <si>
    <t>Cristobal, Rosemarie G.</t>
  </si>
  <si>
    <t>Laundry Worker I</t>
  </si>
  <si>
    <t>Cruz, Romeo C.</t>
  </si>
  <si>
    <t>Administrative/Overhead services -&gt; Housekeeping</t>
  </si>
  <si>
    <t>David, Imelda D.</t>
  </si>
  <si>
    <t>Ancillary services/Support services -&gt; Delivery Room</t>
  </si>
  <si>
    <t>De Jesus, Michael Andrew D.</t>
  </si>
  <si>
    <t>Clinical/Medical services -&gt; Internal Medicine Ward</t>
  </si>
  <si>
    <t>De Luna, Efren M.</t>
  </si>
  <si>
    <t>Del Rosario, Angela Rose P.</t>
  </si>
  <si>
    <t>Dentist II</t>
  </si>
  <si>
    <t>Clinical/Medical services -&gt; Dental</t>
  </si>
  <si>
    <t>Dela Cruz, Anna Leveriza P.</t>
  </si>
  <si>
    <t>Dela Cruz, Erbert P.</t>
  </si>
  <si>
    <t>Records Officer</t>
  </si>
  <si>
    <t>Administrative/Overhead services -&gt; Health Info Mgt (Admitting)</t>
  </si>
  <si>
    <t>Dela Rosa, Andrea G.</t>
  </si>
  <si>
    <t>Social Welfare Officer</t>
  </si>
  <si>
    <t>Administrative/Overhead services -&gt; Medical Social Work</t>
  </si>
  <si>
    <t>Ducut, Mary Ann R.</t>
  </si>
  <si>
    <t>Fabian, Narcisa M.</t>
  </si>
  <si>
    <t>Lab. Aide II</t>
  </si>
  <si>
    <t>Fernandez, Leonora F.</t>
  </si>
  <si>
    <t>Fuentes, Jocelyn B.</t>
  </si>
  <si>
    <t>Nutritionist Dietitian</t>
  </si>
  <si>
    <t>Garcia, Romelo R.</t>
  </si>
  <si>
    <t>Electrician I</t>
  </si>
  <si>
    <t>Administrative/Overhead services -&gt; Engineering and Facilities Management</t>
  </si>
  <si>
    <t>Gaspi, Remedios D.</t>
  </si>
  <si>
    <t>Med. Officer III</t>
  </si>
  <si>
    <t>Godoy, Celia R.</t>
  </si>
  <si>
    <t>Nurse II</t>
  </si>
  <si>
    <t>Administrative/Overhead services -&gt; Office of the Chief Nurse</t>
  </si>
  <si>
    <t>Gomez, Gerardo C.</t>
  </si>
  <si>
    <t>Clinical/Medical services -&gt; Emergency Medicine Department</t>
  </si>
  <si>
    <t>Guinto, Wilhelmina E.</t>
  </si>
  <si>
    <t>Cook I</t>
  </si>
  <si>
    <t>Julio, Myrna Grace A.</t>
  </si>
  <si>
    <t>Lab Aide II</t>
  </si>
  <si>
    <t>Ancillary services/Support services -&gt; Laboratory</t>
  </si>
  <si>
    <t>Lazarte, Ma. Theresa P.</t>
  </si>
  <si>
    <t>Clinical/Medical services -&gt; Smoking Cessation</t>
  </si>
  <si>
    <t>Lopez, Michael Anthony C.</t>
  </si>
  <si>
    <t>Magtanong, Janelle Ann C.</t>
  </si>
  <si>
    <t>Clinical/Medical services -&gt; HIV Aids</t>
  </si>
  <si>
    <t>Manubay, Rosalie P.</t>
  </si>
  <si>
    <t>Administrative/Overhead services -&gt; Office of the Chief of Medical Professional Staff</t>
  </si>
  <si>
    <t>Mina, Anita C.</t>
  </si>
  <si>
    <t>Clerk I</t>
  </si>
  <si>
    <t>Administrative/Overhead services -&gt; Cash Operations</t>
  </si>
  <si>
    <t>Niespla, Leila M.</t>
  </si>
  <si>
    <t>Cashier I</t>
  </si>
  <si>
    <t>Administrative/Overhead services -&gt; Budget and Accounting</t>
  </si>
  <si>
    <t>Ocampo, Diana Elaine O.</t>
  </si>
  <si>
    <t>Padua, Romeo N.</t>
  </si>
  <si>
    <t>Pascual, Jhemar Hope D.</t>
  </si>
  <si>
    <t>Peregrino, Mary Ann R.</t>
  </si>
  <si>
    <t>Med. Tech II</t>
  </si>
  <si>
    <t>Ramos, Anacel R.</t>
  </si>
  <si>
    <t>Admin Officer II</t>
  </si>
  <si>
    <t>Administrative/Overhead services -&gt; Office of the Administrative Officer</t>
  </si>
  <si>
    <t>Remo, Carmen R.</t>
  </si>
  <si>
    <t>Reyes, June G.</t>
  </si>
  <si>
    <t>Sanchez, Jennifer Q.</t>
  </si>
  <si>
    <t>Santos, Victoria B.</t>
  </si>
  <si>
    <t>Tagorio, Rodelio P.</t>
  </si>
  <si>
    <t>Ancillary services/Support services -&gt; Laundry</t>
  </si>
  <si>
    <t>Tamayo, Grace C.</t>
  </si>
  <si>
    <t>Tarongoy, Vanessa C.</t>
  </si>
  <si>
    <t>Teologo, Wilfredo P.</t>
  </si>
  <si>
    <t>Security Guard I</t>
  </si>
  <si>
    <t>Administrative/Overhead services -&gt; Security</t>
  </si>
  <si>
    <t>Torres, Maribeth C.</t>
  </si>
  <si>
    <t>Dental Aide</t>
  </si>
  <si>
    <t>Tria, Bienvenido F.</t>
  </si>
  <si>
    <t>Tuazon, Angie R.</t>
  </si>
  <si>
    <t>Administrative/Overhead services -&gt; Others</t>
  </si>
  <si>
    <t>Valencia, Ferdinand B.</t>
  </si>
  <si>
    <t>Chief of Hospital I</t>
  </si>
  <si>
    <t>Administrative/Overhead services -&gt; Office of the Medical Center Chief</t>
  </si>
  <si>
    <t>Valerio, Jowie D.</t>
  </si>
  <si>
    <t>Valiente, Imelda D.</t>
  </si>
  <si>
    <t>Utility Worker II</t>
  </si>
  <si>
    <t>Villanueva, Rizalde C.</t>
  </si>
  <si>
    <t>Villegas, Rowena I.</t>
  </si>
  <si>
    <t>Clinical/Medical services -&gt; Family Planning Unit</t>
  </si>
  <si>
    <t>Banzuela, Angelica</t>
  </si>
  <si>
    <t>Medical Consultant</t>
  </si>
  <si>
    <t>Contractual</t>
  </si>
  <si>
    <t>230.11/hr</t>
  </si>
  <si>
    <t>264 days</t>
  </si>
  <si>
    <t>2112 hrs</t>
  </si>
  <si>
    <t>Bunque, Henry</t>
  </si>
  <si>
    <t>124 days</t>
  </si>
  <si>
    <t>992 hrs</t>
  </si>
  <si>
    <t>Jalaidi, Sheryl</t>
  </si>
  <si>
    <t>Part Time</t>
  </si>
  <si>
    <t>13.75 days</t>
  </si>
  <si>
    <t>110 hrs</t>
  </si>
  <si>
    <t>Acuña, Denise Aileen S</t>
  </si>
  <si>
    <t>606.04/day</t>
  </si>
  <si>
    <t>259 days</t>
  </si>
  <si>
    <t>2054 hrs</t>
  </si>
  <si>
    <t>Adraneda, Audrina P.</t>
  </si>
  <si>
    <t>546.63/day</t>
  </si>
  <si>
    <t>268 days</t>
  </si>
  <si>
    <t>2144 hrs</t>
  </si>
  <si>
    <t>Adraneda, Clarisse Joy S.</t>
  </si>
  <si>
    <t>Administrative/Overhead services -&gt; Billing and Claims</t>
  </si>
  <si>
    <t>332.13/day</t>
  </si>
  <si>
    <t>163 days</t>
  </si>
  <si>
    <t>1304 hrs</t>
  </si>
  <si>
    <t>Alba, Mary Rose T.</t>
  </si>
  <si>
    <t>244.5 days</t>
  </si>
  <si>
    <t>1956 hrs</t>
  </si>
  <si>
    <t>Albelda, Patrick F.</t>
  </si>
  <si>
    <t>Administrative/Overhead services -&gt; IT Departments</t>
  </si>
  <si>
    <t>158 days</t>
  </si>
  <si>
    <t>1264 hrs</t>
  </si>
  <si>
    <t>Alejo, Leonardo Jr. D.</t>
  </si>
  <si>
    <t>Watchman I</t>
  </si>
  <si>
    <t>338.45/day</t>
  </si>
  <si>
    <t>295 days</t>
  </si>
  <si>
    <t>2360 hrs</t>
  </si>
  <si>
    <t>Angeles, Melanie Joyce M.</t>
  </si>
  <si>
    <t>276 days</t>
  </si>
  <si>
    <t>2208 hrs</t>
  </si>
  <si>
    <t>Atanacio, Joshua Elaine I.</t>
  </si>
  <si>
    <t>Social Worker I</t>
  </si>
  <si>
    <t>579.45/day</t>
  </si>
  <si>
    <t>91 days</t>
  </si>
  <si>
    <t>728 hrs</t>
  </si>
  <si>
    <t>Bautista, Claudine Ann D.</t>
  </si>
  <si>
    <t>265 days</t>
  </si>
  <si>
    <t>2120 hrs</t>
  </si>
  <si>
    <t>Bautista, Shaira Jazmine P.</t>
  </si>
  <si>
    <t>Med. Tech. I</t>
  </si>
  <si>
    <t>223 days</t>
  </si>
  <si>
    <t>1784 hrs</t>
  </si>
  <si>
    <t>Benitez, Ilene Irish C.</t>
  </si>
  <si>
    <t>258.5 days</t>
  </si>
  <si>
    <t>2067.52 hrs</t>
  </si>
  <si>
    <t>Calara, Jonarhoze Lyka A.</t>
  </si>
  <si>
    <t>Computer Operator I</t>
  </si>
  <si>
    <t>447.63/day</t>
  </si>
  <si>
    <t>241 days</t>
  </si>
  <si>
    <t>1928 hrs</t>
  </si>
  <si>
    <t>Canlas, Aileen B.</t>
  </si>
  <si>
    <t>Pharmacist I</t>
  </si>
  <si>
    <t>260 days</t>
  </si>
  <si>
    <t>2061.28 hrs</t>
  </si>
  <si>
    <t>Capule, Estella Marie Dayan V.</t>
  </si>
  <si>
    <t>273 days</t>
  </si>
  <si>
    <t>2182.08 hrs</t>
  </si>
  <si>
    <t>Capuli, Diana D.</t>
  </si>
  <si>
    <t>Rad. Tech. I</t>
  </si>
  <si>
    <t>479.00/day</t>
  </si>
  <si>
    <t>234 days</t>
  </si>
  <si>
    <t>1872 hrs</t>
  </si>
  <si>
    <t>Castro, Maridel M.</t>
  </si>
  <si>
    <t>279.5 days</t>
  </si>
  <si>
    <t>2231.92 hrs</t>
  </si>
  <si>
    <t>Cristobal, Marvin G.</t>
  </si>
  <si>
    <t>144 days</t>
  </si>
  <si>
    <t>1152 hrs</t>
  </si>
  <si>
    <t>Cruz, Bienvenido S.</t>
  </si>
  <si>
    <t>Driver I</t>
  </si>
  <si>
    <t>402.45/day</t>
  </si>
  <si>
    <t>337 days</t>
  </si>
  <si>
    <t>2696 hrs</t>
  </si>
  <si>
    <t>Cruz, Cecille S.</t>
  </si>
  <si>
    <t>358.68/day</t>
  </si>
  <si>
    <t>162 days</t>
  </si>
  <si>
    <t>1296 hrs</t>
  </si>
  <si>
    <t>Cruz, Mark Joshua L.</t>
  </si>
  <si>
    <t>229 days</t>
  </si>
  <si>
    <t>1832 hrs</t>
  </si>
  <si>
    <t>Dacion, Ednalyn N.</t>
  </si>
  <si>
    <t>249 days</t>
  </si>
  <si>
    <t>1992 hrs</t>
  </si>
  <si>
    <t>Deang, Adam Angeline S.</t>
  </si>
  <si>
    <t>277 days</t>
  </si>
  <si>
    <t>2216 hrs</t>
  </si>
  <si>
    <t>De Guzman, Jacquelyn P.</t>
  </si>
  <si>
    <t>81 days</t>
  </si>
  <si>
    <t>648 hrs</t>
  </si>
  <si>
    <t>De Jesus, Jacqueline Z.</t>
  </si>
  <si>
    <t>254 days</t>
  </si>
  <si>
    <t>2032 hrs</t>
  </si>
  <si>
    <t>De Luna, Pedro S.</t>
  </si>
  <si>
    <t>279.50/day</t>
  </si>
  <si>
    <t>66 days</t>
  </si>
  <si>
    <t>528 hrs</t>
  </si>
  <si>
    <t>De Mesa, Marlene V.</t>
  </si>
  <si>
    <t>528.90/day</t>
  </si>
  <si>
    <t>266 days</t>
  </si>
  <si>
    <t>2124.88 hrs</t>
  </si>
  <si>
    <t>De Tablan, Alyssa Mae G.</t>
  </si>
  <si>
    <t>418.36/day</t>
  </si>
  <si>
    <t>84 days</t>
  </si>
  <si>
    <t>672 hrs</t>
  </si>
  <si>
    <t>Dela Cirna, Crisanta B.</t>
  </si>
  <si>
    <t>Administrative/Overhead services -&gt; Human Resource Management</t>
  </si>
  <si>
    <t>230 days</t>
  </si>
  <si>
    <t>1840 hrs</t>
  </si>
  <si>
    <t>Dela Cruz, Myrene P.</t>
  </si>
  <si>
    <t>257.5 days</t>
  </si>
  <si>
    <t>2060 hrs</t>
  </si>
  <si>
    <t>Diaz, Ryan David M.</t>
  </si>
  <si>
    <t>Clinical/Medical services -&gt; Animal Bite Center</t>
  </si>
  <si>
    <t>254.5 days</t>
  </si>
  <si>
    <t>2036 hrs</t>
  </si>
  <si>
    <t>Domingo, Jamie Anne D.</t>
  </si>
  <si>
    <t>Dominguez, Maylene O.</t>
  </si>
  <si>
    <t>67 days</t>
  </si>
  <si>
    <t>536 hrs</t>
  </si>
  <si>
    <t>Dumayas, Michael R.</t>
  </si>
  <si>
    <t>242 days</t>
  </si>
  <si>
    <t>1932.4 hrs</t>
  </si>
  <si>
    <t>Fabian, Maryll M.</t>
  </si>
  <si>
    <t>201 days</t>
  </si>
  <si>
    <t>1608 hrs</t>
  </si>
  <si>
    <t>Fajardo, Dominique Ellein V.</t>
  </si>
  <si>
    <t>172 days</t>
  </si>
  <si>
    <t>1376 hrs</t>
  </si>
  <si>
    <t>Godoy, Don Hussein C.</t>
  </si>
  <si>
    <t>190 days</t>
  </si>
  <si>
    <t>1520 hrs</t>
  </si>
  <si>
    <t>Guillermo, Raquel O.</t>
  </si>
  <si>
    <t>168 days</t>
  </si>
  <si>
    <t>1344 hrs</t>
  </si>
  <si>
    <t>Hatol, Jeanipher S.</t>
  </si>
  <si>
    <t>70 days</t>
  </si>
  <si>
    <t>560 hrs</t>
  </si>
  <si>
    <t>Llenarez, Crisencio R.</t>
  </si>
  <si>
    <t>228.5 days</t>
  </si>
  <si>
    <t>1828 hrs</t>
  </si>
  <si>
    <t>Lim, Chester M.</t>
  </si>
  <si>
    <t>72 days</t>
  </si>
  <si>
    <t>576 hrs</t>
  </si>
  <si>
    <t>Macalinao, Enrico A.</t>
  </si>
  <si>
    <t>261.5 days</t>
  </si>
  <si>
    <t>2092 hrs</t>
  </si>
  <si>
    <t>Malibiran, Cherrylyn S.</t>
  </si>
  <si>
    <t>257 days</t>
  </si>
  <si>
    <t>2056 hrs</t>
  </si>
  <si>
    <t>Medina, Jeffrey P.</t>
  </si>
  <si>
    <t>Ancillary services/Support services -&gt; Others</t>
  </si>
  <si>
    <t>318 days</t>
  </si>
  <si>
    <t>2544 hrs</t>
  </si>
  <si>
    <t>Medina, John Patrick A.</t>
  </si>
  <si>
    <t>204.5 days</t>
  </si>
  <si>
    <t>1636 hrs</t>
  </si>
  <si>
    <t>Monteagudo, Rona Mikaela N.</t>
  </si>
  <si>
    <t>77 days</t>
  </si>
  <si>
    <t>616 hrs</t>
  </si>
  <si>
    <t>Omagap, Jeffrey M.</t>
  </si>
  <si>
    <t>304.68/day</t>
  </si>
  <si>
    <t>299.5 days</t>
  </si>
  <si>
    <t>2396 hrs</t>
  </si>
  <si>
    <t>Palaypay, Maureen T.</t>
  </si>
  <si>
    <t>2070.4 hrs</t>
  </si>
  <si>
    <t>Ponce, Aurea T.</t>
  </si>
  <si>
    <t>151 days</t>
  </si>
  <si>
    <t>1208 hrs</t>
  </si>
  <si>
    <t>Reyes, Rosemarie Joy B.</t>
  </si>
  <si>
    <t>235.5 days</t>
  </si>
  <si>
    <t>1883.28 hrs</t>
  </si>
  <si>
    <t>Roman, Janelle G.</t>
  </si>
  <si>
    <t>Roman, Wilfredo P.</t>
  </si>
  <si>
    <t>283 days</t>
  </si>
  <si>
    <t>2264 hrs</t>
  </si>
  <si>
    <t>Roque, Dasched Vincent M.</t>
  </si>
  <si>
    <t>344.31/day</t>
  </si>
  <si>
    <t>253 days</t>
  </si>
  <si>
    <t>2023.28 hrs</t>
  </si>
  <si>
    <t>Santiago, Rosauro B.</t>
  </si>
  <si>
    <t>291.5 days</t>
  </si>
  <si>
    <t>2332 hrs</t>
  </si>
  <si>
    <t>Sarmiento, Joel L.</t>
  </si>
  <si>
    <t>Med. Tech I</t>
  </si>
  <si>
    <t>645.36/day</t>
  </si>
  <si>
    <t>191.5 days</t>
  </si>
  <si>
    <t>1532 hrs</t>
  </si>
  <si>
    <t>Silvestre, Andy D.</t>
  </si>
  <si>
    <t>268.5 days</t>
  </si>
  <si>
    <t>2134.08 hrs</t>
  </si>
  <si>
    <t>Sunga, Rosita D.</t>
  </si>
  <si>
    <t>558.08 hrs</t>
  </si>
  <si>
    <t>Tolentino, Jocyana I.</t>
  </si>
  <si>
    <t>Ventura, Chiaky Kahlen R.</t>
  </si>
  <si>
    <t>74 days</t>
  </si>
  <si>
    <t>592 hrs</t>
  </si>
  <si>
    <t>Villafania, Grace Cel Q.</t>
  </si>
  <si>
    <t>231 days</t>
  </si>
  <si>
    <t>1848 hrs</t>
  </si>
  <si>
    <t>Villaflor, Glenda I.</t>
  </si>
  <si>
    <t>260.5 days</t>
  </si>
  <si>
    <t>2072.48 hrs</t>
  </si>
  <si>
    <t>Viray, Krizzia Anne E.</t>
  </si>
  <si>
    <t>252.5 days</t>
  </si>
  <si>
    <t>1922.8 hrs</t>
  </si>
  <si>
    <t>Zabala, Jennie V.</t>
  </si>
  <si>
    <t>207 days</t>
  </si>
  <si>
    <t>1656 hrs</t>
  </si>
  <si>
    <t>Nurse IV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</si>
</sst>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24" x14ac:knownFonts="1">
    <font>
      <sz val="11"/>
      <color rgb="FF000000"/>
      <name val="Calibri"/>
    </font>
    <font>
      <sz val="11"/>
      <color theme="1"/>
      <name val="Calibri"/>
      <family val="2"/>
      <scheme val="minor"/>
    </font>
    <font>
      <sz val="10"/>
      <color rgb="FF000000"/>
      <name val="Arial Narrow"/>
      <family val="2"/>
    </font>
    <font>
      <b/>
      <sz val="11"/>
      <color rgb="FF000000"/>
      <name val="Arial Narrow"/>
      <family val="2"/>
    </font>
    <font>
      <b/>
      <sz val="10"/>
      <color rgb="FF000000"/>
      <name val="Arial Narrow"/>
      <family val="2"/>
    </font>
    <font>
      <sz val="11"/>
      <name val="Calibri"/>
      <family val="2"/>
    </font>
    <font>
      <sz val="11"/>
      <color rgb="FF000000"/>
      <name val="Arial Narrow"/>
      <family val="2"/>
    </font>
    <font>
      <b/>
      <sz val="10"/>
      <name val="Arial Narrow"/>
      <family val="2"/>
    </font>
    <font>
      <sz val="10"/>
      <name val="Arial Narrow"/>
      <family val="2"/>
    </font>
    <font>
      <b/>
      <sz val="11"/>
      <name val="Arial Narrow"/>
      <family val="2"/>
    </font>
    <font>
      <sz val="11"/>
      <color rgb="FF000000"/>
      <name val="Calibri"/>
      <family val="2"/>
    </font>
    <font>
      <b/>
      <sz val="11"/>
      <color theme="1"/>
      <name val="Calibri"/>
      <family val="2"/>
      <scheme val="minor"/>
    </font>
    <font>
      <sz val="11"/>
      <color theme="1"/>
      <name val="Arial Narrow"/>
      <family val="2"/>
    </font>
    <font>
      <b/>
      <sz val="11"/>
      <color rgb="FFFF0000"/>
      <name val="Arial Narrow"/>
      <family val="2"/>
    </font>
    <font>
      <b/>
      <sz val="11"/>
      <color rgb="FF0070C0"/>
      <name val="Arial Narrow"/>
      <family val="2"/>
    </font>
    <font>
      <sz val="11"/>
      <name val="Arial Narrow"/>
      <family val="2"/>
    </font>
    <font>
      <u/>
      <sz val="11"/>
      <color rgb="FF000000"/>
      <name val="Arial Narrow"/>
      <family val="2"/>
    </font>
    <font>
      <u/>
      <sz val="11"/>
      <color rgb="FF0563C1"/>
      <name val="Calibri"/>
      <family val="2"/>
    </font>
    <font>
      <sz val="8"/>
      <color rgb="FF008000"/>
      <name val="Calibri"/>
      <family val="2"/>
    </font>
    <font>
      <sz val="8"/>
      <color rgb="FF800000"/>
      <name val="Calibri"/>
      <family val="2"/>
    </font>
    <font>
      <sz val="11"/>
      <color rgb="FF0070C0"/>
      <name val="Arial Narrow"/>
      <family val="2"/>
    </font>
    <font>
      <sz val="10"/>
      <color theme="1"/>
      <name val="Arial Narrow"/>
      <family val="2"/>
    </font>
    <font>
      <b/>
      <sz val="11"/>
      <color theme="1"/>
      <name val="Arial Narrow"/>
      <family val="2"/>
    </font>
    <font>
      <sz val="10"/>
      <color rgb="FF0070C0"/>
      <name val="Arial Narrow"/>
      <family val="2"/>
    </font>
  </fonts>
  <fills count="7">
    <fill>
      <patternFill patternType="none"/>
    </fill>
    <fill>
      <patternFill patternType="gray125"/>
    </fill>
    <fill>
      <patternFill patternType="solid">
        <fgColor rgb="FFFFFFFF"/>
        <bgColor rgb="FFFFFFFF"/>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rgb="FFD9E2F3"/>
      </patternFill>
    </fill>
  </fills>
  <borders count="24">
    <border>
      <left/>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right style="thin">
        <color rgb="FF000000"/>
      </right>
      <top/>
      <bottom/>
      <diagonal/>
    </border>
    <border>
      <left/>
      <right style="thin">
        <color rgb="FF000000"/>
      </right>
      <top style="thin">
        <color rgb="FF000000"/>
      </top>
      <bottom/>
      <diagonal/>
    </border>
    <border>
      <left style="thin">
        <color rgb="FF000000"/>
      </left>
      <right/>
      <top style="thin">
        <color rgb="FF000000"/>
      </top>
      <bottom/>
      <diagonal/>
    </border>
    <border>
      <left style="medium">
        <color auto="1"/>
      </left>
      <right style="medium">
        <color auto="1"/>
      </right>
      <top/>
      <bottom style="medium">
        <color auto="1"/>
      </bottom>
      <diagonal/>
    </border>
    <border>
      <left style="medium">
        <color rgb="FF000000"/>
      </left>
      <right/>
      <top style="medium">
        <color rgb="FF000000"/>
      </top>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rgb="FF000000"/>
      </right>
      <top/>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s>
  <cellStyleXfs count="5">
    <xf numFmtId="0" fontId="0" fillId="0" borderId="0"/>
    <xf numFmtId="43" fontId="10" fillId="0" borderId="0" applyFont="0" applyFill="0" applyBorder="0" applyAlignment="0" applyProtection="0"/>
    <xf numFmtId="9" fontId="10" fillId="0" borderId="0" applyFont="0" applyFill="0" applyBorder="0" applyAlignment="0" applyProtection="0"/>
    <xf numFmtId="0" fontId="1" fillId="0" borderId="0"/>
    <xf numFmtId="0" fontId="10" fillId="0" borderId="0"/>
  </cellStyleXfs>
  <cellXfs count="90">
    <xf numFmtId="0" fontId="0" fillId="0" borderId="0" xfId="0" applyFont="1" applyAlignment="1"/>
    <xf numFmtId="0" fontId="2" fillId="0" borderId="0" xfId="0" applyFont="1"/>
    <xf numFmtId="0" fontId="6" fillId="0" borderId="0" xfId="0" applyFont="1"/>
    <xf numFmtId="0" fontId="6" fillId="0" borderId="0" xfId="0" applyFont="1" applyAlignment="1"/>
    <xf numFmtId="0" fontId="4" fillId="0" borderId="2" xfId="0" applyFont="1" applyBorder="1" applyAlignment="1">
      <alignment horizontal="center" vertical="top"/>
    </xf>
    <xf numFmtId="0" fontId="2" fillId="0" borderId="2" xfId="0" applyFont="1" applyBorder="1"/>
    <xf numFmtId="0" fontId="2" fillId="0" borderId="2" xfId="0" applyFont="1" applyBorder="1" applyAlignment="1">
      <alignment horizontal="left"/>
    </xf>
    <xf numFmtId="0" fontId="4" fillId="0" borderId="2" xfId="0" applyFont="1" applyBorder="1"/>
    <xf numFmtId="0" fontId="3" fillId="0" borderId="2" xfId="0" applyFont="1" applyBorder="1"/>
    <xf numFmtId="0" fontId="7" fillId="2" borderId="2" xfId="0" applyFont="1" applyFill="1" applyBorder="1"/>
    <xf numFmtId="0" fontId="8" fillId="2" borderId="2" xfId="0" applyFont="1" applyFill="1" applyBorder="1"/>
    <xf numFmtId="0" fontId="8" fillId="2" borderId="2" xfId="0" applyFont="1" applyFill="1" applyBorder="1" applyAlignment="1"/>
    <xf numFmtId="0" fontId="8" fillId="2" borderId="3" xfId="0" applyFont="1" applyFill="1" applyBorder="1"/>
    <xf numFmtId="0" fontId="4" fillId="0" borderId="2" xfId="0" applyFont="1" applyBorder="1" applyAlignment="1">
      <alignment vertical="center"/>
    </xf>
    <xf numFmtId="0" fontId="4" fillId="0" borderId="2" xfId="0" applyFont="1" applyBorder="1" applyAlignment="1">
      <alignment horizontal="center" vertical="center"/>
    </xf>
    <xf numFmtId="0" fontId="3" fillId="0" borderId="2" xfId="0" applyFont="1" applyBorder="1" applyAlignment="1">
      <alignment vertical="top"/>
    </xf>
    <xf numFmtId="0" fontId="3" fillId="0" borderId="2" xfId="0" applyFont="1" applyBorder="1" applyAlignment="1">
      <alignment horizontal="center" vertical="top"/>
    </xf>
    <xf numFmtId="0" fontId="2" fillId="0" borderId="1" xfId="0" applyFont="1" applyBorder="1"/>
    <xf numFmtId="0" fontId="8" fillId="2" borderId="4" xfId="0" applyFont="1" applyFill="1" applyBorder="1"/>
    <xf numFmtId="0" fontId="2" fillId="0" borderId="3" xfId="0" applyFont="1" applyBorder="1"/>
    <xf numFmtId="0" fontId="2" fillId="0" borderId="4" xfId="0" applyFont="1" applyBorder="1"/>
    <xf numFmtId="0" fontId="4" fillId="0" borderId="4" xfId="0" applyFont="1" applyBorder="1"/>
    <xf numFmtId="0" fontId="12" fillId="0" borderId="0" xfId="0" applyFont="1"/>
    <xf numFmtId="0" fontId="12" fillId="0" borderId="0" xfId="0" applyFont="1" applyAlignment="1"/>
    <xf numFmtId="0" fontId="3" fillId="3" borderId="0" xfId="0" applyFont="1" applyFill="1" applyBorder="1" applyAlignment="1" applyProtection="1">
      <alignment horizontal="left" vertical="center"/>
    </xf>
    <xf numFmtId="0" fontId="14" fillId="0" borderId="4" xfId="0" applyFont="1" applyBorder="1" applyAlignment="1" applyProtection="1">
      <alignment horizontal="center" vertical="center"/>
      <protection locked="0"/>
    </xf>
    <xf numFmtId="14" fontId="12" fillId="0" borderId="0" xfId="0" applyNumberFormat="1" applyFont="1" applyAlignment="1">
      <alignment horizontal="center"/>
    </xf>
    <xf numFmtId="0" fontId="1" fillId="0" borderId="0" xfId="3"/>
    <xf numFmtId="0" fontId="11" fillId="0" borderId="0" xfId="3" applyFont="1"/>
    <xf numFmtId="0" fontId="10" fillId="0" borderId="0" xfId="4" applyFont="1" applyAlignment="1"/>
    <xf numFmtId="0" fontId="15" fillId="0" borderId="0" xfId="4" applyFont="1"/>
    <xf numFmtId="0" fontId="16" fillId="0" borderId="0" xfId="4" applyFont="1" applyAlignment="1"/>
    <xf numFmtId="0" fontId="6" fillId="0" borderId="0" xfId="4" applyFont="1" applyAlignment="1"/>
    <xf numFmtId="0" fontId="6" fillId="0" borderId="0" xfId="4" applyFont="1"/>
    <xf numFmtId="0" fontId="6" fillId="0" borderId="5" xfId="4" applyFont="1" applyBorder="1" applyAlignment="1"/>
    <xf numFmtId="0" fontId="6" fillId="0" borderId="5" xfId="4" applyFont="1" applyBorder="1" applyAlignment="1">
      <alignment vertical="center"/>
    </xf>
    <xf numFmtId="0" fontId="15" fillId="0" borderId="5" xfId="4" applyFont="1" applyBorder="1" applyAlignment="1"/>
    <xf numFmtId="0" fontId="6" fillId="0" borderId="3" xfId="4" applyFont="1" applyBorder="1" applyAlignment="1"/>
    <xf numFmtId="0" fontId="6" fillId="0" borderId="1" xfId="4" applyFont="1" applyBorder="1" applyAlignment="1"/>
    <xf numFmtId="0" fontId="6" fillId="0" borderId="5" xfId="4" applyFont="1" applyBorder="1"/>
    <xf numFmtId="0" fontId="6" fillId="0" borderId="6" xfId="4" applyFont="1" applyBorder="1" applyAlignment="1"/>
    <xf numFmtId="0" fontId="6" fillId="0" borderId="7" xfId="4" applyFont="1" applyBorder="1" applyAlignment="1"/>
    <xf numFmtId="0" fontId="6" fillId="0" borderId="8" xfId="4" applyFont="1" applyBorder="1" applyAlignment="1"/>
    <xf numFmtId="0" fontId="3" fillId="0" borderId="0" xfId="4" applyFont="1" applyAlignment="1"/>
    <xf numFmtId="0" fontId="17" fillId="0" borderId="0" xfId="4" applyFont="1"/>
    <xf numFmtId="0" fontId="6" fillId="0" borderId="0" xfId="4" applyFont="1" applyAlignment="1">
      <alignment horizontal="center" vertical="center"/>
    </xf>
    <xf numFmtId="0" fontId="6" fillId="0" borderId="9" xfId="4" applyFont="1" applyBorder="1"/>
    <xf numFmtId="0" fontId="6" fillId="0" borderId="10" xfId="4" applyFont="1" applyBorder="1" applyAlignment="1">
      <alignment vertical="center"/>
    </xf>
    <xf numFmtId="0" fontId="6" fillId="0" borderId="11" xfId="4" applyFont="1" applyBorder="1"/>
    <xf numFmtId="0" fontId="6" fillId="0" borderId="11" xfId="4" applyFont="1" applyBorder="1" applyAlignment="1"/>
    <xf numFmtId="0" fontId="5" fillId="0" borderId="11" xfId="4" applyFont="1" applyBorder="1" applyAlignment="1"/>
    <xf numFmtId="0" fontId="6" fillId="0" borderId="12" xfId="4" applyFont="1" applyBorder="1"/>
    <xf numFmtId="0" fontId="15" fillId="0" borderId="9" xfId="4" applyFont="1" applyBorder="1" applyAlignment="1"/>
    <xf numFmtId="0" fontId="6" fillId="0" borderId="12" xfId="4" applyFont="1" applyBorder="1" applyAlignment="1"/>
    <xf numFmtId="0" fontId="6" fillId="0" borderId="13" xfId="4" applyFont="1" applyBorder="1" applyAlignment="1"/>
    <xf numFmtId="0" fontId="6" fillId="0" borderId="14" xfId="4" applyFont="1" applyBorder="1" applyAlignment="1">
      <alignment vertical="center"/>
    </xf>
    <xf numFmtId="0" fontId="6" fillId="0" borderId="13" xfId="4" applyFont="1" applyBorder="1"/>
    <xf numFmtId="0" fontId="6" fillId="0" borderId="15" xfId="4" applyFont="1" applyBorder="1"/>
    <xf numFmtId="0" fontId="6" fillId="0" borderId="10" xfId="4" applyFont="1" applyBorder="1" applyAlignment="1">
      <alignment horizontal="center"/>
    </xf>
    <xf numFmtId="0" fontId="3" fillId="0" borderId="0" xfId="4" applyFont="1"/>
    <xf numFmtId="0" fontId="20" fillId="0" borderId="4" xfId="0" applyFont="1" applyBorder="1" applyProtection="1">
      <protection locked="0"/>
    </xf>
    <xf numFmtId="0" fontId="21" fillId="0" borderId="0" xfId="0" applyFont="1"/>
    <xf numFmtId="0" fontId="22" fillId="4" borderId="0" xfId="0" applyFont="1" applyFill="1"/>
    <xf numFmtId="0" fontId="21" fillId="4" borderId="0" xfId="0" applyFont="1" applyFill="1"/>
    <xf numFmtId="0" fontId="21" fillId="0" borderId="0" xfId="0" applyFont="1" applyProtection="1"/>
    <xf numFmtId="43" fontId="20" fillId="5" borderId="4" xfId="1" applyFont="1" applyFill="1" applyBorder="1" applyProtection="1">
      <protection locked="0"/>
    </xf>
    <xf numFmtId="9" fontId="20" fillId="5" borderId="4" xfId="2" applyFont="1" applyFill="1" applyBorder="1" applyProtection="1">
      <protection locked="0"/>
    </xf>
    <xf numFmtId="0" fontId="4" fillId="3" borderId="2" xfId="0" applyFont="1" applyFill="1" applyBorder="1" applyAlignment="1">
      <alignment horizontal="center" vertical="center" wrapText="1"/>
    </xf>
    <xf numFmtId="0" fontId="4" fillId="6" borderId="2" xfId="0" applyFont="1" applyFill="1" applyBorder="1" applyAlignment="1">
      <alignment horizontal="center" vertical="center" wrapText="1"/>
    </xf>
    <xf numFmtId="0" fontId="2" fillId="3" borderId="16" xfId="0" applyFont="1" applyFill="1" applyBorder="1"/>
    <xf numFmtId="0" fontId="0" fillId="3" borderId="22" xfId="0" applyFont="1" applyFill="1" applyBorder="1" applyAlignment="1"/>
    <xf numFmtId="0" fontId="2" fillId="3" borderId="22" xfId="0" applyFont="1" applyFill="1" applyBorder="1"/>
    <xf numFmtId="0" fontId="2" fillId="3" borderId="17" xfId="0" applyFont="1" applyFill="1" applyBorder="1"/>
    <xf numFmtId="0" fontId="2" fillId="3" borderId="18" xfId="0" applyFont="1" applyFill="1" applyBorder="1"/>
    <xf numFmtId="0" fontId="0" fillId="3" borderId="0" xfId="0" applyFont="1" applyFill="1" applyBorder="1" applyAlignment="1"/>
    <xf numFmtId="0" fontId="2" fillId="3" borderId="0" xfId="0" applyFont="1" applyFill="1" applyBorder="1"/>
    <xf numFmtId="0" fontId="2" fillId="3" borderId="19" xfId="0" applyFont="1" applyFill="1" applyBorder="1"/>
    <xf numFmtId="0" fontId="4" fillId="3" borderId="18" xfId="0" applyFont="1" applyFill="1" applyBorder="1"/>
    <xf numFmtId="0" fontId="2" fillId="3" borderId="20" xfId="0" applyFont="1" applyFill="1" applyBorder="1"/>
    <xf numFmtId="0" fontId="0" fillId="3" borderId="23" xfId="0" applyFont="1" applyFill="1" applyBorder="1" applyAlignment="1"/>
    <xf numFmtId="0" fontId="2" fillId="3" borderId="23" xfId="0" applyFont="1" applyFill="1" applyBorder="1"/>
    <xf numFmtId="0" fontId="2" fillId="3" borderId="21" xfId="0" applyFont="1" applyFill="1" applyBorder="1"/>
    <xf numFmtId="0" fontId="23" fillId="0" borderId="2" xfId="0" applyFont="1" applyBorder="1" applyProtection="1">
      <protection locked="0"/>
    </xf>
    <xf numFmtId="0" fontId="2" fillId="0" borderId="2" xfId="0" applyFont="1" applyBorder="1" applyProtection="1">
      <protection locked="0"/>
    </xf>
    <xf numFmtId="0" fontId="6" fillId="3" borderId="16" xfId="0" applyFont="1" applyFill="1" applyBorder="1" applyAlignment="1">
      <alignment horizontal="left" wrapText="1"/>
    </xf>
    <xf numFmtId="0" fontId="6" fillId="3" borderId="17" xfId="0" applyFont="1" applyFill="1" applyBorder="1" applyAlignment="1">
      <alignment horizontal="left" wrapText="1"/>
    </xf>
    <xf numFmtId="0" fontId="6" fillId="3" borderId="18" xfId="0" applyFont="1" applyFill="1" applyBorder="1" applyAlignment="1">
      <alignment horizontal="left" wrapText="1"/>
    </xf>
    <xf numFmtId="0" fontId="6" fillId="3" borderId="19" xfId="0" applyFont="1" applyFill="1" applyBorder="1" applyAlignment="1">
      <alignment horizontal="left" wrapText="1"/>
    </xf>
    <xf numFmtId="0" fontId="6" fillId="3" borderId="20" xfId="0" applyFont="1" applyFill="1" applyBorder="1" applyAlignment="1">
      <alignment horizontal="left" wrapText="1"/>
    </xf>
    <xf numFmtId="0" fontId="6" fillId="3" borderId="21" xfId="0" applyFont="1" applyFill="1" applyBorder="1" applyAlignment="1">
      <alignment horizontal="left" wrapText="1"/>
    </xf>
  </cellXfs>
  <cellStyles count="5">
    <cellStyle name="Comma" xfId="1" builtinId="3"/>
    <cellStyle name="Normal" xfId="0" builtinId="0"/>
    <cellStyle name="Normal 2" xfId="3" xr:uid="{00000000-0005-0000-0000-000002000000}"/>
    <cellStyle name="Normal 2 2" xfId="4" xr:uid="{00000000-0005-0000-0000-00000300000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69850</xdr:colOff>
          <xdr:row>14</xdr:row>
          <xdr:rowOff>19050</xdr:rowOff>
        </xdr:from>
        <xdr:to>
          <xdr:col>1</xdr:col>
          <xdr:colOff>793750</xdr:colOff>
          <xdr:row>15</xdr:row>
          <xdr:rowOff>12700</xdr:rowOff>
        </xdr:to>
        <xdr:sp macro="" textlink="">
          <xdr:nvSpPr>
            <xdr:cNvPr id="1025" name="Button 1" descr="Add Drug / Medication / Supply"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14</xdr:row>
          <xdr:rowOff>19050</xdr:rowOff>
        </xdr:from>
        <xdr:to>
          <xdr:col>1</xdr:col>
          <xdr:colOff>1568450</xdr:colOff>
          <xdr:row>15</xdr:row>
          <xdr:rowOff>12700</xdr:rowOff>
        </xdr:to>
        <xdr:sp macro="" textlink="">
          <xdr:nvSpPr>
            <xdr:cNvPr id="1026" name="Button 2" descr="Delete Drug / Medication / Supply"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B1:DQ945"/>
  <sheetViews>
    <sheetView tabSelected="1" topLeftCell="A17" zoomScaleNormal="100" workbookViewId="0">
      <selection activeCell="E106" sqref="E106"/>
    </sheetView>
  </sheetViews>
  <sheetFormatPr defaultColWidth="14.453125" defaultRowHeight="15" customHeight="1" outlineLevelRow="1" x14ac:dyDescent="0.35"/>
  <cols>
    <col min="1" max="1" width="4.81640625" customWidth="1"/>
    <col min="2" max="2" width="29.26953125" customWidth="1"/>
    <col min="3" max="3" width="28.54296875" customWidth="1"/>
    <col min="4" max="4" width="19" customWidth="1"/>
    <col min="5" max="5" width="22.1796875" customWidth="1"/>
    <col min="6" max="6" width="19" customWidth="1"/>
    <col min="7" max="37" width="16.26953125" customWidth="1"/>
  </cols>
  <sheetData>
    <row r="1" spans="2:121" ht="12.75" customHeight="1" x14ac:dyDescent="0.35">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row>
    <row r="2" spans="2:121" s="61" customFormat="1" ht="14" x14ac:dyDescent="0.3">
      <c r="B2" s="62" t="s">
        <v>1</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2:121" ht="12.75" customHeight="1" x14ac:dyDescent="0.35">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2:121" ht="12.75" hidden="1" customHeight="1" outlineLevel="1" x14ac:dyDescent="0.35">
      <c r="B4" s="1" t="s">
        <v>209</v>
      </c>
      <c r="C4" s="1">
        <v>129</v>
      </c>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2:121" ht="12.75" customHeight="1" collapsed="1" x14ac:dyDescent="0.35">
      <c r="B5" s="69" t="s">
        <v>2</v>
      </c>
      <c r="C5" s="70"/>
      <c r="D5" s="71"/>
      <c r="E5" s="71"/>
      <c r="F5" s="72"/>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2:121" ht="12.75" customHeight="1" x14ac:dyDescent="0.35">
      <c r="B6" s="73" t="s">
        <v>3</v>
      </c>
      <c r="C6" s="74"/>
      <c r="D6" s="75"/>
      <c r="E6" s="75"/>
      <c r="F6" s="76"/>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row>
    <row r="7" spans="2:121" ht="12.75" customHeight="1" x14ac:dyDescent="0.35">
      <c r="B7" s="73" t="s">
        <v>114</v>
      </c>
      <c r="C7" s="74"/>
      <c r="D7" s="75"/>
      <c r="E7" s="75"/>
      <c r="F7" s="76"/>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row>
    <row r="8" spans="2:121" ht="12.75" customHeight="1" x14ac:dyDescent="0.35">
      <c r="B8" s="77" t="s">
        <v>208</v>
      </c>
      <c r="C8" s="25">
        <v>2017</v>
      </c>
      <c r="D8" s="75"/>
      <c r="E8" s="75"/>
      <c r="F8" s="76"/>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row>
    <row r="9" spans="2:121" ht="12.75" customHeight="1" x14ac:dyDescent="0.35">
      <c r="B9" s="78" t="s">
        <v>4</v>
      </c>
      <c r="C9" s="79"/>
      <c r="D9" s="80"/>
      <c r="E9" s="80"/>
      <c r="F9" s="8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row>
    <row r="10" spans="2:121" ht="12.75" customHeight="1" x14ac:dyDescent="0.35">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row>
    <row r="11" spans="2:121" s="22" customFormat="1" ht="14" x14ac:dyDescent="0.3">
      <c r="H11" s="23"/>
    </row>
    <row r="12" spans="2:121" s="22" customFormat="1" ht="14" x14ac:dyDescent="0.3">
      <c r="B12" s="24" t="s">
        <v>130</v>
      </c>
      <c r="C12" s="25" t="s">
        <v>210</v>
      </c>
      <c r="F12" s="26"/>
    </row>
    <row r="13" spans="2:121" s="22" customFormat="1" ht="14" x14ac:dyDescent="0.3">
      <c r="F13" s="26"/>
    </row>
    <row r="14" spans="2:121" ht="81.75" customHeight="1" x14ac:dyDescent="0.35">
      <c r="B14" s="67" t="s">
        <v>5</v>
      </c>
      <c r="C14" s="67" t="s">
        <v>12</v>
      </c>
      <c r="D14" s="67" t="s">
        <v>13</v>
      </c>
      <c r="E14" s="67" t="s">
        <v>14</v>
      </c>
      <c r="F14" s="67" t="s">
        <v>15</v>
      </c>
      <c r="G14" s="67" t="s">
        <v>16</v>
      </c>
      <c r="H14" s="67" t="s">
        <v>118</v>
      </c>
      <c r="I14" s="67" t="s">
        <v>121</v>
      </c>
      <c r="J14" s="67" t="s">
        <v>119</v>
      </c>
      <c r="K14" s="67" t="s">
        <v>17</v>
      </c>
      <c r="L14" s="67" t="s">
        <v>18</v>
      </c>
      <c r="M14" s="67" t="s">
        <v>19</v>
      </c>
      <c r="N14" s="67" t="s">
        <v>20</v>
      </c>
      <c r="O14" s="67" t="s">
        <v>21</v>
      </c>
      <c r="P14" s="67" t="s">
        <v>22</v>
      </c>
      <c r="Q14" s="67" t="s">
        <v>23</v>
      </c>
      <c r="R14" s="67" t="s">
        <v>24</v>
      </c>
      <c r="S14" s="67" t="s">
        <v>25</v>
      </c>
      <c r="T14" s="67" t="s">
        <v>26</v>
      </c>
      <c r="U14" s="67" t="s">
        <v>27</v>
      </c>
      <c r="V14" s="67" t="s">
        <v>28</v>
      </c>
      <c r="W14" s="67" t="s">
        <v>29</v>
      </c>
      <c r="X14" s="67" t="s">
        <v>30</v>
      </c>
      <c r="Y14" s="67" t="s">
        <v>31</v>
      </c>
      <c r="Z14" s="67" t="s">
        <v>32</v>
      </c>
      <c r="AA14" s="67" t="s">
        <v>33</v>
      </c>
      <c r="AB14" s="67" t="s">
        <v>34</v>
      </c>
      <c r="AC14" s="67" t="s">
        <v>36</v>
      </c>
      <c r="AD14" s="67" t="s">
        <v>37</v>
      </c>
      <c r="AE14" s="67" t="s">
        <v>38</v>
      </c>
      <c r="AF14" s="67" t="s">
        <v>39</v>
      </c>
      <c r="AG14" s="67" t="s">
        <v>40</v>
      </c>
      <c r="AH14" s="67" t="s">
        <v>42</v>
      </c>
      <c r="AI14" s="67" t="s">
        <v>43</v>
      </c>
      <c r="AJ14" s="67" t="s">
        <v>44</v>
      </c>
      <c r="AK14" s="68" t="s">
        <v>45</v>
      </c>
    </row>
    <row r="15" spans="2:121" ht="12.75" customHeight="1" x14ac:dyDescent="0.35">
      <c r="B15" s="5">
        <v>1</v>
      </c>
      <c r="C15" s="60" t="s">
        <v>294</v>
      </c>
      <c r="D15" s="60" t="s">
        <v>295</v>
      </c>
      <c r="E15" s="60" t="s">
        <v>296</v>
      </c>
      <c r="F15" s="66" t="s">
        <v>216</v>
      </c>
      <c r="G15" s="82" t="s">
        <v>217</v>
      </c>
      <c r="H15" s="65">
        <v>0</v>
      </c>
      <c r="I15" s="65">
        <v>0</v>
      </c>
      <c r="J15" s="65">
        <v>0</v>
      </c>
      <c r="K15" s="65">
        <v>27565</v>
      </c>
      <c r="L15" s="65">
        <v>2000</v>
      </c>
      <c r="M15" s="65">
        <v>0</v>
      </c>
      <c r="N15" s="65">
        <v>0</v>
      </c>
      <c r="O15" s="65">
        <v>5000</v>
      </c>
      <c r="P15" s="65">
        <v>1500</v>
      </c>
      <c r="Q15" s="65">
        <v>150</v>
      </c>
      <c r="R15" s="65">
        <v>0</v>
      </c>
      <c r="S15" s="65">
        <v>5000</v>
      </c>
      <c r="T15" s="65">
        <v>0</v>
      </c>
      <c r="U15" s="65">
        <v>0</v>
      </c>
      <c r="V15" s="65">
        <v>2327.5</v>
      </c>
      <c r="W15" s="65">
        <v>0</v>
      </c>
      <c r="X15" s="65">
        <v>0</v>
      </c>
      <c r="Y15" s="65">
        <v>27565</v>
      </c>
      <c r="Z15" s="65">
        <v>5000</v>
      </c>
      <c r="AA15" s="65">
        <v>27565</v>
      </c>
      <c r="AB15" s="65">
        <v>3307.8</v>
      </c>
      <c r="AC15" s="65">
        <v>100</v>
      </c>
      <c r="AD15" s="65">
        <v>337.5</v>
      </c>
      <c r="AE15" s="65">
        <v>100</v>
      </c>
      <c r="AF15" s="65">
        <v>0</v>
      </c>
      <c r="AG15" s="65">
        <v>0</v>
      </c>
      <c r="AH15" s="65">
        <v>0</v>
      </c>
      <c r="AI15" s="65">
        <v>0</v>
      </c>
      <c r="AJ15" s="65">
        <v>0</v>
      </c>
      <c r="AK15" s="65">
        <v>502548.16000000003</v>
      </c>
    </row>
    <row r="16" spans="2:121" ht="12.75" customHeight="1" x14ac:dyDescent="0.35">
      <c r="B16" s="5">
        <v>2</v>
      </c>
      <c r="C16" s="60" t="s">
        <v>286</v>
      </c>
      <c r="D16" s="60" t="s">
        <v>287</v>
      </c>
      <c r="E16" s="60" t="s">
        <v>288</v>
      </c>
      <c r="F16" s="66" t="s">
        <v>216</v>
      </c>
      <c r="G16" s="82" t="s">
        <v>217</v>
      </c>
      <c r="H16" s="65">
        <v>0</v>
      </c>
      <c r="I16" s="65">
        <v>0</v>
      </c>
      <c r="J16" s="65">
        <v>0</v>
      </c>
      <c r="K16" s="65">
        <v>19244</v>
      </c>
      <c r="L16" s="65">
        <v>2000</v>
      </c>
      <c r="M16" s="65">
        <v>0</v>
      </c>
      <c r="N16" s="65">
        <v>0</v>
      </c>
      <c r="O16" s="65">
        <v>5000</v>
      </c>
      <c r="P16" s="65">
        <v>1500</v>
      </c>
      <c r="Q16" s="65">
        <v>150</v>
      </c>
      <c r="R16" s="65">
        <v>0</v>
      </c>
      <c r="S16" s="65">
        <v>5000</v>
      </c>
      <c r="T16" s="65">
        <v>0</v>
      </c>
      <c r="U16" s="65">
        <v>0</v>
      </c>
      <c r="V16" s="65">
        <v>1782.9</v>
      </c>
      <c r="W16" s="65">
        <v>0</v>
      </c>
      <c r="X16" s="65">
        <v>0</v>
      </c>
      <c r="Y16" s="65">
        <v>19244</v>
      </c>
      <c r="Z16" s="65">
        <v>5000</v>
      </c>
      <c r="AA16" s="65">
        <v>19244</v>
      </c>
      <c r="AB16" s="65">
        <v>2309.2800000000002</v>
      </c>
      <c r="AC16" s="65">
        <v>100</v>
      </c>
      <c r="AD16" s="65">
        <v>237.5</v>
      </c>
      <c r="AE16" s="65">
        <v>100</v>
      </c>
      <c r="AF16" s="65">
        <v>0</v>
      </c>
      <c r="AG16" s="65">
        <v>0</v>
      </c>
      <c r="AH16" s="65">
        <v>0</v>
      </c>
      <c r="AI16" s="65">
        <v>0</v>
      </c>
      <c r="AJ16" s="65">
        <v>0</v>
      </c>
      <c r="AK16" s="65">
        <v>382122.16000000003</v>
      </c>
    </row>
    <row r="17" spans="2:37" ht="12.75" customHeight="1" x14ac:dyDescent="0.35">
      <c r="B17" s="5">
        <v>3</v>
      </c>
      <c r="C17" s="60" t="s">
        <v>313</v>
      </c>
      <c r="D17" s="60" t="s">
        <v>314</v>
      </c>
      <c r="E17" s="60" t="s">
        <v>315</v>
      </c>
      <c r="F17" s="66" t="s">
        <v>216</v>
      </c>
      <c r="G17" s="82" t="s">
        <v>217</v>
      </c>
      <c r="H17" s="65">
        <v>0</v>
      </c>
      <c r="I17" s="65">
        <v>0</v>
      </c>
      <c r="J17" s="65">
        <v>0</v>
      </c>
      <c r="K17" s="65">
        <v>66187</v>
      </c>
      <c r="L17" s="65">
        <v>2000</v>
      </c>
      <c r="M17" s="65">
        <v>60000</v>
      </c>
      <c r="N17" s="65">
        <v>60000</v>
      </c>
      <c r="O17" s="65">
        <v>5000</v>
      </c>
      <c r="P17" s="65">
        <v>1500</v>
      </c>
      <c r="Q17" s="65">
        <v>150</v>
      </c>
      <c r="R17" s="65">
        <v>0</v>
      </c>
      <c r="S17" s="65">
        <v>0</v>
      </c>
      <c r="T17" s="65">
        <v>0</v>
      </c>
      <c r="U17" s="65">
        <v>0</v>
      </c>
      <c r="V17" s="65">
        <v>1041.1500000000001</v>
      </c>
      <c r="W17" s="65">
        <v>0</v>
      </c>
      <c r="X17" s="65">
        <v>0</v>
      </c>
      <c r="Y17" s="65">
        <v>66187</v>
      </c>
      <c r="Z17" s="65">
        <v>5000</v>
      </c>
      <c r="AA17" s="65">
        <v>66187</v>
      </c>
      <c r="AB17" s="65">
        <v>7942.44</v>
      </c>
      <c r="AC17" s="65">
        <v>100</v>
      </c>
      <c r="AD17" s="65">
        <v>437.5</v>
      </c>
      <c r="AE17" s="65">
        <v>100</v>
      </c>
      <c r="AF17" s="65">
        <v>0</v>
      </c>
      <c r="AG17" s="65">
        <v>0</v>
      </c>
      <c r="AH17" s="65">
        <v>0</v>
      </c>
      <c r="AI17" s="65">
        <v>0</v>
      </c>
      <c r="AJ17" s="65">
        <v>0</v>
      </c>
      <c r="AK17" s="65">
        <v>1095196.08</v>
      </c>
    </row>
    <row r="18" spans="2:37" ht="12.75" customHeight="1" x14ac:dyDescent="0.35">
      <c r="B18" s="5">
        <v>4</v>
      </c>
      <c r="C18" s="60" t="s">
        <v>283</v>
      </c>
      <c r="D18" s="60" t="s">
        <v>284</v>
      </c>
      <c r="E18" s="60" t="s">
        <v>285</v>
      </c>
      <c r="F18" s="66" t="s">
        <v>216</v>
      </c>
      <c r="G18" s="82" t="s">
        <v>217</v>
      </c>
      <c r="H18" s="65">
        <v>0</v>
      </c>
      <c r="I18" s="65">
        <v>0</v>
      </c>
      <c r="J18" s="65">
        <v>0</v>
      </c>
      <c r="K18" s="65">
        <v>12004</v>
      </c>
      <c r="L18" s="65">
        <v>2000</v>
      </c>
      <c r="M18" s="65">
        <v>0</v>
      </c>
      <c r="N18" s="65">
        <v>0</v>
      </c>
      <c r="O18" s="65">
        <v>5000</v>
      </c>
      <c r="P18" s="65">
        <v>1500</v>
      </c>
      <c r="Q18" s="65">
        <v>150</v>
      </c>
      <c r="R18" s="65">
        <v>0</v>
      </c>
      <c r="S18" s="65">
        <v>5000</v>
      </c>
      <c r="T18" s="65">
        <v>0</v>
      </c>
      <c r="U18" s="65">
        <v>0</v>
      </c>
      <c r="V18" s="65">
        <v>1083.07</v>
      </c>
      <c r="W18" s="65">
        <v>0</v>
      </c>
      <c r="X18" s="65">
        <v>0</v>
      </c>
      <c r="Y18" s="65">
        <v>12004</v>
      </c>
      <c r="Z18" s="65">
        <v>5000</v>
      </c>
      <c r="AA18" s="65">
        <v>12004</v>
      </c>
      <c r="AB18" s="65">
        <v>1440.48</v>
      </c>
      <c r="AC18" s="65">
        <v>100</v>
      </c>
      <c r="AD18" s="65">
        <v>150</v>
      </c>
      <c r="AE18" s="65">
        <v>100</v>
      </c>
      <c r="AF18" s="65">
        <v>0</v>
      </c>
      <c r="AG18" s="65">
        <v>0</v>
      </c>
      <c r="AH18" s="65">
        <v>0</v>
      </c>
      <c r="AI18" s="65">
        <v>0</v>
      </c>
      <c r="AJ18" s="65">
        <v>0</v>
      </c>
      <c r="AK18" s="65">
        <v>260663.59999999998</v>
      </c>
    </row>
    <row r="19" spans="2:37" ht="12.75" customHeight="1" x14ac:dyDescent="0.35">
      <c r="B19" s="5">
        <v>5</v>
      </c>
      <c r="C19" s="60" t="s">
        <v>343</v>
      </c>
      <c r="D19" s="60" t="s">
        <v>284</v>
      </c>
      <c r="E19" s="60" t="s">
        <v>344</v>
      </c>
      <c r="F19" s="66" t="s">
        <v>216</v>
      </c>
      <c r="G19" s="82" t="s">
        <v>120</v>
      </c>
      <c r="H19" s="65" t="s">
        <v>345</v>
      </c>
      <c r="I19" s="65" t="s">
        <v>346</v>
      </c>
      <c r="J19" s="65" t="s">
        <v>347</v>
      </c>
      <c r="K19" s="65">
        <v>0</v>
      </c>
      <c r="L19" s="65">
        <v>0</v>
      </c>
      <c r="M19" s="65">
        <v>0</v>
      </c>
      <c r="N19" s="65">
        <v>0</v>
      </c>
      <c r="O19" s="65">
        <v>0</v>
      </c>
      <c r="P19" s="65">
        <v>0</v>
      </c>
      <c r="Q19" s="65">
        <v>0</v>
      </c>
      <c r="R19" s="65">
        <v>0</v>
      </c>
      <c r="S19" s="65">
        <v>0</v>
      </c>
      <c r="T19" s="65">
        <v>0</v>
      </c>
      <c r="U19" s="65">
        <v>0</v>
      </c>
      <c r="V19" s="65">
        <v>0</v>
      </c>
      <c r="W19" s="65">
        <v>0</v>
      </c>
      <c r="X19" s="65">
        <v>0</v>
      </c>
      <c r="Y19" s="65">
        <v>0</v>
      </c>
      <c r="Z19" s="65">
        <v>0</v>
      </c>
      <c r="AA19" s="65">
        <v>0</v>
      </c>
      <c r="AB19" s="65">
        <v>0</v>
      </c>
      <c r="AC19" s="65">
        <v>0</v>
      </c>
      <c r="AD19" s="65">
        <v>0</v>
      </c>
      <c r="AE19" s="65">
        <v>0</v>
      </c>
      <c r="AF19" s="65">
        <v>0</v>
      </c>
      <c r="AG19" s="65">
        <v>0</v>
      </c>
      <c r="AH19" s="65">
        <v>0</v>
      </c>
      <c r="AI19" s="65">
        <v>0</v>
      </c>
      <c r="AJ19" s="65">
        <v>0</v>
      </c>
      <c r="AK19" s="65">
        <v>54142.080000000002</v>
      </c>
    </row>
    <row r="20" spans="2:37" ht="12.75" customHeight="1" x14ac:dyDescent="0.35">
      <c r="B20" s="5">
        <v>6</v>
      </c>
      <c r="C20" s="60" t="s">
        <v>351</v>
      </c>
      <c r="D20" s="60" t="s">
        <v>284</v>
      </c>
      <c r="E20" s="60" t="s">
        <v>352</v>
      </c>
      <c r="F20" s="66" t="s">
        <v>216</v>
      </c>
      <c r="G20" s="82" t="s">
        <v>120</v>
      </c>
      <c r="H20" s="65" t="s">
        <v>345</v>
      </c>
      <c r="I20" s="65" t="s">
        <v>353</v>
      </c>
      <c r="J20" s="65" t="s">
        <v>354</v>
      </c>
      <c r="K20" s="65">
        <v>0</v>
      </c>
      <c r="L20" s="65">
        <v>0</v>
      </c>
      <c r="M20" s="65">
        <v>0</v>
      </c>
      <c r="N20" s="65">
        <v>0</v>
      </c>
      <c r="O20" s="65">
        <v>0</v>
      </c>
      <c r="P20" s="65">
        <v>0</v>
      </c>
      <c r="Q20" s="65">
        <v>0</v>
      </c>
      <c r="R20" s="65">
        <v>0</v>
      </c>
      <c r="S20" s="65">
        <v>0</v>
      </c>
      <c r="T20" s="65">
        <v>0</v>
      </c>
      <c r="U20" s="65">
        <v>0</v>
      </c>
      <c r="V20" s="65">
        <v>0</v>
      </c>
      <c r="W20" s="65">
        <v>0</v>
      </c>
      <c r="X20" s="65">
        <v>0</v>
      </c>
      <c r="Y20" s="65">
        <v>0</v>
      </c>
      <c r="Z20" s="65">
        <v>0</v>
      </c>
      <c r="AA20" s="65">
        <v>0</v>
      </c>
      <c r="AB20" s="65">
        <v>0</v>
      </c>
      <c r="AC20" s="65">
        <v>0</v>
      </c>
      <c r="AD20" s="65">
        <v>0</v>
      </c>
      <c r="AE20" s="65">
        <v>0</v>
      </c>
      <c r="AF20" s="65">
        <v>0</v>
      </c>
      <c r="AG20" s="65">
        <v>0</v>
      </c>
      <c r="AH20" s="65">
        <v>0</v>
      </c>
      <c r="AI20" s="65">
        <v>0</v>
      </c>
      <c r="AJ20" s="65">
        <v>0</v>
      </c>
      <c r="AK20" s="65">
        <v>56481.279999999999</v>
      </c>
    </row>
    <row r="21" spans="2:37" ht="12.75" customHeight="1" x14ac:dyDescent="0.35">
      <c r="B21" s="5">
        <v>7</v>
      </c>
      <c r="C21" s="60" t="s">
        <v>398</v>
      </c>
      <c r="D21" s="60" t="s">
        <v>284</v>
      </c>
      <c r="E21" s="60" t="s">
        <v>251</v>
      </c>
      <c r="F21" s="66" t="s">
        <v>216</v>
      </c>
      <c r="G21" s="82" t="s">
        <v>120</v>
      </c>
      <c r="H21" s="65" t="s">
        <v>345</v>
      </c>
      <c r="I21" s="65" t="s">
        <v>399</v>
      </c>
      <c r="J21" s="65" t="s">
        <v>400</v>
      </c>
      <c r="K21" s="65">
        <v>0</v>
      </c>
      <c r="L21" s="65">
        <v>0</v>
      </c>
      <c r="M21" s="65">
        <v>0</v>
      </c>
      <c r="N21" s="65">
        <v>0</v>
      </c>
      <c r="O21" s="65">
        <v>0</v>
      </c>
      <c r="P21" s="65">
        <v>0</v>
      </c>
      <c r="Q21" s="65">
        <v>0</v>
      </c>
      <c r="R21" s="65">
        <v>0</v>
      </c>
      <c r="S21" s="65">
        <v>0</v>
      </c>
      <c r="T21" s="65">
        <v>0</v>
      </c>
      <c r="U21" s="65">
        <v>0</v>
      </c>
      <c r="V21" s="65">
        <v>0</v>
      </c>
      <c r="W21" s="65">
        <v>0</v>
      </c>
      <c r="X21" s="65">
        <v>0</v>
      </c>
      <c r="Y21" s="65">
        <v>0</v>
      </c>
      <c r="Z21" s="65">
        <v>0</v>
      </c>
      <c r="AA21" s="65">
        <v>0</v>
      </c>
      <c r="AB21" s="65">
        <v>0</v>
      </c>
      <c r="AC21" s="65">
        <v>0</v>
      </c>
      <c r="AD21" s="65">
        <v>0</v>
      </c>
      <c r="AE21" s="65">
        <v>0</v>
      </c>
      <c r="AF21" s="65">
        <v>0</v>
      </c>
      <c r="AG21" s="65">
        <v>0</v>
      </c>
      <c r="AH21" s="65">
        <v>0</v>
      </c>
      <c r="AI21" s="65">
        <v>0</v>
      </c>
      <c r="AJ21" s="65">
        <v>0</v>
      </c>
      <c r="AK21" s="65">
        <v>47831.040000000001</v>
      </c>
    </row>
    <row r="22" spans="2:37" ht="12.75" customHeight="1" x14ac:dyDescent="0.35">
      <c r="B22" s="5">
        <v>8</v>
      </c>
      <c r="C22" s="60" t="s">
        <v>461</v>
      </c>
      <c r="D22" s="60" t="s">
        <v>284</v>
      </c>
      <c r="E22" s="60" t="s">
        <v>352</v>
      </c>
      <c r="F22" s="66" t="s">
        <v>216</v>
      </c>
      <c r="G22" s="82" t="s">
        <v>120</v>
      </c>
      <c r="H22" s="65" t="s">
        <v>345</v>
      </c>
      <c r="I22" s="65" t="s">
        <v>462</v>
      </c>
      <c r="J22" s="65" t="s">
        <v>463</v>
      </c>
      <c r="K22" s="65">
        <v>0</v>
      </c>
      <c r="L22" s="65">
        <v>0</v>
      </c>
      <c r="M22" s="65">
        <v>0</v>
      </c>
      <c r="N22" s="65">
        <v>0</v>
      </c>
      <c r="O22" s="65">
        <v>0</v>
      </c>
      <c r="P22" s="65">
        <v>0</v>
      </c>
      <c r="Q22" s="65">
        <v>0</v>
      </c>
      <c r="R22" s="65">
        <v>0</v>
      </c>
      <c r="S22" s="65">
        <v>0</v>
      </c>
      <c r="T22" s="65">
        <v>0</v>
      </c>
      <c r="U22" s="65">
        <v>0</v>
      </c>
      <c r="V22" s="65">
        <v>0</v>
      </c>
      <c r="W22" s="65">
        <v>0</v>
      </c>
      <c r="X22" s="65">
        <v>0</v>
      </c>
      <c r="Y22" s="65">
        <v>0</v>
      </c>
      <c r="Z22" s="65">
        <v>0</v>
      </c>
      <c r="AA22" s="65">
        <v>0</v>
      </c>
      <c r="AB22" s="65">
        <v>0</v>
      </c>
      <c r="AC22" s="65">
        <v>0</v>
      </c>
      <c r="AD22" s="65">
        <v>0</v>
      </c>
      <c r="AE22" s="65">
        <v>0</v>
      </c>
      <c r="AF22" s="65">
        <v>0</v>
      </c>
      <c r="AG22" s="65">
        <v>0</v>
      </c>
      <c r="AH22" s="65">
        <v>0</v>
      </c>
      <c r="AI22" s="65">
        <v>0</v>
      </c>
      <c r="AJ22" s="65">
        <v>0</v>
      </c>
      <c r="AK22" s="65">
        <v>63110.400000000001</v>
      </c>
    </row>
    <row r="23" spans="2:37" ht="12.75" customHeight="1" x14ac:dyDescent="0.35">
      <c r="B23" s="5">
        <v>9</v>
      </c>
      <c r="C23" s="60" t="s">
        <v>498</v>
      </c>
      <c r="D23" s="60" t="s">
        <v>284</v>
      </c>
      <c r="E23" s="60" t="s">
        <v>275</v>
      </c>
      <c r="F23" s="66" t="s">
        <v>216</v>
      </c>
      <c r="G23" s="82" t="s">
        <v>120</v>
      </c>
      <c r="H23" s="65" t="s">
        <v>345</v>
      </c>
      <c r="I23" s="65" t="s">
        <v>499</v>
      </c>
      <c r="J23" s="65" t="s">
        <v>500</v>
      </c>
      <c r="K23" s="65">
        <v>0</v>
      </c>
      <c r="L23" s="65">
        <v>0</v>
      </c>
      <c r="M23" s="65">
        <v>0</v>
      </c>
      <c r="N23" s="65">
        <v>0</v>
      </c>
      <c r="O23" s="65">
        <v>0</v>
      </c>
      <c r="P23" s="65">
        <v>0</v>
      </c>
      <c r="Q23" s="65">
        <v>0</v>
      </c>
      <c r="R23" s="65">
        <v>0</v>
      </c>
      <c r="S23" s="65">
        <v>0</v>
      </c>
      <c r="T23" s="65">
        <v>0</v>
      </c>
      <c r="U23" s="65">
        <v>0</v>
      </c>
      <c r="V23" s="65">
        <v>0</v>
      </c>
      <c r="W23" s="65">
        <v>0</v>
      </c>
      <c r="X23" s="65">
        <v>0</v>
      </c>
      <c r="Y23" s="65">
        <v>0</v>
      </c>
      <c r="Z23" s="65">
        <v>0</v>
      </c>
      <c r="AA23" s="65">
        <v>0</v>
      </c>
      <c r="AB23" s="65">
        <v>0</v>
      </c>
      <c r="AC23" s="65">
        <v>0</v>
      </c>
      <c r="AD23" s="65">
        <v>0</v>
      </c>
      <c r="AE23" s="65">
        <v>0</v>
      </c>
      <c r="AF23" s="65">
        <v>0</v>
      </c>
      <c r="AG23" s="65">
        <v>0</v>
      </c>
      <c r="AH23" s="65">
        <v>0</v>
      </c>
      <c r="AI23" s="65">
        <v>0</v>
      </c>
      <c r="AJ23" s="65">
        <v>0</v>
      </c>
      <c r="AK23" s="65">
        <v>50156.160000000003</v>
      </c>
    </row>
    <row r="24" spans="2:37" ht="12.75" customHeight="1" x14ac:dyDescent="0.35">
      <c r="B24" s="5">
        <v>10</v>
      </c>
      <c r="C24" s="60" t="s">
        <v>523</v>
      </c>
      <c r="D24" s="60" t="s">
        <v>284</v>
      </c>
      <c r="E24" s="60" t="s">
        <v>251</v>
      </c>
      <c r="F24" s="66" t="s">
        <v>216</v>
      </c>
      <c r="G24" s="82" t="s">
        <v>120</v>
      </c>
      <c r="H24" s="65" t="s">
        <v>345</v>
      </c>
      <c r="I24" s="65" t="s">
        <v>468</v>
      </c>
      <c r="J24" s="65" t="s">
        <v>524</v>
      </c>
      <c r="K24" s="65">
        <v>0</v>
      </c>
      <c r="L24" s="65">
        <v>0</v>
      </c>
      <c r="M24" s="65">
        <v>0</v>
      </c>
      <c r="N24" s="65">
        <v>0</v>
      </c>
      <c r="O24" s="65">
        <v>0</v>
      </c>
      <c r="P24" s="65">
        <v>0</v>
      </c>
      <c r="Q24" s="65">
        <v>0</v>
      </c>
      <c r="R24" s="65">
        <v>0</v>
      </c>
      <c r="S24" s="65">
        <v>0</v>
      </c>
      <c r="T24" s="65">
        <v>0</v>
      </c>
      <c r="U24" s="65">
        <v>0</v>
      </c>
      <c r="V24" s="65">
        <v>0</v>
      </c>
      <c r="W24" s="65">
        <v>0</v>
      </c>
      <c r="X24" s="65">
        <v>0</v>
      </c>
      <c r="Y24" s="65">
        <v>0</v>
      </c>
      <c r="Z24" s="65">
        <v>0</v>
      </c>
      <c r="AA24" s="65">
        <v>0</v>
      </c>
      <c r="AB24" s="65">
        <v>0</v>
      </c>
      <c r="AC24" s="65">
        <v>0</v>
      </c>
      <c r="AD24" s="65">
        <v>0</v>
      </c>
      <c r="AE24" s="65">
        <v>0</v>
      </c>
      <c r="AF24" s="65">
        <v>0</v>
      </c>
      <c r="AG24" s="65">
        <v>0</v>
      </c>
      <c r="AH24" s="65">
        <v>0</v>
      </c>
      <c r="AI24" s="65">
        <v>0</v>
      </c>
      <c r="AJ24" s="65">
        <v>0</v>
      </c>
      <c r="AK24" s="65">
        <v>23171.48</v>
      </c>
    </row>
    <row r="25" spans="2:37" ht="12.75" customHeight="1" x14ac:dyDescent="0.35">
      <c r="B25" s="5">
        <v>11</v>
      </c>
      <c r="C25" s="60" t="s">
        <v>526</v>
      </c>
      <c r="D25" s="60" t="s">
        <v>284</v>
      </c>
      <c r="E25" s="60" t="s">
        <v>344</v>
      </c>
      <c r="F25" s="66" t="s">
        <v>216</v>
      </c>
      <c r="G25" s="82" t="s">
        <v>120</v>
      </c>
      <c r="H25" s="65" t="s">
        <v>345</v>
      </c>
      <c r="I25" s="65" t="s">
        <v>527</v>
      </c>
      <c r="J25" s="65" t="s">
        <v>528</v>
      </c>
      <c r="K25" s="65">
        <v>0</v>
      </c>
      <c r="L25" s="65">
        <v>0</v>
      </c>
      <c r="M25" s="65">
        <v>0</v>
      </c>
      <c r="N25" s="65">
        <v>0</v>
      </c>
      <c r="O25" s="65">
        <v>0</v>
      </c>
      <c r="P25" s="65">
        <v>0</v>
      </c>
      <c r="Q25" s="65">
        <v>0</v>
      </c>
      <c r="R25" s="65">
        <v>0</v>
      </c>
      <c r="S25" s="65">
        <v>0</v>
      </c>
      <c r="T25" s="65">
        <v>0</v>
      </c>
      <c r="U25" s="65">
        <v>0</v>
      </c>
      <c r="V25" s="65">
        <v>0</v>
      </c>
      <c r="W25" s="65">
        <v>0</v>
      </c>
      <c r="X25" s="65">
        <v>0</v>
      </c>
      <c r="Y25" s="65">
        <v>0</v>
      </c>
      <c r="Z25" s="65">
        <v>0</v>
      </c>
      <c r="AA25" s="65">
        <v>0</v>
      </c>
      <c r="AB25" s="65">
        <v>0</v>
      </c>
      <c r="AC25" s="65">
        <v>0</v>
      </c>
      <c r="AD25" s="65">
        <v>0</v>
      </c>
      <c r="AE25" s="65">
        <v>0</v>
      </c>
      <c r="AF25" s="65">
        <v>0</v>
      </c>
      <c r="AG25" s="65">
        <v>0</v>
      </c>
      <c r="AH25" s="65">
        <v>0</v>
      </c>
      <c r="AI25" s="65">
        <v>0</v>
      </c>
      <c r="AJ25" s="65">
        <v>0</v>
      </c>
      <c r="AK25" s="65">
        <v>24579.84</v>
      </c>
    </row>
    <row r="26" spans="2:37" ht="12.75" customHeight="1" x14ac:dyDescent="0.35">
      <c r="B26" s="5">
        <v>12</v>
      </c>
      <c r="C26" s="60" t="s">
        <v>378</v>
      </c>
      <c r="D26" s="60" t="s">
        <v>379</v>
      </c>
      <c r="E26" s="60" t="s">
        <v>228</v>
      </c>
      <c r="F26" s="66" t="s">
        <v>216</v>
      </c>
      <c r="G26" s="82" t="s">
        <v>120</v>
      </c>
      <c r="H26" s="65" t="s">
        <v>380</v>
      </c>
      <c r="I26" s="65" t="s">
        <v>381</v>
      </c>
      <c r="J26" s="65" t="s">
        <v>382</v>
      </c>
      <c r="K26" s="65">
        <v>0</v>
      </c>
      <c r="L26" s="65">
        <v>0</v>
      </c>
      <c r="M26" s="65">
        <v>0</v>
      </c>
      <c r="N26" s="65">
        <v>0</v>
      </c>
      <c r="O26" s="65">
        <v>0</v>
      </c>
      <c r="P26" s="65">
        <v>0</v>
      </c>
      <c r="Q26" s="65">
        <v>0</v>
      </c>
      <c r="R26" s="65">
        <v>0</v>
      </c>
      <c r="S26" s="65">
        <v>0</v>
      </c>
      <c r="T26" s="65">
        <v>0</v>
      </c>
      <c r="U26" s="65">
        <v>0</v>
      </c>
      <c r="V26" s="65">
        <v>0</v>
      </c>
      <c r="W26" s="65">
        <v>0</v>
      </c>
      <c r="X26" s="65">
        <v>0</v>
      </c>
      <c r="Y26" s="65">
        <v>0</v>
      </c>
      <c r="Z26" s="65">
        <v>0</v>
      </c>
      <c r="AA26" s="65">
        <v>0</v>
      </c>
      <c r="AB26" s="65">
        <v>0</v>
      </c>
      <c r="AC26" s="65">
        <v>0</v>
      </c>
      <c r="AD26" s="65">
        <v>0</v>
      </c>
      <c r="AE26" s="65">
        <v>0</v>
      </c>
      <c r="AF26" s="65">
        <v>0</v>
      </c>
      <c r="AG26" s="65">
        <v>0</v>
      </c>
      <c r="AH26" s="65">
        <v>0</v>
      </c>
      <c r="AI26" s="65">
        <v>0</v>
      </c>
      <c r="AJ26" s="65">
        <v>0</v>
      </c>
      <c r="AK26" s="65">
        <v>90671.039999999994</v>
      </c>
    </row>
    <row r="27" spans="2:37" ht="12.75" customHeight="1" x14ac:dyDescent="0.35">
      <c r="B27" s="5">
        <v>13</v>
      </c>
      <c r="C27" s="60" t="s">
        <v>410</v>
      </c>
      <c r="D27" s="60" t="s">
        <v>379</v>
      </c>
      <c r="E27" s="60" t="s">
        <v>352</v>
      </c>
      <c r="F27" s="66" t="s">
        <v>216</v>
      </c>
      <c r="G27" s="82" t="s">
        <v>120</v>
      </c>
      <c r="H27" s="65" t="s">
        <v>380</v>
      </c>
      <c r="I27" s="65" t="s">
        <v>411</v>
      </c>
      <c r="J27" s="65" t="s">
        <v>412</v>
      </c>
      <c r="K27" s="65">
        <v>0</v>
      </c>
      <c r="L27" s="65">
        <v>0</v>
      </c>
      <c r="M27" s="65">
        <v>0</v>
      </c>
      <c r="N27" s="65">
        <v>0</v>
      </c>
      <c r="O27" s="65">
        <v>0</v>
      </c>
      <c r="P27" s="65">
        <v>0</v>
      </c>
      <c r="Q27" s="65">
        <v>0</v>
      </c>
      <c r="R27" s="65">
        <v>0</v>
      </c>
      <c r="S27" s="65">
        <v>0</v>
      </c>
      <c r="T27" s="65">
        <v>0</v>
      </c>
      <c r="U27" s="65">
        <v>0</v>
      </c>
      <c r="V27" s="65">
        <v>0</v>
      </c>
      <c r="W27" s="65">
        <v>0</v>
      </c>
      <c r="X27" s="65">
        <v>0</v>
      </c>
      <c r="Y27" s="65">
        <v>0</v>
      </c>
      <c r="Z27" s="65">
        <v>0</v>
      </c>
      <c r="AA27" s="65">
        <v>0</v>
      </c>
      <c r="AB27" s="65">
        <v>0</v>
      </c>
      <c r="AC27" s="65">
        <v>0</v>
      </c>
      <c r="AD27" s="65">
        <v>0</v>
      </c>
      <c r="AE27" s="65">
        <v>0</v>
      </c>
      <c r="AF27" s="65">
        <v>0</v>
      </c>
      <c r="AG27" s="65">
        <v>0</v>
      </c>
      <c r="AH27" s="65">
        <v>0</v>
      </c>
      <c r="AI27" s="65">
        <v>0</v>
      </c>
      <c r="AJ27" s="65">
        <v>0</v>
      </c>
      <c r="AK27" s="65">
        <v>85992.48</v>
      </c>
    </row>
    <row r="28" spans="2:37" ht="12.75" customHeight="1" x14ac:dyDescent="0.35">
      <c r="B28" s="5">
        <v>14</v>
      </c>
      <c r="C28" s="60" t="s">
        <v>413</v>
      </c>
      <c r="D28" s="60" t="s">
        <v>379</v>
      </c>
      <c r="E28" s="60" t="s">
        <v>251</v>
      </c>
      <c r="F28" s="66" t="s">
        <v>216</v>
      </c>
      <c r="G28" s="82" t="s">
        <v>120</v>
      </c>
      <c r="H28" s="65" t="s">
        <v>380</v>
      </c>
      <c r="I28" s="65" t="s">
        <v>414</v>
      </c>
      <c r="J28" s="65" t="s">
        <v>415</v>
      </c>
      <c r="K28" s="65">
        <v>0</v>
      </c>
      <c r="L28" s="65">
        <v>0</v>
      </c>
      <c r="M28" s="65">
        <v>0</v>
      </c>
      <c r="N28" s="65">
        <v>0</v>
      </c>
      <c r="O28" s="65">
        <v>0</v>
      </c>
      <c r="P28" s="65">
        <v>0</v>
      </c>
      <c r="Q28" s="65">
        <v>0</v>
      </c>
      <c r="R28" s="65">
        <v>0</v>
      </c>
      <c r="S28" s="65">
        <v>0</v>
      </c>
      <c r="T28" s="65">
        <v>0</v>
      </c>
      <c r="U28" s="65">
        <v>0</v>
      </c>
      <c r="V28" s="65">
        <v>0</v>
      </c>
      <c r="W28" s="65">
        <v>0</v>
      </c>
      <c r="X28" s="65">
        <v>0</v>
      </c>
      <c r="Y28" s="65">
        <v>0</v>
      </c>
      <c r="Z28" s="65">
        <v>0</v>
      </c>
      <c r="AA28" s="65">
        <v>0</v>
      </c>
      <c r="AB28" s="65">
        <v>0</v>
      </c>
      <c r="AC28" s="65">
        <v>0</v>
      </c>
      <c r="AD28" s="65">
        <v>0</v>
      </c>
      <c r="AE28" s="65">
        <v>0</v>
      </c>
      <c r="AF28" s="65">
        <v>0</v>
      </c>
      <c r="AG28" s="65">
        <v>0</v>
      </c>
      <c r="AH28" s="65">
        <v>0</v>
      </c>
      <c r="AI28" s="65">
        <v>0</v>
      </c>
      <c r="AJ28" s="65">
        <v>0</v>
      </c>
      <c r="AK28" s="65">
        <v>93790.080000000002</v>
      </c>
    </row>
    <row r="29" spans="2:37" ht="12.75" customHeight="1" x14ac:dyDescent="0.35">
      <c r="B29" s="5">
        <v>15</v>
      </c>
      <c r="C29" s="60" t="s">
        <v>437</v>
      </c>
      <c r="D29" s="60" t="s">
        <v>379</v>
      </c>
      <c r="E29" s="60" t="s">
        <v>438</v>
      </c>
      <c r="F29" s="66" t="s">
        <v>216</v>
      </c>
      <c r="G29" s="82" t="s">
        <v>120</v>
      </c>
      <c r="H29" s="65" t="s">
        <v>380</v>
      </c>
      <c r="I29" s="65" t="s">
        <v>439</v>
      </c>
      <c r="J29" s="65" t="s">
        <v>440</v>
      </c>
      <c r="K29" s="65">
        <v>0</v>
      </c>
      <c r="L29" s="65">
        <v>0</v>
      </c>
      <c r="M29" s="65">
        <v>0</v>
      </c>
      <c r="N29" s="65">
        <v>0</v>
      </c>
      <c r="O29" s="65">
        <v>0</v>
      </c>
      <c r="P29" s="65">
        <v>0</v>
      </c>
      <c r="Q29" s="65">
        <v>0</v>
      </c>
      <c r="R29" s="65">
        <v>0</v>
      </c>
      <c r="S29" s="65">
        <v>0</v>
      </c>
      <c r="T29" s="65">
        <v>0</v>
      </c>
      <c r="U29" s="65">
        <v>0</v>
      </c>
      <c r="V29" s="65">
        <v>0</v>
      </c>
      <c r="W29" s="65">
        <v>0</v>
      </c>
      <c r="X29" s="65">
        <v>0</v>
      </c>
      <c r="Y29" s="65">
        <v>0</v>
      </c>
      <c r="Z29" s="65">
        <v>0</v>
      </c>
      <c r="AA29" s="65">
        <v>0</v>
      </c>
      <c r="AB29" s="65">
        <v>0</v>
      </c>
      <c r="AC29" s="65">
        <v>0</v>
      </c>
      <c r="AD29" s="65">
        <v>0</v>
      </c>
      <c r="AE29" s="65">
        <v>0</v>
      </c>
      <c r="AF29" s="65">
        <v>0</v>
      </c>
      <c r="AG29" s="65">
        <v>0</v>
      </c>
      <c r="AH29" s="65">
        <v>0</v>
      </c>
      <c r="AI29" s="65">
        <v>0</v>
      </c>
      <c r="AJ29" s="65">
        <v>0</v>
      </c>
      <c r="AK29" s="65">
        <v>82944.800000000003</v>
      </c>
    </row>
    <row r="30" spans="2:37" ht="12.75" customHeight="1" x14ac:dyDescent="0.35">
      <c r="B30" s="5">
        <v>16</v>
      </c>
      <c r="C30" s="60" t="s">
        <v>479</v>
      </c>
      <c r="D30" s="60" t="s">
        <v>379</v>
      </c>
      <c r="E30" s="60" t="s">
        <v>251</v>
      </c>
      <c r="F30" s="66" t="s">
        <v>216</v>
      </c>
      <c r="G30" s="82" t="s">
        <v>120</v>
      </c>
      <c r="H30" s="65" t="s">
        <v>380</v>
      </c>
      <c r="I30" s="65" t="s">
        <v>480</v>
      </c>
      <c r="J30" s="65" t="s">
        <v>481</v>
      </c>
      <c r="K30" s="65">
        <v>0</v>
      </c>
      <c r="L30" s="65">
        <v>0</v>
      </c>
      <c r="M30" s="65">
        <v>0</v>
      </c>
      <c r="N30" s="65">
        <v>0</v>
      </c>
      <c r="O30" s="65">
        <v>0</v>
      </c>
      <c r="P30" s="65">
        <v>0</v>
      </c>
      <c r="Q30" s="65">
        <v>0</v>
      </c>
      <c r="R30" s="65">
        <v>0</v>
      </c>
      <c r="S30" s="65">
        <v>0</v>
      </c>
      <c r="T30" s="65">
        <v>0</v>
      </c>
      <c r="U30" s="65">
        <v>0</v>
      </c>
      <c r="V30" s="65">
        <v>0</v>
      </c>
      <c r="W30" s="65">
        <v>0</v>
      </c>
      <c r="X30" s="65">
        <v>0</v>
      </c>
      <c r="Y30" s="65">
        <v>0</v>
      </c>
      <c r="Z30" s="65">
        <v>0</v>
      </c>
      <c r="AA30" s="65">
        <v>0</v>
      </c>
      <c r="AB30" s="65">
        <v>0</v>
      </c>
      <c r="AC30" s="65">
        <v>0</v>
      </c>
      <c r="AD30" s="65">
        <v>0</v>
      </c>
      <c r="AE30" s="65">
        <v>0</v>
      </c>
      <c r="AF30" s="65">
        <v>0</v>
      </c>
      <c r="AG30" s="65">
        <v>0</v>
      </c>
      <c r="AH30" s="65">
        <v>0</v>
      </c>
      <c r="AI30" s="65">
        <v>0</v>
      </c>
      <c r="AJ30" s="65">
        <v>0</v>
      </c>
      <c r="AK30" s="65">
        <v>103621.52</v>
      </c>
    </row>
    <row r="31" spans="2:37" ht="12.75" customHeight="1" x14ac:dyDescent="0.35">
      <c r="B31" s="5">
        <v>17</v>
      </c>
      <c r="C31" s="60" t="s">
        <v>529</v>
      </c>
      <c r="D31" s="60" t="s">
        <v>379</v>
      </c>
      <c r="E31" s="60" t="s">
        <v>251</v>
      </c>
      <c r="F31" s="66" t="s">
        <v>216</v>
      </c>
      <c r="G31" s="82" t="s">
        <v>120</v>
      </c>
      <c r="H31" s="65" t="s">
        <v>380</v>
      </c>
      <c r="I31" s="65" t="s">
        <v>530</v>
      </c>
      <c r="J31" s="65" t="s">
        <v>531</v>
      </c>
      <c r="K31" s="65">
        <v>0</v>
      </c>
      <c r="L31" s="65">
        <v>0</v>
      </c>
      <c r="M31" s="65">
        <v>0</v>
      </c>
      <c r="N31" s="65">
        <v>0</v>
      </c>
      <c r="O31" s="65">
        <v>0</v>
      </c>
      <c r="P31" s="65">
        <v>0</v>
      </c>
      <c r="Q31" s="65">
        <v>0</v>
      </c>
      <c r="R31" s="65">
        <v>0</v>
      </c>
      <c r="S31" s="65">
        <v>0</v>
      </c>
      <c r="T31" s="65">
        <v>0</v>
      </c>
      <c r="U31" s="65">
        <v>0</v>
      </c>
      <c r="V31" s="65">
        <v>0</v>
      </c>
      <c r="W31" s="65">
        <v>0</v>
      </c>
      <c r="X31" s="65">
        <v>0</v>
      </c>
      <c r="Y31" s="65">
        <v>0</v>
      </c>
      <c r="Z31" s="65">
        <v>0</v>
      </c>
      <c r="AA31" s="65">
        <v>0</v>
      </c>
      <c r="AB31" s="65">
        <v>0</v>
      </c>
      <c r="AC31" s="65">
        <v>0</v>
      </c>
      <c r="AD31" s="65">
        <v>0</v>
      </c>
      <c r="AE31" s="65">
        <v>0</v>
      </c>
      <c r="AF31" s="65">
        <v>0</v>
      </c>
      <c r="AG31" s="65">
        <v>0</v>
      </c>
      <c r="AH31" s="65">
        <v>0</v>
      </c>
      <c r="AI31" s="65">
        <v>0</v>
      </c>
      <c r="AJ31" s="65">
        <v>0</v>
      </c>
      <c r="AK31" s="65">
        <v>87003.12</v>
      </c>
    </row>
    <row r="32" spans="2:37" ht="12.75" customHeight="1" x14ac:dyDescent="0.35">
      <c r="B32" s="5">
        <v>18</v>
      </c>
      <c r="C32" s="60"/>
      <c r="D32" s="60" t="s">
        <v>379</v>
      </c>
      <c r="E32" s="60" t="s">
        <v>352</v>
      </c>
      <c r="F32" s="66" t="s">
        <v>216</v>
      </c>
      <c r="G32" s="82" t="s">
        <v>120</v>
      </c>
      <c r="H32" s="65" t="s">
        <v>380</v>
      </c>
      <c r="I32" s="65" t="s">
        <v>411</v>
      </c>
      <c r="J32" s="65" t="s">
        <v>412</v>
      </c>
      <c r="K32" s="65">
        <v>0</v>
      </c>
      <c r="L32" s="65">
        <v>0</v>
      </c>
      <c r="M32" s="65">
        <v>0</v>
      </c>
      <c r="N32" s="65">
        <v>0</v>
      </c>
      <c r="O32" s="65">
        <v>0</v>
      </c>
      <c r="P32" s="65">
        <v>0</v>
      </c>
      <c r="Q32" s="65">
        <v>0</v>
      </c>
      <c r="R32" s="65">
        <v>0</v>
      </c>
      <c r="S32" s="65">
        <v>0</v>
      </c>
      <c r="T32" s="65">
        <v>0</v>
      </c>
      <c r="U32" s="65">
        <v>0</v>
      </c>
      <c r="V32" s="65">
        <v>0</v>
      </c>
      <c r="W32" s="65">
        <v>0</v>
      </c>
      <c r="X32" s="65">
        <v>0</v>
      </c>
      <c r="Y32" s="65">
        <v>0</v>
      </c>
      <c r="Z32" s="65">
        <v>0</v>
      </c>
      <c r="AA32" s="65">
        <v>0</v>
      </c>
      <c r="AB32" s="65">
        <v>0</v>
      </c>
      <c r="AC32" s="65">
        <v>0</v>
      </c>
      <c r="AD32" s="65">
        <v>0</v>
      </c>
      <c r="AE32" s="65">
        <v>0</v>
      </c>
      <c r="AF32" s="65">
        <v>0</v>
      </c>
      <c r="AG32" s="65">
        <v>0</v>
      </c>
      <c r="AH32" s="65">
        <v>0</v>
      </c>
      <c r="AI32" s="65">
        <v>0</v>
      </c>
      <c r="AJ32" s="65">
        <v>0</v>
      </c>
      <c r="AK32" s="65">
        <v>85992.48</v>
      </c>
    </row>
    <row r="33" spans="2:37" ht="12.75" customHeight="1" x14ac:dyDescent="0.35">
      <c r="B33" s="5">
        <v>19</v>
      </c>
      <c r="C33" s="60"/>
      <c r="D33" s="60" t="s">
        <v>379</v>
      </c>
      <c r="E33" s="60" t="s">
        <v>352</v>
      </c>
      <c r="F33" s="66" t="s">
        <v>216</v>
      </c>
      <c r="G33" s="82" t="s">
        <v>120</v>
      </c>
      <c r="H33" s="65" t="s">
        <v>380</v>
      </c>
      <c r="I33" s="65" t="s">
        <v>411</v>
      </c>
      <c r="J33" s="65" t="s">
        <v>412</v>
      </c>
      <c r="K33" s="65">
        <v>0</v>
      </c>
      <c r="L33" s="65">
        <v>0</v>
      </c>
      <c r="M33" s="65">
        <v>0</v>
      </c>
      <c r="N33" s="65">
        <v>0</v>
      </c>
      <c r="O33" s="65">
        <v>0</v>
      </c>
      <c r="P33" s="65">
        <v>0</v>
      </c>
      <c r="Q33" s="65">
        <v>0</v>
      </c>
      <c r="R33" s="65">
        <v>0</v>
      </c>
      <c r="S33" s="65">
        <v>0</v>
      </c>
      <c r="T33" s="65">
        <v>0</v>
      </c>
      <c r="U33" s="65">
        <v>0</v>
      </c>
      <c r="V33" s="65">
        <v>0</v>
      </c>
      <c r="W33" s="65">
        <v>0</v>
      </c>
      <c r="X33" s="65">
        <v>0</v>
      </c>
      <c r="Y33" s="65">
        <v>0</v>
      </c>
      <c r="Z33" s="65">
        <v>0</v>
      </c>
      <c r="AA33" s="65">
        <v>0</v>
      </c>
      <c r="AB33" s="65">
        <v>0</v>
      </c>
      <c r="AC33" s="65">
        <v>0</v>
      </c>
      <c r="AD33" s="65">
        <v>0</v>
      </c>
      <c r="AE33" s="65">
        <v>0</v>
      </c>
      <c r="AF33" s="65">
        <v>0</v>
      </c>
      <c r="AG33" s="65">
        <v>0</v>
      </c>
      <c r="AH33" s="65">
        <v>0</v>
      </c>
      <c r="AI33" s="65">
        <v>0</v>
      </c>
      <c r="AJ33" s="65">
        <v>0</v>
      </c>
      <c r="AK33" s="65">
        <v>85992.48</v>
      </c>
    </row>
    <row r="34" spans="2:37" ht="12.75" customHeight="1" x14ac:dyDescent="0.35">
      <c r="B34" s="5">
        <v>20</v>
      </c>
      <c r="C34" s="60" t="s">
        <v>271</v>
      </c>
      <c r="D34" s="60" t="s">
        <v>272</v>
      </c>
      <c r="E34" s="60" t="s">
        <v>225</v>
      </c>
      <c r="F34" s="66" t="s">
        <v>216</v>
      </c>
      <c r="G34" s="82" t="s">
        <v>217</v>
      </c>
      <c r="H34" s="65">
        <v>0</v>
      </c>
      <c r="I34" s="65">
        <v>0</v>
      </c>
      <c r="J34" s="65">
        <v>0</v>
      </c>
      <c r="K34" s="65">
        <v>11387</v>
      </c>
      <c r="L34" s="65">
        <v>2000</v>
      </c>
      <c r="M34" s="65">
        <v>0</v>
      </c>
      <c r="N34" s="65">
        <v>0</v>
      </c>
      <c r="O34" s="65">
        <v>5000</v>
      </c>
      <c r="P34" s="65">
        <v>1500</v>
      </c>
      <c r="Q34" s="65">
        <v>150</v>
      </c>
      <c r="R34" s="65">
        <v>0</v>
      </c>
      <c r="S34" s="65">
        <v>5000</v>
      </c>
      <c r="T34" s="65">
        <v>0</v>
      </c>
      <c r="U34" s="65">
        <v>0</v>
      </c>
      <c r="V34" s="65">
        <v>1056.82</v>
      </c>
      <c r="W34" s="65">
        <v>0</v>
      </c>
      <c r="X34" s="65">
        <v>0</v>
      </c>
      <c r="Y34" s="65">
        <v>11387</v>
      </c>
      <c r="Z34" s="65">
        <v>5000</v>
      </c>
      <c r="AA34" s="65">
        <v>11387</v>
      </c>
      <c r="AB34" s="65">
        <v>1366.44</v>
      </c>
      <c r="AC34" s="65">
        <v>100</v>
      </c>
      <c r="AD34" s="65">
        <v>137.5</v>
      </c>
      <c r="AE34" s="65">
        <v>100</v>
      </c>
      <c r="AF34" s="65">
        <v>0</v>
      </c>
      <c r="AG34" s="65">
        <v>0</v>
      </c>
      <c r="AH34" s="65">
        <v>0</v>
      </c>
      <c r="AI34" s="65">
        <v>0</v>
      </c>
      <c r="AJ34" s="65">
        <v>0</v>
      </c>
      <c r="AK34" s="65">
        <v>251047.12</v>
      </c>
    </row>
    <row r="35" spans="2:37" ht="12.75" customHeight="1" x14ac:dyDescent="0.35">
      <c r="B35" s="5">
        <v>21</v>
      </c>
      <c r="C35" s="60" t="s">
        <v>308</v>
      </c>
      <c r="D35" s="60" t="s">
        <v>309</v>
      </c>
      <c r="E35" s="60" t="s">
        <v>251</v>
      </c>
      <c r="F35" s="66" t="s">
        <v>216</v>
      </c>
      <c r="G35" s="82" t="s">
        <v>217</v>
      </c>
      <c r="H35" s="65">
        <v>0</v>
      </c>
      <c r="I35" s="65">
        <v>0</v>
      </c>
      <c r="J35" s="65">
        <v>0</v>
      </c>
      <c r="K35" s="65">
        <v>12155</v>
      </c>
      <c r="L35" s="65">
        <v>2000</v>
      </c>
      <c r="M35" s="65">
        <v>0</v>
      </c>
      <c r="N35" s="65">
        <v>0</v>
      </c>
      <c r="O35" s="65">
        <v>5000</v>
      </c>
      <c r="P35" s="65">
        <v>1500</v>
      </c>
      <c r="Q35" s="65">
        <v>150</v>
      </c>
      <c r="R35" s="65">
        <v>0</v>
      </c>
      <c r="S35" s="65">
        <v>5000</v>
      </c>
      <c r="T35" s="65">
        <v>0</v>
      </c>
      <c r="U35" s="65">
        <v>0</v>
      </c>
      <c r="V35" s="65">
        <v>1141.3499999999999</v>
      </c>
      <c r="W35" s="65">
        <v>0</v>
      </c>
      <c r="X35" s="65">
        <v>0</v>
      </c>
      <c r="Y35" s="65">
        <v>12155</v>
      </c>
      <c r="Z35" s="65">
        <v>5000</v>
      </c>
      <c r="AA35" s="65">
        <v>12155</v>
      </c>
      <c r="AB35" s="65">
        <v>1458.6</v>
      </c>
      <c r="AC35" s="65">
        <v>100</v>
      </c>
      <c r="AD35" s="65">
        <v>150</v>
      </c>
      <c r="AE35" s="65">
        <v>100</v>
      </c>
      <c r="AF35" s="65">
        <v>0</v>
      </c>
      <c r="AG35" s="65">
        <v>0</v>
      </c>
      <c r="AH35" s="65">
        <v>0</v>
      </c>
      <c r="AI35" s="65">
        <v>0</v>
      </c>
      <c r="AJ35" s="65">
        <v>5000</v>
      </c>
      <c r="AK35" s="65">
        <v>269119.40000000002</v>
      </c>
    </row>
    <row r="36" spans="2:37" ht="12.75" customHeight="1" x14ac:dyDescent="0.35">
      <c r="B36" s="5">
        <v>22</v>
      </c>
      <c r="C36" s="60" t="s">
        <v>245</v>
      </c>
      <c r="D36" s="60" t="s">
        <v>246</v>
      </c>
      <c r="E36" s="60" t="s">
        <v>247</v>
      </c>
      <c r="F36" s="66" t="s">
        <v>216</v>
      </c>
      <c r="G36" s="82" t="s">
        <v>217</v>
      </c>
      <c r="H36" s="65">
        <v>0</v>
      </c>
      <c r="I36" s="65">
        <v>0</v>
      </c>
      <c r="J36" s="65">
        <v>0</v>
      </c>
      <c r="K36" s="65">
        <v>32747</v>
      </c>
      <c r="L36" s="65">
        <v>2000</v>
      </c>
      <c r="M36" s="65">
        <v>0</v>
      </c>
      <c r="N36" s="65">
        <v>0</v>
      </c>
      <c r="O36" s="65">
        <v>5000</v>
      </c>
      <c r="P36" s="65">
        <v>1500</v>
      </c>
      <c r="Q36" s="65">
        <v>150</v>
      </c>
      <c r="R36" s="65">
        <v>0</v>
      </c>
      <c r="S36" s="65">
        <v>5000</v>
      </c>
      <c r="T36" s="65">
        <v>0</v>
      </c>
      <c r="U36" s="65">
        <v>0</v>
      </c>
      <c r="V36" s="65">
        <v>2615.1999999999998</v>
      </c>
      <c r="W36" s="65">
        <v>0</v>
      </c>
      <c r="X36" s="65">
        <v>0</v>
      </c>
      <c r="Y36" s="65">
        <v>32747</v>
      </c>
      <c r="Z36" s="65">
        <v>5000</v>
      </c>
      <c r="AA36" s="65">
        <v>32747</v>
      </c>
      <c r="AB36" s="65">
        <v>3929.64</v>
      </c>
      <c r="AC36" s="65">
        <v>100</v>
      </c>
      <c r="AD36" s="65">
        <v>400</v>
      </c>
      <c r="AE36" s="65">
        <v>100</v>
      </c>
      <c r="AF36" s="65">
        <v>0</v>
      </c>
      <c r="AG36" s="65">
        <v>0</v>
      </c>
      <c r="AH36" s="65">
        <v>0</v>
      </c>
      <c r="AI36" s="65">
        <v>0</v>
      </c>
      <c r="AJ36" s="65">
        <v>0</v>
      </c>
      <c r="AK36" s="65">
        <v>602096.07999999996</v>
      </c>
    </row>
    <row r="37" spans="2:37" ht="12.75" customHeight="1" x14ac:dyDescent="0.35">
      <c r="B37" s="5">
        <v>23</v>
      </c>
      <c r="C37" s="60" t="s">
        <v>401</v>
      </c>
      <c r="D37" s="60" t="s">
        <v>402</v>
      </c>
      <c r="E37" s="60" t="s">
        <v>239</v>
      </c>
      <c r="F37" s="66" t="s">
        <v>216</v>
      </c>
      <c r="G37" s="82" t="s">
        <v>120</v>
      </c>
      <c r="H37" s="65" t="s">
        <v>403</v>
      </c>
      <c r="I37" s="65" t="s">
        <v>404</v>
      </c>
      <c r="J37" s="65" t="s">
        <v>405</v>
      </c>
      <c r="K37" s="65">
        <v>0</v>
      </c>
      <c r="L37" s="65">
        <v>0</v>
      </c>
      <c r="M37" s="65">
        <v>0</v>
      </c>
      <c r="N37" s="65">
        <v>0</v>
      </c>
      <c r="O37" s="65">
        <v>0</v>
      </c>
      <c r="P37" s="65">
        <v>0</v>
      </c>
      <c r="Q37" s="65">
        <v>0</v>
      </c>
      <c r="R37" s="65">
        <v>0</v>
      </c>
      <c r="S37" s="65">
        <v>0</v>
      </c>
      <c r="T37" s="65">
        <v>0</v>
      </c>
      <c r="U37" s="65">
        <v>0</v>
      </c>
      <c r="V37" s="65">
        <v>0</v>
      </c>
      <c r="W37" s="65">
        <v>0</v>
      </c>
      <c r="X37" s="65">
        <v>0</v>
      </c>
      <c r="Y37" s="65">
        <v>0</v>
      </c>
      <c r="Z37" s="65">
        <v>0</v>
      </c>
      <c r="AA37" s="65">
        <v>0</v>
      </c>
      <c r="AB37" s="65">
        <v>0</v>
      </c>
      <c r="AC37" s="65">
        <v>0</v>
      </c>
      <c r="AD37" s="65">
        <v>0</v>
      </c>
      <c r="AE37" s="65">
        <v>0</v>
      </c>
      <c r="AF37" s="65">
        <v>0</v>
      </c>
      <c r="AG37" s="65">
        <v>0</v>
      </c>
      <c r="AH37" s="65">
        <v>0</v>
      </c>
      <c r="AI37" s="65">
        <v>0</v>
      </c>
      <c r="AJ37" s="65">
        <v>0</v>
      </c>
      <c r="AK37" s="65">
        <v>135635.76</v>
      </c>
    </row>
    <row r="38" spans="2:37" ht="12.75" customHeight="1" x14ac:dyDescent="0.35">
      <c r="B38" s="5">
        <v>24</v>
      </c>
      <c r="C38" s="60" t="s">
        <v>482</v>
      </c>
      <c r="D38" s="60" t="s">
        <v>402</v>
      </c>
      <c r="E38" s="60" t="s">
        <v>483</v>
      </c>
      <c r="F38" s="66" t="s">
        <v>216</v>
      </c>
      <c r="G38" s="82" t="s">
        <v>120</v>
      </c>
      <c r="H38" s="65" t="s">
        <v>345</v>
      </c>
      <c r="I38" s="65" t="s">
        <v>484</v>
      </c>
      <c r="J38" s="65" t="s">
        <v>485</v>
      </c>
      <c r="K38" s="65">
        <v>0</v>
      </c>
      <c r="L38" s="65">
        <v>0</v>
      </c>
      <c r="M38" s="65">
        <v>0</v>
      </c>
      <c r="N38" s="65">
        <v>0</v>
      </c>
      <c r="O38" s="65">
        <v>0</v>
      </c>
      <c r="P38" s="65">
        <v>0</v>
      </c>
      <c r="Q38" s="65">
        <v>0</v>
      </c>
      <c r="R38" s="65">
        <v>0</v>
      </c>
      <c r="S38" s="65">
        <v>0</v>
      </c>
      <c r="T38" s="65">
        <v>0</v>
      </c>
      <c r="U38" s="65">
        <v>0</v>
      </c>
      <c r="V38" s="65">
        <v>0</v>
      </c>
      <c r="W38" s="65">
        <v>0</v>
      </c>
      <c r="X38" s="65">
        <v>0</v>
      </c>
      <c r="Y38" s="65">
        <v>0</v>
      </c>
      <c r="Z38" s="65">
        <v>0</v>
      </c>
      <c r="AA38" s="65">
        <v>0</v>
      </c>
      <c r="AB38" s="65">
        <v>0</v>
      </c>
      <c r="AC38" s="65">
        <v>0</v>
      </c>
      <c r="AD38" s="65">
        <v>0</v>
      </c>
      <c r="AE38" s="65">
        <v>0</v>
      </c>
      <c r="AF38" s="65">
        <v>0</v>
      </c>
      <c r="AG38" s="65">
        <v>0</v>
      </c>
      <c r="AH38" s="65">
        <v>0</v>
      </c>
      <c r="AI38" s="65">
        <v>0</v>
      </c>
      <c r="AJ38" s="65">
        <v>0</v>
      </c>
      <c r="AK38" s="65">
        <v>105626.88</v>
      </c>
    </row>
    <row r="39" spans="2:37" ht="12.75" customHeight="1" x14ac:dyDescent="0.35">
      <c r="B39" s="5">
        <v>25</v>
      </c>
      <c r="C39" s="60"/>
      <c r="D39" s="60" t="s">
        <v>402</v>
      </c>
      <c r="E39" s="60" t="s">
        <v>483</v>
      </c>
      <c r="F39" s="66" t="s">
        <v>216</v>
      </c>
      <c r="G39" s="82" t="s">
        <v>120</v>
      </c>
      <c r="H39" s="65" t="s">
        <v>345</v>
      </c>
      <c r="I39" s="65" t="s">
        <v>484</v>
      </c>
      <c r="J39" s="65" t="s">
        <v>485</v>
      </c>
      <c r="K39" s="65">
        <v>0</v>
      </c>
      <c r="L39" s="65">
        <v>0</v>
      </c>
      <c r="M39" s="65">
        <v>0</v>
      </c>
      <c r="N39" s="65">
        <v>0</v>
      </c>
      <c r="O39" s="65">
        <v>0</v>
      </c>
      <c r="P39" s="65">
        <v>0</v>
      </c>
      <c r="Q39" s="65">
        <v>0</v>
      </c>
      <c r="R39" s="65">
        <v>0</v>
      </c>
      <c r="S39" s="65">
        <v>0</v>
      </c>
      <c r="T39" s="65">
        <v>0</v>
      </c>
      <c r="U39" s="65">
        <v>0</v>
      </c>
      <c r="V39" s="65">
        <v>0</v>
      </c>
      <c r="W39" s="65">
        <v>0</v>
      </c>
      <c r="X39" s="65">
        <v>0</v>
      </c>
      <c r="Y39" s="65">
        <v>0</v>
      </c>
      <c r="Z39" s="65">
        <v>0</v>
      </c>
      <c r="AA39" s="65">
        <v>0</v>
      </c>
      <c r="AB39" s="65">
        <v>0</v>
      </c>
      <c r="AC39" s="65">
        <v>0</v>
      </c>
      <c r="AD39" s="65">
        <v>0</v>
      </c>
      <c r="AE39" s="65">
        <v>0</v>
      </c>
      <c r="AF39" s="65">
        <v>0</v>
      </c>
      <c r="AG39" s="65">
        <v>0</v>
      </c>
      <c r="AH39" s="65">
        <v>0</v>
      </c>
      <c r="AI39" s="65">
        <v>0</v>
      </c>
      <c r="AJ39" s="65">
        <v>0</v>
      </c>
      <c r="AK39" s="65">
        <v>105626.88</v>
      </c>
    </row>
    <row r="40" spans="2:37" ht="12.75" customHeight="1" x14ac:dyDescent="0.35">
      <c r="B40" s="5">
        <v>26</v>
      </c>
      <c r="C40" s="60" t="s">
        <v>261</v>
      </c>
      <c r="D40" s="60" t="s">
        <v>262</v>
      </c>
      <c r="E40" s="60" t="s">
        <v>263</v>
      </c>
      <c r="F40" s="66" t="s">
        <v>216</v>
      </c>
      <c r="G40" s="82" t="s">
        <v>217</v>
      </c>
      <c r="H40" s="65">
        <v>0</v>
      </c>
      <c r="I40" s="65">
        <v>0</v>
      </c>
      <c r="J40" s="65">
        <v>0</v>
      </c>
      <c r="K40" s="65">
        <v>12155</v>
      </c>
      <c r="L40" s="65">
        <v>2000</v>
      </c>
      <c r="M40" s="65">
        <v>0</v>
      </c>
      <c r="N40" s="65">
        <v>0</v>
      </c>
      <c r="O40" s="65">
        <v>5000</v>
      </c>
      <c r="P40" s="65">
        <v>1500</v>
      </c>
      <c r="Q40" s="65">
        <v>150</v>
      </c>
      <c r="R40" s="65">
        <v>0</v>
      </c>
      <c r="S40" s="65">
        <v>5000</v>
      </c>
      <c r="T40" s="65">
        <v>0</v>
      </c>
      <c r="U40" s="65">
        <v>0</v>
      </c>
      <c r="V40" s="65">
        <v>1141.3499999999999</v>
      </c>
      <c r="W40" s="65">
        <v>0</v>
      </c>
      <c r="X40" s="65">
        <v>0</v>
      </c>
      <c r="Y40" s="65">
        <v>12155</v>
      </c>
      <c r="Z40" s="65">
        <v>5000</v>
      </c>
      <c r="AA40" s="65">
        <v>12155</v>
      </c>
      <c r="AB40" s="65">
        <v>1458.6</v>
      </c>
      <c r="AC40" s="65">
        <v>100</v>
      </c>
      <c r="AD40" s="65">
        <v>150</v>
      </c>
      <c r="AE40" s="65">
        <v>100</v>
      </c>
      <c r="AF40" s="65">
        <v>0</v>
      </c>
      <c r="AG40" s="65">
        <v>0</v>
      </c>
      <c r="AH40" s="65">
        <v>0</v>
      </c>
      <c r="AI40" s="65">
        <v>0</v>
      </c>
      <c r="AJ40" s="65">
        <v>0</v>
      </c>
      <c r="AK40" s="65">
        <v>264019.40000000002</v>
      </c>
    </row>
    <row r="41" spans="2:37" ht="12.75" customHeight="1" x14ac:dyDescent="0.35">
      <c r="B41" s="5">
        <v>27</v>
      </c>
      <c r="C41" s="60" t="s">
        <v>273</v>
      </c>
      <c r="D41" s="60" t="s">
        <v>274</v>
      </c>
      <c r="E41" s="60" t="s">
        <v>275</v>
      </c>
      <c r="F41" s="66" t="s">
        <v>216</v>
      </c>
      <c r="G41" s="82" t="s">
        <v>217</v>
      </c>
      <c r="H41" s="65">
        <v>0</v>
      </c>
      <c r="I41" s="65">
        <v>0</v>
      </c>
      <c r="J41" s="65">
        <v>0</v>
      </c>
      <c r="K41" s="65">
        <v>12155</v>
      </c>
      <c r="L41" s="65">
        <v>2000</v>
      </c>
      <c r="M41" s="65">
        <v>0</v>
      </c>
      <c r="N41" s="65">
        <v>0</v>
      </c>
      <c r="O41" s="65">
        <v>5000</v>
      </c>
      <c r="P41" s="65">
        <v>1500</v>
      </c>
      <c r="Q41" s="65">
        <v>150</v>
      </c>
      <c r="R41" s="65">
        <v>0</v>
      </c>
      <c r="S41" s="65">
        <v>5000</v>
      </c>
      <c r="T41" s="65">
        <v>0</v>
      </c>
      <c r="U41" s="65">
        <v>0</v>
      </c>
      <c r="V41" s="65">
        <v>1141.3499999999999</v>
      </c>
      <c r="W41" s="65">
        <v>0</v>
      </c>
      <c r="X41" s="65">
        <v>0</v>
      </c>
      <c r="Y41" s="65">
        <v>12155</v>
      </c>
      <c r="Z41" s="65">
        <v>5000</v>
      </c>
      <c r="AA41" s="65">
        <v>12155</v>
      </c>
      <c r="AB41" s="65">
        <v>1458.6</v>
      </c>
      <c r="AC41" s="65">
        <v>100</v>
      </c>
      <c r="AD41" s="65">
        <v>150</v>
      </c>
      <c r="AE41" s="65">
        <v>100</v>
      </c>
      <c r="AF41" s="65">
        <v>0</v>
      </c>
      <c r="AG41" s="65">
        <v>0</v>
      </c>
      <c r="AH41" s="65">
        <v>0</v>
      </c>
      <c r="AI41" s="65">
        <v>0</v>
      </c>
      <c r="AJ41" s="65">
        <v>0</v>
      </c>
      <c r="AK41" s="65">
        <v>263469.40000000002</v>
      </c>
    </row>
    <row r="42" spans="2:37" ht="12.75" customHeight="1" x14ac:dyDescent="0.35">
      <c r="B42" s="5">
        <v>28</v>
      </c>
      <c r="C42" s="60" t="s">
        <v>256</v>
      </c>
      <c r="D42" s="60" t="s">
        <v>257</v>
      </c>
      <c r="E42" s="60" t="s">
        <v>220</v>
      </c>
      <c r="F42" s="66" t="s">
        <v>216</v>
      </c>
      <c r="G42" s="82" t="s">
        <v>217</v>
      </c>
      <c r="H42" s="65">
        <v>0</v>
      </c>
      <c r="I42" s="65">
        <v>0</v>
      </c>
      <c r="J42" s="65">
        <v>0</v>
      </c>
      <c r="K42" s="65">
        <v>12927</v>
      </c>
      <c r="L42" s="65">
        <v>2000</v>
      </c>
      <c r="M42" s="65">
        <v>0</v>
      </c>
      <c r="N42" s="65">
        <v>0</v>
      </c>
      <c r="O42" s="65">
        <v>5000</v>
      </c>
      <c r="P42" s="65">
        <v>1500</v>
      </c>
      <c r="Q42" s="65">
        <v>150</v>
      </c>
      <c r="R42" s="65">
        <v>0</v>
      </c>
      <c r="S42" s="65">
        <v>5000</v>
      </c>
      <c r="T42" s="65">
        <v>0</v>
      </c>
      <c r="U42" s="65">
        <v>0</v>
      </c>
      <c r="V42" s="65">
        <v>1259.6500000000001</v>
      </c>
      <c r="W42" s="65">
        <v>0</v>
      </c>
      <c r="X42" s="65">
        <v>0</v>
      </c>
      <c r="Y42" s="65">
        <v>12927</v>
      </c>
      <c r="Z42" s="65">
        <v>5000</v>
      </c>
      <c r="AA42" s="65">
        <v>12927</v>
      </c>
      <c r="AB42" s="65">
        <v>1551.24</v>
      </c>
      <c r="AC42" s="65">
        <v>100</v>
      </c>
      <c r="AD42" s="65">
        <v>150</v>
      </c>
      <c r="AE42" s="65">
        <v>100</v>
      </c>
      <c r="AF42" s="65">
        <v>0</v>
      </c>
      <c r="AG42" s="65">
        <v>0</v>
      </c>
      <c r="AH42" s="65">
        <v>0</v>
      </c>
      <c r="AI42" s="65">
        <v>0</v>
      </c>
      <c r="AJ42" s="65">
        <v>0</v>
      </c>
      <c r="AK42" s="65">
        <v>277508.68</v>
      </c>
    </row>
    <row r="43" spans="2:37" ht="12.75" customHeight="1" x14ac:dyDescent="0.35">
      <c r="B43" s="5">
        <v>29</v>
      </c>
      <c r="C43" s="60" t="s">
        <v>236</v>
      </c>
      <c r="D43" s="60" t="s">
        <v>237</v>
      </c>
      <c r="E43" s="60" t="s">
        <v>220</v>
      </c>
      <c r="F43" s="66" t="s">
        <v>216</v>
      </c>
      <c r="G43" s="82" t="s">
        <v>217</v>
      </c>
      <c r="H43" s="65">
        <v>0</v>
      </c>
      <c r="I43" s="65">
        <v>0</v>
      </c>
      <c r="J43" s="65">
        <v>0</v>
      </c>
      <c r="K43" s="65">
        <v>10543</v>
      </c>
      <c r="L43" s="65">
        <v>2000</v>
      </c>
      <c r="M43" s="65">
        <v>0</v>
      </c>
      <c r="N43" s="65">
        <v>0</v>
      </c>
      <c r="O43" s="65">
        <v>5000</v>
      </c>
      <c r="P43" s="65">
        <v>1500</v>
      </c>
      <c r="Q43" s="65">
        <v>150</v>
      </c>
      <c r="R43" s="65">
        <v>0</v>
      </c>
      <c r="S43" s="65">
        <v>5000</v>
      </c>
      <c r="T43" s="65">
        <v>0</v>
      </c>
      <c r="U43" s="65">
        <v>0</v>
      </c>
      <c r="V43" s="65">
        <v>934.32</v>
      </c>
      <c r="W43" s="65">
        <v>0</v>
      </c>
      <c r="X43" s="65">
        <v>0</v>
      </c>
      <c r="Y43" s="65">
        <v>10543</v>
      </c>
      <c r="Z43" s="65">
        <v>5000</v>
      </c>
      <c r="AA43" s="65">
        <v>10543</v>
      </c>
      <c r="AB43" s="65">
        <v>1265.1600000000001</v>
      </c>
      <c r="AC43" s="65">
        <v>100</v>
      </c>
      <c r="AD43" s="65">
        <v>125</v>
      </c>
      <c r="AE43" s="65">
        <v>100</v>
      </c>
      <c r="AF43" s="65">
        <v>0</v>
      </c>
      <c r="AG43" s="65">
        <v>0</v>
      </c>
      <c r="AH43" s="65">
        <v>0</v>
      </c>
      <c r="AI43" s="65">
        <v>0</v>
      </c>
      <c r="AJ43" s="65">
        <v>0</v>
      </c>
      <c r="AK43" s="65">
        <v>235845.76000000001</v>
      </c>
    </row>
    <row r="44" spans="2:37" ht="12.75" customHeight="1" x14ac:dyDescent="0.35">
      <c r="B44" s="5">
        <v>30</v>
      </c>
      <c r="C44" s="60" t="s">
        <v>301</v>
      </c>
      <c r="D44" s="60" t="s">
        <v>237</v>
      </c>
      <c r="E44" s="60" t="s">
        <v>302</v>
      </c>
      <c r="F44" s="66" t="s">
        <v>216</v>
      </c>
      <c r="G44" s="82" t="s">
        <v>217</v>
      </c>
      <c r="H44" s="65">
        <v>0</v>
      </c>
      <c r="I44" s="65">
        <v>0</v>
      </c>
      <c r="J44" s="65">
        <v>0</v>
      </c>
      <c r="K44" s="65">
        <v>9981</v>
      </c>
      <c r="L44" s="65">
        <v>2000</v>
      </c>
      <c r="M44" s="65">
        <v>0</v>
      </c>
      <c r="N44" s="65">
        <v>0</v>
      </c>
      <c r="O44" s="65">
        <v>0</v>
      </c>
      <c r="P44" s="65">
        <v>1500</v>
      </c>
      <c r="Q44" s="65">
        <v>150</v>
      </c>
      <c r="R44" s="65">
        <v>0</v>
      </c>
      <c r="S44" s="65">
        <v>0</v>
      </c>
      <c r="T44" s="65">
        <v>0</v>
      </c>
      <c r="U44" s="65">
        <v>0</v>
      </c>
      <c r="V44" s="65">
        <v>889.35</v>
      </c>
      <c r="W44" s="65">
        <v>0</v>
      </c>
      <c r="X44" s="65">
        <v>0</v>
      </c>
      <c r="Y44" s="65">
        <v>0</v>
      </c>
      <c r="Z44" s="65">
        <v>500</v>
      </c>
      <c r="AA44" s="65">
        <v>0</v>
      </c>
      <c r="AB44" s="65">
        <v>1197.72</v>
      </c>
      <c r="AC44" s="65">
        <v>100</v>
      </c>
      <c r="AD44" s="65">
        <v>112.5</v>
      </c>
      <c r="AE44" s="65">
        <v>99.81</v>
      </c>
      <c r="AF44" s="65">
        <v>0</v>
      </c>
      <c r="AG44" s="65">
        <v>0</v>
      </c>
      <c r="AH44" s="65">
        <v>0</v>
      </c>
      <c r="AI44" s="65">
        <v>0</v>
      </c>
      <c r="AJ44" s="65">
        <v>0</v>
      </c>
      <c r="AK44" s="65">
        <v>180864.56</v>
      </c>
    </row>
    <row r="45" spans="2:37" ht="12.75" customHeight="1" x14ac:dyDescent="0.35">
      <c r="B45" s="5">
        <v>31</v>
      </c>
      <c r="C45" s="60" t="s">
        <v>264</v>
      </c>
      <c r="D45" s="60" t="s">
        <v>265</v>
      </c>
      <c r="E45" s="60" t="s">
        <v>243</v>
      </c>
      <c r="F45" s="66" t="s">
        <v>216</v>
      </c>
      <c r="G45" s="82" t="s">
        <v>217</v>
      </c>
      <c r="H45" s="65">
        <v>0</v>
      </c>
      <c r="I45" s="65">
        <v>0</v>
      </c>
      <c r="J45" s="65">
        <v>0</v>
      </c>
      <c r="K45" s="65">
        <v>49764</v>
      </c>
      <c r="L45" s="65">
        <v>2000</v>
      </c>
      <c r="M45" s="65">
        <v>0</v>
      </c>
      <c r="N45" s="65">
        <v>0</v>
      </c>
      <c r="O45" s="65">
        <v>5000</v>
      </c>
      <c r="P45" s="65">
        <v>1500</v>
      </c>
      <c r="Q45" s="65">
        <v>150</v>
      </c>
      <c r="R45" s="65">
        <v>0</v>
      </c>
      <c r="S45" s="65">
        <v>5000</v>
      </c>
      <c r="T45" s="65">
        <v>0</v>
      </c>
      <c r="U45" s="65">
        <v>0</v>
      </c>
      <c r="V45" s="65">
        <v>925.5</v>
      </c>
      <c r="W45" s="65">
        <v>0</v>
      </c>
      <c r="X45" s="65">
        <v>0</v>
      </c>
      <c r="Y45" s="65">
        <v>49764</v>
      </c>
      <c r="Z45" s="65">
        <v>5000</v>
      </c>
      <c r="AA45" s="65">
        <v>49764</v>
      </c>
      <c r="AB45" s="65">
        <v>5971.68</v>
      </c>
      <c r="AC45" s="65">
        <v>100</v>
      </c>
      <c r="AD45" s="65">
        <v>437.5</v>
      </c>
      <c r="AE45" s="65">
        <v>100</v>
      </c>
      <c r="AF45" s="65">
        <v>0</v>
      </c>
      <c r="AG45" s="65">
        <v>0</v>
      </c>
      <c r="AH45" s="65">
        <v>0</v>
      </c>
      <c r="AI45" s="65">
        <v>0</v>
      </c>
      <c r="AJ45" s="65">
        <v>10000</v>
      </c>
      <c r="AK45" s="65">
        <v>855012.16</v>
      </c>
    </row>
    <row r="46" spans="2:37" ht="12.75" customHeight="1" x14ac:dyDescent="0.35">
      <c r="B46" s="5">
        <v>32</v>
      </c>
      <c r="C46" s="60" t="s">
        <v>281</v>
      </c>
      <c r="D46" s="60" t="s">
        <v>265</v>
      </c>
      <c r="E46" s="60" t="s">
        <v>282</v>
      </c>
      <c r="F46" s="66" t="s">
        <v>216</v>
      </c>
      <c r="G46" s="82" t="s">
        <v>217</v>
      </c>
      <c r="H46" s="65">
        <v>0</v>
      </c>
      <c r="I46" s="65">
        <v>0</v>
      </c>
      <c r="J46" s="65">
        <v>0</v>
      </c>
      <c r="K46" s="65">
        <v>50443</v>
      </c>
      <c r="L46" s="65">
        <v>2000</v>
      </c>
      <c r="M46" s="65">
        <v>0</v>
      </c>
      <c r="N46" s="65">
        <v>0</v>
      </c>
      <c r="O46" s="65">
        <v>5000</v>
      </c>
      <c r="P46" s="65">
        <v>1500</v>
      </c>
      <c r="Q46" s="65">
        <v>150</v>
      </c>
      <c r="R46" s="65">
        <v>0</v>
      </c>
      <c r="S46" s="65">
        <v>5000</v>
      </c>
      <c r="T46" s="65">
        <v>0</v>
      </c>
      <c r="U46" s="65">
        <v>0</v>
      </c>
      <c r="V46" s="65">
        <v>925.5</v>
      </c>
      <c r="W46" s="65">
        <v>0</v>
      </c>
      <c r="X46" s="65">
        <v>0</v>
      </c>
      <c r="Y46" s="65">
        <v>50443</v>
      </c>
      <c r="Z46" s="65">
        <v>5000</v>
      </c>
      <c r="AA46" s="65">
        <v>50443</v>
      </c>
      <c r="AB46" s="65">
        <v>6053.16</v>
      </c>
      <c r="AC46" s="65">
        <v>100</v>
      </c>
      <c r="AD46" s="65">
        <v>437.5</v>
      </c>
      <c r="AE46" s="65">
        <v>100</v>
      </c>
      <c r="AF46" s="65">
        <v>0</v>
      </c>
      <c r="AG46" s="65">
        <v>0</v>
      </c>
      <c r="AH46" s="65">
        <v>0</v>
      </c>
      <c r="AI46" s="65">
        <v>0</v>
      </c>
      <c r="AJ46" s="65">
        <v>0</v>
      </c>
      <c r="AK46" s="65">
        <v>855645.92</v>
      </c>
    </row>
    <row r="47" spans="2:37" ht="12.75" customHeight="1" x14ac:dyDescent="0.35">
      <c r="B47" s="5">
        <v>33</v>
      </c>
      <c r="C47" s="60" t="s">
        <v>298</v>
      </c>
      <c r="D47" s="60" t="s">
        <v>265</v>
      </c>
      <c r="E47" s="60" t="s">
        <v>243</v>
      </c>
      <c r="F47" s="66" t="s">
        <v>216</v>
      </c>
      <c r="G47" s="82" t="s">
        <v>217</v>
      </c>
      <c r="H47" s="65">
        <v>0</v>
      </c>
      <c r="I47" s="65">
        <v>0</v>
      </c>
      <c r="J47" s="65">
        <v>0</v>
      </c>
      <c r="K47" s="65">
        <v>49764</v>
      </c>
      <c r="L47" s="65">
        <v>2000</v>
      </c>
      <c r="M47" s="65">
        <v>0</v>
      </c>
      <c r="N47" s="65">
        <v>0</v>
      </c>
      <c r="O47" s="65">
        <v>5000</v>
      </c>
      <c r="P47" s="65">
        <v>1500</v>
      </c>
      <c r="Q47" s="65">
        <v>150</v>
      </c>
      <c r="R47" s="65">
        <v>0</v>
      </c>
      <c r="S47" s="65">
        <v>5000</v>
      </c>
      <c r="T47" s="65">
        <v>0</v>
      </c>
      <c r="U47" s="65">
        <v>0</v>
      </c>
      <c r="V47" s="65">
        <v>925.5</v>
      </c>
      <c r="W47" s="65">
        <v>0</v>
      </c>
      <c r="X47" s="65">
        <v>0</v>
      </c>
      <c r="Y47" s="65">
        <v>50443</v>
      </c>
      <c r="Z47" s="65">
        <v>5000</v>
      </c>
      <c r="AA47" s="65">
        <v>49764</v>
      </c>
      <c r="AB47" s="65">
        <v>6053.16</v>
      </c>
      <c r="AC47" s="65">
        <v>100</v>
      </c>
      <c r="AD47" s="65">
        <v>437.5</v>
      </c>
      <c r="AE47" s="65">
        <v>100</v>
      </c>
      <c r="AF47" s="65">
        <v>0</v>
      </c>
      <c r="AG47" s="65">
        <v>0</v>
      </c>
      <c r="AH47" s="65">
        <v>0</v>
      </c>
      <c r="AI47" s="65">
        <v>0</v>
      </c>
      <c r="AJ47" s="65">
        <v>0</v>
      </c>
      <c r="AK47" s="65">
        <v>831457.86</v>
      </c>
    </row>
    <row r="48" spans="2:37" ht="12.75" customHeight="1" x14ac:dyDescent="0.35">
      <c r="B48" s="5">
        <v>34</v>
      </c>
      <c r="C48" s="60" t="s">
        <v>304</v>
      </c>
      <c r="D48" s="60" t="s">
        <v>265</v>
      </c>
      <c r="E48" s="60" t="s">
        <v>243</v>
      </c>
      <c r="F48" s="66" t="s">
        <v>216</v>
      </c>
      <c r="G48" s="82" t="s">
        <v>217</v>
      </c>
      <c r="H48" s="65">
        <v>0</v>
      </c>
      <c r="I48" s="65">
        <v>0</v>
      </c>
      <c r="J48" s="65">
        <v>0</v>
      </c>
      <c r="K48" s="65">
        <v>47779</v>
      </c>
      <c r="L48" s="65">
        <v>2000</v>
      </c>
      <c r="M48" s="65">
        <v>0</v>
      </c>
      <c r="N48" s="65">
        <v>0</v>
      </c>
      <c r="O48" s="65">
        <v>5000</v>
      </c>
      <c r="P48" s="65">
        <v>1500</v>
      </c>
      <c r="Q48" s="65">
        <v>150</v>
      </c>
      <c r="R48" s="65">
        <v>0</v>
      </c>
      <c r="S48" s="65">
        <v>5000</v>
      </c>
      <c r="T48" s="65">
        <v>0</v>
      </c>
      <c r="U48" s="65">
        <v>0</v>
      </c>
      <c r="V48" s="65">
        <v>925.5</v>
      </c>
      <c r="W48" s="65">
        <v>0</v>
      </c>
      <c r="X48" s="65">
        <v>0</v>
      </c>
      <c r="Y48" s="65">
        <v>47779</v>
      </c>
      <c r="Z48" s="65">
        <v>5000</v>
      </c>
      <c r="AA48" s="65">
        <v>47779</v>
      </c>
      <c r="AB48" s="65">
        <v>5733.48</v>
      </c>
      <c r="AC48" s="65">
        <v>100</v>
      </c>
      <c r="AD48" s="65">
        <v>437.5</v>
      </c>
      <c r="AE48" s="65">
        <v>100</v>
      </c>
      <c r="AF48" s="65">
        <v>0</v>
      </c>
      <c r="AG48" s="65">
        <v>0</v>
      </c>
      <c r="AH48" s="65">
        <v>0</v>
      </c>
      <c r="AI48" s="65">
        <v>0</v>
      </c>
      <c r="AJ48" s="65">
        <v>0</v>
      </c>
      <c r="AK48" s="65">
        <v>815013.76</v>
      </c>
    </row>
    <row r="49" spans="2:37" ht="12.75" customHeight="1" x14ac:dyDescent="0.35">
      <c r="B49" s="5">
        <v>35</v>
      </c>
      <c r="C49" s="60" t="s">
        <v>319</v>
      </c>
      <c r="D49" s="60" t="s">
        <v>265</v>
      </c>
      <c r="E49" s="60" t="s">
        <v>243</v>
      </c>
      <c r="F49" s="66" t="s">
        <v>216</v>
      </c>
      <c r="G49" s="82" t="s">
        <v>217</v>
      </c>
      <c r="H49" s="65">
        <v>0</v>
      </c>
      <c r="I49" s="65">
        <v>0</v>
      </c>
      <c r="J49" s="65">
        <v>0</v>
      </c>
      <c r="K49" s="65">
        <v>47779</v>
      </c>
      <c r="L49" s="65">
        <v>2000</v>
      </c>
      <c r="M49" s="65">
        <v>0</v>
      </c>
      <c r="N49" s="65">
        <v>0</v>
      </c>
      <c r="O49" s="65">
        <v>5000</v>
      </c>
      <c r="P49" s="65">
        <v>1500</v>
      </c>
      <c r="Q49" s="65">
        <v>150</v>
      </c>
      <c r="R49" s="65">
        <v>0</v>
      </c>
      <c r="S49" s="65">
        <v>5000</v>
      </c>
      <c r="T49" s="65">
        <v>0</v>
      </c>
      <c r="U49" s="65">
        <v>0</v>
      </c>
      <c r="V49" s="65">
        <v>925.5</v>
      </c>
      <c r="W49" s="65">
        <v>0</v>
      </c>
      <c r="X49" s="65">
        <v>0</v>
      </c>
      <c r="Y49" s="65">
        <v>47779</v>
      </c>
      <c r="Z49" s="65">
        <v>5000</v>
      </c>
      <c r="AA49" s="65">
        <v>47779</v>
      </c>
      <c r="AB49" s="65">
        <v>5733.48</v>
      </c>
      <c r="AC49" s="65">
        <v>100</v>
      </c>
      <c r="AD49" s="65">
        <v>437.5</v>
      </c>
      <c r="AE49" s="65">
        <v>100</v>
      </c>
      <c r="AF49" s="65">
        <v>0</v>
      </c>
      <c r="AG49" s="65">
        <v>0</v>
      </c>
      <c r="AH49" s="65">
        <v>0</v>
      </c>
      <c r="AI49" s="65">
        <v>0</v>
      </c>
      <c r="AJ49" s="65">
        <v>0</v>
      </c>
      <c r="AK49" s="65">
        <v>814763.76</v>
      </c>
    </row>
    <row r="50" spans="2:37" ht="12.75" customHeight="1" x14ac:dyDescent="0.35">
      <c r="B50" s="5">
        <v>36</v>
      </c>
      <c r="C50" s="60" t="s">
        <v>515</v>
      </c>
      <c r="D50" s="60" t="s">
        <v>516</v>
      </c>
      <c r="E50" s="60" t="s">
        <v>275</v>
      </c>
      <c r="F50" s="66" t="s">
        <v>216</v>
      </c>
      <c r="G50" s="82" t="s">
        <v>120</v>
      </c>
      <c r="H50" s="65" t="s">
        <v>517</v>
      </c>
      <c r="I50" s="65" t="s">
        <v>518</v>
      </c>
      <c r="J50" s="65" t="s">
        <v>519</v>
      </c>
      <c r="K50" s="65">
        <v>0</v>
      </c>
      <c r="L50" s="65">
        <v>0</v>
      </c>
      <c r="M50" s="65">
        <v>0</v>
      </c>
      <c r="N50" s="65">
        <v>0</v>
      </c>
      <c r="O50" s="65">
        <v>0</v>
      </c>
      <c r="P50" s="65">
        <v>0</v>
      </c>
      <c r="Q50" s="65">
        <v>0</v>
      </c>
      <c r="R50" s="65">
        <v>0</v>
      </c>
      <c r="S50" s="65">
        <v>0</v>
      </c>
      <c r="T50" s="65">
        <v>0</v>
      </c>
      <c r="U50" s="65">
        <v>0</v>
      </c>
      <c r="V50" s="65">
        <v>0</v>
      </c>
      <c r="W50" s="65">
        <v>0</v>
      </c>
      <c r="X50" s="65">
        <v>0</v>
      </c>
      <c r="Y50" s="65">
        <v>0</v>
      </c>
      <c r="Z50" s="65">
        <v>0</v>
      </c>
      <c r="AA50" s="65">
        <v>0</v>
      </c>
      <c r="AB50" s="65">
        <v>0</v>
      </c>
      <c r="AC50" s="65">
        <v>0</v>
      </c>
      <c r="AD50" s="65">
        <v>0</v>
      </c>
      <c r="AE50" s="65">
        <v>0</v>
      </c>
      <c r="AF50" s="65">
        <v>0</v>
      </c>
      <c r="AG50" s="65">
        <v>0</v>
      </c>
      <c r="AH50" s="65">
        <v>0</v>
      </c>
      <c r="AI50" s="65">
        <v>0</v>
      </c>
      <c r="AJ50" s="65">
        <v>0</v>
      </c>
      <c r="AK50" s="65">
        <v>123586.44</v>
      </c>
    </row>
    <row r="51" spans="2:37" ht="12.75" customHeight="1" x14ac:dyDescent="0.35">
      <c r="B51" s="5">
        <v>37</v>
      </c>
      <c r="C51" s="60" t="s">
        <v>292</v>
      </c>
      <c r="D51" s="60" t="s">
        <v>293</v>
      </c>
      <c r="E51" s="60" t="s">
        <v>275</v>
      </c>
      <c r="F51" s="66" t="s">
        <v>216</v>
      </c>
      <c r="G51" s="82" t="s">
        <v>217</v>
      </c>
      <c r="H51" s="65">
        <v>0</v>
      </c>
      <c r="I51" s="65">
        <v>0</v>
      </c>
      <c r="J51" s="65">
        <v>0</v>
      </c>
      <c r="K51" s="65">
        <v>27565</v>
      </c>
      <c r="L51" s="65">
        <v>2000</v>
      </c>
      <c r="M51" s="65">
        <v>0</v>
      </c>
      <c r="N51" s="65">
        <v>0</v>
      </c>
      <c r="O51" s="65">
        <v>5000</v>
      </c>
      <c r="P51" s="65">
        <v>1500</v>
      </c>
      <c r="Q51" s="65">
        <v>150</v>
      </c>
      <c r="R51" s="65">
        <v>0</v>
      </c>
      <c r="S51" s="65">
        <v>5000</v>
      </c>
      <c r="T51" s="65">
        <v>0</v>
      </c>
      <c r="U51" s="65">
        <v>0</v>
      </c>
      <c r="V51" s="65">
        <v>2327.5</v>
      </c>
      <c r="W51" s="65">
        <v>0</v>
      </c>
      <c r="X51" s="65">
        <v>0</v>
      </c>
      <c r="Y51" s="65">
        <v>27565</v>
      </c>
      <c r="Z51" s="65">
        <v>5000</v>
      </c>
      <c r="AA51" s="65">
        <v>27565</v>
      </c>
      <c r="AB51" s="65">
        <v>3307.8</v>
      </c>
      <c r="AC51" s="65">
        <v>100</v>
      </c>
      <c r="AD51" s="65">
        <v>337.5</v>
      </c>
      <c r="AE51" s="65">
        <v>100</v>
      </c>
      <c r="AF51" s="65">
        <v>0</v>
      </c>
      <c r="AG51" s="65">
        <v>0</v>
      </c>
      <c r="AH51" s="65">
        <v>0</v>
      </c>
      <c r="AI51" s="65">
        <v>0</v>
      </c>
      <c r="AJ51" s="65">
        <v>0</v>
      </c>
      <c r="AK51" s="65">
        <v>518633.60000000003</v>
      </c>
    </row>
    <row r="52" spans="2:37" ht="12.75" customHeight="1" x14ac:dyDescent="0.35">
      <c r="B52" s="5">
        <v>38</v>
      </c>
      <c r="C52" s="60" t="s">
        <v>300</v>
      </c>
      <c r="D52" s="60" t="s">
        <v>293</v>
      </c>
      <c r="E52" s="60" t="s">
        <v>275</v>
      </c>
      <c r="F52" s="66" t="s">
        <v>216</v>
      </c>
      <c r="G52" s="82" t="s">
        <v>217</v>
      </c>
      <c r="H52" s="65">
        <v>0</v>
      </c>
      <c r="I52" s="65">
        <v>0</v>
      </c>
      <c r="J52" s="65">
        <v>0</v>
      </c>
      <c r="K52" s="65">
        <v>29902</v>
      </c>
      <c r="L52" s="65">
        <v>2000</v>
      </c>
      <c r="M52" s="65">
        <v>0</v>
      </c>
      <c r="N52" s="65">
        <v>0</v>
      </c>
      <c r="O52" s="65">
        <v>5000</v>
      </c>
      <c r="P52" s="65">
        <v>1500</v>
      </c>
      <c r="Q52" s="65">
        <v>150</v>
      </c>
      <c r="R52" s="65">
        <v>0</v>
      </c>
      <c r="S52" s="65">
        <v>5000</v>
      </c>
      <c r="T52" s="65">
        <v>0</v>
      </c>
      <c r="U52" s="65">
        <v>0</v>
      </c>
      <c r="V52" s="65">
        <v>2506.35</v>
      </c>
      <c r="W52" s="65">
        <v>0</v>
      </c>
      <c r="X52" s="65">
        <v>0</v>
      </c>
      <c r="Y52" s="65">
        <v>29902</v>
      </c>
      <c r="Z52" s="65">
        <v>5000</v>
      </c>
      <c r="AA52" s="65">
        <v>29902</v>
      </c>
      <c r="AB52" s="65">
        <v>3588.24</v>
      </c>
      <c r="AC52" s="65">
        <v>100</v>
      </c>
      <c r="AD52" s="65">
        <v>362.5</v>
      </c>
      <c r="AE52" s="65">
        <v>100</v>
      </c>
      <c r="AF52" s="65">
        <v>0</v>
      </c>
      <c r="AG52" s="65">
        <v>0</v>
      </c>
      <c r="AH52" s="65">
        <v>0</v>
      </c>
      <c r="AI52" s="65">
        <v>0</v>
      </c>
      <c r="AJ52" s="65">
        <v>0</v>
      </c>
      <c r="AK52" s="65">
        <v>556738.07999999996</v>
      </c>
    </row>
    <row r="53" spans="2:37" ht="12.75" customHeight="1" x14ac:dyDescent="0.35">
      <c r="B53" s="5">
        <v>39</v>
      </c>
      <c r="C53" s="60" t="s">
        <v>371</v>
      </c>
      <c r="D53" s="60" t="s">
        <v>372</v>
      </c>
      <c r="E53" s="60" t="s">
        <v>275</v>
      </c>
      <c r="F53" s="66" t="s">
        <v>216</v>
      </c>
      <c r="G53" s="82" t="s">
        <v>120</v>
      </c>
      <c r="H53" s="65" t="s">
        <v>365</v>
      </c>
      <c r="I53" s="65" t="s">
        <v>373</v>
      </c>
      <c r="J53" s="65" t="s">
        <v>374</v>
      </c>
      <c r="K53" s="65">
        <v>0</v>
      </c>
      <c r="L53" s="65">
        <v>0</v>
      </c>
      <c r="M53" s="65">
        <v>0</v>
      </c>
      <c r="N53" s="65">
        <v>0</v>
      </c>
      <c r="O53" s="65">
        <v>0</v>
      </c>
      <c r="P53" s="65">
        <v>0</v>
      </c>
      <c r="Q53" s="65">
        <v>0</v>
      </c>
      <c r="R53" s="65">
        <v>0</v>
      </c>
      <c r="S53" s="65">
        <v>0</v>
      </c>
      <c r="T53" s="65">
        <v>0</v>
      </c>
      <c r="U53" s="65">
        <v>0</v>
      </c>
      <c r="V53" s="65">
        <v>0</v>
      </c>
      <c r="W53" s="65">
        <v>0</v>
      </c>
      <c r="X53" s="65">
        <v>0</v>
      </c>
      <c r="Y53" s="65">
        <v>0</v>
      </c>
      <c r="Z53" s="65">
        <v>0</v>
      </c>
      <c r="AA53" s="65">
        <v>0</v>
      </c>
      <c r="AB53" s="65">
        <v>0</v>
      </c>
      <c r="AC53" s="65">
        <v>0</v>
      </c>
      <c r="AD53" s="65">
        <v>0</v>
      </c>
      <c r="AE53" s="65">
        <v>0</v>
      </c>
      <c r="AF53" s="65">
        <v>0</v>
      </c>
      <c r="AG53" s="65">
        <v>0</v>
      </c>
      <c r="AH53" s="65">
        <v>0</v>
      </c>
      <c r="AI53" s="65">
        <v>0</v>
      </c>
      <c r="AJ53" s="65">
        <v>0</v>
      </c>
      <c r="AK53" s="65">
        <v>129215.13</v>
      </c>
    </row>
    <row r="54" spans="2:37" ht="12.75" customHeight="1" x14ac:dyDescent="0.35">
      <c r="B54" s="5">
        <v>40</v>
      </c>
      <c r="C54" s="60" t="s">
        <v>486</v>
      </c>
      <c r="D54" s="60" t="s">
        <v>372</v>
      </c>
      <c r="E54" s="60" t="s">
        <v>275</v>
      </c>
      <c r="F54" s="66" t="s">
        <v>216</v>
      </c>
      <c r="G54" s="82" t="s">
        <v>120</v>
      </c>
      <c r="H54" s="65" t="s">
        <v>365</v>
      </c>
      <c r="I54" s="65" t="s">
        <v>487</v>
      </c>
      <c r="J54" s="65" t="s">
        <v>488</v>
      </c>
      <c r="K54" s="65">
        <v>0</v>
      </c>
      <c r="L54" s="65">
        <v>0</v>
      </c>
      <c r="M54" s="65">
        <v>0</v>
      </c>
      <c r="N54" s="65">
        <v>0</v>
      </c>
      <c r="O54" s="65">
        <v>0</v>
      </c>
      <c r="P54" s="65">
        <v>0</v>
      </c>
      <c r="Q54" s="65">
        <v>0</v>
      </c>
      <c r="R54" s="65">
        <v>0</v>
      </c>
      <c r="S54" s="65">
        <v>0</v>
      </c>
      <c r="T54" s="65">
        <v>0</v>
      </c>
      <c r="U54" s="65">
        <v>0</v>
      </c>
      <c r="V54" s="65">
        <v>0</v>
      </c>
      <c r="W54" s="65">
        <v>0</v>
      </c>
      <c r="X54" s="65">
        <v>0</v>
      </c>
      <c r="Y54" s="65">
        <v>0</v>
      </c>
      <c r="Z54" s="65">
        <v>0</v>
      </c>
      <c r="AA54" s="65">
        <v>0</v>
      </c>
      <c r="AB54" s="65">
        <v>0</v>
      </c>
      <c r="AC54" s="65">
        <v>0</v>
      </c>
      <c r="AD54" s="65">
        <v>0</v>
      </c>
      <c r="AE54" s="65">
        <v>0</v>
      </c>
      <c r="AF54" s="65">
        <v>0</v>
      </c>
      <c r="AG54" s="65">
        <v>0</v>
      </c>
      <c r="AH54" s="65">
        <v>0</v>
      </c>
      <c r="AI54" s="65">
        <v>0</v>
      </c>
      <c r="AJ54" s="65">
        <v>0</v>
      </c>
      <c r="AK54" s="65">
        <v>118495.48</v>
      </c>
    </row>
    <row r="55" spans="2:37" ht="12.75" customHeight="1" x14ac:dyDescent="0.35">
      <c r="B55" s="5">
        <v>41</v>
      </c>
      <c r="C55" s="60" t="s">
        <v>538</v>
      </c>
      <c r="D55" s="60" t="s">
        <v>372</v>
      </c>
      <c r="E55" s="60" t="s">
        <v>275</v>
      </c>
      <c r="F55" s="66" t="s">
        <v>216</v>
      </c>
      <c r="G55" s="82" t="s">
        <v>120</v>
      </c>
      <c r="H55" s="65" t="s">
        <v>365</v>
      </c>
      <c r="I55" s="65" t="s">
        <v>539</v>
      </c>
      <c r="J55" s="65" t="s">
        <v>540</v>
      </c>
      <c r="K55" s="65">
        <v>0</v>
      </c>
      <c r="L55" s="65">
        <v>0</v>
      </c>
      <c r="M55" s="65">
        <v>0</v>
      </c>
      <c r="N55" s="65">
        <v>0</v>
      </c>
      <c r="O55" s="65">
        <v>0</v>
      </c>
      <c r="P55" s="65">
        <v>0</v>
      </c>
      <c r="Q55" s="65">
        <v>0</v>
      </c>
      <c r="R55" s="65">
        <v>0</v>
      </c>
      <c r="S55" s="65">
        <v>0</v>
      </c>
      <c r="T55" s="65">
        <v>0</v>
      </c>
      <c r="U55" s="65">
        <v>0</v>
      </c>
      <c r="V55" s="65">
        <v>0</v>
      </c>
      <c r="W55" s="65">
        <v>0</v>
      </c>
      <c r="X55" s="65">
        <v>0</v>
      </c>
      <c r="Y55" s="65">
        <v>0</v>
      </c>
      <c r="Z55" s="65">
        <v>0</v>
      </c>
      <c r="AA55" s="65">
        <v>0</v>
      </c>
      <c r="AB55" s="65">
        <v>0</v>
      </c>
      <c r="AC55" s="65">
        <v>0</v>
      </c>
      <c r="AD55" s="65">
        <v>0</v>
      </c>
      <c r="AE55" s="65">
        <v>0</v>
      </c>
      <c r="AF55" s="65">
        <v>0</v>
      </c>
      <c r="AG55" s="65">
        <v>0</v>
      </c>
      <c r="AH55" s="65">
        <v>0</v>
      </c>
      <c r="AI55" s="65">
        <v>0</v>
      </c>
      <c r="AJ55" s="65">
        <v>0</v>
      </c>
      <c r="AK55" s="65">
        <v>119944.08</v>
      </c>
    </row>
    <row r="56" spans="2:37" ht="12.75" customHeight="1" x14ac:dyDescent="0.35">
      <c r="B56" s="5">
        <v>42</v>
      </c>
      <c r="C56" s="60" t="s">
        <v>322</v>
      </c>
      <c r="D56" s="60" t="s">
        <v>323</v>
      </c>
      <c r="E56" s="60" t="s">
        <v>243</v>
      </c>
      <c r="F56" s="66" t="s">
        <v>216</v>
      </c>
      <c r="G56" s="82" t="s">
        <v>324</v>
      </c>
      <c r="H56" s="65" t="s">
        <v>325</v>
      </c>
      <c r="I56" s="65" t="s">
        <v>326</v>
      </c>
      <c r="J56" s="65" t="s">
        <v>327</v>
      </c>
      <c r="K56" s="65">
        <v>40500</v>
      </c>
      <c r="L56" s="65">
        <v>0</v>
      </c>
      <c r="M56" s="65">
        <v>0</v>
      </c>
      <c r="N56" s="65">
        <v>0</v>
      </c>
      <c r="O56" s="65">
        <v>0</v>
      </c>
      <c r="P56" s="65">
        <v>0</v>
      </c>
      <c r="Q56" s="65">
        <v>0</v>
      </c>
      <c r="R56" s="65">
        <v>0</v>
      </c>
      <c r="S56" s="65">
        <v>0</v>
      </c>
      <c r="T56" s="65">
        <v>0</v>
      </c>
      <c r="U56" s="65">
        <v>0</v>
      </c>
      <c r="V56" s="65">
        <v>0</v>
      </c>
      <c r="W56" s="65">
        <v>0</v>
      </c>
      <c r="X56" s="65">
        <v>0</v>
      </c>
      <c r="Y56" s="65">
        <v>0</v>
      </c>
      <c r="Z56" s="65">
        <v>0</v>
      </c>
      <c r="AA56" s="65">
        <v>0</v>
      </c>
      <c r="AB56" s="65">
        <v>0</v>
      </c>
      <c r="AC56" s="65">
        <v>0</v>
      </c>
      <c r="AD56" s="65">
        <v>0</v>
      </c>
      <c r="AE56" s="65">
        <v>0</v>
      </c>
      <c r="AF56" s="65">
        <v>0</v>
      </c>
      <c r="AG56" s="65">
        <v>0</v>
      </c>
      <c r="AH56" s="65">
        <v>0</v>
      </c>
      <c r="AI56" s="65">
        <v>0</v>
      </c>
      <c r="AJ56" s="65">
        <v>0</v>
      </c>
      <c r="AK56" s="65">
        <v>486000</v>
      </c>
    </row>
    <row r="57" spans="2:37" ht="12.75" customHeight="1" x14ac:dyDescent="0.35">
      <c r="B57" s="5">
        <v>43</v>
      </c>
      <c r="C57" s="60" t="s">
        <v>328</v>
      </c>
      <c r="D57" s="60" t="s">
        <v>323</v>
      </c>
      <c r="E57" s="60" t="s">
        <v>243</v>
      </c>
      <c r="F57" s="66" t="s">
        <v>216</v>
      </c>
      <c r="G57" s="82" t="s">
        <v>324</v>
      </c>
      <c r="H57" s="65" t="s">
        <v>325</v>
      </c>
      <c r="I57" s="65" t="s">
        <v>329</v>
      </c>
      <c r="J57" s="65" t="s">
        <v>330</v>
      </c>
      <c r="K57" s="65">
        <v>40500</v>
      </c>
      <c r="L57" s="65">
        <v>0</v>
      </c>
      <c r="M57" s="65">
        <v>0</v>
      </c>
      <c r="N57" s="65">
        <v>0</v>
      </c>
      <c r="O57" s="65">
        <v>0</v>
      </c>
      <c r="P57" s="65">
        <v>0</v>
      </c>
      <c r="Q57" s="65">
        <v>0</v>
      </c>
      <c r="R57" s="65">
        <v>0</v>
      </c>
      <c r="S57" s="65">
        <v>0</v>
      </c>
      <c r="T57" s="65">
        <v>0</v>
      </c>
      <c r="U57" s="65">
        <v>0</v>
      </c>
      <c r="V57" s="65">
        <v>0</v>
      </c>
      <c r="W57" s="65">
        <v>0</v>
      </c>
      <c r="X57" s="65">
        <v>0</v>
      </c>
      <c r="Y57" s="65">
        <v>0</v>
      </c>
      <c r="Z57" s="65">
        <v>0</v>
      </c>
      <c r="AA57" s="65">
        <v>0</v>
      </c>
      <c r="AB57" s="65">
        <v>0</v>
      </c>
      <c r="AC57" s="65">
        <v>0</v>
      </c>
      <c r="AD57" s="65">
        <v>0</v>
      </c>
      <c r="AE57" s="65">
        <v>0</v>
      </c>
      <c r="AF57" s="65">
        <v>0</v>
      </c>
      <c r="AG57" s="65">
        <v>0</v>
      </c>
      <c r="AH57" s="65">
        <v>0</v>
      </c>
      <c r="AI57" s="65">
        <v>0</v>
      </c>
      <c r="AJ57" s="65">
        <v>0</v>
      </c>
      <c r="AK57" s="65">
        <v>228269.12</v>
      </c>
    </row>
    <row r="58" spans="2:37" ht="12.75" customHeight="1" x14ac:dyDescent="0.35">
      <c r="B58" s="5">
        <v>44</v>
      </c>
      <c r="C58" s="60" t="s">
        <v>331</v>
      </c>
      <c r="D58" s="60" t="s">
        <v>323</v>
      </c>
      <c r="E58" s="60" t="s">
        <v>243</v>
      </c>
      <c r="F58" s="66" t="s">
        <v>332</v>
      </c>
      <c r="G58" s="82" t="s">
        <v>324</v>
      </c>
      <c r="H58" s="65" t="s">
        <v>325</v>
      </c>
      <c r="I58" s="65" t="s">
        <v>333</v>
      </c>
      <c r="J58" s="65" t="s">
        <v>334</v>
      </c>
      <c r="K58" s="65">
        <v>40500</v>
      </c>
      <c r="L58" s="65">
        <v>0</v>
      </c>
      <c r="M58" s="65">
        <v>0</v>
      </c>
      <c r="N58" s="65">
        <v>0</v>
      </c>
      <c r="O58" s="65">
        <v>0</v>
      </c>
      <c r="P58" s="65">
        <v>0</v>
      </c>
      <c r="Q58" s="65">
        <v>0</v>
      </c>
      <c r="R58" s="65">
        <v>0</v>
      </c>
      <c r="S58" s="65">
        <v>0</v>
      </c>
      <c r="T58" s="65">
        <v>0</v>
      </c>
      <c r="U58" s="65">
        <v>0</v>
      </c>
      <c r="V58" s="65">
        <v>0</v>
      </c>
      <c r="W58" s="65">
        <v>0</v>
      </c>
      <c r="X58" s="65">
        <v>0</v>
      </c>
      <c r="Y58" s="65">
        <v>0</v>
      </c>
      <c r="Z58" s="65">
        <v>0</v>
      </c>
      <c r="AA58" s="65">
        <v>0</v>
      </c>
      <c r="AB58" s="65">
        <v>0</v>
      </c>
      <c r="AC58" s="65">
        <v>0</v>
      </c>
      <c r="AD58" s="65">
        <v>0</v>
      </c>
      <c r="AE58" s="65">
        <v>0</v>
      </c>
      <c r="AF58" s="65">
        <v>0</v>
      </c>
      <c r="AG58" s="65">
        <v>0</v>
      </c>
      <c r="AH58" s="65">
        <v>0</v>
      </c>
      <c r="AI58" s="65">
        <v>0</v>
      </c>
      <c r="AJ58" s="65">
        <v>0</v>
      </c>
      <c r="AK58" s="65">
        <v>25312.1</v>
      </c>
    </row>
    <row r="59" spans="2:37" ht="12.75" customHeight="1" x14ac:dyDescent="0.35">
      <c r="B59" s="5">
        <v>45</v>
      </c>
      <c r="C59" s="60" t="s">
        <v>229</v>
      </c>
      <c r="D59" s="60" t="s">
        <v>230</v>
      </c>
      <c r="E59" s="60" t="s">
        <v>222</v>
      </c>
      <c r="F59" s="66" t="s">
        <v>216</v>
      </c>
      <c r="G59" s="82" t="s">
        <v>217</v>
      </c>
      <c r="H59" s="65">
        <v>0</v>
      </c>
      <c r="I59" s="65">
        <v>0</v>
      </c>
      <c r="J59" s="65">
        <v>0</v>
      </c>
      <c r="K59" s="65">
        <v>20567</v>
      </c>
      <c r="L59" s="65">
        <v>2000</v>
      </c>
      <c r="M59" s="65">
        <v>0</v>
      </c>
      <c r="N59" s="65">
        <v>0</v>
      </c>
      <c r="O59" s="65">
        <v>5000</v>
      </c>
      <c r="P59" s="65">
        <v>1500</v>
      </c>
      <c r="Q59" s="65">
        <v>150</v>
      </c>
      <c r="R59" s="65">
        <v>0</v>
      </c>
      <c r="S59" s="65">
        <v>5000</v>
      </c>
      <c r="T59" s="65">
        <v>0</v>
      </c>
      <c r="U59" s="65">
        <v>0</v>
      </c>
      <c r="V59" s="65">
        <v>1843.62</v>
      </c>
      <c r="W59" s="65">
        <v>0</v>
      </c>
      <c r="X59" s="65">
        <v>0</v>
      </c>
      <c r="Y59" s="65">
        <v>20567</v>
      </c>
      <c r="Z59" s="65">
        <v>5000</v>
      </c>
      <c r="AA59" s="65">
        <v>20567</v>
      </c>
      <c r="AB59" s="65">
        <v>2468.04</v>
      </c>
      <c r="AC59" s="65">
        <v>100</v>
      </c>
      <c r="AD59" s="65">
        <v>250</v>
      </c>
      <c r="AE59" s="65">
        <v>100</v>
      </c>
      <c r="AF59" s="65">
        <v>0</v>
      </c>
      <c r="AG59" s="65">
        <v>0</v>
      </c>
      <c r="AH59" s="65">
        <v>0</v>
      </c>
      <c r="AI59" s="65">
        <v>0</v>
      </c>
      <c r="AJ59" s="65">
        <v>5000</v>
      </c>
      <c r="AK59" s="65">
        <v>410531.93</v>
      </c>
    </row>
    <row r="60" spans="2:37" ht="12.75" customHeight="1" x14ac:dyDescent="0.35">
      <c r="B60" s="5">
        <v>46</v>
      </c>
      <c r="C60" s="60" t="s">
        <v>242</v>
      </c>
      <c r="D60" s="60" t="s">
        <v>230</v>
      </c>
      <c r="E60" s="60" t="s">
        <v>243</v>
      </c>
      <c r="F60" s="66" t="s">
        <v>216</v>
      </c>
      <c r="G60" s="82" t="s">
        <v>217</v>
      </c>
      <c r="H60" s="65">
        <v>0</v>
      </c>
      <c r="I60" s="65">
        <v>0</v>
      </c>
      <c r="J60" s="65">
        <v>0</v>
      </c>
      <c r="K60" s="65">
        <v>19620</v>
      </c>
      <c r="L60" s="65">
        <v>2000</v>
      </c>
      <c r="M60" s="65">
        <v>0</v>
      </c>
      <c r="N60" s="65">
        <v>0</v>
      </c>
      <c r="O60" s="65">
        <v>0</v>
      </c>
      <c r="P60" s="65">
        <v>1500</v>
      </c>
      <c r="Q60" s="65">
        <v>150</v>
      </c>
      <c r="R60" s="65">
        <v>0</v>
      </c>
      <c r="S60" s="65">
        <v>0</v>
      </c>
      <c r="T60" s="65">
        <v>0</v>
      </c>
      <c r="U60" s="65">
        <v>0</v>
      </c>
      <c r="V60" s="65">
        <v>1843.62</v>
      </c>
      <c r="W60" s="65">
        <v>0</v>
      </c>
      <c r="X60" s="65">
        <v>0</v>
      </c>
      <c r="Y60" s="65">
        <v>0</v>
      </c>
      <c r="Z60" s="65">
        <v>500</v>
      </c>
      <c r="AA60" s="65">
        <v>0</v>
      </c>
      <c r="AB60" s="65">
        <v>2354.4</v>
      </c>
      <c r="AC60" s="65">
        <v>100</v>
      </c>
      <c r="AD60" s="65">
        <v>237.5</v>
      </c>
      <c r="AE60" s="65">
        <v>100</v>
      </c>
      <c r="AF60" s="65">
        <v>0</v>
      </c>
      <c r="AG60" s="65">
        <v>0</v>
      </c>
      <c r="AH60" s="65">
        <v>0</v>
      </c>
      <c r="AI60" s="65">
        <v>0</v>
      </c>
      <c r="AJ60" s="65">
        <v>0</v>
      </c>
      <c r="AK60" s="65">
        <v>323366.24</v>
      </c>
    </row>
    <row r="61" spans="2:37" ht="12.75" customHeight="1" x14ac:dyDescent="0.35">
      <c r="B61" s="5">
        <v>47</v>
      </c>
      <c r="C61" s="60" t="s">
        <v>248</v>
      </c>
      <c r="D61" s="60" t="s">
        <v>230</v>
      </c>
      <c r="E61" s="60" t="s">
        <v>243</v>
      </c>
      <c r="F61" s="66" t="s">
        <v>216</v>
      </c>
      <c r="G61" s="82" t="s">
        <v>217</v>
      </c>
      <c r="H61" s="65">
        <v>0</v>
      </c>
      <c r="I61" s="65">
        <v>0</v>
      </c>
      <c r="J61" s="65">
        <v>0</v>
      </c>
      <c r="K61" s="65">
        <v>19620</v>
      </c>
      <c r="L61" s="65">
        <v>2000</v>
      </c>
      <c r="M61" s="65">
        <v>0</v>
      </c>
      <c r="N61" s="65">
        <v>0</v>
      </c>
      <c r="O61" s="65">
        <v>5000</v>
      </c>
      <c r="P61" s="65">
        <v>1500</v>
      </c>
      <c r="Q61" s="65">
        <v>150</v>
      </c>
      <c r="R61" s="65">
        <v>0</v>
      </c>
      <c r="S61" s="65">
        <v>5000</v>
      </c>
      <c r="T61" s="65">
        <v>0</v>
      </c>
      <c r="U61" s="65">
        <v>0</v>
      </c>
      <c r="V61" s="65">
        <v>1843.62</v>
      </c>
      <c r="W61" s="65">
        <v>0</v>
      </c>
      <c r="X61" s="65">
        <v>0</v>
      </c>
      <c r="Y61" s="65">
        <v>19620</v>
      </c>
      <c r="Z61" s="65">
        <v>5000</v>
      </c>
      <c r="AA61" s="65">
        <v>19620</v>
      </c>
      <c r="AB61" s="65">
        <v>2354.4</v>
      </c>
      <c r="AC61" s="65">
        <v>100</v>
      </c>
      <c r="AD61" s="65">
        <v>237.5</v>
      </c>
      <c r="AE61" s="65">
        <v>100</v>
      </c>
      <c r="AF61" s="65">
        <v>0</v>
      </c>
      <c r="AG61" s="65">
        <v>0</v>
      </c>
      <c r="AH61" s="65">
        <v>0</v>
      </c>
      <c r="AI61" s="65">
        <v>0</v>
      </c>
      <c r="AJ61" s="65">
        <v>0</v>
      </c>
      <c r="AK61" s="65">
        <v>388731.24</v>
      </c>
    </row>
    <row r="62" spans="2:37" ht="12.75" customHeight="1" x14ac:dyDescent="0.35">
      <c r="B62" s="5">
        <v>48</v>
      </c>
      <c r="C62" s="60" t="s">
        <v>269</v>
      </c>
      <c r="D62" s="60" t="s">
        <v>230</v>
      </c>
      <c r="E62" s="60" t="s">
        <v>270</v>
      </c>
      <c r="F62" s="66" t="s">
        <v>216</v>
      </c>
      <c r="G62" s="82" t="s">
        <v>217</v>
      </c>
      <c r="H62" s="65">
        <v>0</v>
      </c>
      <c r="I62" s="65">
        <v>0</v>
      </c>
      <c r="J62" s="65">
        <v>0</v>
      </c>
      <c r="K62" s="65">
        <v>21058</v>
      </c>
      <c r="L62" s="65">
        <v>2000</v>
      </c>
      <c r="M62" s="65">
        <v>0</v>
      </c>
      <c r="N62" s="65">
        <v>0</v>
      </c>
      <c r="O62" s="65">
        <v>5000</v>
      </c>
      <c r="P62" s="65">
        <v>1500</v>
      </c>
      <c r="Q62" s="65">
        <v>150</v>
      </c>
      <c r="R62" s="65">
        <v>0</v>
      </c>
      <c r="S62" s="65">
        <v>5000</v>
      </c>
      <c r="T62" s="65">
        <v>0</v>
      </c>
      <c r="U62" s="65">
        <v>0</v>
      </c>
      <c r="V62" s="65">
        <v>1889.65</v>
      </c>
      <c r="W62" s="65">
        <v>0</v>
      </c>
      <c r="X62" s="65">
        <v>0</v>
      </c>
      <c r="Y62" s="65">
        <v>21058</v>
      </c>
      <c r="Z62" s="65">
        <v>5000</v>
      </c>
      <c r="AA62" s="65">
        <v>21058</v>
      </c>
      <c r="AB62" s="65">
        <v>2526.96</v>
      </c>
      <c r="AC62" s="65">
        <v>100</v>
      </c>
      <c r="AD62" s="65">
        <v>262.5</v>
      </c>
      <c r="AE62" s="65">
        <v>100</v>
      </c>
      <c r="AF62" s="65">
        <v>0</v>
      </c>
      <c r="AG62" s="65">
        <v>0</v>
      </c>
      <c r="AH62" s="65">
        <v>0</v>
      </c>
      <c r="AI62" s="65">
        <v>0</v>
      </c>
      <c r="AJ62" s="65">
        <v>5000</v>
      </c>
      <c r="AK62" s="65">
        <v>415711.32</v>
      </c>
    </row>
    <row r="63" spans="2:37" ht="12.75" customHeight="1" x14ac:dyDescent="0.35">
      <c r="B63" s="5">
        <v>49</v>
      </c>
      <c r="C63" s="60" t="s">
        <v>278</v>
      </c>
      <c r="D63" s="60" t="s">
        <v>230</v>
      </c>
      <c r="E63" s="60" t="s">
        <v>243</v>
      </c>
      <c r="F63" s="66" t="s">
        <v>216</v>
      </c>
      <c r="G63" s="82" t="s">
        <v>217</v>
      </c>
      <c r="H63" s="65">
        <v>0</v>
      </c>
      <c r="I63" s="65">
        <v>0</v>
      </c>
      <c r="J63" s="65">
        <v>0</v>
      </c>
      <c r="K63" s="65">
        <v>19620</v>
      </c>
      <c r="L63" s="65">
        <v>2000</v>
      </c>
      <c r="M63" s="65">
        <v>0</v>
      </c>
      <c r="N63" s="65">
        <v>0</v>
      </c>
      <c r="O63" s="65">
        <v>5000</v>
      </c>
      <c r="P63" s="65">
        <v>1500</v>
      </c>
      <c r="Q63" s="65">
        <v>150</v>
      </c>
      <c r="R63" s="65">
        <v>0</v>
      </c>
      <c r="S63" s="65">
        <v>5000</v>
      </c>
      <c r="T63" s="65">
        <v>0</v>
      </c>
      <c r="U63" s="65">
        <v>0</v>
      </c>
      <c r="V63" s="65">
        <v>1843.62</v>
      </c>
      <c r="W63" s="65">
        <v>0</v>
      </c>
      <c r="X63" s="65">
        <v>0</v>
      </c>
      <c r="Y63" s="65">
        <v>19620</v>
      </c>
      <c r="Z63" s="65">
        <v>5000</v>
      </c>
      <c r="AA63" s="65">
        <v>19620</v>
      </c>
      <c r="AB63" s="65">
        <v>2354.4</v>
      </c>
      <c r="AC63" s="65">
        <v>100</v>
      </c>
      <c r="AD63" s="65">
        <v>237.5</v>
      </c>
      <c r="AE63" s="65">
        <v>100</v>
      </c>
      <c r="AF63" s="65">
        <v>0</v>
      </c>
      <c r="AG63" s="65">
        <v>0</v>
      </c>
      <c r="AH63" s="65">
        <v>0</v>
      </c>
      <c r="AI63" s="65">
        <v>0</v>
      </c>
      <c r="AJ63" s="65">
        <v>0</v>
      </c>
      <c r="AK63" s="65">
        <v>388731.24</v>
      </c>
    </row>
    <row r="64" spans="2:37" ht="12.75" customHeight="1" x14ac:dyDescent="0.35">
      <c r="B64" s="5">
        <v>50</v>
      </c>
      <c r="C64" s="60" t="s">
        <v>279</v>
      </c>
      <c r="D64" s="60" t="s">
        <v>230</v>
      </c>
      <c r="E64" s="60" t="s">
        <v>280</v>
      </c>
      <c r="F64" s="66" t="s">
        <v>216</v>
      </c>
      <c r="G64" s="82" t="s">
        <v>217</v>
      </c>
      <c r="H64" s="65">
        <v>0</v>
      </c>
      <c r="I64" s="65">
        <v>0</v>
      </c>
      <c r="J64" s="65">
        <v>0</v>
      </c>
      <c r="K64" s="65">
        <v>19620</v>
      </c>
      <c r="L64" s="65">
        <v>2000</v>
      </c>
      <c r="M64" s="65">
        <v>0</v>
      </c>
      <c r="N64" s="65">
        <v>0</v>
      </c>
      <c r="O64" s="65">
        <v>0</v>
      </c>
      <c r="P64" s="65">
        <v>1500</v>
      </c>
      <c r="Q64" s="65">
        <v>150</v>
      </c>
      <c r="R64" s="65">
        <v>0</v>
      </c>
      <c r="S64" s="65">
        <v>0</v>
      </c>
      <c r="T64" s="65">
        <v>0</v>
      </c>
      <c r="U64" s="65">
        <v>0</v>
      </c>
      <c r="V64" s="65">
        <v>1843.62</v>
      </c>
      <c r="W64" s="65">
        <v>0</v>
      </c>
      <c r="X64" s="65">
        <v>0</v>
      </c>
      <c r="Y64" s="65">
        <v>0</v>
      </c>
      <c r="Z64" s="65">
        <v>500</v>
      </c>
      <c r="AA64" s="65">
        <v>0</v>
      </c>
      <c r="AB64" s="65">
        <v>2354.4</v>
      </c>
      <c r="AC64" s="65">
        <v>100</v>
      </c>
      <c r="AD64" s="65">
        <v>237.5</v>
      </c>
      <c r="AE64" s="65">
        <v>100</v>
      </c>
      <c r="AF64" s="65">
        <v>0</v>
      </c>
      <c r="AG64" s="65">
        <v>0</v>
      </c>
      <c r="AH64" s="65">
        <v>0</v>
      </c>
      <c r="AI64" s="65">
        <v>0</v>
      </c>
      <c r="AJ64" s="65">
        <v>0</v>
      </c>
      <c r="AK64" s="65">
        <v>323366.24</v>
      </c>
    </row>
    <row r="65" spans="2:37" ht="12.75" customHeight="1" x14ac:dyDescent="0.35">
      <c r="B65" s="5">
        <v>51</v>
      </c>
      <c r="C65" s="60" t="s">
        <v>289</v>
      </c>
      <c r="D65" s="60" t="s">
        <v>230</v>
      </c>
      <c r="E65" s="60" t="s">
        <v>243</v>
      </c>
      <c r="F65" s="66" t="s">
        <v>216</v>
      </c>
      <c r="G65" s="82" t="s">
        <v>217</v>
      </c>
      <c r="H65" s="65">
        <v>0</v>
      </c>
      <c r="I65" s="65">
        <v>0</v>
      </c>
      <c r="J65" s="65">
        <v>0</v>
      </c>
      <c r="K65" s="65">
        <v>19620</v>
      </c>
      <c r="L65" s="65">
        <v>2000</v>
      </c>
      <c r="M65" s="65">
        <v>0</v>
      </c>
      <c r="N65" s="65">
        <v>0</v>
      </c>
      <c r="O65" s="65">
        <v>5000</v>
      </c>
      <c r="P65" s="65">
        <v>1500</v>
      </c>
      <c r="Q65" s="65">
        <v>150</v>
      </c>
      <c r="R65" s="65">
        <v>0</v>
      </c>
      <c r="S65" s="65">
        <v>5000</v>
      </c>
      <c r="T65" s="65">
        <v>0</v>
      </c>
      <c r="U65" s="65">
        <v>0</v>
      </c>
      <c r="V65" s="65">
        <v>1843.62</v>
      </c>
      <c r="W65" s="65">
        <v>0</v>
      </c>
      <c r="X65" s="65">
        <v>0</v>
      </c>
      <c r="Y65" s="65">
        <v>19620</v>
      </c>
      <c r="Z65" s="65">
        <v>5000</v>
      </c>
      <c r="AA65" s="65">
        <v>19620</v>
      </c>
      <c r="AB65" s="65">
        <v>2354.4</v>
      </c>
      <c r="AC65" s="65">
        <v>100</v>
      </c>
      <c r="AD65" s="65">
        <v>237.5</v>
      </c>
      <c r="AE65" s="65">
        <v>100</v>
      </c>
      <c r="AF65" s="65">
        <v>0</v>
      </c>
      <c r="AG65" s="65">
        <v>0</v>
      </c>
      <c r="AH65" s="65">
        <v>0</v>
      </c>
      <c r="AI65" s="65">
        <v>0</v>
      </c>
      <c r="AJ65" s="65">
        <v>0</v>
      </c>
      <c r="AK65" s="65">
        <v>388731.24</v>
      </c>
    </row>
    <row r="66" spans="2:37" ht="12.75" customHeight="1" x14ac:dyDescent="0.35">
      <c r="B66" s="5">
        <v>52</v>
      </c>
      <c r="C66" s="60" t="s">
        <v>290</v>
      </c>
      <c r="D66" s="60" t="s">
        <v>230</v>
      </c>
      <c r="E66" s="60" t="s">
        <v>243</v>
      </c>
      <c r="F66" s="66" t="s">
        <v>216</v>
      </c>
      <c r="G66" s="82" t="s">
        <v>217</v>
      </c>
      <c r="H66" s="65">
        <v>0</v>
      </c>
      <c r="I66" s="65">
        <v>0</v>
      </c>
      <c r="J66" s="65">
        <v>0</v>
      </c>
      <c r="K66" s="65">
        <v>19620</v>
      </c>
      <c r="L66" s="65">
        <v>2000</v>
      </c>
      <c r="M66" s="65">
        <v>0</v>
      </c>
      <c r="N66" s="65">
        <v>0</v>
      </c>
      <c r="O66" s="65">
        <v>5000</v>
      </c>
      <c r="P66" s="65">
        <v>1500</v>
      </c>
      <c r="Q66" s="65">
        <v>150</v>
      </c>
      <c r="R66" s="65">
        <v>0</v>
      </c>
      <c r="S66" s="65">
        <v>5000</v>
      </c>
      <c r="T66" s="65">
        <v>0</v>
      </c>
      <c r="U66" s="65">
        <v>0</v>
      </c>
      <c r="V66" s="65">
        <v>1843.62</v>
      </c>
      <c r="W66" s="65">
        <v>0</v>
      </c>
      <c r="X66" s="65">
        <v>0</v>
      </c>
      <c r="Y66" s="65">
        <v>19620</v>
      </c>
      <c r="Z66" s="65">
        <v>5000</v>
      </c>
      <c r="AA66" s="65">
        <v>19620</v>
      </c>
      <c r="AB66" s="65">
        <v>2354.4</v>
      </c>
      <c r="AC66" s="65">
        <v>100</v>
      </c>
      <c r="AD66" s="65">
        <v>237.5</v>
      </c>
      <c r="AE66" s="65">
        <v>100</v>
      </c>
      <c r="AF66" s="65">
        <v>0</v>
      </c>
      <c r="AG66" s="65">
        <v>0</v>
      </c>
      <c r="AH66" s="65">
        <v>0</v>
      </c>
      <c r="AI66" s="65">
        <v>0</v>
      </c>
      <c r="AJ66" s="65">
        <v>0</v>
      </c>
      <c r="AK66" s="65">
        <v>388506.24</v>
      </c>
    </row>
    <row r="67" spans="2:37" ht="12.75" customHeight="1" x14ac:dyDescent="0.35">
      <c r="B67" s="5">
        <v>53</v>
      </c>
      <c r="C67" s="60" t="s">
        <v>291</v>
      </c>
      <c r="D67" s="60" t="s">
        <v>230</v>
      </c>
      <c r="E67" s="60" t="s">
        <v>243</v>
      </c>
      <c r="F67" s="66" t="s">
        <v>216</v>
      </c>
      <c r="G67" s="82" t="s">
        <v>217</v>
      </c>
      <c r="H67" s="65">
        <v>0</v>
      </c>
      <c r="I67" s="65">
        <v>0</v>
      </c>
      <c r="J67" s="65">
        <v>0</v>
      </c>
      <c r="K67" s="65">
        <v>19620</v>
      </c>
      <c r="L67" s="65">
        <v>2000</v>
      </c>
      <c r="M67" s="65">
        <v>0</v>
      </c>
      <c r="N67" s="65">
        <v>0</v>
      </c>
      <c r="O67" s="65">
        <v>0</v>
      </c>
      <c r="P67" s="65">
        <v>1500</v>
      </c>
      <c r="Q67" s="65">
        <v>150</v>
      </c>
      <c r="R67" s="65">
        <v>0</v>
      </c>
      <c r="S67" s="65">
        <v>0</v>
      </c>
      <c r="T67" s="65">
        <v>0</v>
      </c>
      <c r="U67" s="65">
        <v>0</v>
      </c>
      <c r="V67" s="65">
        <v>1843.62</v>
      </c>
      <c r="W67" s="65">
        <v>0</v>
      </c>
      <c r="X67" s="65">
        <v>0</v>
      </c>
      <c r="Y67" s="65">
        <v>0</v>
      </c>
      <c r="Z67" s="65">
        <v>500</v>
      </c>
      <c r="AA67" s="65">
        <v>0</v>
      </c>
      <c r="AB67" s="65">
        <v>2354.4</v>
      </c>
      <c r="AC67" s="65">
        <v>100</v>
      </c>
      <c r="AD67" s="65">
        <v>237.5</v>
      </c>
      <c r="AE67" s="65">
        <v>100</v>
      </c>
      <c r="AF67" s="65">
        <v>0</v>
      </c>
      <c r="AG67" s="65">
        <v>0</v>
      </c>
      <c r="AH67" s="65">
        <v>0</v>
      </c>
      <c r="AI67" s="65">
        <v>0</v>
      </c>
      <c r="AJ67" s="65">
        <v>0</v>
      </c>
      <c r="AK67" s="65">
        <v>323366.24</v>
      </c>
    </row>
    <row r="68" spans="2:37" ht="12.75" customHeight="1" x14ac:dyDescent="0.35">
      <c r="B68" s="5">
        <v>54</v>
      </c>
      <c r="C68" s="60" t="s">
        <v>311</v>
      </c>
      <c r="D68" s="60" t="s">
        <v>230</v>
      </c>
      <c r="E68" s="60" t="s">
        <v>312</v>
      </c>
      <c r="F68" s="66" t="s">
        <v>216</v>
      </c>
      <c r="G68" s="82" t="s">
        <v>217</v>
      </c>
      <c r="H68" s="65">
        <v>0</v>
      </c>
      <c r="I68" s="65">
        <v>0</v>
      </c>
      <c r="J68" s="65">
        <v>0</v>
      </c>
      <c r="K68" s="65">
        <v>20326</v>
      </c>
      <c r="L68" s="65">
        <v>2000</v>
      </c>
      <c r="M68" s="65">
        <v>0</v>
      </c>
      <c r="N68" s="65">
        <v>0</v>
      </c>
      <c r="O68" s="65">
        <v>5000</v>
      </c>
      <c r="P68" s="65">
        <v>1500</v>
      </c>
      <c r="Q68" s="65">
        <v>150</v>
      </c>
      <c r="R68" s="65">
        <v>0</v>
      </c>
      <c r="S68" s="65">
        <v>5000</v>
      </c>
      <c r="T68" s="65">
        <v>0</v>
      </c>
      <c r="U68" s="65">
        <v>0</v>
      </c>
      <c r="V68" s="65">
        <v>1843.62</v>
      </c>
      <c r="W68" s="65">
        <v>0</v>
      </c>
      <c r="X68" s="65">
        <v>0</v>
      </c>
      <c r="Y68" s="65">
        <v>20326</v>
      </c>
      <c r="Z68" s="65">
        <v>5000</v>
      </c>
      <c r="AA68" s="65">
        <v>20326</v>
      </c>
      <c r="AB68" s="65">
        <v>2439.12</v>
      </c>
      <c r="AC68" s="65">
        <v>100</v>
      </c>
      <c r="AD68" s="65">
        <v>250</v>
      </c>
      <c r="AE68" s="65">
        <v>100</v>
      </c>
      <c r="AF68" s="65">
        <v>0</v>
      </c>
      <c r="AG68" s="65">
        <v>0</v>
      </c>
      <c r="AH68" s="65">
        <v>0</v>
      </c>
      <c r="AI68" s="65">
        <v>0</v>
      </c>
      <c r="AJ68" s="65">
        <v>0</v>
      </c>
      <c r="AK68" s="65">
        <v>399506.88</v>
      </c>
    </row>
    <row r="69" spans="2:37" ht="12.75" customHeight="1" x14ac:dyDescent="0.35">
      <c r="B69" s="5">
        <v>55</v>
      </c>
      <c r="C69" s="60" t="s">
        <v>316</v>
      </c>
      <c r="D69" s="60" t="s">
        <v>230</v>
      </c>
      <c r="E69" s="60" t="s">
        <v>243</v>
      </c>
      <c r="F69" s="66" t="s">
        <v>216</v>
      </c>
      <c r="G69" s="82" t="s">
        <v>217</v>
      </c>
      <c r="H69" s="65">
        <v>0</v>
      </c>
      <c r="I69" s="65">
        <v>0</v>
      </c>
      <c r="J69" s="65">
        <v>0</v>
      </c>
      <c r="K69" s="65">
        <v>19620</v>
      </c>
      <c r="L69" s="65">
        <v>2000</v>
      </c>
      <c r="M69" s="65">
        <v>0</v>
      </c>
      <c r="N69" s="65">
        <v>0</v>
      </c>
      <c r="O69" s="65">
        <v>0</v>
      </c>
      <c r="P69" s="65">
        <v>1500</v>
      </c>
      <c r="Q69" s="65">
        <v>150</v>
      </c>
      <c r="R69" s="65">
        <v>0</v>
      </c>
      <c r="S69" s="65">
        <v>0</v>
      </c>
      <c r="T69" s="65">
        <v>0</v>
      </c>
      <c r="U69" s="65">
        <v>0</v>
      </c>
      <c r="V69" s="65">
        <v>1843.62</v>
      </c>
      <c r="W69" s="65">
        <v>0</v>
      </c>
      <c r="X69" s="65">
        <v>0</v>
      </c>
      <c r="Y69" s="65">
        <v>0</v>
      </c>
      <c r="Z69" s="65">
        <v>500</v>
      </c>
      <c r="AA69" s="65">
        <v>0</v>
      </c>
      <c r="AB69" s="65">
        <v>2354.4</v>
      </c>
      <c r="AC69" s="65">
        <v>100</v>
      </c>
      <c r="AD69" s="65">
        <v>237.5</v>
      </c>
      <c r="AE69" s="65">
        <v>100</v>
      </c>
      <c r="AF69" s="65">
        <v>0</v>
      </c>
      <c r="AG69" s="65">
        <v>0</v>
      </c>
      <c r="AH69" s="65">
        <v>0</v>
      </c>
      <c r="AI69" s="65">
        <v>0</v>
      </c>
      <c r="AJ69" s="65">
        <v>0</v>
      </c>
      <c r="AK69" s="65">
        <v>323366.24</v>
      </c>
    </row>
    <row r="70" spans="2:37" ht="12.75" customHeight="1" x14ac:dyDescent="0.35">
      <c r="B70" s="5">
        <v>56</v>
      </c>
      <c r="C70" s="60" t="s">
        <v>320</v>
      </c>
      <c r="D70" s="60" t="s">
        <v>230</v>
      </c>
      <c r="E70" s="60" t="s">
        <v>321</v>
      </c>
      <c r="F70" s="66" t="s">
        <v>216</v>
      </c>
      <c r="G70" s="82" t="s">
        <v>217</v>
      </c>
      <c r="H70" s="65">
        <v>0</v>
      </c>
      <c r="I70" s="65">
        <v>0</v>
      </c>
      <c r="J70" s="65">
        <v>0</v>
      </c>
      <c r="K70" s="65">
        <v>20567</v>
      </c>
      <c r="L70" s="65">
        <v>2000</v>
      </c>
      <c r="M70" s="65">
        <v>0</v>
      </c>
      <c r="N70" s="65">
        <v>0</v>
      </c>
      <c r="O70" s="65">
        <v>5000</v>
      </c>
      <c r="P70" s="65">
        <v>1500</v>
      </c>
      <c r="Q70" s="65">
        <v>150</v>
      </c>
      <c r="R70" s="65">
        <v>0</v>
      </c>
      <c r="S70" s="65">
        <v>5000</v>
      </c>
      <c r="T70" s="65">
        <v>0</v>
      </c>
      <c r="U70" s="65">
        <v>0</v>
      </c>
      <c r="V70" s="65">
        <v>1843.62</v>
      </c>
      <c r="W70" s="65">
        <v>0</v>
      </c>
      <c r="X70" s="65">
        <v>0</v>
      </c>
      <c r="Y70" s="65">
        <v>20567</v>
      </c>
      <c r="Z70" s="65">
        <v>5000</v>
      </c>
      <c r="AA70" s="65">
        <v>20567</v>
      </c>
      <c r="AB70" s="65">
        <v>2468.04</v>
      </c>
      <c r="AC70" s="65">
        <v>100</v>
      </c>
      <c r="AD70" s="65">
        <v>250</v>
      </c>
      <c r="AE70" s="65">
        <v>100</v>
      </c>
      <c r="AF70" s="65">
        <v>0</v>
      </c>
      <c r="AG70" s="65">
        <v>0</v>
      </c>
      <c r="AH70" s="65">
        <v>0</v>
      </c>
      <c r="AI70" s="65">
        <v>0</v>
      </c>
      <c r="AJ70" s="65">
        <v>0</v>
      </c>
      <c r="AK70" s="65">
        <v>387931.93</v>
      </c>
    </row>
    <row r="71" spans="2:37" ht="12.75" customHeight="1" x14ac:dyDescent="0.35">
      <c r="B71" s="5">
        <v>57</v>
      </c>
      <c r="C71" s="60" t="s">
        <v>335</v>
      </c>
      <c r="D71" s="60" t="s">
        <v>230</v>
      </c>
      <c r="E71" s="60" t="s">
        <v>243</v>
      </c>
      <c r="F71" s="66" t="s">
        <v>216</v>
      </c>
      <c r="G71" s="82" t="s">
        <v>120</v>
      </c>
      <c r="H71" s="65" t="s">
        <v>336</v>
      </c>
      <c r="I71" s="65" t="s">
        <v>337</v>
      </c>
      <c r="J71" s="65" t="s">
        <v>338</v>
      </c>
      <c r="K71" s="65">
        <v>0</v>
      </c>
      <c r="L71" s="65">
        <v>0</v>
      </c>
      <c r="M71" s="65">
        <v>0</v>
      </c>
      <c r="N71" s="65">
        <v>0</v>
      </c>
      <c r="O71" s="65">
        <v>0</v>
      </c>
      <c r="P71" s="65">
        <v>0</v>
      </c>
      <c r="Q71" s="65">
        <v>0</v>
      </c>
      <c r="R71" s="65">
        <v>0</v>
      </c>
      <c r="S71" s="65">
        <v>0</v>
      </c>
      <c r="T71" s="65">
        <v>0</v>
      </c>
      <c r="U71" s="65">
        <v>0</v>
      </c>
      <c r="V71" s="65">
        <v>0</v>
      </c>
      <c r="W71" s="65">
        <v>0</v>
      </c>
      <c r="X71" s="65">
        <v>0</v>
      </c>
      <c r="Y71" s="65">
        <v>0</v>
      </c>
      <c r="Z71" s="65">
        <v>0</v>
      </c>
      <c r="AA71" s="65">
        <v>0</v>
      </c>
      <c r="AB71" s="65">
        <v>0</v>
      </c>
      <c r="AC71" s="65">
        <v>0</v>
      </c>
      <c r="AD71" s="65">
        <v>0</v>
      </c>
      <c r="AE71" s="65">
        <v>0</v>
      </c>
      <c r="AF71" s="65">
        <v>0</v>
      </c>
      <c r="AG71" s="65">
        <v>0</v>
      </c>
      <c r="AH71" s="65">
        <v>0</v>
      </c>
      <c r="AI71" s="65">
        <v>0</v>
      </c>
      <c r="AJ71" s="65">
        <v>0</v>
      </c>
      <c r="AK71" s="65">
        <v>155600.76999999999</v>
      </c>
    </row>
    <row r="72" spans="2:37" ht="12.75" customHeight="1" x14ac:dyDescent="0.35">
      <c r="B72" s="5">
        <v>58</v>
      </c>
      <c r="C72" s="60" t="s">
        <v>339</v>
      </c>
      <c r="D72" s="60" t="s">
        <v>230</v>
      </c>
      <c r="E72" s="60" t="s">
        <v>243</v>
      </c>
      <c r="F72" s="66" t="s">
        <v>216</v>
      </c>
      <c r="G72" s="82" t="s">
        <v>120</v>
      </c>
      <c r="H72" s="65" t="s">
        <v>340</v>
      </c>
      <c r="I72" s="65" t="s">
        <v>341</v>
      </c>
      <c r="J72" s="65" t="s">
        <v>342</v>
      </c>
      <c r="K72" s="65">
        <v>0</v>
      </c>
      <c r="L72" s="65">
        <v>0</v>
      </c>
      <c r="M72" s="65">
        <v>0</v>
      </c>
      <c r="N72" s="65">
        <v>0</v>
      </c>
      <c r="O72" s="65">
        <v>0</v>
      </c>
      <c r="P72" s="65">
        <v>0</v>
      </c>
      <c r="Q72" s="65">
        <v>0</v>
      </c>
      <c r="R72" s="65">
        <v>0</v>
      </c>
      <c r="S72" s="65">
        <v>0</v>
      </c>
      <c r="T72" s="65">
        <v>0</v>
      </c>
      <c r="U72" s="65">
        <v>0</v>
      </c>
      <c r="V72" s="65">
        <v>0</v>
      </c>
      <c r="W72" s="65">
        <v>0</v>
      </c>
      <c r="X72" s="65">
        <v>0</v>
      </c>
      <c r="Y72" s="65">
        <v>0</v>
      </c>
      <c r="Z72" s="65">
        <v>0</v>
      </c>
      <c r="AA72" s="65">
        <v>0</v>
      </c>
      <c r="AB72" s="65">
        <v>0</v>
      </c>
      <c r="AC72" s="65">
        <v>0</v>
      </c>
      <c r="AD72" s="65">
        <v>0</v>
      </c>
      <c r="AE72" s="65">
        <v>0</v>
      </c>
      <c r="AF72" s="65">
        <v>0</v>
      </c>
      <c r="AG72" s="65">
        <v>0</v>
      </c>
      <c r="AH72" s="65">
        <v>0</v>
      </c>
      <c r="AI72" s="65">
        <v>0</v>
      </c>
      <c r="AJ72" s="65">
        <v>0</v>
      </c>
      <c r="AK72" s="65">
        <v>116150.44</v>
      </c>
    </row>
    <row r="73" spans="2:37" ht="12.75" customHeight="1" x14ac:dyDescent="0.35">
      <c r="B73" s="5">
        <v>59</v>
      </c>
      <c r="C73" s="60" t="s">
        <v>348</v>
      </c>
      <c r="D73" s="60" t="s">
        <v>230</v>
      </c>
      <c r="E73" s="60" t="s">
        <v>344</v>
      </c>
      <c r="F73" s="66" t="s">
        <v>216</v>
      </c>
      <c r="G73" s="82" t="s">
        <v>120</v>
      </c>
      <c r="H73" s="65" t="s">
        <v>340</v>
      </c>
      <c r="I73" s="65" t="s">
        <v>349</v>
      </c>
      <c r="J73" s="65" t="s">
        <v>350</v>
      </c>
      <c r="K73" s="65">
        <v>0</v>
      </c>
      <c r="L73" s="65">
        <v>0</v>
      </c>
      <c r="M73" s="65">
        <v>0</v>
      </c>
      <c r="N73" s="65">
        <v>0</v>
      </c>
      <c r="O73" s="65">
        <v>0</v>
      </c>
      <c r="P73" s="65">
        <v>0</v>
      </c>
      <c r="Q73" s="65">
        <v>0</v>
      </c>
      <c r="R73" s="65">
        <v>0</v>
      </c>
      <c r="S73" s="65">
        <v>0</v>
      </c>
      <c r="T73" s="65">
        <v>0</v>
      </c>
      <c r="U73" s="65">
        <v>0</v>
      </c>
      <c r="V73" s="65">
        <v>0</v>
      </c>
      <c r="W73" s="65">
        <v>0</v>
      </c>
      <c r="X73" s="65">
        <v>0</v>
      </c>
      <c r="Y73" s="65">
        <v>0</v>
      </c>
      <c r="Z73" s="65">
        <v>0</v>
      </c>
      <c r="AA73" s="65">
        <v>0</v>
      </c>
      <c r="AB73" s="65">
        <v>0</v>
      </c>
      <c r="AC73" s="65">
        <v>0</v>
      </c>
      <c r="AD73" s="65">
        <v>0</v>
      </c>
      <c r="AE73" s="65">
        <v>0</v>
      </c>
      <c r="AF73" s="65">
        <v>0</v>
      </c>
      <c r="AG73" s="65">
        <v>0</v>
      </c>
      <c r="AH73" s="65">
        <v>0</v>
      </c>
      <c r="AI73" s="65">
        <v>0</v>
      </c>
      <c r="AJ73" s="65">
        <v>0</v>
      </c>
      <c r="AK73" s="65">
        <v>105935.28</v>
      </c>
    </row>
    <row r="74" spans="2:37" ht="12.75" customHeight="1" x14ac:dyDescent="0.35">
      <c r="B74" s="5">
        <v>60</v>
      </c>
      <c r="C74" s="60" t="s">
        <v>360</v>
      </c>
      <c r="D74" s="60" t="s">
        <v>230</v>
      </c>
      <c r="E74" s="60" t="s">
        <v>243</v>
      </c>
      <c r="F74" s="66" t="s">
        <v>216</v>
      </c>
      <c r="G74" s="82" t="s">
        <v>120</v>
      </c>
      <c r="H74" s="65" t="s">
        <v>340</v>
      </c>
      <c r="I74" s="65" t="s">
        <v>361</v>
      </c>
      <c r="J74" s="65" t="s">
        <v>362</v>
      </c>
      <c r="K74" s="65">
        <v>0</v>
      </c>
      <c r="L74" s="65">
        <v>0</v>
      </c>
      <c r="M74" s="65">
        <v>0</v>
      </c>
      <c r="N74" s="65">
        <v>0</v>
      </c>
      <c r="O74" s="65">
        <v>0</v>
      </c>
      <c r="P74" s="65">
        <v>0</v>
      </c>
      <c r="Q74" s="65">
        <v>0</v>
      </c>
      <c r="R74" s="65">
        <v>0</v>
      </c>
      <c r="S74" s="65">
        <v>0</v>
      </c>
      <c r="T74" s="65">
        <v>0</v>
      </c>
      <c r="U74" s="65">
        <v>0</v>
      </c>
      <c r="V74" s="65">
        <v>0</v>
      </c>
      <c r="W74" s="65">
        <v>0</v>
      </c>
      <c r="X74" s="65">
        <v>0</v>
      </c>
      <c r="Y74" s="65">
        <v>0</v>
      </c>
      <c r="Z74" s="65">
        <v>0</v>
      </c>
      <c r="AA74" s="65">
        <v>0</v>
      </c>
      <c r="AB74" s="65">
        <v>0</v>
      </c>
      <c r="AC74" s="65">
        <v>0</v>
      </c>
      <c r="AD74" s="65">
        <v>0</v>
      </c>
      <c r="AE74" s="65">
        <v>0</v>
      </c>
      <c r="AF74" s="65">
        <v>0</v>
      </c>
      <c r="AG74" s="65">
        <v>0</v>
      </c>
      <c r="AH74" s="65">
        <v>0</v>
      </c>
      <c r="AI74" s="65">
        <v>0</v>
      </c>
      <c r="AJ74" s="65">
        <v>0</v>
      </c>
      <c r="AK74" s="65">
        <v>118456.44</v>
      </c>
    </row>
    <row r="75" spans="2:37" ht="12.75" customHeight="1" x14ac:dyDescent="0.35">
      <c r="B75" s="5">
        <v>61</v>
      </c>
      <c r="C75" s="60" t="s">
        <v>368</v>
      </c>
      <c r="D75" s="60" t="s">
        <v>230</v>
      </c>
      <c r="E75" s="60" t="s">
        <v>243</v>
      </c>
      <c r="F75" s="66" t="s">
        <v>216</v>
      </c>
      <c r="G75" s="82" t="s">
        <v>120</v>
      </c>
      <c r="H75" s="65" t="s">
        <v>340</v>
      </c>
      <c r="I75" s="65" t="s">
        <v>369</v>
      </c>
      <c r="J75" s="65" t="s">
        <v>370</v>
      </c>
      <c r="K75" s="65">
        <v>0</v>
      </c>
      <c r="L75" s="65">
        <v>0</v>
      </c>
      <c r="M75" s="65">
        <v>0</v>
      </c>
      <c r="N75" s="65">
        <v>0</v>
      </c>
      <c r="O75" s="65">
        <v>0</v>
      </c>
      <c r="P75" s="65">
        <v>0</v>
      </c>
      <c r="Q75" s="65">
        <v>0</v>
      </c>
      <c r="R75" s="65">
        <v>0</v>
      </c>
      <c r="S75" s="65">
        <v>0</v>
      </c>
      <c r="T75" s="65">
        <v>0</v>
      </c>
      <c r="U75" s="65">
        <v>0</v>
      </c>
      <c r="V75" s="65">
        <v>0</v>
      </c>
      <c r="W75" s="65">
        <v>0</v>
      </c>
      <c r="X75" s="65">
        <v>0</v>
      </c>
      <c r="Y75" s="65">
        <v>0</v>
      </c>
      <c r="Z75" s="65">
        <v>0</v>
      </c>
      <c r="AA75" s="65">
        <v>0</v>
      </c>
      <c r="AB75" s="65">
        <v>0</v>
      </c>
      <c r="AC75" s="65">
        <v>0</v>
      </c>
      <c r="AD75" s="65">
        <v>0</v>
      </c>
      <c r="AE75" s="65">
        <v>0</v>
      </c>
      <c r="AF75" s="65">
        <v>0</v>
      </c>
      <c r="AG75" s="65">
        <v>0</v>
      </c>
      <c r="AH75" s="65">
        <v>0</v>
      </c>
      <c r="AI75" s="65">
        <v>0</v>
      </c>
      <c r="AJ75" s="65">
        <v>0</v>
      </c>
      <c r="AK75" s="65">
        <v>113383</v>
      </c>
    </row>
    <row r="76" spans="2:37" ht="12.75" customHeight="1" x14ac:dyDescent="0.35">
      <c r="B76" s="5">
        <v>62</v>
      </c>
      <c r="C76" s="60" t="s">
        <v>375</v>
      </c>
      <c r="D76" s="60" t="s">
        <v>230</v>
      </c>
      <c r="E76" s="60" t="s">
        <v>243</v>
      </c>
      <c r="F76" s="66" t="s">
        <v>216</v>
      </c>
      <c r="G76" s="82" t="s">
        <v>120</v>
      </c>
      <c r="H76" s="65" t="s">
        <v>340</v>
      </c>
      <c r="I76" s="65" t="s">
        <v>376</v>
      </c>
      <c r="J76" s="65" t="s">
        <v>377</v>
      </c>
      <c r="K76" s="65">
        <v>0</v>
      </c>
      <c r="L76" s="65">
        <v>0</v>
      </c>
      <c r="M76" s="65">
        <v>0</v>
      </c>
      <c r="N76" s="65">
        <v>0</v>
      </c>
      <c r="O76" s="65">
        <v>0</v>
      </c>
      <c r="P76" s="65">
        <v>0</v>
      </c>
      <c r="Q76" s="65">
        <v>0</v>
      </c>
      <c r="R76" s="65">
        <v>0</v>
      </c>
      <c r="S76" s="65">
        <v>0</v>
      </c>
      <c r="T76" s="65">
        <v>0</v>
      </c>
      <c r="U76" s="65">
        <v>0</v>
      </c>
      <c r="V76" s="65">
        <v>0</v>
      </c>
      <c r="W76" s="65">
        <v>0</v>
      </c>
      <c r="X76" s="65">
        <v>0</v>
      </c>
      <c r="Y76" s="65">
        <v>0</v>
      </c>
      <c r="Z76" s="65">
        <v>0</v>
      </c>
      <c r="AA76" s="65">
        <v>0</v>
      </c>
      <c r="AB76" s="65">
        <v>0</v>
      </c>
      <c r="AC76" s="65">
        <v>0</v>
      </c>
      <c r="AD76" s="65">
        <v>0</v>
      </c>
      <c r="AE76" s="65">
        <v>0</v>
      </c>
      <c r="AF76" s="65">
        <v>0</v>
      </c>
      <c r="AG76" s="65">
        <v>0</v>
      </c>
      <c r="AH76" s="65">
        <v>0</v>
      </c>
      <c r="AI76" s="65">
        <v>0</v>
      </c>
      <c r="AJ76" s="65">
        <v>0</v>
      </c>
      <c r="AK76" s="65">
        <v>141273.64000000001</v>
      </c>
    </row>
    <row r="77" spans="2:37" ht="12.75" customHeight="1" x14ac:dyDescent="0.35">
      <c r="B77" s="5">
        <v>63</v>
      </c>
      <c r="C77" s="60" t="s">
        <v>387</v>
      </c>
      <c r="D77" s="60" t="s">
        <v>230</v>
      </c>
      <c r="E77" s="60" t="s">
        <v>243</v>
      </c>
      <c r="F77" s="66" t="s">
        <v>216</v>
      </c>
      <c r="G77" s="82" t="s">
        <v>120</v>
      </c>
      <c r="H77" s="65" t="s">
        <v>340</v>
      </c>
      <c r="I77" s="65" t="s">
        <v>388</v>
      </c>
      <c r="J77" s="65" t="s">
        <v>389</v>
      </c>
      <c r="K77" s="65">
        <v>0</v>
      </c>
      <c r="L77" s="65">
        <v>0</v>
      </c>
      <c r="M77" s="65">
        <v>0</v>
      </c>
      <c r="N77" s="65">
        <v>0</v>
      </c>
      <c r="O77" s="65">
        <v>0</v>
      </c>
      <c r="P77" s="65">
        <v>0</v>
      </c>
      <c r="Q77" s="65">
        <v>0</v>
      </c>
      <c r="R77" s="65">
        <v>0</v>
      </c>
      <c r="S77" s="65">
        <v>0</v>
      </c>
      <c r="T77" s="65">
        <v>0</v>
      </c>
      <c r="U77" s="65">
        <v>0</v>
      </c>
      <c r="V77" s="65">
        <v>0</v>
      </c>
      <c r="W77" s="65">
        <v>0</v>
      </c>
      <c r="X77" s="65">
        <v>0</v>
      </c>
      <c r="Y77" s="65">
        <v>0</v>
      </c>
      <c r="Z77" s="65">
        <v>0</v>
      </c>
      <c r="AA77" s="65">
        <v>0</v>
      </c>
      <c r="AB77" s="65">
        <v>0</v>
      </c>
      <c r="AC77" s="65">
        <v>0</v>
      </c>
      <c r="AD77" s="65">
        <v>0</v>
      </c>
      <c r="AE77" s="65">
        <v>0</v>
      </c>
      <c r="AF77" s="65">
        <v>0</v>
      </c>
      <c r="AG77" s="65">
        <v>0</v>
      </c>
      <c r="AH77" s="65">
        <v>0</v>
      </c>
      <c r="AI77" s="65">
        <v>0</v>
      </c>
      <c r="AJ77" s="65">
        <v>0</v>
      </c>
      <c r="AK77" s="65">
        <v>149101.53</v>
      </c>
    </row>
    <row r="78" spans="2:37" ht="12.75" customHeight="1" x14ac:dyDescent="0.35">
      <c r="B78" s="5">
        <v>64</v>
      </c>
      <c r="C78" s="60" t="s">
        <v>395</v>
      </c>
      <c r="D78" s="60" t="s">
        <v>230</v>
      </c>
      <c r="E78" s="60" t="s">
        <v>243</v>
      </c>
      <c r="F78" s="66" t="s">
        <v>216</v>
      </c>
      <c r="G78" s="82" t="s">
        <v>120</v>
      </c>
      <c r="H78" s="65" t="s">
        <v>340</v>
      </c>
      <c r="I78" s="65" t="s">
        <v>396</v>
      </c>
      <c r="J78" s="65" t="s">
        <v>397</v>
      </c>
      <c r="K78" s="65">
        <v>0</v>
      </c>
      <c r="L78" s="65">
        <v>0</v>
      </c>
      <c r="M78" s="65">
        <v>0</v>
      </c>
      <c r="N78" s="65">
        <v>0</v>
      </c>
      <c r="O78" s="65">
        <v>0</v>
      </c>
      <c r="P78" s="65">
        <v>0</v>
      </c>
      <c r="Q78" s="65">
        <v>0</v>
      </c>
      <c r="R78" s="65">
        <v>0</v>
      </c>
      <c r="S78" s="65">
        <v>0</v>
      </c>
      <c r="T78" s="65">
        <v>0</v>
      </c>
      <c r="U78" s="65">
        <v>0</v>
      </c>
      <c r="V78" s="65">
        <v>0</v>
      </c>
      <c r="W78" s="65">
        <v>0</v>
      </c>
      <c r="X78" s="65">
        <v>0</v>
      </c>
      <c r="Y78" s="65">
        <v>0</v>
      </c>
      <c r="Z78" s="65">
        <v>0</v>
      </c>
      <c r="AA78" s="65">
        <v>0</v>
      </c>
      <c r="AB78" s="65">
        <v>0</v>
      </c>
      <c r="AC78" s="65">
        <v>0</v>
      </c>
      <c r="AD78" s="65">
        <v>0</v>
      </c>
      <c r="AE78" s="65">
        <v>0</v>
      </c>
      <c r="AF78" s="65">
        <v>0</v>
      </c>
      <c r="AG78" s="65">
        <v>0</v>
      </c>
      <c r="AH78" s="65">
        <v>0</v>
      </c>
      <c r="AI78" s="65">
        <v>0</v>
      </c>
      <c r="AJ78" s="65">
        <v>0</v>
      </c>
      <c r="AK78" s="65">
        <v>152507.09</v>
      </c>
    </row>
    <row r="79" spans="2:37" ht="12.75" customHeight="1" x14ac:dyDescent="0.35">
      <c r="B79" s="5">
        <v>65</v>
      </c>
      <c r="C79" s="60" t="s">
        <v>406</v>
      </c>
      <c r="D79" s="60" t="s">
        <v>230</v>
      </c>
      <c r="E79" s="60" t="s">
        <v>243</v>
      </c>
      <c r="F79" s="66" t="s">
        <v>216</v>
      </c>
      <c r="G79" s="82" t="s">
        <v>120</v>
      </c>
      <c r="H79" s="65" t="s">
        <v>407</v>
      </c>
      <c r="I79" s="65" t="s">
        <v>408</v>
      </c>
      <c r="J79" s="65" t="s">
        <v>409</v>
      </c>
      <c r="K79" s="65">
        <v>0</v>
      </c>
      <c r="L79" s="65">
        <v>0</v>
      </c>
      <c r="M79" s="65">
        <v>0</v>
      </c>
      <c r="N79" s="65">
        <v>0</v>
      </c>
      <c r="O79" s="65">
        <v>0</v>
      </c>
      <c r="P79" s="65">
        <v>0</v>
      </c>
      <c r="Q79" s="65">
        <v>0</v>
      </c>
      <c r="R79" s="65">
        <v>0</v>
      </c>
      <c r="S79" s="65">
        <v>0</v>
      </c>
      <c r="T79" s="65">
        <v>0</v>
      </c>
      <c r="U79" s="65">
        <v>0</v>
      </c>
      <c r="V79" s="65">
        <v>0</v>
      </c>
      <c r="W79" s="65">
        <v>0</v>
      </c>
      <c r="X79" s="65">
        <v>0</v>
      </c>
      <c r="Y79" s="65">
        <v>0</v>
      </c>
      <c r="Z79" s="65">
        <v>0</v>
      </c>
      <c r="AA79" s="65">
        <v>0</v>
      </c>
      <c r="AB79" s="65">
        <v>0</v>
      </c>
      <c r="AC79" s="65">
        <v>0</v>
      </c>
      <c r="AD79" s="65">
        <v>0</v>
      </c>
      <c r="AE79" s="65">
        <v>0</v>
      </c>
      <c r="AF79" s="65">
        <v>0</v>
      </c>
      <c r="AG79" s="65">
        <v>0</v>
      </c>
      <c r="AH79" s="65">
        <v>0</v>
      </c>
      <c r="AI79" s="65">
        <v>0</v>
      </c>
      <c r="AJ79" s="65">
        <v>0</v>
      </c>
      <c r="AK79" s="65">
        <v>73616.039999999994</v>
      </c>
    </row>
    <row r="80" spans="2:37" ht="12.75" customHeight="1" x14ac:dyDescent="0.35">
      <c r="B80" s="5">
        <v>66</v>
      </c>
      <c r="C80" s="60" t="s">
        <v>416</v>
      </c>
      <c r="D80" s="60" t="s">
        <v>230</v>
      </c>
      <c r="E80" s="60" t="s">
        <v>243</v>
      </c>
      <c r="F80" s="66" t="s">
        <v>216</v>
      </c>
      <c r="G80" s="82" t="s">
        <v>120</v>
      </c>
      <c r="H80" s="65" t="s">
        <v>340</v>
      </c>
      <c r="I80" s="65" t="s">
        <v>417</v>
      </c>
      <c r="J80" s="65" t="s">
        <v>418</v>
      </c>
      <c r="K80" s="65">
        <v>0</v>
      </c>
      <c r="L80" s="65">
        <v>0</v>
      </c>
      <c r="M80" s="65">
        <v>0</v>
      </c>
      <c r="N80" s="65">
        <v>0</v>
      </c>
      <c r="O80" s="65">
        <v>0</v>
      </c>
      <c r="P80" s="65">
        <v>0</v>
      </c>
      <c r="Q80" s="65">
        <v>0</v>
      </c>
      <c r="R80" s="65">
        <v>0</v>
      </c>
      <c r="S80" s="65">
        <v>0</v>
      </c>
      <c r="T80" s="65">
        <v>0</v>
      </c>
      <c r="U80" s="65">
        <v>0</v>
      </c>
      <c r="V80" s="65">
        <v>0</v>
      </c>
      <c r="W80" s="65">
        <v>0</v>
      </c>
      <c r="X80" s="65">
        <v>0</v>
      </c>
      <c r="Y80" s="65">
        <v>0</v>
      </c>
      <c r="Z80" s="65">
        <v>0</v>
      </c>
      <c r="AA80" s="65">
        <v>0</v>
      </c>
      <c r="AB80" s="65">
        <v>0</v>
      </c>
      <c r="AC80" s="65">
        <v>0</v>
      </c>
      <c r="AD80" s="65">
        <v>0</v>
      </c>
      <c r="AE80" s="65">
        <v>0</v>
      </c>
      <c r="AF80" s="65">
        <v>0</v>
      </c>
      <c r="AG80" s="65">
        <v>0</v>
      </c>
      <c r="AH80" s="65">
        <v>0</v>
      </c>
      <c r="AI80" s="65">
        <v>0</v>
      </c>
      <c r="AJ80" s="65">
        <v>0</v>
      </c>
      <c r="AK80" s="65">
        <v>151419.28</v>
      </c>
    </row>
    <row r="81" spans="2:37" ht="12.75" customHeight="1" x14ac:dyDescent="0.35">
      <c r="B81" s="5">
        <v>67</v>
      </c>
      <c r="C81" s="60" t="s">
        <v>419</v>
      </c>
      <c r="D81" s="60" t="s">
        <v>230</v>
      </c>
      <c r="E81" s="60" t="s">
        <v>243</v>
      </c>
      <c r="F81" s="66" t="s">
        <v>216</v>
      </c>
      <c r="G81" s="82" t="s">
        <v>120</v>
      </c>
      <c r="H81" s="65" t="s">
        <v>340</v>
      </c>
      <c r="I81" s="65" t="s">
        <v>420</v>
      </c>
      <c r="J81" s="65" t="s">
        <v>421</v>
      </c>
      <c r="K81" s="65">
        <v>0</v>
      </c>
      <c r="L81" s="65">
        <v>0</v>
      </c>
      <c r="M81" s="65">
        <v>0</v>
      </c>
      <c r="N81" s="65">
        <v>0</v>
      </c>
      <c r="O81" s="65">
        <v>0</v>
      </c>
      <c r="P81" s="65">
        <v>0</v>
      </c>
      <c r="Q81" s="65">
        <v>0</v>
      </c>
      <c r="R81" s="65">
        <v>0</v>
      </c>
      <c r="S81" s="65">
        <v>0</v>
      </c>
      <c r="T81" s="65">
        <v>0</v>
      </c>
      <c r="U81" s="65">
        <v>0</v>
      </c>
      <c r="V81" s="65">
        <v>0</v>
      </c>
      <c r="W81" s="65">
        <v>0</v>
      </c>
      <c r="X81" s="65">
        <v>0</v>
      </c>
      <c r="Y81" s="65">
        <v>0</v>
      </c>
      <c r="Z81" s="65">
        <v>0</v>
      </c>
      <c r="AA81" s="65">
        <v>0</v>
      </c>
      <c r="AB81" s="65">
        <v>0</v>
      </c>
      <c r="AC81" s="65">
        <v>0</v>
      </c>
      <c r="AD81" s="65">
        <v>0</v>
      </c>
      <c r="AE81" s="65">
        <v>0</v>
      </c>
      <c r="AF81" s="65">
        <v>0</v>
      </c>
      <c r="AG81" s="65">
        <v>0</v>
      </c>
      <c r="AH81" s="65">
        <v>0</v>
      </c>
      <c r="AI81" s="65">
        <v>0</v>
      </c>
      <c r="AJ81" s="65">
        <v>0</v>
      </c>
      <c r="AK81" s="65">
        <v>44277.84</v>
      </c>
    </row>
    <row r="82" spans="2:37" ht="12.75" customHeight="1" x14ac:dyDescent="0.35">
      <c r="B82" s="5">
        <v>68</v>
      </c>
      <c r="C82" s="60" t="s">
        <v>422</v>
      </c>
      <c r="D82" s="60" t="s">
        <v>230</v>
      </c>
      <c r="E82" s="60" t="s">
        <v>344</v>
      </c>
      <c r="F82" s="66" t="s">
        <v>216</v>
      </c>
      <c r="G82" s="82" t="s">
        <v>120</v>
      </c>
      <c r="H82" s="65" t="s">
        <v>340</v>
      </c>
      <c r="I82" s="65" t="s">
        <v>423</v>
      </c>
      <c r="J82" s="65" t="s">
        <v>424</v>
      </c>
      <c r="K82" s="65">
        <v>0</v>
      </c>
      <c r="L82" s="65">
        <v>0</v>
      </c>
      <c r="M82" s="65">
        <v>0</v>
      </c>
      <c r="N82" s="65">
        <v>0</v>
      </c>
      <c r="O82" s="65">
        <v>0</v>
      </c>
      <c r="P82" s="65">
        <v>0</v>
      </c>
      <c r="Q82" s="65">
        <v>0</v>
      </c>
      <c r="R82" s="65">
        <v>0</v>
      </c>
      <c r="S82" s="65">
        <v>0</v>
      </c>
      <c r="T82" s="65">
        <v>0</v>
      </c>
      <c r="U82" s="65">
        <v>0</v>
      </c>
      <c r="V82" s="65">
        <v>0</v>
      </c>
      <c r="W82" s="65">
        <v>0</v>
      </c>
      <c r="X82" s="65">
        <v>0</v>
      </c>
      <c r="Y82" s="65">
        <v>0</v>
      </c>
      <c r="Z82" s="65">
        <v>0</v>
      </c>
      <c r="AA82" s="65">
        <v>0</v>
      </c>
      <c r="AB82" s="65">
        <v>0</v>
      </c>
      <c r="AC82" s="65">
        <v>0</v>
      </c>
      <c r="AD82" s="65">
        <v>0</v>
      </c>
      <c r="AE82" s="65">
        <v>0</v>
      </c>
      <c r="AF82" s="65">
        <v>0</v>
      </c>
      <c r="AG82" s="65">
        <v>0</v>
      </c>
      <c r="AH82" s="65">
        <v>0</v>
      </c>
      <c r="AI82" s="65">
        <v>0</v>
      </c>
      <c r="AJ82" s="65">
        <v>0</v>
      </c>
      <c r="AK82" s="65">
        <v>109718.96</v>
      </c>
    </row>
    <row r="83" spans="2:37" ht="12.75" customHeight="1" x14ac:dyDescent="0.35">
      <c r="B83" s="5">
        <v>69</v>
      </c>
      <c r="C83" s="60" t="s">
        <v>433</v>
      </c>
      <c r="D83" s="60" t="s">
        <v>230</v>
      </c>
      <c r="E83" s="60" t="s">
        <v>243</v>
      </c>
      <c r="F83" s="66" t="s">
        <v>216</v>
      </c>
      <c r="G83" s="82" t="s">
        <v>120</v>
      </c>
      <c r="H83" s="65" t="s">
        <v>434</v>
      </c>
      <c r="I83" s="65" t="s">
        <v>435</v>
      </c>
      <c r="J83" s="65" t="s">
        <v>436</v>
      </c>
      <c r="K83" s="65">
        <v>0</v>
      </c>
      <c r="L83" s="65">
        <v>0</v>
      </c>
      <c r="M83" s="65">
        <v>0</v>
      </c>
      <c r="N83" s="65">
        <v>0</v>
      </c>
      <c r="O83" s="65">
        <v>0</v>
      </c>
      <c r="P83" s="65">
        <v>0</v>
      </c>
      <c r="Q83" s="65">
        <v>0</v>
      </c>
      <c r="R83" s="65">
        <v>0</v>
      </c>
      <c r="S83" s="65">
        <v>0</v>
      </c>
      <c r="T83" s="65">
        <v>0</v>
      </c>
      <c r="U83" s="65">
        <v>0</v>
      </c>
      <c r="V83" s="65">
        <v>0</v>
      </c>
      <c r="W83" s="65">
        <v>0</v>
      </c>
      <c r="X83" s="65">
        <v>0</v>
      </c>
      <c r="Y83" s="65">
        <v>0</v>
      </c>
      <c r="Z83" s="65">
        <v>0</v>
      </c>
      <c r="AA83" s="65">
        <v>0</v>
      </c>
      <c r="AB83" s="65">
        <v>0</v>
      </c>
      <c r="AC83" s="65">
        <v>0</v>
      </c>
      <c r="AD83" s="65">
        <v>0</v>
      </c>
      <c r="AE83" s="65">
        <v>0</v>
      </c>
      <c r="AF83" s="65">
        <v>0</v>
      </c>
      <c r="AG83" s="65">
        <v>0</v>
      </c>
      <c r="AH83" s="65">
        <v>0</v>
      </c>
      <c r="AI83" s="65">
        <v>0</v>
      </c>
      <c r="AJ83" s="65">
        <v>0</v>
      </c>
      <c r="AK83" s="65">
        <v>112061.2</v>
      </c>
    </row>
    <row r="84" spans="2:37" ht="12.75" customHeight="1" x14ac:dyDescent="0.35">
      <c r="B84" s="5">
        <v>70</v>
      </c>
      <c r="C84" s="60" t="s">
        <v>441</v>
      </c>
      <c r="D84" s="60" t="s">
        <v>230</v>
      </c>
      <c r="E84" s="60" t="s">
        <v>243</v>
      </c>
      <c r="F84" s="66" t="s">
        <v>216</v>
      </c>
      <c r="G84" s="82" t="s">
        <v>120</v>
      </c>
      <c r="H84" s="65" t="s">
        <v>340</v>
      </c>
      <c r="I84" s="65" t="s">
        <v>442</v>
      </c>
      <c r="J84" s="65" t="s">
        <v>443</v>
      </c>
      <c r="K84" s="65">
        <v>0</v>
      </c>
      <c r="L84" s="65">
        <v>0</v>
      </c>
      <c r="M84" s="65">
        <v>0</v>
      </c>
      <c r="N84" s="65">
        <v>0</v>
      </c>
      <c r="O84" s="65">
        <v>0</v>
      </c>
      <c r="P84" s="65">
        <v>0</v>
      </c>
      <c r="Q84" s="65">
        <v>0</v>
      </c>
      <c r="R84" s="65">
        <v>0</v>
      </c>
      <c r="S84" s="65">
        <v>0</v>
      </c>
      <c r="T84" s="65">
        <v>0</v>
      </c>
      <c r="U84" s="65">
        <v>0</v>
      </c>
      <c r="V84" s="65">
        <v>0</v>
      </c>
      <c r="W84" s="65">
        <v>0</v>
      </c>
      <c r="X84" s="65">
        <v>0</v>
      </c>
      <c r="Y84" s="65">
        <v>0</v>
      </c>
      <c r="Z84" s="65">
        <v>0</v>
      </c>
      <c r="AA84" s="65">
        <v>0</v>
      </c>
      <c r="AB84" s="65">
        <v>0</v>
      </c>
      <c r="AC84" s="65">
        <v>0</v>
      </c>
      <c r="AD84" s="65">
        <v>0</v>
      </c>
      <c r="AE84" s="65">
        <v>0</v>
      </c>
      <c r="AF84" s="65">
        <v>0</v>
      </c>
      <c r="AG84" s="65">
        <v>0</v>
      </c>
      <c r="AH84" s="65">
        <v>0</v>
      </c>
      <c r="AI84" s="65">
        <v>0</v>
      </c>
      <c r="AJ84" s="65">
        <v>0</v>
      </c>
      <c r="AK84" s="65">
        <v>111538.24000000001</v>
      </c>
    </row>
    <row r="85" spans="2:37" ht="12.75" customHeight="1" x14ac:dyDescent="0.35">
      <c r="B85" s="5">
        <v>71</v>
      </c>
      <c r="C85" s="60" t="s">
        <v>444</v>
      </c>
      <c r="D85" s="60" t="s">
        <v>230</v>
      </c>
      <c r="E85" s="60" t="s">
        <v>445</v>
      </c>
      <c r="F85" s="66" t="s">
        <v>216</v>
      </c>
      <c r="G85" s="82" t="s">
        <v>120</v>
      </c>
      <c r="H85" s="65" t="s">
        <v>340</v>
      </c>
      <c r="I85" s="65" t="s">
        <v>446</v>
      </c>
      <c r="J85" s="65" t="s">
        <v>447</v>
      </c>
      <c r="K85" s="65">
        <v>0</v>
      </c>
      <c r="L85" s="65">
        <v>0</v>
      </c>
      <c r="M85" s="65">
        <v>0</v>
      </c>
      <c r="N85" s="65">
        <v>0</v>
      </c>
      <c r="O85" s="65">
        <v>0</v>
      </c>
      <c r="P85" s="65">
        <v>0</v>
      </c>
      <c r="Q85" s="65">
        <v>0</v>
      </c>
      <c r="R85" s="65">
        <v>0</v>
      </c>
      <c r="S85" s="65">
        <v>0</v>
      </c>
      <c r="T85" s="65">
        <v>0</v>
      </c>
      <c r="U85" s="65">
        <v>0</v>
      </c>
      <c r="V85" s="65">
        <v>0</v>
      </c>
      <c r="W85" s="65">
        <v>0</v>
      </c>
      <c r="X85" s="65">
        <v>0</v>
      </c>
      <c r="Y85" s="65">
        <v>0</v>
      </c>
      <c r="Z85" s="65">
        <v>0</v>
      </c>
      <c r="AA85" s="65">
        <v>0</v>
      </c>
      <c r="AB85" s="65">
        <v>0</v>
      </c>
      <c r="AC85" s="65">
        <v>0</v>
      </c>
      <c r="AD85" s="65">
        <v>0</v>
      </c>
      <c r="AE85" s="65">
        <v>0</v>
      </c>
      <c r="AF85" s="65">
        <v>0</v>
      </c>
      <c r="AG85" s="65">
        <v>0</v>
      </c>
      <c r="AH85" s="65">
        <v>0</v>
      </c>
      <c r="AI85" s="65">
        <v>0</v>
      </c>
      <c r="AJ85" s="65">
        <v>0</v>
      </c>
      <c r="AK85" s="65">
        <v>108770.8</v>
      </c>
    </row>
    <row r="86" spans="2:37" ht="12.75" customHeight="1" x14ac:dyDescent="0.35">
      <c r="B86" s="5">
        <v>72</v>
      </c>
      <c r="C86" s="60" t="s">
        <v>452</v>
      </c>
      <c r="D86" s="60" t="s">
        <v>230</v>
      </c>
      <c r="E86" s="60" t="s">
        <v>243</v>
      </c>
      <c r="F86" s="66" t="s">
        <v>216</v>
      </c>
      <c r="G86" s="82" t="s">
        <v>120</v>
      </c>
      <c r="H86" s="65" t="s">
        <v>340</v>
      </c>
      <c r="I86" s="65" t="s">
        <v>453</v>
      </c>
      <c r="J86" s="65" t="s">
        <v>454</v>
      </c>
      <c r="K86" s="65">
        <v>0</v>
      </c>
      <c r="L86" s="65">
        <v>0</v>
      </c>
      <c r="M86" s="65">
        <v>0</v>
      </c>
      <c r="N86" s="65">
        <v>0</v>
      </c>
      <c r="O86" s="65">
        <v>0</v>
      </c>
      <c r="P86" s="65">
        <v>0</v>
      </c>
      <c r="Q86" s="65">
        <v>0</v>
      </c>
      <c r="R86" s="65">
        <v>0</v>
      </c>
      <c r="S86" s="65">
        <v>0</v>
      </c>
      <c r="T86" s="65">
        <v>0</v>
      </c>
      <c r="U86" s="65">
        <v>0</v>
      </c>
      <c r="V86" s="65">
        <v>0</v>
      </c>
      <c r="W86" s="65">
        <v>0</v>
      </c>
      <c r="X86" s="65">
        <v>0</v>
      </c>
      <c r="Y86" s="65">
        <v>0</v>
      </c>
      <c r="Z86" s="65">
        <v>0</v>
      </c>
      <c r="AA86" s="65">
        <v>0</v>
      </c>
      <c r="AB86" s="65">
        <v>0</v>
      </c>
      <c r="AC86" s="65">
        <v>0</v>
      </c>
      <c r="AD86" s="65">
        <v>0</v>
      </c>
      <c r="AE86" s="65">
        <v>0</v>
      </c>
      <c r="AF86" s="65">
        <v>0</v>
      </c>
      <c r="AG86" s="65">
        <v>0</v>
      </c>
      <c r="AH86" s="65">
        <v>0</v>
      </c>
      <c r="AI86" s="65">
        <v>0</v>
      </c>
      <c r="AJ86" s="65">
        <v>0</v>
      </c>
      <c r="AK86" s="65">
        <v>132040.89000000001</v>
      </c>
    </row>
    <row r="87" spans="2:37" ht="12.75" customHeight="1" x14ac:dyDescent="0.35">
      <c r="B87" s="5">
        <v>73</v>
      </c>
      <c r="C87" s="60" t="s">
        <v>455</v>
      </c>
      <c r="D87" s="60" t="s">
        <v>230</v>
      </c>
      <c r="E87" s="60" t="s">
        <v>243</v>
      </c>
      <c r="F87" s="66" t="s">
        <v>216</v>
      </c>
      <c r="G87" s="82" t="s">
        <v>120</v>
      </c>
      <c r="H87" s="65" t="s">
        <v>407</v>
      </c>
      <c r="I87" s="65" t="s">
        <v>456</v>
      </c>
      <c r="J87" s="65" t="s">
        <v>457</v>
      </c>
      <c r="K87" s="65">
        <v>0</v>
      </c>
      <c r="L87" s="65">
        <v>0</v>
      </c>
      <c r="M87" s="65">
        <v>0</v>
      </c>
      <c r="N87" s="65">
        <v>0</v>
      </c>
      <c r="O87" s="65">
        <v>0</v>
      </c>
      <c r="P87" s="65">
        <v>0</v>
      </c>
      <c r="Q87" s="65">
        <v>0</v>
      </c>
      <c r="R87" s="65">
        <v>0</v>
      </c>
      <c r="S87" s="65">
        <v>0</v>
      </c>
      <c r="T87" s="65">
        <v>0</v>
      </c>
      <c r="U87" s="65">
        <v>0</v>
      </c>
      <c r="V87" s="65">
        <v>0</v>
      </c>
      <c r="W87" s="65">
        <v>0</v>
      </c>
      <c r="X87" s="65">
        <v>0</v>
      </c>
      <c r="Y87" s="65">
        <v>0</v>
      </c>
      <c r="Z87" s="65">
        <v>0</v>
      </c>
      <c r="AA87" s="65">
        <v>0</v>
      </c>
      <c r="AB87" s="65">
        <v>0</v>
      </c>
      <c r="AC87" s="65">
        <v>0</v>
      </c>
      <c r="AD87" s="65">
        <v>0</v>
      </c>
      <c r="AE87" s="65">
        <v>0</v>
      </c>
      <c r="AF87" s="65">
        <v>0</v>
      </c>
      <c r="AG87" s="65">
        <v>0</v>
      </c>
      <c r="AH87" s="65">
        <v>0</v>
      </c>
      <c r="AI87" s="65">
        <v>0</v>
      </c>
      <c r="AJ87" s="65">
        <v>0</v>
      </c>
      <c r="AK87" s="65">
        <v>87042.36</v>
      </c>
    </row>
    <row r="88" spans="2:37" ht="12.75" customHeight="1" x14ac:dyDescent="0.35">
      <c r="B88" s="5">
        <v>74</v>
      </c>
      <c r="C88" s="60" t="s">
        <v>458</v>
      </c>
      <c r="D88" s="60" t="s">
        <v>230</v>
      </c>
      <c r="E88" s="60" t="s">
        <v>243</v>
      </c>
      <c r="F88" s="66" t="s">
        <v>216</v>
      </c>
      <c r="G88" s="82" t="s">
        <v>120</v>
      </c>
      <c r="H88" s="65" t="s">
        <v>407</v>
      </c>
      <c r="I88" s="65" t="s">
        <v>459</v>
      </c>
      <c r="J88" s="65" t="s">
        <v>460</v>
      </c>
      <c r="K88" s="65">
        <v>0</v>
      </c>
      <c r="L88" s="65">
        <v>0</v>
      </c>
      <c r="M88" s="65">
        <v>0</v>
      </c>
      <c r="N88" s="65">
        <v>0</v>
      </c>
      <c r="O88" s="65">
        <v>0</v>
      </c>
      <c r="P88" s="65">
        <v>0</v>
      </c>
      <c r="Q88" s="65">
        <v>0</v>
      </c>
      <c r="R88" s="65">
        <v>0</v>
      </c>
      <c r="S88" s="65">
        <v>0</v>
      </c>
      <c r="T88" s="65">
        <v>0</v>
      </c>
      <c r="U88" s="65">
        <v>0</v>
      </c>
      <c r="V88" s="65">
        <v>0</v>
      </c>
      <c r="W88" s="65">
        <v>0</v>
      </c>
      <c r="X88" s="65">
        <v>0</v>
      </c>
      <c r="Y88" s="65">
        <v>0</v>
      </c>
      <c r="Z88" s="65">
        <v>0</v>
      </c>
      <c r="AA88" s="65">
        <v>0</v>
      </c>
      <c r="AB88" s="65">
        <v>0</v>
      </c>
      <c r="AC88" s="65">
        <v>0</v>
      </c>
      <c r="AD88" s="65">
        <v>0</v>
      </c>
      <c r="AE88" s="65">
        <v>0</v>
      </c>
      <c r="AF88" s="65">
        <v>0</v>
      </c>
      <c r="AG88" s="65">
        <v>0</v>
      </c>
      <c r="AH88" s="65">
        <v>0</v>
      </c>
      <c r="AI88" s="65">
        <v>0</v>
      </c>
      <c r="AJ88" s="65">
        <v>0</v>
      </c>
      <c r="AK88" s="65">
        <v>76921.36</v>
      </c>
    </row>
    <row r="89" spans="2:37" ht="12.75" customHeight="1" x14ac:dyDescent="0.35">
      <c r="B89" s="5">
        <v>75</v>
      </c>
      <c r="C89" s="60" t="s">
        <v>473</v>
      </c>
      <c r="D89" s="60" t="s">
        <v>230</v>
      </c>
      <c r="E89" s="60" t="s">
        <v>243</v>
      </c>
      <c r="F89" s="66" t="s">
        <v>216</v>
      </c>
      <c r="G89" s="82" t="s">
        <v>120</v>
      </c>
      <c r="H89" s="65" t="s">
        <v>340</v>
      </c>
      <c r="I89" s="65" t="s">
        <v>474</v>
      </c>
      <c r="J89" s="65" t="s">
        <v>475</v>
      </c>
      <c r="K89" s="65">
        <v>0</v>
      </c>
      <c r="L89" s="65">
        <v>0</v>
      </c>
      <c r="M89" s="65">
        <v>0</v>
      </c>
      <c r="N89" s="65">
        <v>0</v>
      </c>
      <c r="O89" s="65">
        <v>0</v>
      </c>
      <c r="P89" s="65">
        <v>0</v>
      </c>
      <c r="Q89" s="65">
        <v>0</v>
      </c>
      <c r="R89" s="65">
        <v>0</v>
      </c>
      <c r="S89" s="65">
        <v>0</v>
      </c>
      <c r="T89" s="65">
        <v>0</v>
      </c>
      <c r="U89" s="65">
        <v>0</v>
      </c>
      <c r="V89" s="65">
        <v>0</v>
      </c>
      <c r="W89" s="65">
        <v>0</v>
      </c>
      <c r="X89" s="65">
        <v>0</v>
      </c>
      <c r="Y89" s="65">
        <v>0</v>
      </c>
      <c r="Z89" s="65">
        <v>0</v>
      </c>
      <c r="AA89" s="65">
        <v>0</v>
      </c>
      <c r="AB89" s="65">
        <v>0</v>
      </c>
      <c r="AC89" s="65">
        <v>0</v>
      </c>
      <c r="AD89" s="65">
        <v>0</v>
      </c>
      <c r="AE89" s="65">
        <v>0</v>
      </c>
      <c r="AF89" s="65">
        <v>0</v>
      </c>
      <c r="AG89" s="65">
        <v>0</v>
      </c>
      <c r="AH89" s="65">
        <v>0</v>
      </c>
      <c r="AI89" s="65">
        <v>0</v>
      </c>
      <c r="AJ89" s="65">
        <v>0</v>
      </c>
      <c r="AK89" s="65">
        <v>39358.080000000002</v>
      </c>
    </row>
    <row r="90" spans="2:37" ht="12.75" customHeight="1" x14ac:dyDescent="0.35">
      <c r="B90" s="5">
        <v>76</v>
      </c>
      <c r="C90" s="60" t="s">
        <v>504</v>
      </c>
      <c r="D90" s="60" t="s">
        <v>230</v>
      </c>
      <c r="E90" s="60" t="s">
        <v>243</v>
      </c>
      <c r="F90" s="66" t="s">
        <v>216</v>
      </c>
      <c r="G90" s="82" t="s">
        <v>120</v>
      </c>
      <c r="H90" s="65" t="s">
        <v>340</v>
      </c>
      <c r="I90" s="65" t="s">
        <v>420</v>
      </c>
      <c r="J90" s="65" t="s">
        <v>421</v>
      </c>
      <c r="K90" s="65">
        <v>0</v>
      </c>
      <c r="L90" s="65">
        <v>0</v>
      </c>
      <c r="M90" s="65">
        <v>0</v>
      </c>
      <c r="N90" s="65">
        <v>0</v>
      </c>
      <c r="O90" s="65">
        <v>0</v>
      </c>
      <c r="P90" s="65">
        <v>0</v>
      </c>
      <c r="Q90" s="65">
        <v>0</v>
      </c>
      <c r="R90" s="65">
        <v>0</v>
      </c>
      <c r="S90" s="65">
        <v>0</v>
      </c>
      <c r="T90" s="65">
        <v>0</v>
      </c>
      <c r="U90" s="65">
        <v>0</v>
      </c>
      <c r="V90" s="65">
        <v>0</v>
      </c>
      <c r="W90" s="65">
        <v>0</v>
      </c>
      <c r="X90" s="65">
        <v>0</v>
      </c>
      <c r="Y90" s="65">
        <v>0</v>
      </c>
      <c r="Z90" s="65">
        <v>0</v>
      </c>
      <c r="AA90" s="65">
        <v>0</v>
      </c>
      <c r="AB90" s="65">
        <v>0</v>
      </c>
      <c r="AC90" s="65">
        <v>0</v>
      </c>
      <c r="AD90" s="65">
        <v>0</v>
      </c>
      <c r="AE90" s="65">
        <v>0</v>
      </c>
      <c r="AF90" s="65">
        <v>0</v>
      </c>
      <c r="AG90" s="65">
        <v>0</v>
      </c>
      <c r="AH90" s="65">
        <v>0</v>
      </c>
      <c r="AI90" s="65">
        <v>0</v>
      </c>
      <c r="AJ90" s="65">
        <v>0</v>
      </c>
      <c r="AK90" s="65">
        <v>44277.84</v>
      </c>
    </row>
    <row r="91" spans="2:37" ht="12.75" customHeight="1" x14ac:dyDescent="0.35">
      <c r="B91" s="5">
        <v>77</v>
      </c>
      <c r="C91" s="60" t="s">
        <v>535</v>
      </c>
      <c r="D91" s="60" t="s">
        <v>230</v>
      </c>
      <c r="E91" s="60" t="s">
        <v>243</v>
      </c>
      <c r="F91" s="66" t="s">
        <v>216</v>
      </c>
      <c r="G91" s="82" t="s">
        <v>120</v>
      </c>
      <c r="H91" s="65" t="s">
        <v>340</v>
      </c>
      <c r="I91" s="65" t="s">
        <v>536</v>
      </c>
      <c r="J91" s="65" t="s">
        <v>537</v>
      </c>
      <c r="K91" s="65">
        <v>0</v>
      </c>
      <c r="L91" s="65">
        <v>0</v>
      </c>
      <c r="M91" s="65">
        <v>0</v>
      </c>
      <c r="N91" s="65">
        <v>0</v>
      </c>
      <c r="O91" s="65">
        <v>0</v>
      </c>
      <c r="P91" s="65">
        <v>0</v>
      </c>
      <c r="Q91" s="65">
        <v>0</v>
      </c>
      <c r="R91" s="65">
        <v>0</v>
      </c>
      <c r="S91" s="65">
        <v>0</v>
      </c>
      <c r="T91" s="65">
        <v>0</v>
      </c>
      <c r="U91" s="65">
        <v>0</v>
      </c>
      <c r="V91" s="65">
        <v>0</v>
      </c>
      <c r="W91" s="65">
        <v>0</v>
      </c>
      <c r="X91" s="65">
        <v>0</v>
      </c>
      <c r="Y91" s="65">
        <v>0</v>
      </c>
      <c r="Z91" s="65">
        <v>0</v>
      </c>
      <c r="AA91" s="65">
        <v>0</v>
      </c>
      <c r="AB91" s="65">
        <v>0</v>
      </c>
      <c r="AC91" s="65">
        <v>0</v>
      </c>
      <c r="AD91" s="65">
        <v>0</v>
      </c>
      <c r="AE91" s="65">
        <v>0</v>
      </c>
      <c r="AF91" s="65">
        <v>0</v>
      </c>
      <c r="AG91" s="65">
        <v>0</v>
      </c>
      <c r="AH91" s="65">
        <v>0</v>
      </c>
      <c r="AI91" s="65">
        <v>0</v>
      </c>
      <c r="AJ91" s="65">
        <v>0</v>
      </c>
      <c r="AK91" s="65">
        <v>131384.92000000001</v>
      </c>
    </row>
    <row r="92" spans="2:37" ht="12.75" customHeight="1" x14ac:dyDescent="0.35">
      <c r="B92" s="5">
        <v>78</v>
      </c>
      <c r="C92" s="60"/>
      <c r="D92" s="60" t="s">
        <v>230</v>
      </c>
      <c r="E92" s="60" t="s">
        <v>243</v>
      </c>
      <c r="F92" s="66" t="s">
        <v>216</v>
      </c>
      <c r="G92" s="82" t="s">
        <v>120</v>
      </c>
      <c r="H92" s="65"/>
      <c r="I92" s="65"/>
      <c r="J92" s="65"/>
      <c r="K92" s="65"/>
      <c r="L92" s="65"/>
      <c r="M92" s="65"/>
      <c r="N92" s="65"/>
      <c r="O92" s="65"/>
      <c r="P92" s="65"/>
      <c r="Q92" s="65"/>
      <c r="R92" s="65"/>
      <c r="S92" s="65"/>
      <c r="T92" s="65"/>
      <c r="U92" s="65"/>
      <c r="V92" s="65"/>
      <c r="W92" s="65"/>
      <c r="X92" s="65"/>
      <c r="Y92" s="65"/>
      <c r="Z92" s="65"/>
      <c r="AA92" s="65"/>
      <c r="AB92" s="65"/>
      <c r="AC92" s="65"/>
      <c r="AD92" s="65"/>
      <c r="AE92" s="65"/>
      <c r="AF92" s="65"/>
      <c r="AG92" s="65"/>
      <c r="AH92" s="65"/>
      <c r="AI92" s="65"/>
      <c r="AJ92" s="65"/>
      <c r="AK92" s="65">
        <f>MEDIAN(AK71:AK90)</f>
        <v>111799.72</v>
      </c>
    </row>
    <row r="93" spans="2:37" ht="12.75" customHeight="1" x14ac:dyDescent="0.35">
      <c r="B93" s="5">
        <v>79</v>
      </c>
      <c r="C93" s="60"/>
      <c r="D93" s="60" t="s">
        <v>230</v>
      </c>
      <c r="E93" s="60" t="s">
        <v>243</v>
      </c>
      <c r="F93" s="66" t="s">
        <v>216</v>
      </c>
      <c r="G93" s="82" t="s">
        <v>120</v>
      </c>
      <c r="H93" s="65"/>
      <c r="I93" s="65"/>
      <c r="J93" s="65"/>
      <c r="K93" s="65"/>
      <c r="L93" s="65"/>
      <c r="M93" s="65"/>
      <c r="N93" s="65"/>
      <c r="O93" s="65"/>
      <c r="P93" s="65"/>
      <c r="Q93" s="65"/>
      <c r="R93" s="65"/>
      <c r="S93" s="65"/>
      <c r="T93" s="65"/>
      <c r="U93" s="65"/>
      <c r="V93" s="65"/>
      <c r="W93" s="65"/>
      <c r="X93" s="65"/>
      <c r="Y93" s="65"/>
      <c r="Z93" s="65"/>
      <c r="AA93" s="65"/>
      <c r="AB93" s="65"/>
      <c r="AC93" s="65"/>
      <c r="AD93" s="65"/>
      <c r="AE93" s="65"/>
      <c r="AF93" s="65"/>
      <c r="AG93" s="65"/>
      <c r="AH93" s="65"/>
      <c r="AI93" s="65"/>
      <c r="AJ93" s="65"/>
      <c r="AK93" s="65">
        <f>MEDIAN(AK72:AK91)</f>
        <v>111799.72</v>
      </c>
    </row>
    <row r="94" spans="2:37" ht="12.75" customHeight="1" x14ac:dyDescent="0.35">
      <c r="B94" s="5">
        <v>80</v>
      </c>
      <c r="C94" s="60" t="s">
        <v>266</v>
      </c>
      <c r="D94" s="60" t="s">
        <v>541</v>
      </c>
      <c r="E94" s="60" t="s">
        <v>268</v>
      </c>
      <c r="F94" s="66" t="s">
        <v>216</v>
      </c>
      <c r="G94" s="82" t="s">
        <v>217</v>
      </c>
      <c r="H94" s="65">
        <v>0</v>
      </c>
      <c r="I94" s="65">
        <v>0</v>
      </c>
      <c r="J94" s="65">
        <v>0</v>
      </c>
      <c r="K94" s="65">
        <v>40776</v>
      </c>
      <c r="L94" s="65">
        <v>2000</v>
      </c>
      <c r="M94" s="65">
        <v>0</v>
      </c>
      <c r="N94" s="65">
        <v>0</v>
      </c>
      <c r="O94" s="65">
        <v>5000</v>
      </c>
      <c r="P94" s="65">
        <v>1500</v>
      </c>
      <c r="Q94" s="65">
        <v>150</v>
      </c>
      <c r="R94" s="65">
        <v>0</v>
      </c>
      <c r="S94" s="65">
        <v>5000</v>
      </c>
      <c r="T94" s="65">
        <v>0</v>
      </c>
      <c r="U94" s="65">
        <v>0</v>
      </c>
      <c r="V94" s="65">
        <v>2569</v>
      </c>
      <c r="W94" s="65">
        <v>0</v>
      </c>
      <c r="X94" s="65">
        <v>0</v>
      </c>
      <c r="Y94" s="65">
        <v>29902</v>
      </c>
      <c r="Z94" s="65">
        <v>5000</v>
      </c>
      <c r="AA94" s="65">
        <v>29902</v>
      </c>
      <c r="AB94" s="65">
        <v>3588.24</v>
      </c>
      <c r="AC94" s="65">
        <v>100</v>
      </c>
      <c r="AD94" s="65">
        <v>362.5</v>
      </c>
      <c r="AE94" s="65">
        <v>100</v>
      </c>
      <c r="AF94" s="65">
        <v>0</v>
      </c>
      <c r="AG94" s="65">
        <v>0</v>
      </c>
      <c r="AH94" s="65">
        <v>0</v>
      </c>
      <c r="AI94" s="65">
        <v>0</v>
      </c>
      <c r="AJ94" s="65">
        <v>5000</v>
      </c>
      <c r="AK94" s="65">
        <v>602953.25</v>
      </c>
    </row>
    <row r="95" spans="2:37" ht="12.75" customHeight="1" x14ac:dyDescent="0.35">
      <c r="B95" s="5">
        <v>81</v>
      </c>
      <c r="C95" s="60" t="s">
        <v>276</v>
      </c>
      <c r="D95" s="60" t="s">
        <v>267</v>
      </c>
      <c r="E95" s="60" t="s">
        <v>277</v>
      </c>
      <c r="F95" s="66" t="s">
        <v>216</v>
      </c>
      <c r="G95" s="82" t="s">
        <v>217</v>
      </c>
      <c r="H95" s="65">
        <v>0</v>
      </c>
      <c r="I95" s="65">
        <v>0</v>
      </c>
      <c r="J95" s="65">
        <v>0</v>
      </c>
      <c r="K95" s="65">
        <v>27565</v>
      </c>
      <c r="L95" s="65">
        <v>2000</v>
      </c>
      <c r="M95" s="65">
        <v>0</v>
      </c>
      <c r="N95" s="65">
        <v>0</v>
      </c>
      <c r="O95" s="65">
        <v>5000</v>
      </c>
      <c r="P95" s="65">
        <v>1500</v>
      </c>
      <c r="Q95" s="65">
        <v>150</v>
      </c>
      <c r="R95" s="65">
        <v>0</v>
      </c>
      <c r="S95" s="65">
        <v>5000</v>
      </c>
      <c r="T95" s="65">
        <v>0</v>
      </c>
      <c r="U95" s="65">
        <v>0</v>
      </c>
      <c r="V95" s="65">
        <v>2327.5</v>
      </c>
      <c r="W95" s="65">
        <v>0</v>
      </c>
      <c r="X95" s="65">
        <v>0</v>
      </c>
      <c r="Y95" s="65">
        <v>27565</v>
      </c>
      <c r="Z95" s="65">
        <v>5000</v>
      </c>
      <c r="AA95" s="65">
        <v>27565</v>
      </c>
      <c r="AB95" s="65">
        <v>3307.8</v>
      </c>
      <c r="AC95" s="65">
        <v>100</v>
      </c>
      <c r="AD95" s="65">
        <v>337.5</v>
      </c>
      <c r="AE95" s="65">
        <v>100</v>
      </c>
      <c r="AF95" s="65">
        <v>0</v>
      </c>
      <c r="AG95" s="65">
        <v>0</v>
      </c>
      <c r="AH95" s="65">
        <v>0</v>
      </c>
      <c r="AI95" s="65">
        <v>0</v>
      </c>
      <c r="AJ95" s="65">
        <v>0</v>
      </c>
      <c r="AK95" s="65">
        <v>517483.60000000003</v>
      </c>
    </row>
    <row r="96" spans="2:37" ht="12.75" customHeight="1" x14ac:dyDescent="0.35">
      <c r="B96" s="5">
        <v>82</v>
      </c>
      <c r="C96" s="60" t="s">
        <v>297</v>
      </c>
      <c r="D96" s="60" t="s">
        <v>267</v>
      </c>
      <c r="E96" s="60" t="s">
        <v>243</v>
      </c>
      <c r="F96" s="66" t="s">
        <v>216</v>
      </c>
      <c r="G96" s="82" t="s">
        <v>217</v>
      </c>
      <c r="H96" s="65">
        <v>0</v>
      </c>
      <c r="I96" s="65">
        <v>0</v>
      </c>
      <c r="J96" s="65">
        <v>0</v>
      </c>
      <c r="K96" s="65">
        <v>27565</v>
      </c>
      <c r="L96" s="65">
        <v>2000</v>
      </c>
      <c r="M96" s="65">
        <v>0</v>
      </c>
      <c r="N96" s="65">
        <v>0</v>
      </c>
      <c r="O96" s="65">
        <v>5000</v>
      </c>
      <c r="P96" s="65">
        <v>1500</v>
      </c>
      <c r="Q96" s="65">
        <v>150</v>
      </c>
      <c r="R96" s="65">
        <v>0</v>
      </c>
      <c r="S96" s="65">
        <v>5000</v>
      </c>
      <c r="T96" s="65">
        <v>0</v>
      </c>
      <c r="U96" s="65">
        <v>0</v>
      </c>
      <c r="V96" s="65">
        <v>2327.5</v>
      </c>
      <c r="W96" s="65">
        <v>0</v>
      </c>
      <c r="X96" s="65">
        <v>0</v>
      </c>
      <c r="Y96" s="65">
        <v>27565</v>
      </c>
      <c r="Z96" s="65">
        <v>5000</v>
      </c>
      <c r="AA96" s="65">
        <v>27565</v>
      </c>
      <c r="AB96" s="65">
        <v>3307.8</v>
      </c>
      <c r="AC96" s="65">
        <v>100</v>
      </c>
      <c r="AD96" s="65">
        <v>337.5</v>
      </c>
      <c r="AE96" s="65">
        <v>100</v>
      </c>
      <c r="AF96" s="65">
        <v>0</v>
      </c>
      <c r="AG96" s="65">
        <v>0</v>
      </c>
      <c r="AH96" s="65">
        <v>0</v>
      </c>
      <c r="AI96" s="65">
        <v>0</v>
      </c>
      <c r="AJ96" s="65">
        <v>5000</v>
      </c>
      <c r="AK96" s="65">
        <v>522033.60000000003</v>
      </c>
    </row>
    <row r="97" spans="2:37" ht="12.75" customHeight="1" x14ac:dyDescent="0.35">
      <c r="B97" s="5">
        <v>83</v>
      </c>
      <c r="C97" s="60" t="s">
        <v>213</v>
      </c>
      <c r="D97" s="60" t="s">
        <v>214</v>
      </c>
      <c r="E97" s="60" t="s">
        <v>215</v>
      </c>
      <c r="F97" s="66" t="s">
        <v>216</v>
      </c>
      <c r="G97" s="82" t="s">
        <v>217</v>
      </c>
      <c r="H97" s="65">
        <v>0</v>
      </c>
      <c r="I97" s="65">
        <v>0</v>
      </c>
      <c r="J97" s="65">
        <v>0</v>
      </c>
      <c r="K97" s="65">
        <v>12927</v>
      </c>
      <c r="L97" s="65">
        <v>2000</v>
      </c>
      <c r="M97" s="65">
        <v>0</v>
      </c>
      <c r="N97" s="65">
        <v>0</v>
      </c>
      <c r="O97" s="65">
        <v>5000</v>
      </c>
      <c r="P97" s="65">
        <v>1500</v>
      </c>
      <c r="Q97" s="65">
        <v>150</v>
      </c>
      <c r="R97" s="65">
        <v>0</v>
      </c>
      <c r="S97" s="65">
        <v>5000</v>
      </c>
      <c r="T97" s="65">
        <v>0</v>
      </c>
      <c r="U97" s="65">
        <v>0</v>
      </c>
      <c r="V97" s="65">
        <v>1228.8499999999999</v>
      </c>
      <c r="W97" s="65">
        <v>0</v>
      </c>
      <c r="X97" s="65">
        <v>0</v>
      </c>
      <c r="Y97" s="65">
        <v>12927</v>
      </c>
      <c r="Z97" s="65">
        <v>5000</v>
      </c>
      <c r="AA97" s="65">
        <v>12927</v>
      </c>
      <c r="AB97" s="65">
        <v>1551.24</v>
      </c>
      <c r="AC97" s="65">
        <v>100</v>
      </c>
      <c r="AD97" s="65">
        <v>150</v>
      </c>
      <c r="AE97" s="65">
        <v>100</v>
      </c>
      <c r="AF97" s="65">
        <v>0</v>
      </c>
      <c r="AG97" s="65">
        <v>0</v>
      </c>
      <c r="AH97" s="65">
        <v>0</v>
      </c>
      <c r="AI97" s="65">
        <v>0</v>
      </c>
      <c r="AJ97" s="65">
        <v>0</v>
      </c>
      <c r="AK97" s="65">
        <v>276489.08</v>
      </c>
    </row>
    <row r="98" spans="2:37" ht="12.75" customHeight="1" x14ac:dyDescent="0.35">
      <c r="B98" s="5">
        <v>84</v>
      </c>
      <c r="C98" s="60" t="s">
        <v>221</v>
      </c>
      <c r="D98" s="60" t="s">
        <v>214</v>
      </c>
      <c r="E98" s="60" t="s">
        <v>222</v>
      </c>
      <c r="F98" s="66" t="s">
        <v>216</v>
      </c>
      <c r="G98" s="82" t="s">
        <v>217</v>
      </c>
      <c r="H98" s="65">
        <v>0</v>
      </c>
      <c r="I98" s="65">
        <v>0</v>
      </c>
      <c r="J98" s="65">
        <v>0</v>
      </c>
      <c r="K98" s="65">
        <v>12927</v>
      </c>
      <c r="L98" s="65">
        <v>2000</v>
      </c>
      <c r="M98" s="65">
        <v>0</v>
      </c>
      <c r="N98" s="65">
        <v>0</v>
      </c>
      <c r="O98" s="65">
        <v>5000</v>
      </c>
      <c r="P98" s="65">
        <v>1500</v>
      </c>
      <c r="Q98" s="65">
        <v>150</v>
      </c>
      <c r="R98" s="65">
        <v>0</v>
      </c>
      <c r="S98" s="65">
        <v>5000</v>
      </c>
      <c r="T98" s="65">
        <v>0</v>
      </c>
      <c r="U98" s="65">
        <v>0</v>
      </c>
      <c r="V98" s="65">
        <v>1228.8499999999999</v>
      </c>
      <c r="W98" s="65">
        <v>0</v>
      </c>
      <c r="X98" s="65">
        <v>0</v>
      </c>
      <c r="Y98" s="65">
        <v>12927</v>
      </c>
      <c r="Z98" s="65">
        <v>5000</v>
      </c>
      <c r="AA98" s="65">
        <v>12927</v>
      </c>
      <c r="AB98" s="65">
        <v>1551.24</v>
      </c>
      <c r="AC98" s="65">
        <v>100</v>
      </c>
      <c r="AD98" s="65">
        <v>150</v>
      </c>
      <c r="AE98" s="65">
        <v>100</v>
      </c>
      <c r="AF98" s="65">
        <v>0</v>
      </c>
      <c r="AG98" s="65">
        <v>0</v>
      </c>
      <c r="AH98" s="65">
        <v>0</v>
      </c>
      <c r="AI98" s="65">
        <v>0</v>
      </c>
      <c r="AJ98" s="65">
        <v>0</v>
      </c>
      <c r="AK98" s="65">
        <v>276189.08</v>
      </c>
    </row>
    <row r="99" spans="2:37" ht="12.75" customHeight="1" x14ac:dyDescent="0.35">
      <c r="B99" s="5">
        <v>85</v>
      </c>
      <c r="C99" s="60" t="s">
        <v>235</v>
      </c>
      <c r="D99" s="60" t="s">
        <v>214</v>
      </c>
      <c r="E99" s="60" t="s">
        <v>222</v>
      </c>
      <c r="F99" s="66" t="s">
        <v>216</v>
      </c>
      <c r="G99" s="82" t="s">
        <v>217</v>
      </c>
      <c r="H99" s="65">
        <v>0</v>
      </c>
      <c r="I99" s="65">
        <v>0</v>
      </c>
      <c r="J99" s="65">
        <v>0</v>
      </c>
      <c r="K99" s="65">
        <v>12927</v>
      </c>
      <c r="L99" s="65">
        <v>2000</v>
      </c>
      <c r="M99" s="65">
        <v>0</v>
      </c>
      <c r="N99" s="65">
        <v>0</v>
      </c>
      <c r="O99" s="65">
        <v>5000</v>
      </c>
      <c r="P99" s="65">
        <v>1500</v>
      </c>
      <c r="Q99" s="65">
        <v>150</v>
      </c>
      <c r="R99" s="65">
        <v>0</v>
      </c>
      <c r="S99" s="65">
        <v>0</v>
      </c>
      <c r="T99" s="65">
        <v>0</v>
      </c>
      <c r="U99" s="65">
        <v>0</v>
      </c>
      <c r="V99" s="65">
        <v>0</v>
      </c>
      <c r="W99" s="65">
        <v>0</v>
      </c>
      <c r="X99" s="65">
        <v>0</v>
      </c>
      <c r="Y99" s="65">
        <v>0</v>
      </c>
      <c r="Z99" s="65">
        <v>0</v>
      </c>
      <c r="AA99" s="65">
        <v>0</v>
      </c>
      <c r="AB99" s="65">
        <v>0</v>
      </c>
      <c r="AC99" s="65">
        <v>100</v>
      </c>
      <c r="AD99" s="65">
        <v>150</v>
      </c>
      <c r="AE99" s="65">
        <v>100</v>
      </c>
      <c r="AF99" s="65">
        <v>0</v>
      </c>
      <c r="AG99" s="65">
        <v>0</v>
      </c>
      <c r="AH99" s="65">
        <v>0</v>
      </c>
      <c r="AI99" s="65">
        <v>0</v>
      </c>
      <c r="AJ99" s="65">
        <v>0</v>
      </c>
      <c r="AK99" s="65">
        <v>44414.18</v>
      </c>
    </row>
    <row r="100" spans="2:37" ht="12.75" customHeight="1" x14ac:dyDescent="0.35">
      <c r="B100" s="5">
        <v>86</v>
      </c>
      <c r="C100" s="60" t="s">
        <v>240</v>
      </c>
      <c r="D100" s="60" t="s">
        <v>214</v>
      </c>
      <c r="E100" s="60" t="s">
        <v>241</v>
      </c>
      <c r="F100" s="66" t="s">
        <v>216</v>
      </c>
      <c r="G100" s="82" t="s">
        <v>217</v>
      </c>
      <c r="H100" s="65">
        <v>0</v>
      </c>
      <c r="I100" s="65">
        <v>0</v>
      </c>
      <c r="J100" s="65">
        <v>0</v>
      </c>
      <c r="K100" s="65">
        <v>12927</v>
      </c>
      <c r="L100" s="65">
        <v>2000</v>
      </c>
      <c r="M100" s="65">
        <v>0</v>
      </c>
      <c r="N100" s="65">
        <v>0</v>
      </c>
      <c r="O100" s="65">
        <v>5000</v>
      </c>
      <c r="P100" s="65">
        <v>1500</v>
      </c>
      <c r="Q100" s="65">
        <v>150</v>
      </c>
      <c r="R100" s="65">
        <v>0</v>
      </c>
      <c r="S100" s="65">
        <v>5000</v>
      </c>
      <c r="T100" s="65">
        <v>0</v>
      </c>
      <c r="U100" s="65">
        <v>0</v>
      </c>
      <c r="V100" s="65">
        <v>1259.6500000000001</v>
      </c>
      <c r="W100" s="65">
        <v>0</v>
      </c>
      <c r="X100" s="65">
        <v>0</v>
      </c>
      <c r="Y100" s="65">
        <v>12927</v>
      </c>
      <c r="Z100" s="65">
        <v>5000</v>
      </c>
      <c r="AA100" s="65">
        <v>12927</v>
      </c>
      <c r="AB100" s="65">
        <v>1551.24</v>
      </c>
      <c r="AC100" s="65">
        <v>100</v>
      </c>
      <c r="AD100" s="65">
        <v>150</v>
      </c>
      <c r="AE100" s="65">
        <v>100</v>
      </c>
      <c r="AF100" s="65">
        <v>0</v>
      </c>
      <c r="AG100" s="65">
        <v>0</v>
      </c>
      <c r="AH100" s="65">
        <v>0</v>
      </c>
      <c r="AI100" s="65">
        <v>0</v>
      </c>
      <c r="AJ100" s="65">
        <v>0</v>
      </c>
      <c r="AK100" s="65">
        <v>277208.68</v>
      </c>
    </row>
    <row r="101" spans="2:37" ht="12.75" customHeight="1" x14ac:dyDescent="0.35">
      <c r="B101" s="5">
        <v>87</v>
      </c>
      <c r="C101" s="60" t="s">
        <v>255</v>
      </c>
      <c r="D101" s="60" t="s">
        <v>214</v>
      </c>
      <c r="E101" s="60" t="s">
        <v>241</v>
      </c>
      <c r="F101" s="66" t="s">
        <v>216</v>
      </c>
      <c r="G101" s="82" t="s">
        <v>217</v>
      </c>
      <c r="H101" s="65">
        <v>0</v>
      </c>
      <c r="I101" s="65">
        <v>0</v>
      </c>
      <c r="J101" s="65">
        <v>0</v>
      </c>
      <c r="K101" s="65">
        <v>12927</v>
      </c>
      <c r="L101" s="65">
        <v>2000</v>
      </c>
      <c r="M101" s="65">
        <v>0</v>
      </c>
      <c r="N101" s="65">
        <v>0</v>
      </c>
      <c r="O101" s="65">
        <v>5000</v>
      </c>
      <c r="P101" s="65">
        <v>1500</v>
      </c>
      <c r="Q101" s="65">
        <v>150</v>
      </c>
      <c r="R101" s="65">
        <v>0</v>
      </c>
      <c r="S101" s="65">
        <v>5000</v>
      </c>
      <c r="T101" s="65">
        <v>0</v>
      </c>
      <c r="U101" s="65">
        <v>0</v>
      </c>
      <c r="V101" s="65">
        <v>1228.8499999999999</v>
      </c>
      <c r="W101" s="65">
        <v>0</v>
      </c>
      <c r="X101" s="65">
        <v>0</v>
      </c>
      <c r="Y101" s="65">
        <v>12927</v>
      </c>
      <c r="Z101" s="65">
        <v>5000</v>
      </c>
      <c r="AA101" s="65">
        <v>12927</v>
      </c>
      <c r="AB101" s="65">
        <v>1551.24</v>
      </c>
      <c r="AC101" s="65">
        <v>100</v>
      </c>
      <c r="AD101" s="65">
        <v>150</v>
      </c>
      <c r="AE101" s="65">
        <v>100</v>
      </c>
      <c r="AF101" s="65">
        <v>0</v>
      </c>
      <c r="AG101" s="65">
        <v>0</v>
      </c>
      <c r="AH101" s="65">
        <v>0</v>
      </c>
      <c r="AI101" s="65">
        <v>0</v>
      </c>
      <c r="AJ101" s="65">
        <v>0</v>
      </c>
      <c r="AK101" s="65">
        <v>274689.08</v>
      </c>
    </row>
    <row r="102" spans="2:37" ht="12.75" customHeight="1" x14ac:dyDescent="0.35">
      <c r="B102" s="5">
        <v>88</v>
      </c>
      <c r="C102" s="60" t="s">
        <v>258</v>
      </c>
      <c r="D102" s="60" t="s">
        <v>214</v>
      </c>
      <c r="E102" s="60" t="s">
        <v>241</v>
      </c>
      <c r="F102" s="66" t="s">
        <v>216</v>
      </c>
      <c r="G102" s="82" t="s">
        <v>217</v>
      </c>
      <c r="H102" s="65">
        <v>0</v>
      </c>
      <c r="I102" s="65">
        <v>0</v>
      </c>
      <c r="J102" s="65">
        <v>0</v>
      </c>
      <c r="K102" s="65">
        <v>12927</v>
      </c>
      <c r="L102" s="65">
        <v>2000</v>
      </c>
      <c r="M102" s="65">
        <v>0</v>
      </c>
      <c r="N102" s="65">
        <v>0</v>
      </c>
      <c r="O102" s="65">
        <v>5000</v>
      </c>
      <c r="P102" s="65">
        <v>1500</v>
      </c>
      <c r="Q102" s="65">
        <v>150</v>
      </c>
      <c r="R102" s="65">
        <v>0</v>
      </c>
      <c r="S102" s="65">
        <v>5000</v>
      </c>
      <c r="T102" s="65">
        <v>0</v>
      </c>
      <c r="U102" s="65">
        <v>0</v>
      </c>
      <c r="V102" s="65">
        <v>1259.6500000000001</v>
      </c>
      <c r="W102" s="65">
        <v>0</v>
      </c>
      <c r="X102" s="65">
        <v>0</v>
      </c>
      <c r="Y102" s="65">
        <v>12927</v>
      </c>
      <c r="Z102" s="65">
        <v>5000</v>
      </c>
      <c r="AA102" s="65">
        <v>12927</v>
      </c>
      <c r="AB102" s="65">
        <v>1551.24</v>
      </c>
      <c r="AC102" s="65">
        <v>100</v>
      </c>
      <c r="AD102" s="65">
        <v>150</v>
      </c>
      <c r="AE102" s="65">
        <v>100</v>
      </c>
      <c r="AF102" s="65">
        <v>0</v>
      </c>
      <c r="AG102" s="65">
        <v>0</v>
      </c>
      <c r="AH102" s="65">
        <v>0</v>
      </c>
      <c r="AI102" s="65">
        <v>0</v>
      </c>
      <c r="AJ102" s="65">
        <v>0</v>
      </c>
      <c r="AK102" s="65">
        <v>276758.68</v>
      </c>
    </row>
    <row r="103" spans="2:37" ht="12.75" customHeight="1" x14ac:dyDescent="0.35">
      <c r="B103" s="5">
        <v>89</v>
      </c>
      <c r="C103" s="60" t="s">
        <v>299</v>
      </c>
      <c r="D103" s="60" t="s">
        <v>214</v>
      </c>
      <c r="E103" s="60" t="s">
        <v>241</v>
      </c>
      <c r="F103" s="66" t="s">
        <v>216</v>
      </c>
      <c r="G103" s="82" t="s">
        <v>217</v>
      </c>
      <c r="H103" s="65">
        <v>0</v>
      </c>
      <c r="I103" s="65">
        <v>0</v>
      </c>
      <c r="J103" s="65">
        <v>0</v>
      </c>
      <c r="K103" s="65">
        <v>12927</v>
      </c>
      <c r="L103" s="65">
        <v>2000</v>
      </c>
      <c r="M103" s="65">
        <v>0</v>
      </c>
      <c r="N103" s="65">
        <v>0</v>
      </c>
      <c r="O103" s="65">
        <v>5000</v>
      </c>
      <c r="P103" s="65">
        <v>1500</v>
      </c>
      <c r="Q103" s="65">
        <v>150</v>
      </c>
      <c r="R103" s="65">
        <v>0</v>
      </c>
      <c r="S103" s="65">
        <v>5000</v>
      </c>
      <c r="T103" s="65">
        <v>0</v>
      </c>
      <c r="U103" s="65">
        <v>0</v>
      </c>
      <c r="V103" s="65">
        <v>1228.8499999999999</v>
      </c>
      <c r="W103" s="65">
        <v>0</v>
      </c>
      <c r="X103" s="65">
        <v>0</v>
      </c>
      <c r="Y103" s="65">
        <v>12927</v>
      </c>
      <c r="Z103" s="65">
        <v>5000</v>
      </c>
      <c r="AA103" s="65">
        <v>12927</v>
      </c>
      <c r="AB103" s="65">
        <v>1551.24</v>
      </c>
      <c r="AC103" s="65">
        <v>100</v>
      </c>
      <c r="AD103" s="65">
        <v>150</v>
      </c>
      <c r="AE103" s="65">
        <v>100</v>
      </c>
      <c r="AF103" s="65">
        <v>0</v>
      </c>
      <c r="AG103" s="65">
        <v>0</v>
      </c>
      <c r="AH103" s="65">
        <v>0</v>
      </c>
      <c r="AI103" s="65">
        <v>0</v>
      </c>
      <c r="AJ103" s="65">
        <v>0</v>
      </c>
      <c r="AK103" s="65">
        <v>276889.08</v>
      </c>
    </row>
    <row r="104" spans="2:37" ht="12.75" customHeight="1" x14ac:dyDescent="0.35">
      <c r="B104" s="5">
        <v>90</v>
      </c>
      <c r="C104" s="60" t="s">
        <v>303</v>
      </c>
      <c r="D104" s="60" t="s">
        <v>214</v>
      </c>
      <c r="E104" s="60" t="s">
        <v>241</v>
      </c>
      <c r="F104" s="66" t="s">
        <v>216</v>
      </c>
      <c r="G104" s="82" t="s">
        <v>217</v>
      </c>
      <c r="H104" s="65">
        <v>0</v>
      </c>
      <c r="I104" s="65">
        <v>0</v>
      </c>
      <c r="J104" s="65">
        <v>0</v>
      </c>
      <c r="K104" s="65">
        <v>12927</v>
      </c>
      <c r="L104" s="65">
        <v>2000</v>
      </c>
      <c r="M104" s="65">
        <v>0</v>
      </c>
      <c r="N104" s="65">
        <v>0</v>
      </c>
      <c r="O104" s="65">
        <v>5000</v>
      </c>
      <c r="P104" s="65">
        <v>1500</v>
      </c>
      <c r="Q104" s="65">
        <v>150</v>
      </c>
      <c r="R104" s="65">
        <v>0</v>
      </c>
      <c r="S104" s="65">
        <v>5000</v>
      </c>
      <c r="T104" s="65">
        <v>0</v>
      </c>
      <c r="U104" s="65">
        <v>0</v>
      </c>
      <c r="V104" s="65">
        <v>1259.6500000000001</v>
      </c>
      <c r="W104" s="65">
        <v>0</v>
      </c>
      <c r="X104" s="65">
        <v>0</v>
      </c>
      <c r="Y104" s="65">
        <v>12927</v>
      </c>
      <c r="Z104" s="65">
        <v>5000</v>
      </c>
      <c r="AA104" s="65">
        <v>12927</v>
      </c>
      <c r="AB104" s="65">
        <v>1551.24</v>
      </c>
      <c r="AC104" s="65">
        <v>100</v>
      </c>
      <c r="AD104" s="65">
        <v>150</v>
      </c>
      <c r="AE104" s="65">
        <v>100</v>
      </c>
      <c r="AF104" s="65">
        <v>0</v>
      </c>
      <c r="AG104" s="65">
        <v>0</v>
      </c>
      <c r="AH104" s="65">
        <v>0</v>
      </c>
      <c r="AI104" s="65">
        <v>0</v>
      </c>
      <c r="AJ104" s="65">
        <v>0</v>
      </c>
      <c r="AK104" s="65">
        <v>277258.68</v>
      </c>
    </row>
    <row r="105" spans="2:37" ht="12.75" customHeight="1" x14ac:dyDescent="0.35">
      <c r="B105" s="5">
        <v>91</v>
      </c>
      <c r="C105" s="60" t="s">
        <v>449</v>
      </c>
      <c r="D105" s="60" t="s">
        <v>214</v>
      </c>
      <c r="E105" s="60" t="s">
        <v>344</v>
      </c>
      <c r="F105" s="66" t="s">
        <v>216</v>
      </c>
      <c r="G105" s="82" t="s">
        <v>120</v>
      </c>
      <c r="H105" s="65" t="s">
        <v>407</v>
      </c>
      <c r="I105" s="65" t="s">
        <v>450</v>
      </c>
      <c r="J105" s="65" t="s">
        <v>451</v>
      </c>
      <c r="K105" s="65">
        <v>0</v>
      </c>
      <c r="L105" s="65">
        <v>0</v>
      </c>
      <c r="M105" s="65">
        <v>0</v>
      </c>
      <c r="N105" s="65">
        <v>0</v>
      </c>
      <c r="O105" s="65">
        <v>0</v>
      </c>
      <c r="P105" s="65">
        <v>0</v>
      </c>
      <c r="Q105" s="65">
        <v>0</v>
      </c>
      <c r="R105" s="65">
        <v>0</v>
      </c>
      <c r="S105" s="65">
        <v>0</v>
      </c>
      <c r="T105" s="65">
        <v>0</v>
      </c>
      <c r="U105" s="65">
        <v>0</v>
      </c>
      <c r="V105" s="65">
        <v>0</v>
      </c>
      <c r="W105" s="65">
        <v>0</v>
      </c>
      <c r="X105" s="65">
        <v>0</v>
      </c>
      <c r="Y105" s="65">
        <v>0</v>
      </c>
      <c r="Z105" s="65">
        <v>0</v>
      </c>
      <c r="AA105" s="65">
        <v>0</v>
      </c>
      <c r="AB105" s="65">
        <v>0</v>
      </c>
      <c r="AC105" s="65">
        <v>0</v>
      </c>
      <c r="AD105" s="65">
        <v>0</v>
      </c>
      <c r="AE105" s="65">
        <v>0</v>
      </c>
      <c r="AF105" s="65">
        <v>0</v>
      </c>
      <c r="AG105" s="65">
        <v>0</v>
      </c>
      <c r="AH105" s="65">
        <v>0</v>
      </c>
      <c r="AI105" s="65">
        <v>0</v>
      </c>
      <c r="AJ105" s="65">
        <v>0</v>
      </c>
      <c r="AK105" s="65">
        <v>24034.240000000002</v>
      </c>
    </row>
    <row r="106" spans="2:37" ht="12.75" customHeight="1" x14ac:dyDescent="0.35">
      <c r="B106" s="5">
        <v>92</v>
      </c>
      <c r="C106" s="60" t="s">
        <v>464</v>
      </c>
      <c r="D106" s="60" t="s">
        <v>214</v>
      </c>
      <c r="E106" s="60" t="s">
        <v>241</v>
      </c>
      <c r="F106" s="66" t="s">
        <v>216</v>
      </c>
      <c r="G106" s="82" t="s">
        <v>120</v>
      </c>
      <c r="H106" s="65" t="s">
        <v>407</v>
      </c>
      <c r="I106" s="65" t="s">
        <v>465</v>
      </c>
      <c r="J106" s="65" t="s">
        <v>466</v>
      </c>
      <c r="K106" s="65">
        <v>0</v>
      </c>
      <c r="L106" s="65">
        <v>0</v>
      </c>
      <c r="M106" s="65">
        <v>0</v>
      </c>
      <c r="N106" s="65">
        <v>0</v>
      </c>
      <c r="O106" s="65">
        <v>0</v>
      </c>
      <c r="P106" s="65">
        <v>0</v>
      </c>
      <c r="Q106" s="65">
        <v>0</v>
      </c>
      <c r="R106" s="65">
        <v>0</v>
      </c>
      <c r="S106" s="65">
        <v>0</v>
      </c>
      <c r="T106" s="65">
        <v>0</v>
      </c>
      <c r="U106" s="65">
        <v>0</v>
      </c>
      <c r="V106" s="65">
        <v>0</v>
      </c>
      <c r="W106" s="65">
        <v>0</v>
      </c>
      <c r="X106" s="65">
        <v>0</v>
      </c>
      <c r="Y106" s="65">
        <v>0</v>
      </c>
      <c r="Z106" s="65">
        <v>0</v>
      </c>
      <c r="AA106" s="65">
        <v>0</v>
      </c>
      <c r="AB106" s="65">
        <v>0</v>
      </c>
      <c r="AC106" s="65">
        <v>0</v>
      </c>
      <c r="AD106" s="65">
        <v>0</v>
      </c>
      <c r="AE106" s="65">
        <v>0</v>
      </c>
      <c r="AF106" s="65">
        <v>0</v>
      </c>
      <c r="AG106" s="65">
        <v>0</v>
      </c>
      <c r="AH106" s="65">
        <v>0</v>
      </c>
      <c r="AI106" s="65">
        <v>0</v>
      </c>
      <c r="AJ106" s="65">
        <v>0</v>
      </c>
      <c r="AK106" s="65">
        <v>60264.959999999999</v>
      </c>
    </row>
    <row r="107" spans="2:37" ht="12.75" customHeight="1" x14ac:dyDescent="0.35">
      <c r="B107" s="5">
        <v>93</v>
      </c>
      <c r="C107" s="60" t="s">
        <v>467</v>
      </c>
      <c r="D107" s="60" t="s">
        <v>214</v>
      </c>
      <c r="E107" s="60" t="s">
        <v>241</v>
      </c>
      <c r="F107" s="66" t="s">
        <v>216</v>
      </c>
      <c r="G107" s="82" t="s">
        <v>120</v>
      </c>
      <c r="H107" s="65" t="s">
        <v>407</v>
      </c>
      <c r="I107" s="65" t="s">
        <v>468</v>
      </c>
      <c r="J107" s="65" t="s">
        <v>469</v>
      </c>
      <c r="K107" s="65">
        <v>0</v>
      </c>
      <c r="L107" s="65">
        <v>0</v>
      </c>
      <c r="M107" s="65">
        <v>0</v>
      </c>
      <c r="N107" s="65">
        <v>0</v>
      </c>
      <c r="O107" s="65">
        <v>0</v>
      </c>
      <c r="P107" s="65">
        <v>0</v>
      </c>
      <c r="Q107" s="65">
        <v>0</v>
      </c>
      <c r="R107" s="65">
        <v>0</v>
      </c>
      <c r="S107" s="65">
        <v>0</v>
      </c>
      <c r="T107" s="65">
        <v>0</v>
      </c>
      <c r="U107" s="65">
        <v>0</v>
      </c>
      <c r="V107" s="65">
        <v>0</v>
      </c>
      <c r="W107" s="65">
        <v>0</v>
      </c>
      <c r="X107" s="65">
        <v>0</v>
      </c>
      <c r="Y107" s="65">
        <v>0</v>
      </c>
      <c r="Z107" s="65">
        <v>0</v>
      </c>
      <c r="AA107" s="65">
        <v>0</v>
      </c>
      <c r="AB107" s="65">
        <v>0</v>
      </c>
      <c r="AC107" s="65">
        <v>0</v>
      </c>
      <c r="AD107" s="65">
        <v>0</v>
      </c>
      <c r="AE107" s="65">
        <v>0</v>
      </c>
      <c r="AF107" s="65">
        <v>0</v>
      </c>
      <c r="AG107" s="65">
        <v>0</v>
      </c>
      <c r="AH107" s="65">
        <v>0</v>
      </c>
      <c r="AI107" s="65">
        <v>0</v>
      </c>
      <c r="AJ107" s="65">
        <v>0</v>
      </c>
      <c r="AK107" s="65">
        <v>25110.400000000001</v>
      </c>
    </row>
    <row r="108" spans="2:37" ht="12.75" customHeight="1" x14ac:dyDescent="0.35">
      <c r="B108" s="5">
        <v>94</v>
      </c>
      <c r="C108" s="60" t="s">
        <v>525</v>
      </c>
      <c r="D108" s="60" t="s">
        <v>214</v>
      </c>
      <c r="E108" s="60" t="s">
        <v>344</v>
      </c>
      <c r="F108" s="66" t="s">
        <v>216</v>
      </c>
      <c r="G108" s="82" t="s">
        <v>120</v>
      </c>
      <c r="H108" s="65" t="s">
        <v>407</v>
      </c>
      <c r="I108" s="65" t="s">
        <v>490</v>
      </c>
      <c r="J108" s="65" t="s">
        <v>491</v>
      </c>
      <c r="K108" s="65">
        <v>0</v>
      </c>
      <c r="L108" s="65">
        <v>0</v>
      </c>
      <c r="M108" s="65">
        <v>0</v>
      </c>
      <c r="N108" s="65">
        <v>0</v>
      </c>
      <c r="O108" s="65">
        <v>0</v>
      </c>
      <c r="P108" s="65">
        <v>0</v>
      </c>
      <c r="Q108" s="65">
        <v>0</v>
      </c>
      <c r="R108" s="65">
        <v>0</v>
      </c>
      <c r="S108" s="65">
        <v>0</v>
      </c>
      <c r="T108" s="65">
        <v>0</v>
      </c>
      <c r="U108" s="65">
        <v>0</v>
      </c>
      <c r="V108" s="65">
        <v>0</v>
      </c>
      <c r="W108" s="65">
        <v>0</v>
      </c>
      <c r="X108" s="65">
        <v>0</v>
      </c>
      <c r="Y108" s="65">
        <v>0</v>
      </c>
      <c r="Z108" s="65">
        <v>0</v>
      </c>
      <c r="AA108" s="65">
        <v>0</v>
      </c>
      <c r="AB108" s="65">
        <v>0</v>
      </c>
      <c r="AC108" s="65">
        <v>0</v>
      </c>
      <c r="AD108" s="65">
        <v>0</v>
      </c>
      <c r="AE108" s="65">
        <v>0</v>
      </c>
      <c r="AF108" s="65">
        <v>0</v>
      </c>
      <c r="AG108" s="65">
        <v>0</v>
      </c>
      <c r="AH108" s="65">
        <v>0</v>
      </c>
      <c r="AI108" s="65">
        <v>0</v>
      </c>
      <c r="AJ108" s="65">
        <v>0</v>
      </c>
      <c r="AK108" s="65">
        <v>27621.439999999999</v>
      </c>
    </row>
    <row r="109" spans="2:37" ht="12.75" customHeight="1" x14ac:dyDescent="0.35">
      <c r="B109" s="5">
        <v>95</v>
      </c>
      <c r="C109" s="60" t="s">
        <v>259</v>
      </c>
      <c r="D109" s="60" t="s">
        <v>260</v>
      </c>
      <c r="E109" s="60" t="s">
        <v>225</v>
      </c>
      <c r="F109" s="66" t="s">
        <v>216</v>
      </c>
      <c r="G109" s="82" t="s">
        <v>217</v>
      </c>
      <c r="H109" s="65">
        <v>0</v>
      </c>
      <c r="I109" s="65">
        <v>0</v>
      </c>
      <c r="J109" s="65">
        <v>0</v>
      </c>
      <c r="K109" s="65">
        <v>27565</v>
      </c>
      <c r="L109" s="65">
        <v>2000</v>
      </c>
      <c r="M109" s="65">
        <v>0</v>
      </c>
      <c r="N109" s="65">
        <v>0</v>
      </c>
      <c r="O109" s="65">
        <v>5000</v>
      </c>
      <c r="P109" s="65">
        <v>1500</v>
      </c>
      <c r="Q109" s="65">
        <v>150</v>
      </c>
      <c r="R109" s="65">
        <v>0</v>
      </c>
      <c r="S109" s="65">
        <v>5000</v>
      </c>
      <c r="T109" s="65">
        <v>0</v>
      </c>
      <c r="U109" s="65">
        <v>0</v>
      </c>
      <c r="V109" s="65">
        <v>2327.5</v>
      </c>
      <c r="W109" s="65">
        <v>0</v>
      </c>
      <c r="X109" s="65">
        <v>0</v>
      </c>
      <c r="Y109" s="65">
        <v>27565</v>
      </c>
      <c r="Z109" s="65">
        <v>5000</v>
      </c>
      <c r="AA109" s="65">
        <v>27565</v>
      </c>
      <c r="AB109" s="65">
        <v>3307.8</v>
      </c>
      <c r="AC109" s="65">
        <v>100</v>
      </c>
      <c r="AD109" s="65">
        <v>337.5</v>
      </c>
      <c r="AE109" s="65">
        <v>100</v>
      </c>
      <c r="AF109" s="65">
        <v>0</v>
      </c>
      <c r="AG109" s="65">
        <v>0</v>
      </c>
      <c r="AH109" s="65">
        <v>0</v>
      </c>
      <c r="AI109" s="65">
        <v>0</v>
      </c>
      <c r="AJ109" s="65">
        <v>0</v>
      </c>
      <c r="AK109" s="65">
        <v>518333.60000000003</v>
      </c>
    </row>
    <row r="110" spans="2:37" ht="12.75" customHeight="1" x14ac:dyDescent="0.35">
      <c r="B110" s="5">
        <v>96</v>
      </c>
      <c r="C110" s="60" t="s">
        <v>383</v>
      </c>
      <c r="D110" s="60" t="s">
        <v>384</v>
      </c>
      <c r="E110" s="60" t="s">
        <v>220</v>
      </c>
      <c r="F110" s="66" t="s">
        <v>216</v>
      </c>
      <c r="G110" s="82" t="s">
        <v>120</v>
      </c>
      <c r="H110" s="65" t="s">
        <v>340</v>
      </c>
      <c r="I110" s="65" t="s">
        <v>385</v>
      </c>
      <c r="J110" s="65" t="s">
        <v>386</v>
      </c>
      <c r="K110" s="65">
        <v>0</v>
      </c>
      <c r="L110" s="65">
        <v>0</v>
      </c>
      <c r="M110" s="65">
        <v>0</v>
      </c>
      <c r="N110" s="65">
        <v>0</v>
      </c>
      <c r="O110" s="65">
        <v>0</v>
      </c>
      <c r="P110" s="65">
        <v>0</v>
      </c>
      <c r="Q110" s="65">
        <v>0</v>
      </c>
      <c r="R110" s="65">
        <v>0</v>
      </c>
      <c r="S110" s="65">
        <v>0</v>
      </c>
      <c r="T110" s="65">
        <v>0</v>
      </c>
      <c r="U110" s="65">
        <v>0</v>
      </c>
      <c r="V110" s="65">
        <v>0</v>
      </c>
      <c r="W110" s="65">
        <v>0</v>
      </c>
      <c r="X110" s="65">
        <v>0</v>
      </c>
      <c r="Y110" s="65">
        <v>0</v>
      </c>
      <c r="Z110" s="65">
        <v>0</v>
      </c>
      <c r="AA110" s="65">
        <v>0</v>
      </c>
      <c r="AB110" s="65">
        <v>0</v>
      </c>
      <c r="AC110" s="65">
        <v>0</v>
      </c>
      <c r="AD110" s="65">
        <v>0</v>
      </c>
      <c r="AE110" s="65">
        <v>0</v>
      </c>
      <c r="AF110" s="65">
        <v>0</v>
      </c>
      <c r="AG110" s="65">
        <v>0</v>
      </c>
      <c r="AH110" s="65">
        <v>0</v>
      </c>
      <c r="AI110" s="65">
        <v>0</v>
      </c>
      <c r="AJ110" s="65">
        <v>0</v>
      </c>
      <c r="AK110" s="65">
        <v>140847.26</v>
      </c>
    </row>
    <row r="111" spans="2:37" ht="12.75" customHeight="1" x14ac:dyDescent="0.35">
      <c r="B111" s="5">
        <v>97</v>
      </c>
      <c r="C111" s="60" t="s">
        <v>448</v>
      </c>
      <c r="D111" s="60" t="s">
        <v>384</v>
      </c>
      <c r="E111" s="60" t="s">
        <v>220</v>
      </c>
      <c r="F111" s="66" t="s">
        <v>216</v>
      </c>
      <c r="G111" s="82" t="s">
        <v>120</v>
      </c>
      <c r="H111" s="65" t="s">
        <v>340</v>
      </c>
      <c r="I111" s="65" t="s">
        <v>442</v>
      </c>
      <c r="J111" s="65" t="s">
        <v>443</v>
      </c>
      <c r="K111" s="65">
        <v>0</v>
      </c>
      <c r="L111" s="65">
        <v>0</v>
      </c>
      <c r="M111" s="65">
        <v>0</v>
      </c>
      <c r="N111" s="65">
        <v>0</v>
      </c>
      <c r="O111" s="65">
        <v>0</v>
      </c>
      <c r="P111" s="65">
        <v>0</v>
      </c>
      <c r="Q111" s="65">
        <v>0</v>
      </c>
      <c r="R111" s="65">
        <v>0</v>
      </c>
      <c r="S111" s="65">
        <v>0</v>
      </c>
      <c r="T111" s="65">
        <v>0</v>
      </c>
      <c r="U111" s="65">
        <v>0</v>
      </c>
      <c r="V111" s="65">
        <v>0</v>
      </c>
      <c r="W111" s="65">
        <v>0</v>
      </c>
      <c r="X111" s="65">
        <v>0</v>
      </c>
      <c r="Y111" s="65">
        <v>0</v>
      </c>
      <c r="Z111" s="65">
        <v>0</v>
      </c>
      <c r="AA111" s="65">
        <v>0</v>
      </c>
      <c r="AB111" s="65">
        <v>0</v>
      </c>
      <c r="AC111" s="65">
        <v>0</v>
      </c>
      <c r="AD111" s="65">
        <v>0</v>
      </c>
      <c r="AE111" s="65">
        <v>0</v>
      </c>
      <c r="AF111" s="65">
        <v>0</v>
      </c>
      <c r="AG111" s="65">
        <v>0</v>
      </c>
      <c r="AH111" s="65">
        <v>0</v>
      </c>
      <c r="AI111" s="65">
        <v>0</v>
      </c>
      <c r="AJ111" s="65">
        <v>0</v>
      </c>
      <c r="AK111" s="65">
        <v>140759.79999999999</v>
      </c>
    </row>
    <row r="112" spans="2:37" ht="12.75" customHeight="1" x14ac:dyDescent="0.35">
      <c r="B112" s="5">
        <v>98</v>
      </c>
      <c r="C112" s="60" t="s">
        <v>489</v>
      </c>
      <c r="D112" s="60" t="s">
        <v>384</v>
      </c>
      <c r="E112" s="60" t="s">
        <v>220</v>
      </c>
      <c r="F112" s="66" t="s">
        <v>216</v>
      </c>
      <c r="G112" s="82" t="s">
        <v>120</v>
      </c>
      <c r="H112" s="65" t="s">
        <v>340</v>
      </c>
      <c r="I112" s="65" t="s">
        <v>490</v>
      </c>
      <c r="J112" s="65" t="s">
        <v>491</v>
      </c>
      <c r="K112" s="65">
        <v>0</v>
      </c>
      <c r="L112" s="65">
        <v>0</v>
      </c>
      <c r="M112" s="65">
        <v>0</v>
      </c>
      <c r="N112" s="65">
        <v>0</v>
      </c>
      <c r="O112" s="65">
        <v>0</v>
      </c>
      <c r="P112" s="65">
        <v>0</v>
      </c>
      <c r="Q112" s="65">
        <v>0</v>
      </c>
      <c r="R112" s="65">
        <v>0</v>
      </c>
      <c r="S112" s="65">
        <v>0</v>
      </c>
      <c r="T112" s="65">
        <v>0</v>
      </c>
      <c r="U112" s="65">
        <v>0</v>
      </c>
      <c r="V112" s="65">
        <v>0</v>
      </c>
      <c r="W112" s="65">
        <v>0</v>
      </c>
      <c r="X112" s="65">
        <v>0</v>
      </c>
      <c r="Y112" s="65">
        <v>0</v>
      </c>
      <c r="Z112" s="65">
        <v>0</v>
      </c>
      <c r="AA112" s="65">
        <v>0</v>
      </c>
      <c r="AB112" s="65">
        <v>0</v>
      </c>
      <c r="AC112" s="65">
        <v>0</v>
      </c>
      <c r="AD112" s="65">
        <v>0</v>
      </c>
      <c r="AE112" s="65">
        <v>0</v>
      </c>
      <c r="AF112" s="65">
        <v>0</v>
      </c>
      <c r="AG112" s="65">
        <v>0</v>
      </c>
      <c r="AH112" s="65">
        <v>0</v>
      </c>
      <c r="AI112" s="65">
        <v>0</v>
      </c>
      <c r="AJ112" s="65">
        <v>0</v>
      </c>
      <c r="AK112" s="65">
        <v>42091.28</v>
      </c>
    </row>
    <row r="113" spans="2:37" ht="12.75" customHeight="1" x14ac:dyDescent="0.35">
      <c r="B113" s="5">
        <v>99</v>
      </c>
      <c r="C113" s="60" t="s">
        <v>496</v>
      </c>
      <c r="D113" s="60" t="s">
        <v>384</v>
      </c>
      <c r="E113" s="60" t="s">
        <v>220</v>
      </c>
      <c r="F113" s="66" t="s">
        <v>216</v>
      </c>
      <c r="G113" s="82" t="s">
        <v>120</v>
      </c>
      <c r="H113" s="65" t="s">
        <v>336</v>
      </c>
      <c r="I113" s="65" t="s">
        <v>477</v>
      </c>
      <c r="J113" s="65" t="s">
        <v>497</v>
      </c>
      <c r="K113" s="65">
        <v>0</v>
      </c>
      <c r="L113" s="65">
        <v>0</v>
      </c>
      <c r="M113" s="65">
        <v>0</v>
      </c>
      <c r="N113" s="65">
        <v>0</v>
      </c>
      <c r="O113" s="65">
        <v>0</v>
      </c>
      <c r="P113" s="65">
        <v>0</v>
      </c>
      <c r="Q113" s="65">
        <v>0</v>
      </c>
      <c r="R113" s="65">
        <v>0</v>
      </c>
      <c r="S113" s="65">
        <v>0</v>
      </c>
      <c r="T113" s="65">
        <v>0</v>
      </c>
      <c r="U113" s="65">
        <v>0</v>
      </c>
      <c r="V113" s="65">
        <v>0</v>
      </c>
      <c r="W113" s="65">
        <v>0</v>
      </c>
      <c r="X113" s="65">
        <v>0</v>
      </c>
      <c r="Y113" s="65">
        <v>0</v>
      </c>
      <c r="Z113" s="65">
        <v>0</v>
      </c>
      <c r="AA113" s="65">
        <v>0</v>
      </c>
      <c r="AB113" s="65">
        <v>0</v>
      </c>
      <c r="AC113" s="65">
        <v>0</v>
      </c>
      <c r="AD113" s="65">
        <v>0</v>
      </c>
      <c r="AE113" s="65">
        <v>0</v>
      </c>
      <c r="AF113" s="65">
        <v>0</v>
      </c>
      <c r="AG113" s="65">
        <v>0</v>
      </c>
      <c r="AH113" s="65">
        <v>0</v>
      </c>
      <c r="AI113" s="65">
        <v>0</v>
      </c>
      <c r="AJ113" s="65">
        <v>0</v>
      </c>
      <c r="AK113" s="65">
        <v>156843.15</v>
      </c>
    </row>
    <row r="114" spans="2:37" ht="12.75" customHeight="1" x14ac:dyDescent="0.35">
      <c r="B114" s="5">
        <v>100</v>
      </c>
      <c r="C114" s="60" t="s">
        <v>532</v>
      </c>
      <c r="D114" s="60" t="s">
        <v>384</v>
      </c>
      <c r="E114" s="60" t="s">
        <v>220</v>
      </c>
      <c r="F114" s="66" t="s">
        <v>216</v>
      </c>
      <c r="G114" s="82" t="s">
        <v>120</v>
      </c>
      <c r="H114" s="65" t="s">
        <v>340</v>
      </c>
      <c r="I114" s="65" t="s">
        <v>533</v>
      </c>
      <c r="J114" s="65" t="s">
        <v>534</v>
      </c>
      <c r="K114" s="65">
        <v>0</v>
      </c>
      <c r="L114" s="65">
        <v>0</v>
      </c>
      <c r="M114" s="65">
        <v>0</v>
      </c>
      <c r="N114" s="65">
        <v>0</v>
      </c>
      <c r="O114" s="65">
        <v>0</v>
      </c>
      <c r="P114" s="65">
        <v>0</v>
      </c>
      <c r="Q114" s="65">
        <v>0</v>
      </c>
      <c r="R114" s="65">
        <v>0</v>
      </c>
      <c r="S114" s="65">
        <v>0</v>
      </c>
      <c r="T114" s="65">
        <v>0</v>
      </c>
      <c r="U114" s="65">
        <v>0</v>
      </c>
      <c r="V114" s="65">
        <v>0</v>
      </c>
      <c r="W114" s="65">
        <v>0</v>
      </c>
      <c r="X114" s="65">
        <v>0</v>
      </c>
      <c r="Y114" s="65">
        <v>0</v>
      </c>
      <c r="Z114" s="65">
        <v>0</v>
      </c>
      <c r="AA114" s="65">
        <v>0</v>
      </c>
      <c r="AB114" s="65">
        <v>0</v>
      </c>
      <c r="AC114" s="65">
        <v>0</v>
      </c>
      <c r="AD114" s="65">
        <v>0</v>
      </c>
      <c r="AE114" s="65">
        <v>0</v>
      </c>
      <c r="AF114" s="65">
        <v>0</v>
      </c>
      <c r="AG114" s="65">
        <v>0</v>
      </c>
      <c r="AH114" s="65">
        <v>0</v>
      </c>
      <c r="AI114" s="65">
        <v>0</v>
      </c>
      <c r="AJ114" s="65">
        <v>0</v>
      </c>
      <c r="AK114" s="65">
        <v>141612.56</v>
      </c>
    </row>
    <row r="115" spans="2:37" ht="12.75" customHeight="1" x14ac:dyDescent="0.35">
      <c r="B115" s="5">
        <v>101</v>
      </c>
      <c r="C115" s="60" t="s">
        <v>218</v>
      </c>
      <c r="D115" s="60" t="s">
        <v>219</v>
      </c>
      <c r="E115" s="60" t="s">
        <v>220</v>
      </c>
      <c r="F115" s="66" t="s">
        <v>216</v>
      </c>
      <c r="G115" s="82" t="s">
        <v>217</v>
      </c>
      <c r="H115" s="65">
        <v>0</v>
      </c>
      <c r="I115" s="65">
        <v>0</v>
      </c>
      <c r="J115" s="65">
        <v>0</v>
      </c>
      <c r="K115" s="65">
        <v>29557</v>
      </c>
      <c r="L115" s="65">
        <v>2000</v>
      </c>
      <c r="M115" s="65">
        <v>0</v>
      </c>
      <c r="N115" s="65">
        <v>0</v>
      </c>
      <c r="O115" s="65">
        <v>5000</v>
      </c>
      <c r="P115" s="65">
        <v>1500</v>
      </c>
      <c r="Q115" s="65">
        <v>150</v>
      </c>
      <c r="R115" s="65">
        <v>0</v>
      </c>
      <c r="S115" s="65">
        <v>5000</v>
      </c>
      <c r="T115" s="65">
        <v>0</v>
      </c>
      <c r="U115" s="65">
        <v>0</v>
      </c>
      <c r="V115" s="65">
        <v>2445.27</v>
      </c>
      <c r="W115" s="65">
        <v>0</v>
      </c>
      <c r="X115" s="65">
        <v>0</v>
      </c>
      <c r="Y115" s="65">
        <v>29902</v>
      </c>
      <c r="Z115" s="65">
        <v>5000</v>
      </c>
      <c r="AA115" s="65">
        <v>29902</v>
      </c>
      <c r="AB115" s="65">
        <v>3558.24</v>
      </c>
      <c r="AC115" s="65">
        <v>100</v>
      </c>
      <c r="AD115" s="65">
        <v>362.5</v>
      </c>
      <c r="AE115" s="65">
        <v>100</v>
      </c>
      <c r="AF115" s="65">
        <v>0</v>
      </c>
      <c r="AG115" s="65">
        <v>0</v>
      </c>
      <c r="AH115" s="65">
        <v>0</v>
      </c>
      <c r="AI115" s="65">
        <v>0</v>
      </c>
      <c r="AJ115" s="65">
        <v>0</v>
      </c>
      <c r="AK115" s="65">
        <v>578575.12</v>
      </c>
    </row>
    <row r="116" spans="2:37" ht="12.75" customHeight="1" x14ac:dyDescent="0.35">
      <c r="B116" s="5">
        <v>102</v>
      </c>
      <c r="C116" s="60" t="s">
        <v>226</v>
      </c>
      <c r="D116" s="60" t="s">
        <v>227</v>
      </c>
      <c r="E116" s="60" t="s">
        <v>228</v>
      </c>
      <c r="F116" s="66" t="s">
        <v>216</v>
      </c>
      <c r="G116" s="82" t="s">
        <v>217</v>
      </c>
      <c r="H116" s="65">
        <v>0</v>
      </c>
      <c r="I116" s="65">
        <v>0</v>
      </c>
      <c r="J116" s="65">
        <v>0</v>
      </c>
      <c r="K116" s="65">
        <v>25141</v>
      </c>
      <c r="L116" s="65">
        <v>2000</v>
      </c>
      <c r="M116" s="65">
        <v>0</v>
      </c>
      <c r="N116" s="65">
        <v>0</v>
      </c>
      <c r="O116" s="65">
        <v>5000</v>
      </c>
      <c r="P116" s="65">
        <v>1500</v>
      </c>
      <c r="Q116" s="65">
        <v>150</v>
      </c>
      <c r="R116" s="65">
        <v>0</v>
      </c>
      <c r="S116" s="65">
        <v>5000</v>
      </c>
      <c r="T116" s="65">
        <v>0</v>
      </c>
      <c r="U116" s="65">
        <v>0</v>
      </c>
      <c r="V116" s="65">
        <v>2176.3000000000002</v>
      </c>
      <c r="W116" s="65">
        <v>0</v>
      </c>
      <c r="X116" s="65">
        <v>0</v>
      </c>
      <c r="Y116" s="65">
        <v>25141</v>
      </c>
      <c r="Z116" s="65">
        <v>5000</v>
      </c>
      <c r="AA116" s="65">
        <v>25141</v>
      </c>
      <c r="AB116" s="65">
        <v>3016.92</v>
      </c>
      <c r="AC116" s="65">
        <v>100</v>
      </c>
      <c r="AD116" s="65">
        <v>312.5</v>
      </c>
      <c r="AE116" s="65">
        <v>100</v>
      </c>
      <c r="AF116" s="65">
        <v>0</v>
      </c>
      <c r="AG116" s="65">
        <v>0</v>
      </c>
      <c r="AH116" s="65">
        <v>0</v>
      </c>
      <c r="AI116" s="65">
        <v>0</v>
      </c>
      <c r="AJ116" s="65">
        <v>0</v>
      </c>
      <c r="AK116" s="65">
        <v>478842.64</v>
      </c>
    </row>
    <row r="117" spans="2:37" ht="12.75" customHeight="1" x14ac:dyDescent="0.35">
      <c r="B117" s="5">
        <v>103</v>
      </c>
      <c r="C117" s="60" t="s">
        <v>390</v>
      </c>
      <c r="D117" s="60" t="s">
        <v>391</v>
      </c>
      <c r="E117" s="60" t="s">
        <v>243</v>
      </c>
      <c r="F117" s="66" t="s">
        <v>216</v>
      </c>
      <c r="G117" s="82" t="s">
        <v>120</v>
      </c>
      <c r="H117" s="65" t="s">
        <v>392</v>
      </c>
      <c r="I117" s="65" t="s">
        <v>393</v>
      </c>
      <c r="J117" s="65" t="s">
        <v>394</v>
      </c>
      <c r="K117" s="65">
        <v>0</v>
      </c>
      <c r="L117" s="65">
        <v>0</v>
      </c>
      <c r="M117" s="65">
        <v>0</v>
      </c>
      <c r="N117" s="65">
        <v>0</v>
      </c>
      <c r="O117" s="65">
        <v>0</v>
      </c>
      <c r="P117" s="65">
        <v>0</v>
      </c>
      <c r="Q117" s="65">
        <v>0</v>
      </c>
      <c r="R117" s="65">
        <v>0</v>
      </c>
      <c r="S117" s="65">
        <v>0</v>
      </c>
      <c r="T117" s="65">
        <v>0</v>
      </c>
      <c r="U117" s="65">
        <v>0</v>
      </c>
      <c r="V117" s="65">
        <v>0</v>
      </c>
      <c r="W117" s="65">
        <v>0</v>
      </c>
      <c r="X117" s="65">
        <v>0</v>
      </c>
      <c r="Y117" s="65">
        <v>0</v>
      </c>
      <c r="Z117" s="65">
        <v>0</v>
      </c>
      <c r="AA117" s="65">
        <v>0</v>
      </c>
      <c r="AB117" s="65">
        <v>0</v>
      </c>
      <c r="AC117" s="65">
        <v>0</v>
      </c>
      <c r="AD117" s="65">
        <v>0</v>
      </c>
      <c r="AE117" s="65">
        <v>0</v>
      </c>
      <c r="AF117" s="65">
        <v>0</v>
      </c>
      <c r="AG117" s="65">
        <v>0</v>
      </c>
      <c r="AH117" s="65">
        <v>0</v>
      </c>
      <c r="AI117" s="65">
        <v>0</v>
      </c>
      <c r="AJ117" s="65">
        <v>0</v>
      </c>
      <c r="AK117" s="65">
        <v>112095.36</v>
      </c>
    </row>
    <row r="118" spans="2:37" ht="12.75" customHeight="1" x14ac:dyDescent="0.35">
      <c r="B118" s="5">
        <v>104</v>
      </c>
      <c r="C118" s="60" t="s">
        <v>429</v>
      </c>
      <c r="D118" s="60" t="s">
        <v>391</v>
      </c>
      <c r="E118" s="60" t="s">
        <v>228</v>
      </c>
      <c r="F118" s="66" t="s">
        <v>216</v>
      </c>
      <c r="G118" s="82" t="s">
        <v>120</v>
      </c>
      <c r="H118" s="65" t="s">
        <v>430</v>
      </c>
      <c r="I118" s="65" t="s">
        <v>431</v>
      </c>
      <c r="J118" s="65" t="s">
        <v>432</v>
      </c>
      <c r="K118" s="65">
        <v>0</v>
      </c>
      <c r="L118" s="65">
        <v>0</v>
      </c>
      <c r="M118" s="65">
        <v>0</v>
      </c>
      <c r="N118" s="65">
        <v>0</v>
      </c>
      <c r="O118" s="65">
        <v>0</v>
      </c>
      <c r="P118" s="65">
        <v>0</v>
      </c>
      <c r="Q118" s="65">
        <v>0</v>
      </c>
      <c r="R118" s="65">
        <v>0</v>
      </c>
      <c r="S118" s="65">
        <v>0</v>
      </c>
      <c r="T118" s="65">
        <v>0</v>
      </c>
      <c r="U118" s="65">
        <v>0</v>
      </c>
      <c r="V118" s="65">
        <v>0</v>
      </c>
      <c r="W118" s="65">
        <v>0</v>
      </c>
      <c r="X118" s="65">
        <v>0</v>
      </c>
      <c r="Y118" s="65">
        <v>0</v>
      </c>
      <c r="Z118" s="65">
        <v>0</v>
      </c>
      <c r="AA118" s="65">
        <v>0</v>
      </c>
      <c r="AB118" s="65">
        <v>0</v>
      </c>
      <c r="AC118" s="65">
        <v>0</v>
      </c>
      <c r="AD118" s="65">
        <v>0</v>
      </c>
      <c r="AE118" s="65">
        <v>0</v>
      </c>
      <c r="AF118" s="65">
        <v>0</v>
      </c>
      <c r="AG118" s="65">
        <v>0</v>
      </c>
      <c r="AH118" s="65">
        <v>0</v>
      </c>
      <c r="AI118" s="65">
        <v>0</v>
      </c>
      <c r="AJ118" s="65">
        <v>0</v>
      </c>
      <c r="AK118" s="65">
        <v>140475.82</v>
      </c>
    </row>
    <row r="119" spans="2:37" ht="12.75" customHeight="1" x14ac:dyDescent="0.35">
      <c r="B119" s="5">
        <v>105</v>
      </c>
      <c r="C119" s="60" t="s">
        <v>520</v>
      </c>
      <c r="D119" s="60" t="s">
        <v>391</v>
      </c>
      <c r="E119" s="60" t="s">
        <v>228</v>
      </c>
      <c r="F119" s="66" t="s">
        <v>216</v>
      </c>
      <c r="G119" s="82" t="s">
        <v>120</v>
      </c>
      <c r="H119" s="65" t="s">
        <v>430</v>
      </c>
      <c r="I119" s="65" t="s">
        <v>521</v>
      </c>
      <c r="J119" s="65" t="s">
        <v>522</v>
      </c>
      <c r="K119" s="65">
        <v>0</v>
      </c>
      <c r="L119" s="65">
        <v>0</v>
      </c>
      <c r="M119" s="65">
        <v>0</v>
      </c>
      <c r="N119" s="65">
        <v>0</v>
      </c>
      <c r="O119" s="65">
        <v>0</v>
      </c>
      <c r="P119" s="65">
        <v>0</v>
      </c>
      <c r="Q119" s="65">
        <v>0</v>
      </c>
      <c r="R119" s="65">
        <v>0</v>
      </c>
      <c r="S119" s="65">
        <v>0</v>
      </c>
      <c r="T119" s="65">
        <v>0</v>
      </c>
      <c r="U119" s="65">
        <v>0</v>
      </c>
      <c r="V119" s="65">
        <v>0</v>
      </c>
      <c r="W119" s="65">
        <v>0</v>
      </c>
      <c r="X119" s="65">
        <v>0</v>
      </c>
      <c r="Y119" s="65">
        <v>0</v>
      </c>
      <c r="Z119" s="65">
        <v>0</v>
      </c>
      <c r="AA119" s="65">
        <v>0</v>
      </c>
      <c r="AB119" s="65">
        <v>0</v>
      </c>
      <c r="AC119" s="65">
        <v>0</v>
      </c>
      <c r="AD119" s="65">
        <v>0</v>
      </c>
      <c r="AE119" s="65">
        <v>0</v>
      </c>
      <c r="AF119" s="65">
        <v>0</v>
      </c>
      <c r="AG119" s="65">
        <v>0</v>
      </c>
      <c r="AH119" s="65">
        <v>0</v>
      </c>
      <c r="AI119" s="65">
        <v>0</v>
      </c>
      <c r="AJ119" s="65">
        <v>0</v>
      </c>
      <c r="AK119" s="65">
        <v>141084.03</v>
      </c>
    </row>
    <row r="120" spans="2:37" ht="12.75" customHeight="1" x14ac:dyDescent="0.35">
      <c r="B120" s="5">
        <v>106</v>
      </c>
      <c r="C120" s="60" t="s">
        <v>249</v>
      </c>
      <c r="D120" s="60" t="s">
        <v>250</v>
      </c>
      <c r="E120" s="60" t="s">
        <v>251</v>
      </c>
      <c r="F120" s="66" t="s">
        <v>216</v>
      </c>
      <c r="G120" s="82" t="s">
        <v>217</v>
      </c>
      <c r="H120" s="65">
        <v>0</v>
      </c>
      <c r="I120" s="65">
        <v>0</v>
      </c>
      <c r="J120" s="65">
        <v>0</v>
      </c>
      <c r="K120" s="65">
        <v>18217</v>
      </c>
      <c r="L120" s="65">
        <v>2000</v>
      </c>
      <c r="M120" s="65">
        <v>0</v>
      </c>
      <c r="N120" s="65">
        <v>0</v>
      </c>
      <c r="O120" s="65">
        <v>0</v>
      </c>
      <c r="P120" s="65">
        <v>1500</v>
      </c>
      <c r="Q120" s="65">
        <v>150</v>
      </c>
      <c r="R120" s="65">
        <v>0</v>
      </c>
      <c r="S120" s="65">
        <v>0</v>
      </c>
      <c r="T120" s="65">
        <v>0</v>
      </c>
      <c r="U120" s="65">
        <v>0</v>
      </c>
      <c r="V120" s="65">
        <v>1739.32</v>
      </c>
      <c r="W120" s="65">
        <v>0</v>
      </c>
      <c r="X120" s="65">
        <v>0</v>
      </c>
      <c r="Y120" s="65">
        <v>0</v>
      </c>
      <c r="Z120" s="65">
        <v>500</v>
      </c>
      <c r="AA120" s="65">
        <v>0</v>
      </c>
      <c r="AB120" s="65">
        <v>2186.04</v>
      </c>
      <c r="AC120" s="65">
        <v>100</v>
      </c>
      <c r="AD120" s="65">
        <v>225</v>
      </c>
      <c r="AE120" s="65">
        <v>100</v>
      </c>
      <c r="AF120" s="65">
        <v>0</v>
      </c>
      <c r="AG120" s="65">
        <v>0</v>
      </c>
      <c r="AH120" s="65">
        <v>0</v>
      </c>
      <c r="AI120" s="65">
        <v>0</v>
      </c>
      <c r="AJ120" s="65">
        <v>0</v>
      </c>
      <c r="AK120" s="65">
        <v>303108.32</v>
      </c>
    </row>
    <row r="121" spans="2:37" ht="12.75" customHeight="1" x14ac:dyDescent="0.35">
      <c r="B121" s="5">
        <v>107</v>
      </c>
      <c r="C121" s="60" t="s">
        <v>305</v>
      </c>
      <c r="D121" s="60" t="s">
        <v>306</v>
      </c>
      <c r="E121" s="60" t="s">
        <v>307</v>
      </c>
      <c r="F121" s="66" t="s">
        <v>216</v>
      </c>
      <c r="G121" s="82" t="s">
        <v>217</v>
      </c>
      <c r="H121" s="65">
        <v>0</v>
      </c>
      <c r="I121" s="65">
        <v>0</v>
      </c>
      <c r="J121" s="65">
        <v>0</v>
      </c>
      <c r="K121" s="65">
        <v>12110</v>
      </c>
      <c r="L121" s="65">
        <v>2000</v>
      </c>
      <c r="M121" s="65">
        <v>0</v>
      </c>
      <c r="N121" s="65">
        <v>0</v>
      </c>
      <c r="O121" s="65">
        <v>5000</v>
      </c>
      <c r="P121" s="65">
        <v>1500</v>
      </c>
      <c r="Q121" s="65">
        <v>150</v>
      </c>
      <c r="R121" s="65">
        <v>0</v>
      </c>
      <c r="S121" s="65">
        <v>5000</v>
      </c>
      <c r="T121" s="65">
        <v>0</v>
      </c>
      <c r="U121" s="65">
        <v>0</v>
      </c>
      <c r="V121" s="65">
        <v>1225.17</v>
      </c>
      <c r="W121" s="65">
        <v>0</v>
      </c>
      <c r="X121" s="65">
        <v>0</v>
      </c>
      <c r="Y121" s="65">
        <v>12110</v>
      </c>
      <c r="Z121" s="65">
        <v>5000</v>
      </c>
      <c r="AA121" s="65">
        <v>12110</v>
      </c>
      <c r="AB121" s="65">
        <v>1453.2</v>
      </c>
      <c r="AC121" s="65">
        <v>100</v>
      </c>
      <c r="AD121" s="65">
        <v>150</v>
      </c>
      <c r="AE121" s="65">
        <v>100</v>
      </c>
      <c r="AF121" s="65">
        <v>0</v>
      </c>
      <c r="AG121" s="65">
        <v>0</v>
      </c>
      <c r="AH121" s="65">
        <v>0</v>
      </c>
      <c r="AI121" s="65">
        <v>0</v>
      </c>
      <c r="AJ121" s="65">
        <v>0</v>
      </c>
      <c r="AK121" s="65">
        <v>264180.44</v>
      </c>
    </row>
    <row r="122" spans="2:37" ht="12.75" customHeight="1" x14ac:dyDescent="0.35">
      <c r="B122" s="5">
        <v>108</v>
      </c>
      <c r="C122" s="60" t="s">
        <v>252</v>
      </c>
      <c r="D122" s="60" t="s">
        <v>253</v>
      </c>
      <c r="E122" s="60" t="s">
        <v>254</v>
      </c>
      <c r="F122" s="66" t="s">
        <v>216</v>
      </c>
      <c r="G122" s="82" t="s">
        <v>217</v>
      </c>
      <c r="H122" s="65">
        <v>0</v>
      </c>
      <c r="I122" s="65">
        <v>0</v>
      </c>
      <c r="J122" s="65">
        <v>0</v>
      </c>
      <c r="K122" s="65">
        <v>20088</v>
      </c>
      <c r="L122" s="65">
        <v>2000</v>
      </c>
      <c r="M122" s="65">
        <v>0</v>
      </c>
      <c r="N122" s="65">
        <v>0</v>
      </c>
      <c r="O122" s="65">
        <v>5000</v>
      </c>
      <c r="P122" s="65">
        <v>1500</v>
      </c>
      <c r="Q122" s="65">
        <v>150</v>
      </c>
      <c r="R122" s="65">
        <v>0</v>
      </c>
      <c r="S122" s="65">
        <v>5000</v>
      </c>
      <c r="T122" s="65">
        <v>0</v>
      </c>
      <c r="U122" s="65">
        <v>0</v>
      </c>
      <c r="V122" s="65">
        <v>1843.62</v>
      </c>
      <c r="W122" s="65">
        <v>0</v>
      </c>
      <c r="X122" s="65">
        <v>0</v>
      </c>
      <c r="Y122" s="65">
        <v>20088</v>
      </c>
      <c r="Z122" s="65">
        <v>5000</v>
      </c>
      <c r="AA122" s="65">
        <v>20088</v>
      </c>
      <c r="AB122" s="65">
        <v>2410.56</v>
      </c>
      <c r="AC122" s="65">
        <v>100</v>
      </c>
      <c r="AD122" s="65">
        <v>250</v>
      </c>
      <c r="AE122" s="65">
        <v>100</v>
      </c>
      <c r="AF122" s="65">
        <v>0</v>
      </c>
      <c r="AG122" s="65">
        <v>0</v>
      </c>
      <c r="AH122" s="65">
        <v>0</v>
      </c>
      <c r="AI122" s="65">
        <v>0</v>
      </c>
      <c r="AJ122" s="65">
        <v>0</v>
      </c>
      <c r="AK122" s="65">
        <v>395657.16000000003</v>
      </c>
    </row>
    <row r="123" spans="2:37" ht="12.75" customHeight="1" x14ac:dyDescent="0.35">
      <c r="B123" s="5">
        <v>109</v>
      </c>
      <c r="C123" s="60" t="s">
        <v>363</v>
      </c>
      <c r="D123" s="60" t="s">
        <v>364</v>
      </c>
      <c r="E123" s="60" t="s">
        <v>254</v>
      </c>
      <c r="F123" s="66" t="s">
        <v>216</v>
      </c>
      <c r="G123" s="82" t="s">
        <v>120</v>
      </c>
      <c r="H123" s="65" t="s">
        <v>365</v>
      </c>
      <c r="I123" s="65" t="s">
        <v>366</v>
      </c>
      <c r="J123" s="65" t="s">
        <v>367</v>
      </c>
      <c r="K123" s="65">
        <v>0</v>
      </c>
      <c r="L123" s="65">
        <v>0</v>
      </c>
      <c r="M123" s="65">
        <v>0</v>
      </c>
      <c r="N123" s="65">
        <v>0</v>
      </c>
      <c r="O123" s="65">
        <v>0</v>
      </c>
      <c r="P123" s="65">
        <v>0</v>
      </c>
      <c r="Q123" s="65">
        <v>0</v>
      </c>
      <c r="R123" s="65">
        <v>0</v>
      </c>
      <c r="S123" s="65">
        <v>0</v>
      </c>
      <c r="T123" s="65">
        <v>0</v>
      </c>
      <c r="U123" s="65">
        <v>0</v>
      </c>
      <c r="V123" s="65">
        <v>0</v>
      </c>
      <c r="W123" s="65">
        <v>0</v>
      </c>
      <c r="X123" s="65">
        <v>0</v>
      </c>
      <c r="Y123" s="65">
        <v>0</v>
      </c>
      <c r="Z123" s="65">
        <v>0</v>
      </c>
      <c r="AA123" s="65">
        <v>0</v>
      </c>
      <c r="AB123" s="65">
        <v>0</v>
      </c>
      <c r="AC123" s="65">
        <v>0</v>
      </c>
      <c r="AD123" s="65">
        <v>0</v>
      </c>
      <c r="AE123" s="65">
        <v>0</v>
      </c>
      <c r="AF123" s="65">
        <v>0</v>
      </c>
      <c r="AG123" s="65">
        <v>0</v>
      </c>
      <c r="AH123" s="65">
        <v>0</v>
      </c>
      <c r="AI123" s="65">
        <v>0</v>
      </c>
      <c r="AJ123" s="65">
        <v>0</v>
      </c>
      <c r="AK123" s="65">
        <v>52729.04</v>
      </c>
    </row>
    <row r="124" spans="2:37" ht="12.75" customHeight="1" x14ac:dyDescent="0.35">
      <c r="B124" s="5">
        <v>110</v>
      </c>
      <c r="C124" s="60" t="s">
        <v>232</v>
      </c>
      <c r="D124" s="60" t="s">
        <v>233</v>
      </c>
      <c r="E124" s="60" t="s">
        <v>234</v>
      </c>
      <c r="F124" s="66" t="s">
        <v>216</v>
      </c>
      <c r="G124" s="82" t="s">
        <v>217</v>
      </c>
      <c r="H124" s="65">
        <v>0</v>
      </c>
      <c r="I124" s="65">
        <v>0</v>
      </c>
      <c r="J124" s="65">
        <v>0</v>
      </c>
      <c r="K124" s="65">
        <v>13851</v>
      </c>
      <c r="L124" s="65">
        <v>2000</v>
      </c>
      <c r="M124" s="65">
        <v>0</v>
      </c>
      <c r="N124" s="65">
        <v>0</v>
      </c>
      <c r="O124" s="65">
        <v>5000</v>
      </c>
      <c r="P124" s="65">
        <v>1500</v>
      </c>
      <c r="Q124" s="65">
        <v>150</v>
      </c>
      <c r="R124" s="65">
        <v>0</v>
      </c>
      <c r="S124" s="65">
        <v>5000</v>
      </c>
      <c r="T124" s="65">
        <v>0</v>
      </c>
      <c r="U124" s="65">
        <v>0</v>
      </c>
      <c r="V124" s="65">
        <v>1331.05</v>
      </c>
      <c r="W124" s="65">
        <v>0</v>
      </c>
      <c r="X124" s="65">
        <v>0</v>
      </c>
      <c r="Y124" s="65">
        <v>13851</v>
      </c>
      <c r="Z124" s="65">
        <v>5000</v>
      </c>
      <c r="AA124" s="65">
        <v>13851</v>
      </c>
      <c r="AB124" s="65">
        <v>1662.12</v>
      </c>
      <c r="AC124" s="65">
        <v>100</v>
      </c>
      <c r="AD124" s="65">
        <v>162.5</v>
      </c>
      <c r="AE124" s="65">
        <v>100</v>
      </c>
      <c r="AF124" s="65">
        <v>0</v>
      </c>
      <c r="AG124" s="65">
        <v>0</v>
      </c>
      <c r="AH124" s="65">
        <v>0</v>
      </c>
      <c r="AI124" s="65">
        <v>0</v>
      </c>
      <c r="AJ124" s="65">
        <v>0</v>
      </c>
      <c r="AK124" s="65">
        <v>292882.03999999998</v>
      </c>
    </row>
    <row r="125" spans="2:37" ht="12.75" customHeight="1" x14ac:dyDescent="0.35">
      <c r="B125" s="5">
        <v>111</v>
      </c>
      <c r="C125" s="60" t="s">
        <v>223</v>
      </c>
      <c r="D125" s="60" t="s">
        <v>224</v>
      </c>
      <c r="E125" s="60" t="s">
        <v>225</v>
      </c>
      <c r="F125" s="66" t="s">
        <v>216</v>
      </c>
      <c r="G125" s="82" t="s">
        <v>217</v>
      </c>
      <c r="H125" s="65">
        <v>0</v>
      </c>
      <c r="I125" s="65">
        <v>0</v>
      </c>
      <c r="J125" s="65">
        <v>0</v>
      </c>
      <c r="K125" s="65">
        <v>10640</v>
      </c>
      <c r="L125" s="65">
        <v>2000</v>
      </c>
      <c r="M125" s="65">
        <v>0</v>
      </c>
      <c r="N125" s="65">
        <v>0</v>
      </c>
      <c r="O125" s="65">
        <v>5000</v>
      </c>
      <c r="P125" s="65">
        <v>1500</v>
      </c>
      <c r="Q125" s="65">
        <v>150</v>
      </c>
      <c r="R125" s="65">
        <v>0</v>
      </c>
      <c r="S125" s="65">
        <v>5000</v>
      </c>
      <c r="T125" s="65">
        <v>0</v>
      </c>
      <c r="U125" s="65">
        <v>0</v>
      </c>
      <c r="V125" s="65">
        <v>1057.17</v>
      </c>
      <c r="W125" s="65">
        <v>0</v>
      </c>
      <c r="X125" s="65">
        <v>0</v>
      </c>
      <c r="Y125" s="65">
        <v>10640</v>
      </c>
      <c r="Z125" s="65">
        <v>5000</v>
      </c>
      <c r="AA125" s="65">
        <v>10640</v>
      </c>
      <c r="AB125" s="65">
        <v>1276.8</v>
      </c>
      <c r="AC125" s="65">
        <v>100</v>
      </c>
      <c r="AD125" s="65">
        <v>125</v>
      </c>
      <c r="AE125" s="65">
        <v>100</v>
      </c>
      <c r="AF125" s="65">
        <v>0</v>
      </c>
      <c r="AG125" s="65">
        <v>0</v>
      </c>
      <c r="AH125" s="65">
        <v>0</v>
      </c>
      <c r="AI125" s="65">
        <v>0</v>
      </c>
      <c r="AJ125" s="65">
        <v>0</v>
      </c>
      <c r="AK125" s="65">
        <v>239217.63999999998</v>
      </c>
    </row>
    <row r="126" spans="2:37" ht="12.75" customHeight="1" x14ac:dyDescent="0.35">
      <c r="B126" s="5">
        <v>112</v>
      </c>
      <c r="C126" s="60" t="s">
        <v>231</v>
      </c>
      <c r="D126" s="60" t="s">
        <v>224</v>
      </c>
      <c r="E126" s="60" t="s">
        <v>225</v>
      </c>
      <c r="F126" s="66" t="s">
        <v>216</v>
      </c>
      <c r="G126" s="82" t="s">
        <v>217</v>
      </c>
      <c r="H126" s="65">
        <v>0</v>
      </c>
      <c r="I126" s="65">
        <v>0</v>
      </c>
      <c r="J126" s="65">
        <v>0</v>
      </c>
      <c r="K126" s="65">
        <v>9981</v>
      </c>
      <c r="L126" s="65">
        <v>2000</v>
      </c>
      <c r="M126" s="65">
        <v>0</v>
      </c>
      <c r="N126" s="65">
        <v>0</v>
      </c>
      <c r="O126" s="65">
        <v>0</v>
      </c>
      <c r="P126" s="65">
        <v>1500</v>
      </c>
      <c r="Q126" s="65">
        <v>150</v>
      </c>
      <c r="R126" s="65">
        <v>0</v>
      </c>
      <c r="S126" s="65">
        <v>0</v>
      </c>
      <c r="T126" s="65">
        <v>0</v>
      </c>
      <c r="U126" s="65">
        <v>0</v>
      </c>
      <c r="V126" s="65">
        <v>889.35</v>
      </c>
      <c r="W126" s="65">
        <v>0</v>
      </c>
      <c r="X126" s="65">
        <v>0</v>
      </c>
      <c r="Y126" s="65">
        <v>0</v>
      </c>
      <c r="Z126" s="65">
        <v>500</v>
      </c>
      <c r="AA126" s="65">
        <v>0</v>
      </c>
      <c r="AB126" s="65">
        <v>1197.72</v>
      </c>
      <c r="AC126" s="65">
        <v>100</v>
      </c>
      <c r="AD126" s="65">
        <v>112.5</v>
      </c>
      <c r="AE126" s="65">
        <v>99.81</v>
      </c>
      <c r="AF126" s="65">
        <v>0</v>
      </c>
      <c r="AG126" s="65">
        <v>0</v>
      </c>
      <c r="AH126" s="65">
        <v>0</v>
      </c>
      <c r="AI126" s="65">
        <v>0</v>
      </c>
      <c r="AJ126" s="65">
        <v>0</v>
      </c>
      <c r="AK126" s="65">
        <v>180864.56</v>
      </c>
    </row>
    <row r="127" spans="2:37" ht="12.75" customHeight="1" x14ac:dyDescent="0.35">
      <c r="B127" s="5">
        <v>113</v>
      </c>
      <c r="C127" s="60" t="s">
        <v>238</v>
      </c>
      <c r="D127" s="60" t="s">
        <v>224</v>
      </c>
      <c r="E127" s="60" t="s">
        <v>239</v>
      </c>
      <c r="F127" s="66" t="s">
        <v>216</v>
      </c>
      <c r="G127" s="82" t="s">
        <v>217</v>
      </c>
      <c r="H127" s="65">
        <v>0</v>
      </c>
      <c r="I127" s="65">
        <v>0</v>
      </c>
      <c r="J127" s="65">
        <v>0</v>
      </c>
      <c r="K127" s="65">
        <v>9981</v>
      </c>
      <c r="L127" s="65">
        <v>2000</v>
      </c>
      <c r="M127" s="65">
        <v>0</v>
      </c>
      <c r="N127" s="65">
        <v>0</v>
      </c>
      <c r="O127" s="65">
        <v>0</v>
      </c>
      <c r="P127" s="65">
        <v>1500</v>
      </c>
      <c r="Q127" s="65">
        <v>150</v>
      </c>
      <c r="R127" s="65">
        <v>0</v>
      </c>
      <c r="S127" s="65">
        <v>0</v>
      </c>
      <c r="T127" s="65">
        <v>0</v>
      </c>
      <c r="U127" s="65">
        <v>0</v>
      </c>
      <c r="V127" s="65">
        <v>889.35</v>
      </c>
      <c r="W127" s="65">
        <v>0</v>
      </c>
      <c r="X127" s="65">
        <v>0</v>
      </c>
      <c r="Y127" s="65">
        <v>0</v>
      </c>
      <c r="Z127" s="65">
        <v>500</v>
      </c>
      <c r="AA127" s="65">
        <v>0</v>
      </c>
      <c r="AB127" s="65">
        <v>1197.72</v>
      </c>
      <c r="AC127" s="65">
        <v>100</v>
      </c>
      <c r="AD127" s="65">
        <v>112.5</v>
      </c>
      <c r="AE127" s="65">
        <v>99.81</v>
      </c>
      <c r="AF127" s="65">
        <v>0</v>
      </c>
      <c r="AG127" s="65">
        <v>0</v>
      </c>
      <c r="AH127" s="65">
        <v>0</v>
      </c>
      <c r="AI127" s="65">
        <v>0</v>
      </c>
      <c r="AJ127" s="65">
        <v>0</v>
      </c>
      <c r="AK127" s="65">
        <v>180864.56</v>
      </c>
    </row>
    <row r="128" spans="2:37" ht="12.75" customHeight="1" x14ac:dyDescent="0.35">
      <c r="B128" s="5">
        <v>114</v>
      </c>
      <c r="C128" s="60" t="s">
        <v>244</v>
      </c>
      <c r="D128" s="60" t="s">
        <v>224</v>
      </c>
      <c r="E128" s="60" t="s">
        <v>239</v>
      </c>
      <c r="F128" s="66" t="s">
        <v>216</v>
      </c>
      <c r="G128" s="82" t="s">
        <v>217</v>
      </c>
      <c r="H128" s="65">
        <v>0</v>
      </c>
      <c r="I128" s="65">
        <v>0</v>
      </c>
      <c r="J128" s="65">
        <v>0</v>
      </c>
      <c r="K128" s="65">
        <v>10640</v>
      </c>
      <c r="L128" s="65">
        <v>2000</v>
      </c>
      <c r="M128" s="65">
        <v>0</v>
      </c>
      <c r="N128" s="65">
        <v>0</v>
      </c>
      <c r="O128" s="65">
        <v>5000</v>
      </c>
      <c r="P128" s="65">
        <v>1500</v>
      </c>
      <c r="Q128" s="65">
        <v>150</v>
      </c>
      <c r="R128" s="65">
        <v>0</v>
      </c>
      <c r="S128" s="65">
        <v>0</v>
      </c>
      <c r="T128" s="65">
        <v>0</v>
      </c>
      <c r="U128" s="65">
        <v>0</v>
      </c>
      <c r="V128" s="65">
        <v>957.77</v>
      </c>
      <c r="W128" s="65">
        <v>0</v>
      </c>
      <c r="X128" s="65">
        <v>0</v>
      </c>
      <c r="Y128" s="65">
        <v>0</v>
      </c>
      <c r="Z128" s="65">
        <v>0</v>
      </c>
      <c r="AA128" s="65">
        <v>10640</v>
      </c>
      <c r="AB128" s="65">
        <v>1276.8</v>
      </c>
      <c r="AC128" s="65">
        <v>100</v>
      </c>
      <c r="AD128" s="65">
        <v>125</v>
      </c>
      <c r="AE128" s="65">
        <v>100</v>
      </c>
      <c r="AF128" s="65">
        <v>0</v>
      </c>
      <c r="AG128" s="65">
        <v>0</v>
      </c>
      <c r="AH128" s="65">
        <v>0</v>
      </c>
      <c r="AI128" s="65">
        <v>0</v>
      </c>
      <c r="AJ128" s="65">
        <v>0</v>
      </c>
      <c r="AK128" s="65">
        <v>156712.94</v>
      </c>
    </row>
    <row r="129" spans="2:37" ht="12.75" customHeight="1" x14ac:dyDescent="0.35">
      <c r="B129" s="5">
        <v>115</v>
      </c>
      <c r="C129" s="60" t="s">
        <v>310</v>
      </c>
      <c r="D129" s="60" t="s">
        <v>224</v>
      </c>
      <c r="E129" s="60" t="s">
        <v>239</v>
      </c>
      <c r="F129" s="66" t="s">
        <v>216</v>
      </c>
      <c r="G129" s="82" t="s">
        <v>217</v>
      </c>
      <c r="H129" s="65">
        <v>0</v>
      </c>
      <c r="I129" s="65">
        <v>0</v>
      </c>
      <c r="J129" s="65">
        <v>0</v>
      </c>
      <c r="K129" s="65">
        <v>10640</v>
      </c>
      <c r="L129" s="65">
        <v>2000</v>
      </c>
      <c r="M129" s="65">
        <v>0</v>
      </c>
      <c r="N129" s="65">
        <v>0</v>
      </c>
      <c r="O129" s="65">
        <v>5000</v>
      </c>
      <c r="P129" s="65">
        <v>1500</v>
      </c>
      <c r="Q129" s="65">
        <v>150</v>
      </c>
      <c r="R129" s="65">
        <v>0</v>
      </c>
      <c r="S129" s="65">
        <v>5000</v>
      </c>
      <c r="T129" s="65">
        <v>0</v>
      </c>
      <c r="U129" s="65">
        <v>0</v>
      </c>
      <c r="V129" s="65">
        <v>1057.17</v>
      </c>
      <c r="W129" s="65">
        <v>0</v>
      </c>
      <c r="X129" s="65">
        <v>0</v>
      </c>
      <c r="Y129" s="65">
        <v>10640</v>
      </c>
      <c r="Z129" s="65">
        <v>5000</v>
      </c>
      <c r="AA129" s="65">
        <v>10640</v>
      </c>
      <c r="AB129" s="65">
        <v>1276.8</v>
      </c>
      <c r="AC129" s="65">
        <v>100</v>
      </c>
      <c r="AD129" s="65">
        <v>125</v>
      </c>
      <c r="AE129" s="65">
        <v>100</v>
      </c>
      <c r="AF129" s="65">
        <v>0</v>
      </c>
      <c r="AG129" s="65">
        <v>0</v>
      </c>
      <c r="AH129" s="65">
        <v>0</v>
      </c>
      <c r="AI129" s="65">
        <v>0</v>
      </c>
      <c r="AJ129" s="65">
        <v>0</v>
      </c>
      <c r="AK129" s="65">
        <v>238867.63999999998</v>
      </c>
    </row>
    <row r="130" spans="2:37" ht="12.75" customHeight="1" x14ac:dyDescent="0.35">
      <c r="B130" s="5">
        <v>116</v>
      </c>
      <c r="C130" s="60" t="s">
        <v>425</v>
      </c>
      <c r="D130" s="60" t="s">
        <v>224</v>
      </c>
      <c r="E130" s="60" t="s">
        <v>239</v>
      </c>
      <c r="F130" s="66" t="s">
        <v>216</v>
      </c>
      <c r="G130" s="82" t="s">
        <v>120</v>
      </c>
      <c r="H130" s="65" t="s">
        <v>426</v>
      </c>
      <c r="I130" s="65" t="s">
        <v>427</v>
      </c>
      <c r="J130" s="65" t="s">
        <v>428</v>
      </c>
      <c r="K130" s="65">
        <v>0</v>
      </c>
      <c r="L130" s="65">
        <v>0</v>
      </c>
      <c r="M130" s="65">
        <v>0</v>
      </c>
      <c r="N130" s="65">
        <v>0</v>
      </c>
      <c r="O130" s="65">
        <v>0</v>
      </c>
      <c r="P130" s="65">
        <v>0</v>
      </c>
      <c r="Q130" s="65">
        <v>0</v>
      </c>
      <c r="R130" s="65">
        <v>0</v>
      </c>
      <c r="S130" s="65">
        <v>0</v>
      </c>
      <c r="T130" s="65">
        <v>0</v>
      </c>
      <c r="U130" s="65">
        <v>0</v>
      </c>
      <c r="V130" s="65">
        <v>0</v>
      </c>
      <c r="W130" s="65">
        <v>0</v>
      </c>
      <c r="X130" s="65">
        <v>0</v>
      </c>
      <c r="Y130" s="65">
        <v>0</v>
      </c>
      <c r="Z130" s="65">
        <v>0</v>
      </c>
      <c r="AA130" s="65">
        <v>0</v>
      </c>
      <c r="AB130" s="65">
        <v>0</v>
      </c>
      <c r="AC130" s="65">
        <v>0</v>
      </c>
      <c r="AD130" s="65">
        <v>0</v>
      </c>
      <c r="AE130" s="65">
        <v>0</v>
      </c>
      <c r="AF130" s="65">
        <v>0</v>
      </c>
      <c r="AG130" s="65">
        <v>0</v>
      </c>
      <c r="AH130" s="65">
        <v>0</v>
      </c>
      <c r="AI130" s="65">
        <v>0</v>
      </c>
      <c r="AJ130" s="65">
        <v>0</v>
      </c>
      <c r="AK130" s="65">
        <v>18448.32</v>
      </c>
    </row>
    <row r="131" spans="2:37" ht="12.75" customHeight="1" x14ac:dyDescent="0.35">
      <c r="B131" s="5">
        <v>117</v>
      </c>
      <c r="C131" s="60" t="s">
        <v>470</v>
      </c>
      <c r="D131" s="60" t="s">
        <v>224</v>
      </c>
      <c r="E131" s="60" t="s">
        <v>239</v>
      </c>
      <c r="F131" s="66" t="s">
        <v>216</v>
      </c>
      <c r="G131" s="82" t="s">
        <v>120</v>
      </c>
      <c r="H131" s="65" t="s">
        <v>426</v>
      </c>
      <c r="I131" s="65" t="s">
        <v>471</v>
      </c>
      <c r="J131" s="65" t="s">
        <v>472</v>
      </c>
      <c r="K131" s="65">
        <v>0</v>
      </c>
      <c r="L131" s="65">
        <v>0</v>
      </c>
      <c r="M131" s="65">
        <v>0</v>
      </c>
      <c r="N131" s="65">
        <v>0</v>
      </c>
      <c r="O131" s="65">
        <v>0</v>
      </c>
      <c r="P131" s="65">
        <v>0</v>
      </c>
      <c r="Q131" s="65">
        <v>0</v>
      </c>
      <c r="R131" s="65">
        <v>0</v>
      </c>
      <c r="S131" s="65">
        <v>0</v>
      </c>
      <c r="T131" s="65">
        <v>0</v>
      </c>
      <c r="U131" s="65">
        <v>0</v>
      </c>
      <c r="V131" s="65">
        <v>0</v>
      </c>
      <c r="W131" s="65">
        <v>0</v>
      </c>
      <c r="X131" s="65">
        <v>0</v>
      </c>
      <c r="Y131" s="65">
        <v>0</v>
      </c>
      <c r="Z131" s="65">
        <v>0</v>
      </c>
      <c r="AA131" s="65">
        <v>0</v>
      </c>
      <c r="AB131" s="65">
        <v>0</v>
      </c>
      <c r="AC131" s="65">
        <v>0</v>
      </c>
      <c r="AD131" s="65">
        <v>0</v>
      </c>
      <c r="AE131" s="65">
        <v>0</v>
      </c>
      <c r="AF131" s="65">
        <v>0</v>
      </c>
      <c r="AG131" s="65">
        <v>0</v>
      </c>
      <c r="AH131" s="65">
        <v>0</v>
      </c>
      <c r="AI131" s="65">
        <v>0</v>
      </c>
      <c r="AJ131" s="65">
        <v>0</v>
      </c>
      <c r="AK131" s="65">
        <v>63870.32</v>
      </c>
    </row>
    <row r="132" spans="2:37" ht="12.75" customHeight="1" x14ac:dyDescent="0.35">
      <c r="B132" s="5">
        <v>118</v>
      </c>
      <c r="C132" s="60" t="s">
        <v>476</v>
      </c>
      <c r="D132" s="60" t="s">
        <v>224</v>
      </c>
      <c r="E132" s="60" t="s">
        <v>239</v>
      </c>
      <c r="F132" s="66" t="s">
        <v>216</v>
      </c>
      <c r="G132" s="82" t="s">
        <v>120</v>
      </c>
      <c r="H132" s="65" t="s">
        <v>426</v>
      </c>
      <c r="I132" s="65" t="s">
        <v>477</v>
      </c>
      <c r="J132" s="65" t="s">
        <v>478</v>
      </c>
      <c r="K132" s="65">
        <v>0</v>
      </c>
      <c r="L132" s="65">
        <v>0</v>
      </c>
      <c r="M132" s="65">
        <v>0</v>
      </c>
      <c r="N132" s="65">
        <v>0</v>
      </c>
      <c r="O132" s="65">
        <v>0</v>
      </c>
      <c r="P132" s="65">
        <v>0</v>
      </c>
      <c r="Q132" s="65">
        <v>0</v>
      </c>
      <c r="R132" s="65">
        <v>0</v>
      </c>
      <c r="S132" s="65">
        <v>0</v>
      </c>
      <c r="T132" s="65">
        <v>0</v>
      </c>
      <c r="U132" s="65">
        <v>0</v>
      </c>
      <c r="V132" s="65">
        <v>0</v>
      </c>
      <c r="W132" s="65">
        <v>0</v>
      </c>
      <c r="X132" s="65">
        <v>0</v>
      </c>
      <c r="Y132" s="65">
        <v>0</v>
      </c>
      <c r="Z132" s="65">
        <v>0</v>
      </c>
      <c r="AA132" s="65">
        <v>0</v>
      </c>
      <c r="AB132" s="65">
        <v>0</v>
      </c>
      <c r="AC132" s="65">
        <v>0</v>
      </c>
      <c r="AD132" s="65">
        <v>0</v>
      </c>
      <c r="AE132" s="65">
        <v>0</v>
      </c>
      <c r="AF132" s="65">
        <v>0</v>
      </c>
      <c r="AG132" s="65">
        <v>0</v>
      </c>
      <c r="AH132" s="65">
        <v>0</v>
      </c>
      <c r="AI132" s="65">
        <v>0</v>
      </c>
      <c r="AJ132" s="65">
        <v>0</v>
      </c>
      <c r="AK132" s="65">
        <v>73094.48</v>
      </c>
    </row>
    <row r="133" spans="2:37" ht="12.75" customHeight="1" x14ac:dyDescent="0.35">
      <c r="B133" s="5">
        <v>119</v>
      </c>
      <c r="C133" s="60" t="s">
        <v>501</v>
      </c>
      <c r="D133" s="60" t="s">
        <v>224</v>
      </c>
      <c r="E133" s="60" t="s">
        <v>296</v>
      </c>
      <c r="F133" s="66" t="s">
        <v>216</v>
      </c>
      <c r="G133" s="82" t="s">
        <v>120</v>
      </c>
      <c r="H133" s="65" t="s">
        <v>426</v>
      </c>
      <c r="I133" s="65" t="s">
        <v>502</v>
      </c>
      <c r="J133" s="65" t="s">
        <v>503</v>
      </c>
      <c r="K133" s="65">
        <v>0</v>
      </c>
      <c r="L133" s="65">
        <v>0</v>
      </c>
      <c r="M133" s="65">
        <v>0</v>
      </c>
      <c r="N133" s="65">
        <v>0</v>
      </c>
      <c r="O133" s="65">
        <v>0</v>
      </c>
      <c r="P133" s="65">
        <v>0</v>
      </c>
      <c r="Q133" s="65">
        <v>0</v>
      </c>
      <c r="R133" s="65">
        <v>0</v>
      </c>
      <c r="S133" s="65">
        <v>0</v>
      </c>
      <c r="T133" s="65">
        <v>0</v>
      </c>
      <c r="U133" s="65">
        <v>0</v>
      </c>
      <c r="V133" s="65">
        <v>0</v>
      </c>
      <c r="W133" s="65">
        <v>0</v>
      </c>
      <c r="X133" s="65">
        <v>0</v>
      </c>
      <c r="Y133" s="65">
        <v>0</v>
      </c>
      <c r="Z133" s="65">
        <v>0</v>
      </c>
      <c r="AA133" s="65">
        <v>0</v>
      </c>
      <c r="AB133" s="65">
        <v>0</v>
      </c>
      <c r="AC133" s="65">
        <v>0</v>
      </c>
      <c r="AD133" s="65">
        <v>0</v>
      </c>
      <c r="AE133" s="65">
        <v>0</v>
      </c>
      <c r="AF133" s="65">
        <v>0</v>
      </c>
      <c r="AG133" s="65">
        <v>0</v>
      </c>
      <c r="AH133" s="65">
        <v>0</v>
      </c>
      <c r="AI133" s="65">
        <v>0</v>
      </c>
      <c r="AJ133" s="65">
        <v>0</v>
      </c>
      <c r="AK133" s="65">
        <v>65801.8</v>
      </c>
    </row>
    <row r="134" spans="2:37" ht="12.75" customHeight="1" x14ac:dyDescent="0.35">
      <c r="B134" s="5">
        <v>120</v>
      </c>
      <c r="C134" s="60" t="s">
        <v>508</v>
      </c>
      <c r="D134" s="60" t="s">
        <v>224</v>
      </c>
      <c r="E134" s="60" t="s">
        <v>239</v>
      </c>
      <c r="F134" s="66" t="s">
        <v>216</v>
      </c>
      <c r="G134" s="82" t="s">
        <v>120</v>
      </c>
      <c r="H134" s="65" t="s">
        <v>509</v>
      </c>
      <c r="I134" s="65" t="s">
        <v>510</v>
      </c>
      <c r="J134" s="65" t="s">
        <v>511</v>
      </c>
      <c r="K134" s="65">
        <v>0</v>
      </c>
      <c r="L134" s="65">
        <v>0</v>
      </c>
      <c r="M134" s="65">
        <v>0</v>
      </c>
      <c r="N134" s="65">
        <v>0</v>
      </c>
      <c r="O134" s="65">
        <v>0</v>
      </c>
      <c r="P134" s="65">
        <v>0</v>
      </c>
      <c r="Q134" s="65">
        <v>0</v>
      </c>
      <c r="R134" s="65">
        <v>0</v>
      </c>
      <c r="S134" s="65">
        <v>0</v>
      </c>
      <c r="T134" s="65">
        <v>0</v>
      </c>
      <c r="U134" s="65">
        <v>0</v>
      </c>
      <c r="V134" s="65">
        <v>0</v>
      </c>
      <c r="W134" s="65">
        <v>0</v>
      </c>
      <c r="X134" s="65">
        <v>0</v>
      </c>
      <c r="Y134" s="65">
        <v>0</v>
      </c>
      <c r="Z134" s="65">
        <v>0</v>
      </c>
      <c r="AA134" s="65">
        <v>0</v>
      </c>
      <c r="AB134" s="65">
        <v>0</v>
      </c>
      <c r="AC134" s="65">
        <v>0</v>
      </c>
      <c r="AD134" s="65">
        <v>0</v>
      </c>
      <c r="AE134" s="65">
        <v>0</v>
      </c>
      <c r="AF134" s="65">
        <v>0</v>
      </c>
      <c r="AG134" s="65">
        <v>0</v>
      </c>
      <c r="AH134" s="65">
        <v>0</v>
      </c>
      <c r="AI134" s="65">
        <v>0</v>
      </c>
      <c r="AJ134" s="65">
        <v>0</v>
      </c>
      <c r="AK134" s="65">
        <v>87081.97</v>
      </c>
    </row>
    <row r="135" spans="2:37" ht="12.75" customHeight="1" x14ac:dyDescent="0.35">
      <c r="B135" s="5">
        <v>121</v>
      </c>
      <c r="C135" s="60" t="s">
        <v>317</v>
      </c>
      <c r="D135" s="60" t="s">
        <v>318</v>
      </c>
      <c r="E135" s="60" t="s">
        <v>247</v>
      </c>
      <c r="F135" s="66" t="s">
        <v>216</v>
      </c>
      <c r="G135" s="82" t="s">
        <v>217</v>
      </c>
      <c r="H135" s="65">
        <v>0</v>
      </c>
      <c r="I135" s="65">
        <v>0</v>
      </c>
      <c r="J135" s="65">
        <v>0</v>
      </c>
      <c r="K135" s="65">
        <v>11387</v>
      </c>
      <c r="L135" s="65">
        <v>2000</v>
      </c>
      <c r="M135" s="65">
        <v>0</v>
      </c>
      <c r="N135" s="65">
        <v>0</v>
      </c>
      <c r="O135" s="65">
        <v>5000</v>
      </c>
      <c r="P135" s="65">
        <v>1500</v>
      </c>
      <c r="Q135" s="65">
        <v>150</v>
      </c>
      <c r="R135" s="65">
        <v>0</v>
      </c>
      <c r="S135" s="65">
        <v>5000</v>
      </c>
      <c r="T135" s="65">
        <v>0</v>
      </c>
      <c r="U135" s="65">
        <v>0</v>
      </c>
      <c r="V135" s="65">
        <v>1056.82</v>
      </c>
      <c r="W135" s="65">
        <v>0</v>
      </c>
      <c r="X135" s="65">
        <v>0</v>
      </c>
      <c r="Y135" s="65">
        <v>11387</v>
      </c>
      <c r="Z135" s="65">
        <v>5000</v>
      </c>
      <c r="AA135" s="65">
        <v>11387</v>
      </c>
      <c r="AB135" s="65">
        <v>1366.44</v>
      </c>
      <c r="AC135" s="65">
        <v>100</v>
      </c>
      <c r="AD135" s="65">
        <v>137.5</v>
      </c>
      <c r="AE135" s="65">
        <v>100</v>
      </c>
      <c r="AF135" s="65">
        <v>0</v>
      </c>
      <c r="AG135" s="65">
        <v>0</v>
      </c>
      <c r="AH135" s="65">
        <v>0</v>
      </c>
      <c r="AI135" s="65">
        <v>0</v>
      </c>
      <c r="AJ135" s="65">
        <v>0</v>
      </c>
      <c r="AK135" s="65">
        <v>249622.12</v>
      </c>
    </row>
    <row r="136" spans="2:37" ht="12.75" customHeight="1" x14ac:dyDescent="0.35">
      <c r="B136" s="5">
        <v>122</v>
      </c>
      <c r="C136" s="60" t="s">
        <v>355</v>
      </c>
      <c r="D136" s="60" t="s">
        <v>356</v>
      </c>
      <c r="E136" s="60" t="s">
        <v>307</v>
      </c>
      <c r="F136" s="66" t="s">
        <v>216</v>
      </c>
      <c r="G136" s="82" t="s">
        <v>120</v>
      </c>
      <c r="H136" s="65" t="s">
        <v>357</v>
      </c>
      <c r="I136" s="65" t="s">
        <v>358</v>
      </c>
      <c r="J136" s="65" t="s">
        <v>359</v>
      </c>
      <c r="K136" s="65">
        <v>0</v>
      </c>
      <c r="L136" s="65">
        <v>0</v>
      </c>
      <c r="M136" s="65">
        <v>0</v>
      </c>
      <c r="N136" s="65">
        <v>0</v>
      </c>
      <c r="O136" s="65">
        <v>0</v>
      </c>
      <c r="P136" s="65">
        <v>0</v>
      </c>
      <c r="Q136" s="65">
        <v>0</v>
      </c>
      <c r="R136" s="65">
        <v>0</v>
      </c>
      <c r="S136" s="65">
        <v>0</v>
      </c>
      <c r="T136" s="65">
        <v>0</v>
      </c>
      <c r="U136" s="65">
        <v>0</v>
      </c>
      <c r="V136" s="65">
        <v>0</v>
      </c>
      <c r="W136" s="65">
        <v>0</v>
      </c>
      <c r="X136" s="65">
        <v>0</v>
      </c>
      <c r="Y136" s="65">
        <v>0</v>
      </c>
      <c r="Z136" s="65">
        <v>0</v>
      </c>
      <c r="AA136" s="65">
        <v>0</v>
      </c>
      <c r="AB136" s="65">
        <v>0</v>
      </c>
      <c r="AC136" s="65">
        <v>0</v>
      </c>
      <c r="AD136" s="65">
        <v>0</v>
      </c>
      <c r="AE136" s="65">
        <v>0</v>
      </c>
      <c r="AF136" s="65">
        <v>0</v>
      </c>
      <c r="AG136" s="65">
        <v>0</v>
      </c>
      <c r="AH136" s="65">
        <v>0</v>
      </c>
      <c r="AI136" s="65">
        <v>0</v>
      </c>
      <c r="AJ136" s="65">
        <v>0</v>
      </c>
      <c r="AK136" s="65">
        <v>99851.6</v>
      </c>
    </row>
    <row r="137" spans="2:37" ht="12.75" customHeight="1" x14ac:dyDescent="0.35">
      <c r="B137" s="5">
        <v>123</v>
      </c>
      <c r="C137" s="60" t="s">
        <v>492</v>
      </c>
      <c r="D137" s="60" t="s">
        <v>356</v>
      </c>
      <c r="E137" s="60" t="s">
        <v>307</v>
      </c>
      <c r="F137" s="66" t="s">
        <v>216</v>
      </c>
      <c r="G137" s="82" t="s">
        <v>120</v>
      </c>
      <c r="H137" s="65" t="s">
        <v>493</v>
      </c>
      <c r="I137" s="65" t="s">
        <v>494</v>
      </c>
      <c r="J137" s="65" t="s">
        <v>495</v>
      </c>
      <c r="K137" s="65">
        <v>0</v>
      </c>
      <c r="L137" s="65">
        <v>0</v>
      </c>
      <c r="M137" s="65">
        <v>0</v>
      </c>
      <c r="N137" s="65">
        <v>0</v>
      </c>
      <c r="O137" s="65">
        <v>0</v>
      </c>
      <c r="P137" s="65">
        <v>0</v>
      </c>
      <c r="Q137" s="65">
        <v>0</v>
      </c>
      <c r="R137" s="65">
        <v>0</v>
      </c>
      <c r="S137" s="65">
        <v>0</v>
      </c>
      <c r="T137" s="65">
        <v>0</v>
      </c>
      <c r="U137" s="65">
        <v>0</v>
      </c>
      <c r="V137" s="65">
        <v>0</v>
      </c>
      <c r="W137" s="65">
        <v>0</v>
      </c>
      <c r="X137" s="65">
        <v>0</v>
      </c>
      <c r="Y137" s="65">
        <v>0</v>
      </c>
      <c r="Z137" s="65">
        <v>0</v>
      </c>
      <c r="AA137" s="65">
        <v>0</v>
      </c>
      <c r="AB137" s="65">
        <v>0</v>
      </c>
      <c r="AC137" s="65">
        <v>0</v>
      </c>
      <c r="AD137" s="65">
        <v>0</v>
      </c>
      <c r="AE137" s="65">
        <v>0</v>
      </c>
      <c r="AF137" s="65">
        <v>0</v>
      </c>
      <c r="AG137" s="65">
        <v>0</v>
      </c>
      <c r="AH137" s="65">
        <v>0</v>
      </c>
      <c r="AI137" s="65">
        <v>0</v>
      </c>
      <c r="AJ137" s="65">
        <v>0</v>
      </c>
      <c r="AK137" s="65">
        <v>91263.64</v>
      </c>
    </row>
    <row r="138" spans="2:37" ht="12.75" customHeight="1" x14ac:dyDescent="0.35">
      <c r="B138" s="5">
        <v>124</v>
      </c>
      <c r="C138" s="60" t="s">
        <v>505</v>
      </c>
      <c r="D138" s="60" t="s">
        <v>356</v>
      </c>
      <c r="E138" s="60" t="s">
        <v>307</v>
      </c>
      <c r="F138" s="66" t="s">
        <v>216</v>
      </c>
      <c r="G138" s="82" t="s">
        <v>120</v>
      </c>
      <c r="H138" s="65" t="s">
        <v>357</v>
      </c>
      <c r="I138" s="65" t="s">
        <v>506</v>
      </c>
      <c r="J138" s="65" t="s">
        <v>507</v>
      </c>
      <c r="K138" s="65">
        <v>0</v>
      </c>
      <c r="L138" s="65">
        <v>0</v>
      </c>
      <c r="M138" s="65">
        <v>0</v>
      </c>
      <c r="N138" s="65">
        <v>0</v>
      </c>
      <c r="O138" s="65">
        <v>0</v>
      </c>
      <c r="P138" s="65">
        <v>0</v>
      </c>
      <c r="Q138" s="65">
        <v>0</v>
      </c>
      <c r="R138" s="65">
        <v>0</v>
      </c>
      <c r="S138" s="65">
        <v>0</v>
      </c>
      <c r="T138" s="65">
        <v>0</v>
      </c>
      <c r="U138" s="65">
        <v>0</v>
      </c>
      <c r="V138" s="65">
        <v>0</v>
      </c>
      <c r="W138" s="65">
        <v>0</v>
      </c>
      <c r="X138" s="65">
        <v>0</v>
      </c>
      <c r="Y138" s="65">
        <v>0</v>
      </c>
      <c r="Z138" s="65">
        <v>0</v>
      </c>
      <c r="AA138" s="65">
        <v>0</v>
      </c>
      <c r="AB138" s="65">
        <v>0</v>
      </c>
      <c r="AC138" s="65">
        <v>0</v>
      </c>
      <c r="AD138" s="65">
        <v>0</v>
      </c>
      <c r="AE138" s="65">
        <v>0</v>
      </c>
      <c r="AF138" s="65">
        <v>0</v>
      </c>
      <c r="AG138" s="65">
        <v>0</v>
      </c>
      <c r="AH138" s="65">
        <v>0</v>
      </c>
      <c r="AI138" s="65">
        <v>0</v>
      </c>
      <c r="AJ138" s="65">
        <v>0</v>
      </c>
      <c r="AK138" s="65">
        <v>95789.84</v>
      </c>
    </row>
    <row r="139" spans="2:37" ht="12.75" customHeight="1" x14ac:dyDescent="0.35">
      <c r="B139" s="5">
        <v>125</v>
      </c>
      <c r="C139" s="60" t="s">
        <v>512</v>
      </c>
      <c r="D139" s="60" t="s">
        <v>356</v>
      </c>
      <c r="E139" s="60" t="s">
        <v>307</v>
      </c>
      <c r="F139" s="66" t="s">
        <v>216</v>
      </c>
      <c r="G139" s="82" t="s">
        <v>120</v>
      </c>
      <c r="H139" s="65" t="s">
        <v>493</v>
      </c>
      <c r="I139" s="65" t="s">
        <v>513</v>
      </c>
      <c r="J139" s="65" t="s">
        <v>514</v>
      </c>
      <c r="K139" s="65">
        <v>0</v>
      </c>
      <c r="L139" s="65">
        <v>0</v>
      </c>
      <c r="M139" s="65">
        <v>0</v>
      </c>
      <c r="N139" s="65">
        <v>0</v>
      </c>
      <c r="O139" s="65">
        <v>0</v>
      </c>
      <c r="P139" s="65">
        <v>0</v>
      </c>
      <c r="Q139" s="65">
        <v>0</v>
      </c>
      <c r="R139" s="65">
        <v>0</v>
      </c>
      <c r="S139" s="65">
        <v>0</v>
      </c>
      <c r="T139" s="65">
        <v>0</v>
      </c>
      <c r="U139" s="65">
        <v>0</v>
      </c>
      <c r="V139" s="65">
        <v>0</v>
      </c>
      <c r="W139" s="65">
        <v>0</v>
      </c>
      <c r="X139" s="65">
        <v>0</v>
      </c>
      <c r="Y139" s="65">
        <v>0</v>
      </c>
      <c r="Z139" s="65">
        <v>0</v>
      </c>
      <c r="AA139" s="65">
        <v>0</v>
      </c>
      <c r="AB139" s="65">
        <v>0</v>
      </c>
      <c r="AC139" s="65">
        <v>0</v>
      </c>
      <c r="AD139" s="65">
        <v>0</v>
      </c>
      <c r="AE139" s="65">
        <v>0</v>
      </c>
      <c r="AF139" s="65">
        <v>0</v>
      </c>
      <c r="AG139" s="65">
        <v>0</v>
      </c>
      <c r="AH139" s="65">
        <v>0</v>
      </c>
      <c r="AI139" s="65">
        <v>0</v>
      </c>
      <c r="AJ139" s="65">
        <v>0</v>
      </c>
      <c r="AK139" s="65">
        <v>88825.88</v>
      </c>
    </row>
    <row r="140" spans="2:37" ht="12.75" customHeight="1" x14ac:dyDescent="0.35">
      <c r="B140" s="5">
        <v>126</v>
      </c>
      <c r="C140" s="60"/>
      <c r="D140" s="60"/>
      <c r="E140" s="60"/>
      <c r="F140" s="66"/>
      <c r="G140" s="82"/>
      <c r="H140" s="65"/>
      <c r="I140" s="65"/>
      <c r="J140" s="65"/>
      <c r="K140" s="65"/>
      <c r="L140" s="65"/>
      <c r="M140" s="65"/>
      <c r="N140" s="65"/>
      <c r="O140" s="65"/>
      <c r="P140" s="65"/>
      <c r="Q140" s="65"/>
      <c r="R140" s="65"/>
      <c r="S140" s="65"/>
      <c r="T140" s="65"/>
      <c r="U140" s="65"/>
      <c r="V140" s="65"/>
      <c r="W140" s="65"/>
      <c r="X140" s="65"/>
      <c r="Y140" s="65"/>
      <c r="Z140" s="65"/>
      <c r="AA140" s="65"/>
      <c r="AB140" s="65"/>
      <c r="AC140" s="65"/>
      <c r="AD140" s="65"/>
      <c r="AE140" s="65"/>
      <c r="AF140" s="65"/>
      <c r="AG140" s="65"/>
      <c r="AH140" s="65"/>
      <c r="AI140" s="65"/>
      <c r="AJ140" s="65"/>
      <c r="AK140" s="65"/>
    </row>
    <row r="141" spans="2:37" ht="12.75" customHeight="1" x14ac:dyDescent="0.35">
      <c r="B141" s="5">
        <v>127</v>
      </c>
      <c r="C141" s="60"/>
      <c r="D141" s="60"/>
      <c r="E141" s="60"/>
      <c r="F141" s="66"/>
      <c r="G141" s="82"/>
      <c r="H141" s="65"/>
      <c r="I141" s="65"/>
      <c r="J141" s="65"/>
      <c r="K141" s="65"/>
      <c r="L141" s="65"/>
      <c r="M141" s="65"/>
      <c r="N141" s="65"/>
      <c r="O141" s="65"/>
      <c r="P141" s="65"/>
      <c r="Q141" s="65"/>
      <c r="R141" s="65"/>
      <c r="S141" s="65"/>
      <c r="T141" s="65"/>
      <c r="U141" s="65"/>
      <c r="V141" s="65"/>
      <c r="W141" s="65"/>
      <c r="X141" s="65"/>
      <c r="Y141" s="65"/>
      <c r="Z141" s="65"/>
      <c r="AA141" s="65"/>
      <c r="AB141" s="65"/>
      <c r="AC141" s="65"/>
      <c r="AD141" s="65"/>
      <c r="AE141" s="65"/>
      <c r="AF141" s="65"/>
      <c r="AG141" s="65"/>
      <c r="AH141" s="65"/>
      <c r="AI141" s="65"/>
      <c r="AJ141" s="65"/>
      <c r="AK141" s="65"/>
    </row>
    <row r="142" spans="2:37" ht="12.75" customHeight="1" x14ac:dyDescent="0.35">
      <c r="B142" s="5">
        <v>128</v>
      </c>
      <c r="C142" s="60"/>
      <c r="D142" s="60"/>
      <c r="E142" s="60"/>
      <c r="F142" s="66"/>
      <c r="G142" s="82"/>
      <c r="H142" s="65"/>
      <c r="I142" s="65"/>
      <c r="J142" s="65"/>
      <c r="K142" s="65"/>
      <c r="L142" s="65"/>
      <c r="M142" s="65"/>
      <c r="N142" s="65"/>
      <c r="O142" s="65"/>
      <c r="P142" s="65"/>
      <c r="Q142" s="65"/>
      <c r="R142" s="65"/>
      <c r="S142" s="65"/>
      <c r="T142" s="65"/>
      <c r="U142" s="65"/>
      <c r="V142" s="65"/>
      <c r="W142" s="65"/>
      <c r="X142" s="65"/>
      <c r="Y142" s="65"/>
      <c r="Z142" s="65"/>
      <c r="AA142" s="65"/>
      <c r="AB142" s="65"/>
      <c r="AC142" s="65"/>
      <c r="AD142" s="65"/>
      <c r="AE142" s="65"/>
      <c r="AF142" s="65"/>
      <c r="AG142" s="65"/>
      <c r="AH142" s="65"/>
      <c r="AI142" s="65"/>
      <c r="AJ142" s="65"/>
      <c r="AK142" s="65"/>
    </row>
    <row r="143" spans="2:37" ht="12.75" customHeight="1" x14ac:dyDescent="0.35">
      <c r="B143" s="5">
        <v>129</v>
      </c>
      <c r="C143" s="60"/>
      <c r="D143" s="60"/>
      <c r="E143" s="60"/>
      <c r="F143" s="66"/>
      <c r="G143" s="82"/>
      <c r="H143" s="65"/>
      <c r="I143" s="65"/>
      <c r="J143" s="65"/>
      <c r="K143" s="65"/>
      <c r="L143" s="65"/>
      <c r="M143" s="65"/>
      <c r="N143" s="65"/>
      <c r="O143" s="65"/>
      <c r="P143" s="65"/>
      <c r="Q143" s="65"/>
      <c r="R143" s="65"/>
      <c r="S143" s="65"/>
      <c r="T143" s="65"/>
      <c r="U143" s="65"/>
      <c r="V143" s="65"/>
      <c r="W143" s="65"/>
      <c r="X143" s="65"/>
      <c r="Y143" s="65"/>
      <c r="Z143" s="65"/>
      <c r="AA143" s="65"/>
      <c r="AB143" s="65"/>
      <c r="AC143" s="65"/>
      <c r="AD143" s="65"/>
      <c r="AE143" s="65"/>
      <c r="AF143" s="65"/>
      <c r="AG143" s="65"/>
      <c r="AH143" s="65"/>
      <c r="AI143" s="65"/>
      <c r="AJ143" s="65"/>
      <c r="AK143" s="65"/>
    </row>
    <row r="144" spans="2:37"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sheetData>
  <sheetProtection algorithmName="SHA-512" hashValue="VCbTUM+LF+OHrH70hleHzS35zwrKBuDpxyL688R91gNc1Z/GOy0+5kYTFTgIf/OH6Xwipkj8vVYEcHdh40+ACQ==" saltValue="QI6wlWJYfrBzN5HeBPhUMw==" spinCount="100000" sheet="1" objects="1" scenarios="1" formatColumns="0" formatRows="0" sort="0" autoFilter="0"/>
  <autoFilter ref="C14:AK142" xr:uid="{00B050E5-FC42-470B-9977-3B2D8257BF9C}">
    <sortState ref="C15:AK142">
      <sortCondition ref="D14:D142"/>
    </sortState>
  </autoFilter>
  <dataValidations count="3">
    <dataValidation type="list" allowBlank="1" showInputMessage="1" showErrorMessage="1" sqref="C12" xr:uid="{00000000-0002-0000-0000-000000000000}">
      <formula1>"Level I, Level II and III"</formula1>
    </dataValidation>
    <dataValidation type="list" allowBlank="1" showInputMessage="1" showErrorMessage="1" sqref="G15:G143" xr:uid="{00000000-0002-0000-0000-000001000000}">
      <formula1>"Permament, Contractual, JO"</formula1>
    </dataValidation>
    <dataValidation operator="greaterThanOrEqual" allowBlank="1" showInputMessage="1" showErrorMessage="1" sqref="E15:E339" xr:uid="{00000000-0002-0000-0000-000002000000}"/>
  </dataValidations>
  <pageMargins left="0.7" right="0.7" top="0.75" bottom="0.75" header="0" footer="0"/>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_Personen" altText="Add Drug / Medication / Supply">
                <anchor moveWithCells="1">
                  <from>
                    <xdr:col>1</xdr:col>
                    <xdr:colOff>69850</xdr:colOff>
                    <xdr:row>14</xdr:row>
                    <xdr:rowOff>19050</xdr:rowOff>
                  </from>
                  <to>
                    <xdr:col>1</xdr:col>
                    <xdr:colOff>793750</xdr:colOff>
                    <xdr:row>15</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Delete_Personen" altText="Delete Drug / Medication / Supply">
                <anchor moveWithCells="1">
                  <from>
                    <xdr:col>1</xdr:col>
                    <xdr:colOff>838200</xdr:colOff>
                    <xdr:row>14</xdr:row>
                    <xdr:rowOff>19050</xdr:rowOff>
                  </from>
                  <to>
                    <xdr:col>1</xdr:col>
                    <xdr:colOff>1568450</xdr:colOff>
                    <xdr:row>15</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70C0"/>
  </sheetPr>
  <dimension ref="A1:DQ1004"/>
  <sheetViews>
    <sheetView topLeftCell="A28" workbookViewId="0">
      <selection activeCell="C127" sqref="C127"/>
    </sheetView>
  </sheetViews>
  <sheetFormatPr defaultColWidth="14.453125" defaultRowHeight="15" customHeight="1" x14ac:dyDescent="0.3"/>
  <cols>
    <col min="1" max="1" width="3.7265625" style="3" customWidth="1"/>
    <col min="2" max="2" width="55.26953125" style="3" customWidth="1"/>
    <col min="3" max="3" width="38.81640625" style="3" customWidth="1"/>
    <col min="4" max="5" width="8.7265625" style="3" customWidth="1"/>
    <col min="6" max="6" width="58" style="3" customWidth="1"/>
    <col min="7" max="13" width="8.7265625" style="3" customWidth="1"/>
    <col min="14" max="16384" width="14.453125" style="3"/>
  </cols>
  <sheetData>
    <row r="1" spans="1:121" ht="12.75" customHeight="1" x14ac:dyDescent="0.3">
      <c r="A1" s="1"/>
      <c r="B1" s="1"/>
      <c r="C1" s="1"/>
      <c r="D1" s="1"/>
      <c r="E1" s="1"/>
      <c r="F1" s="1"/>
      <c r="G1" s="1"/>
      <c r="H1" s="1"/>
      <c r="I1" s="1"/>
      <c r="J1" s="1"/>
      <c r="K1" s="1"/>
      <c r="L1" s="1"/>
      <c r="M1" s="1"/>
    </row>
    <row r="2" spans="1:121" s="61" customFormat="1" ht="14" x14ac:dyDescent="0.3">
      <c r="B2" s="62" t="s">
        <v>0</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1:121" ht="12.75" customHeight="1" x14ac:dyDescent="0.3">
      <c r="A3" s="1"/>
      <c r="B3" s="2"/>
      <c r="C3" s="1"/>
      <c r="D3" s="1"/>
      <c r="E3" s="1"/>
      <c r="F3" s="1"/>
      <c r="G3" s="1"/>
      <c r="H3" s="1"/>
      <c r="I3" s="1"/>
      <c r="J3" s="1"/>
      <c r="K3" s="1"/>
      <c r="L3" s="1"/>
      <c r="M3" s="1"/>
    </row>
    <row r="4" spans="1:121" ht="12.75" customHeight="1" x14ac:dyDescent="0.3">
      <c r="A4" s="1"/>
      <c r="B4" s="84" t="s">
        <v>115</v>
      </c>
      <c r="C4" s="85"/>
      <c r="D4" s="1"/>
      <c r="E4" s="1"/>
      <c r="F4" s="1"/>
      <c r="G4" s="1"/>
      <c r="H4" s="1"/>
      <c r="I4" s="1"/>
      <c r="J4" s="1"/>
      <c r="K4" s="1"/>
      <c r="L4" s="1"/>
      <c r="M4" s="1"/>
    </row>
    <row r="5" spans="1:121" ht="28.15" customHeight="1" x14ac:dyDescent="0.3">
      <c r="A5" s="1"/>
      <c r="B5" s="86" t="s">
        <v>117</v>
      </c>
      <c r="C5" s="87"/>
      <c r="D5" s="1"/>
      <c r="E5" s="1"/>
      <c r="F5" s="1"/>
      <c r="G5" s="1"/>
      <c r="H5" s="1"/>
      <c r="I5" s="1"/>
      <c r="J5" s="1"/>
      <c r="K5" s="1"/>
      <c r="L5" s="1"/>
      <c r="M5" s="1"/>
    </row>
    <row r="6" spans="1:121" ht="12.75" customHeight="1" x14ac:dyDescent="0.3">
      <c r="A6" s="1"/>
      <c r="B6" s="86" t="s">
        <v>116</v>
      </c>
      <c r="C6" s="87"/>
      <c r="D6" s="1"/>
      <c r="E6" s="1"/>
      <c r="F6" s="1"/>
      <c r="G6" s="1"/>
      <c r="H6" s="1"/>
      <c r="I6" s="1"/>
      <c r="J6" s="1"/>
      <c r="K6" s="1"/>
      <c r="L6" s="1"/>
      <c r="M6" s="1"/>
    </row>
    <row r="7" spans="1:121" ht="29.75" customHeight="1" x14ac:dyDescent="0.3">
      <c r="A7" s="1"/>
      <c r="B7" s="88" t="s">
        <v>207</v>
      </c>
      <c r="C7" s="89"/>
      <c r="D7" s="1"/>
      <c r="E7" s="1"/>
      <c r="F7" s="1"/>
      <c r="G7" s="1"/>
      <c r="H7" s="1"/>
      <c r="I7" s="1"/>
      <c r="J7" s="1"/>
      <c r="K7" s="1"/>
      <c r="L7" s="1"/>
      <c r="M7" s="1"/>
    </row>
    <row r="8" spans="1:121" ht="12.75" customHeight="1" x14ac:dyDescent="0.3">
      <c r="A8" s="1"/>
      <c r="B8" s="1"/>
      <c r="C8" s="1"/>
      <c r="D8" s="1"/>
      <c r="E8" s="1"/>
      <c r="F8" s="1"/>
      <c r="G8" s="1"/>
      <c r="H8" s="1"/>
      <c r="I8" s="1"/>
      <c r="J8" s="1"/>
      <c r="K8" s="1"/>
      <c r="L8" s="1"/>
      <c r="M8" s="1"/>
    </row>
    <row r="9" spans="1:121" ht="12.75" customHeight="1" x14ac:dyDescent="0.3">
      <c r="A9" s="1"/>
      <c r="B9" s="1"/>
      <c r="C9" s="1"/>
      <c r="D9" s="1"/>
      <c r="E9" s="1"/>
      <c r="F9" s="1"/>
      <c r="G9" s="1"/>
      <c r="H9" s="1"/>
      <c r="I9" s="1"/>
      <c r="J9" s="1"/>
      <c r="K9" s="1"/>
      <c r="L9" s="1"/>
      <c r="M9" s="1"/>
    </row>
    <row r="10" spans="1:121" ht="24.75" customHeight="1" x14ac:dyDescent="0.3">
      <c r="A10" s="1"/>
      <c r="B10" s="14" t="s">
        <v>122</v>
      </c>
      <c r="C10" s="4" t="s">
        <v>6</v>
      </c>
      <c r="D10" s="1"/>
      <c r="E10" s="1"/>
      <c r="F10" s="1"/>
      <c r="G10" s="1"/>
      <c r="H10" s="1"/>
      <c r="I10" s="1"/>
      <c r="J10" s="1"/>
      <c r="K10" s="1"/>
      <c r="L10" s="1"/>
      <c r="M10" s="1"/>
    </row>
    <row r="11" spans="1:121" ht="12.75" customHeight="1" x14ac:dyDescent="0.3">
      <c r="A11" s="1"/>
      <c r="B11" s="5" t="s">
        <v>7</v>
      </c>
      <c r="C11" s="65">
        <v>776612.75</v>
      </c>
      <c r="D11" s="1"/>
      <c r="E11" s="1"/>
      <c r="F11" s="1"/>
      <c r="G11" s="1"/>
      <c r="H11" s="1"/>
      <c r="I11" s="1"/>
      <c r="J11" s="1"/>
      <c r="K11" s="1"/>
      <c r="L11" s="1"/>
      <c r="M11" s="1"/>
    </row>
    <row r="12" spans="1:121" ht="12.75" customHeight="1" x14ac:dyDescent="0.3">
      <c r="A12" s="1"/>
      <c r="B12" s="5" t="s">
        <v>8</v>
      </c>
      <c r="C12" s="65">
        <v>20561566</v>
      </c>
      <c r="D12" s="1"/>
      <c r="E12" s="1"/>
      <c r="F12" s="1"/>
      <c r="G12" s="1"/>
      <c r="H12" s="1"/>
      <c r="I12" s="1"/>
      <c r="J12" s="1"/>
      <c r="K12" s="1"/>
      <c r="L12" s="1"/>
      <c r="M12" s="1"/>
    </row>
    <row r="13" spans="1:121" ht="12.75" customHeight="1" x14ac:dyDescent="0.3">
      <c r="A13" s="1"/>
      <c r="B13" s="5" t="s">
        <v>9</v>
      </c>
      <c r="C13" s="65">
        <v>0</v>
      </c>
      <c r="D13" s="1"/>
      <c r="E13" s="1"/>
      <c r="F13" s="1"/>
      <c r="G13" s="1"/>
      <c r="H13" s="1"/>
      <c r="I13" s="1"/>
      <c r="J13" s="1"/>
      <c r="K13" s="1"/>
      <c r="L13" s="1"/>
      <c r="M13" s="1"/>
    </row>
    <row r="14" spans="1:121" ht="12.75" customHeight="1" x14ac:dyDescent="0.3">
      <c r="A14" s="1"/>
      <c r="B14" s="5" t="s">
        <v>10</v>
      </c>
      <c r="C14" s="65">
        <v>0</v>
      </c>
      <c r="D14" s="1"/>
      <c r="E14" s="1"/>
      <c r="F14" s="1"/>
      <c r="G14" s="1"/>
      <c r="H14" s="1"/>
      <c r="I14" s="1"/>
      <c r="J14" s="1"/>
      <c r="K14" s="1"/>
      <c r="L14" s="1"/>
      <c r="M14" s="1"/>
    </row>
    <row r="15" spans="1:121" ht="12.75" customHeight="1" x14ac:dyDescent="0.3">
      <c r="A15" s="1"/>
      <c r="B15" s="6" t="s">
        <v>11</v>
      </c>
      <c r="C15" s="65">
        <v>160255</v>
      </c>
      <c r="D15" s="1"/>
      <c r="E15" s="1"/>
      <c r="F15" s="1"/>
      <c r="G15" s="1"/>
      <c r="H15" s="1"/>
      <c r="I15" s="1"/>
      <c r="J15" s="1"/>
      <c r="K15" s="1"/>
      <c r="L15" s="1"/>
      <c r="M15" s="1"/>
    </row>
    <row r="16" spans="1:121" ht="12.75" customHeight="1" x14ac:dyDescent="0.3">
      <c r="A16" s="1"/>
      <c r="B16" s="6" t="s">
        <v>35</v>
      </c>
      <c r="C16" s="65">
        <v>2825303.4</v>
      </c>
      <c r="D16" s="1"/>
      <c r="E16" s="1"/>
      <c r="F16" s="1"/>
      <c r="G16" s="1"/>
      <c r="H16" s="1"/>
      <c r="I16" s="1"/>
      <c r="J16" s="1"/>
      <c r="K16" s="1"/>
      <c r="L16" s="1"/>
      <c r="M16" s="1"/>
    </row>
    <row r="17" spans="1:13" ht="12.75" customHeight="1" x14ac:dyDescent="0.3">
      <c r="A17" s="1"/>
      <c r="B17" s="6" t="s">
        <v>41</v>
      </c>
      <c r="C17" s="65">
        <v>396320.2</v>
      </c>
      <c r="D17" s="1"/>
      <c r="E17" s="1"/>
      <c r="F17" s="1"/>
      <c r="G17" s="1"/>
      <c r="H17" s="1"/>
      <c r="I17" s="1"/>
      <c r="J17" s="1"/>
      <c r="K17" s="1"/>
      <c r="L17" s="1"/>
      <c r="M17" s="1"/>
    </row>
    <row r="18" spans="1:13" ht="12.75" customHeight="1" x14ac:dyDescent="0.3">
      <c r="A18" s="1"/>
      <c r="B18" s="6" t="s">
        <v>46</v>
      </c>
      <c r="C18" s="65">
        <v>0</v>
      </c>
      <c r="D18" s="1"/>
      <c r="E18" s="1"/>
      <c r="F18" s="1"/>
      <c r="G18" s="1"/>
      <c r="H18" s="1"/>
      <c r="I18" s="1"/>
      <c r="J18" s="1"/>
      <c r="K18" s="1"/>
      <c r="L18" s="1"/>
      <c r="M18" s="1"/>
    </row>
    <row r="19" spans="1:13" ht="12.75" customHeight="1" x14ac:dyDescent="0.3">
      <c r="A19" s="1"/>
      <c r="B19" s="5" t="s">
        <v>47</v>
      </c>
      <c r="C19" s="65">
        <v>536807</v>
      </c>
      <c r="D19" s="1"/>
      <c r="E19" s="1"/>
      <c r="F19" s="1"/>
      <c r="G19" s="1"/>
      <c r="H19" s="1"/>
      <c r="I19" s="1"/>
      <c r="J19" s="1"/>
      <c r="K19" s="1"/>
      <c r="L19" s="1"/>
      <c r="M19" s="1"/>
    </row>
    <row r="20" spans="1:13" ht="12.75" customHeight="1" x14ac:dyDescent="0.3">
      <c r="A20" s="1"/>
      <c r="B20" s="5" t="s">
        <v>48</v>
      </c>
      <c r="C20" s="65">
        <v>0</v>
      </c>
      <c r="D20" s="1"/>
      <c r="E20" s="1"/>
      <c r="F20" s="1"/>
      <c r="G20" s="1"/>
      <c r="H20" s="1"/>
      <c r="I20" s="1"/>
      <c r="J20" s="1"/>
      <c r="K20" s="1"/>
      <c r="L20" s="1"/>
      <c r="M20" s="1"/>
    </row>
    <row r="21" spans="1:13" ht="12.75" customHeight="1" x14ac:dyDescent="0.3">
      <c r="A21" s="1"/>
      <c r="B21" s="5" t="s">
        <v>49</v>
      </c>
      <c r="C21" s="65">
        <v>0</v>
      </c>
      <c r="D21" s="1"/>
      <c r="E21" s="1"/>
      <c r="F21" s="1"/>
      <c r="G21" s="1"/>
      <c r="H21" s="1"/>
      <c r="I21" s="1"/>
      <c r="J21" s="1"/>
      <c r="K21" s="1"/>
      <c r="L21" s="1"/>
      <c r="M21" s="1"/>
    </row>
    <row r="22" spans="1:13" ht="12.75" customHeight="1" x14ac:dyDescent="0.3">
      <c r="A22" s="1"/>
      <c r="B22" s="5" t="s">
        <v>50</v>
      </c>
      <c r="C22" s="65"/>
      <c r="D22" s="1"/>
      <c r="E22" s="1"/>
      <c r="F22" s="1"/>
      <c r="G22" s="1"/>
      <c r="H22" s="1"/>
      <c r="I22" s="1"/>
      <c r="J22" s="1"/>
      <c r="K22" s="1"/>
      <c r="L22" s="1"/>
      <c r="M22" s="1"/>
    </row>
    <row r="23" spans="1:13" ht="12.75" customHeight="1" x14ac:dyDescent="0.3">
      <c r="A23" s="1"/>
      <c r="B23" s="5" t="s">
        <v>51</v>
      </c>
      <c r="C23" s="65">
        <v>3222942.45</v>
      </c>
      <c r="D23" s="1"/>
      <c r="E23" s="1"/>
      <c r="F23" s="1"/>
      <c r="G23" s="1"/>
      <c r="H23" s="1"/>
      <c r="I23" s="1"/>
      <c r="J23" s="1"/>
      <c r="K23" s="1"/>
      <c r="L23" s="1"/>
      <c r="M23" s="1"/>
    </row>
    <row r="24" spans="1:13" ht="12.75" customHeight="1" x14ac:dyDescent="0.3">
      <c r="A24" s="1"/>
      <c r="B24" s="5" t="s">
        <v>52</v>
      </c>
      <c r="C24" s="65">
        <v>0</v>
      </c>
      <c r="D24" s="1"/>
      <c r="E24" s="1"/>
      <c r="F24" s="1"/>
      <c r="G24" s="1"/>
      <c r="H24" s="1"/>
      <c r="I24" s="1"/>
      <c r="J24" s="1"/>
      <c r="K24" s="1"/>
      <c r="L24" s="1"/>
      <c r="M24" s="1"/>
    </row>
    <row r="25" spans="1:13" ht="12.75" customHeight="1" x14ac:dyDescent="0.3">
      <c r="A25" s="1"/>
      <c r="B25" s="5" t="s">
        <v>53</v>
      </c>
      <c r="C25" s="65">
        <v>0</v>
      </c>
      <c r="D25" s="1"/>
      <c r="E25" s="1"/>
      <c r="F25" s="1"/>
      <c r="G25" s="1"/>
      <c r="H25" s="1"/>
      <c r="I25" s="1"/>
      <c r="J25" s="1"/>
      <c r="K25" s="1"/>
      <c r="L25" s="1"/>
      <c r="M25" s="1"/>
    </row>
    <row r="26" spans="1:13" ht="12.75" customHeight="1" x14ac:dyDescent="0.3">
      <c r="A26" s="1"/>
      <c r="B26" s="5" t="s">
        <v>54</v>
      </c>
      <c r="C26" s="65"/>
      <c r="D26" s="1"/>
      <c r="E26" s="1"/>
      <c r="F26" s="1"/>
      <c r="G26" s="1"/>
      <c r="H26" s="1"/>
      <c r="I26" s="1"/>
      <c r="J26" s="1"/>
      <c r="K26" s="1"/>
      <c r="L26" s="1"/>
      <c r="M26" s="1"/>
    </row>
    <row r="27" spans="1:13" ht="12.75" customHeight="1" x14ac:dyDescent="0.3">
      <c r="A27" s="1"/>
      <c r="B27" s="5" t="s">
        <v>55</v>
      </c>
      <c r="C27" s="65">
        <v>0</v>
      </c>
      <c r="D27" s="1"/>
      <c r="E27" s="1"/>
      <c r="F27" s="1"/>
      <c r="G27" s="1"/>
      <c r="H27" s="1"/>
      <c r="I27" s="1"/>
      <c r="J27" s="1"/>
      <c r="K27" s="1"/>
      <c r="L27" s="1"/>
      <c r="M27" s="1"/>
    </row>
    <row r="28" spans="1:13" ht="12.75" customHeight="1" x14ac:dyDescent="0.3">
      <c r="A28" s="1"/>
      <c r="B28" s="5" t="s">
        <v>56</v>
      </c>
      <c r="C28" s="65">
        <v>0</v>
      </c>
      <c r="D28" s="1"/>
      <c r="E28" s="1"/>
      <c r="F28" s="1"/>
      <c r="G28" s="1"/>
      <c r="H28" s="1"/>
      <c r="I28" s="1"/>
      <c r="J28" s="1"/>
      <c r="K28" s="1"/>
      <c r="L28" s="1"/>
      <c r="M28" s="1"/>
    </row>
    <row r="29" spans="1:13" ht="12.75" customHeight="1" x14ac:dyDescent="0.3">
      <c r="A29" s="1"/>
      <c r="B29" s="5" t="s">
        <v>57</v>
      </c>
      <c r="C29" s="65">
        <v>100530</v>
      </c>
      <c r="D29" s="1"/>
      <c r="E29" s="1"/>
      <c r="F29" s="1"/>
      <c r="G29" s="1"/>
      <c r="H29" s="1"/>
      <c r="I29" s="1"/>
      <c r="J29" s="1"/>
      <c r="K29" s="1"/>
      <c r="L29" s="1"/>
      <c r="M29" s="1"/>
    </row>
    <row r="30" spans="1:13" ht="12.75" customHeight="1" x14ac:dyDescent="0.3">
      <c r="A30" s="1"/>
      <c r="B30" s="60"/>
      <c r="C30" s="65"/>
      <c r="D30" s="1"/>
      <c r="E30" s="1"/>
      <c r="F30" s="1"/>
      <c r="G30" s="1"/>
      <c r="H30" s="1"/>
      <c r="I30" s="1"/>
      <c r="J30" s="1"/>
      <c r="K30" s="1"/>
      <c r="L30" s="1"/>
      <c r="M30" s="1"/>
    </row>
    <row r="31" spans="1:13" ht="12.75" customHeight="1" x14ac:dyDescent="0.3">
      <c r="A31" s="1"/>
      <c r="B31" s="60"/>
      <c r="C31" s="65"/>
      <c r="D31" s="1"/>
      <c r="E31" s="1"/>
      <c r="F31" s="1"/>
      <c r="G31" s="1"/>
      <c r="H31" s="1"/>
      <c r="I31" s="1"/>
      <c r="J31" s="1"/>
      <c r="K31" s="1"/>
      <c r="L31" s="1"/>
      <c r="M31" s="1"/>
    </row>
    <row r="32" spans="1:13" ht="12.75" customHeight="1" x14ac:dyDescent="0.3">
      <c r="A32" s="1"/>
      <c r="B32" s="60"/>
      <c r="C32" s="65"/>
      <c r="D32" s="1"/>
      <c r="E32" s="1"/>
      <c r="F32" s="1"/>
      <c r="G32" s="1"/>
      <c r="H32" s="1"/>
      <c r="I32" s="1"/>
      <c r="J32" s="1"/>
      <c r="K32" s="1"/>
      <c r="L32" s="1"/>
      <c r="M32" s="1"/>
    </row>
    <row r="33" spans="1:13" ht="12.75" customHeight="1" x14ac:dyDescent="0.3">
      <c r="A33" s="1"/>
      <c r="B33" s="60"/>
      <c r="C33" s="65"/>
      <c r="D33" s="1"/>
      <c r="E33" s="1"/>
      <c r="F33" s="1"/>
      <c r="G33" s="1"/>
      <c r="H33" s="1"/>
      <c r="I33" s="1"/>
      <c r="J33" s="1"/>
      <c r="K33" s="1"/>
      <c r="L33" s="1"/>
      <c r="M33" s="1"/>
    </row>
    <row r="34" spans="1:13" ht="12.75" customHeight="1" x14ac:dyDescent="0.3">
      <c r="A34" s="1"/>
      <c r="B34" s="8" t="s">
        <v>58</v>
      </c>
      <c r="C34" s="65">
        <f>SUM(C11:C29)</f>
        <v>28580336.799999997</v>
      </c>
      <c r="D34" s="1"/>
      <c r="E34" s="1"/>
      <c r="F34" s="1"/>
      <c r="G34" s="1"/>
      <c r="H34" s="1"/>
      <c r="I34" s="1"/>
      <c r="J34" s="1"/>
      <c r="K34" s="1"/>
      <c r="L34" s="1"/>
      <c r="M34" s="1"/>
    </row>
    <row r="35" spans="1:13" ht="12.75" customHeight="1" x14ac:dyDescent="0.3">
      <c r="A35" s="1"/>
      <c r="B35" s="1"/>
      <c r="C35" s="1"/>
      <c r="D35" s="1"/>
      <c r="E35" s="1"/>
      <c r="F35" s="1"/>
      <c r="G35" s="1"/>
      <c r="H35" s="1"/>
      <c r="I35" s="1"/>
      <c r="J35" s="1"/>
      <c r="K35" s="1"/>
      <c r="L35" s="1"/>
      <c r="M35" s="1"/>
    </row>
    <row r="36" spans="1:13" ht="12.75" customHeight="1" x14ac:dyDescent="0.3">
      <c r="A36" s="1"/>
      <c r="B36" s="1"/>
      <c r="C36" s="1"/>
      <c r="D36" s="1"/>
      <c r="E36" s="1"/>
      <c r="F36" s="1"/>
      <c r="G36" s="1"/>
      <c r="H36" s="1"/>
      <c r="I36" s="1"/>
      <c r="J36" s="1"/>
      <c r="K36" s="1"/>
      <c r="L36" s="1"/>
      <c r="M36" s="1"/>
    </row>
    <row r="37" spans="1:13" ht="12.75" customHeight="1" x14ac:dyDescent="0.3">
      <c r="A37" s="1"/>
      <c r="B37" s="1"/>
      <c r="C37" s="1"/>
      <c r="D37" s="1"/>
      <c r="E37" s="1"/>
      <c r="F37" s="1"/>
      <c r="G37" s="1"/>
      <c r="H37" s="1"/>
      <c r="I37" s="1"/>
      <c r="J37" s="1"/>
      <c r="K37" s="1"/>
      <c r="L37" s="1"/>
      <c r="M37" s="1"/>
    </row>
    <row r="38" spans="1:13" ht="24" customHeight="1" x14ac:dyDescent="0.3">
      <c r="A38" s="1"/>
      <c r="B38" s="15" t="s">
        <v>59</v>
      </c>
      <c r="C38" s="16" t="s">
        <v>6</v>
      </c>
      <c r="D38" s="1"/>
      <c r="E38" s="1"/>
      <c r="F38" s="1"/>
      <c r="G38" s="1"/>
      <c r="H38" s="1"/>
      <c r="I38" s="1"/>
      <c r="J38" s="1"/>
      <c r="K38" s="1"/>
      <c r="L38" s="1"/>
      <c r="M38" s="1"/>
    </row>
    <row r="39" spans="1:13" ht="12.75" customHeight="1" x14ac:dyDescent="0.3">
      <c r="A39" s="1"/>
      <c r="B39" s="7" t="s">
        <v>123</v>
      </c>
      <c r="C39" s="65"/>
      <c r="D39" s="1"/>
      <c r="E39" s="1"/>
      <c r="F39" s="1"/>
      <c r="G39" s="1"/>
      <c r="H39" s="1"/>
      <c r="I39" s="1"/>
      <c r="J39" s="1"/>
      <c r="K39" s="1"/>
      <c r="L39" s="1"/>
      <c r="M39" s="1"/>
    </row>
    <row r="40" spans="1:13" ht="12.75" customHeight="1" x14ac:dyDescent="0.3">
      <c r="A40" s="1"/>
      <c r="B40" s="5" t="s">
        <v>60</v>
      </c>
      <c r="C40" s="65">
        <v>12888373.789999999</v>
      </c>
      <c r="D40" s="1"/>
      <c r="E40" s="1"/>
      <c r="F40" s="1"/>
      <c r="G40" s="1"/>
      <c r="H40" s="1"/>
      <c r="I40" s="1"/>
      <c r="J40" s="1"/>
      <c r="K40" s="1"/>
      <c r="L40" s="1"/>
      <c r="M40" s="1"/>
    </row>
    <row r="41" spans="1:13" ht="12.75" customHeight="1" x14ac:dyDescent="0.3">
      <c r="A41" s="1"/>
      <c r="B41" s="5" t="s">
        <v>61</v>
      </c>
      <c r="C41" s="65">
        <v>7263464.3799999999</v>
      </c>
      <c r="D41" s="1"/>
      <c r="E41" s="1"/>
      <c r="F41" s="1"/>
      <c r="G41" s="1"/>
      <c r="H41" s="1"/>
      <c r="I41" s="1"/>
      <c r="J41" s="1"/>
      <c r="K41" s="1"/>
      <c r="L41" s="1"/>
      <c r="M41" s="1"/>
    </row>
    <row r="42" spans="1:13" ht="12.75" customHeight="1" x14ac:dyDescent="0.3">
      <c r="A42" s="1"/>
      <c r="B42" s="5" t="s">
        <v>18</v>
      </c>
      <c r="C42" s="65">
        <v>1149090.9099999999</v>
      </c>
      <c r="D42" s="1"/>
      <c r="E42" s="1"/>
      <c r="F42" s="1"/>
      <c r="G42" s="1"/>
      <c r="H42" s="1"/>
      <c r="I42" s="1"/>
      <c r="J42" s="1"/>
      <c r="K42" s="1"/>
      <c r="L42" s="1"/>
      <c r="M42" s="1"/>
    </row>
    <row r="43" spans="1:13" ht="12.75" customHeight="1" x14ac:dyDescent="0.3">
      <c r="A43" s="1"/>
      <c r="B43" s="5" t="s">
        <v>19</v>
      </c>
      <c r="C43" s="65">
        <v>60000</v>
      </c>
      <c r="D43" s="1"/>
      <c r="E43" s="1"/>
      <c r="F43" s="1"/>
      <c r="G43" s="1"/>
      <c r="H43" s="1"/>
      <c r="I43" s="1"/>
      <c r="J43" s="1"/>
      <c r="K43" s="1"/>
      <c r="L43" s="1"/>
      <c r="M43" s="1"/>
    </row>
    <row r="44" spans="1:13" ht="12.75" customHeight="1" x14ac:dyDescent="0.3">
      <c r="A44" s="1"/>
      <c r="B44" s="5" t="s">
        <v>20</v>
      </c>
      <c r="C44" s="65">
        <v>60000</v>
      </c>
      <c r="D44" s="1"/>
      <c r="E44" s="1"/>
      <c r="F44" s="1"/>
      <c r="G44" s="1"/>
      <c r="H44" s="1"/>
      <c r="I44" s="1"/>
      <c r="J44" s="1"/>
      <c r="K44" s="1"/>
      <c r="L44" s="1"/>
      <c r="M44" s="1"/>
    </row>
    <row r="45" spans="1:13" ht="12.75" customHeight="1" x14ac:dyDescent="0.3">
      <c r="A45" s="1"/>
      <c r="B45" s="5" t="s">
        <v>21</v>
      </c>
      <c r="C45" s="65">
        <v>230000</v>
      </c>
      <c r="D45" s="1"/>
      <c r="E45" s="1"/>
      <c r="F45" s="1"/>
      <c r="G45" s="1"/>
      <c r="H45" s="1"/>
      <c r="I45" s="1"/>
      <c r="J45" s="1"/>
      <c r="K45" s="1"/>
      <c r="L45" s="1"/>
      <c r="M45" s="1"/>
    </row>
    <row r="46" spans="1:13" ht="12.75" customHeight="1" x14ac:dyDescent="0.3">
      <c r="A46" s="1"/>
      <c r="B46" s="5" t="s">
        <v>22</v>
      </c>
      <c r="C46" s="65">
        <v>831000</v>
      </c>
      <c r="D46" s="1"/>
      <c r="E46" s="1"/>
      <c r="F46" s="1"/>
      <c r="G46" s="1"/>
      <c r="H46" s="1"/>
      <c r="I46" s="1"/>
      <c r="J46" s="1"/>
      <c r="K46" s="1"/>
      <c r="L46" s="1"/>
      <c r="M46" s="1"/>
    </row>
    <row r="47" spans="1:13" ht="12.75" customHeight="1" x14ac:dyDescent="0.3">
      <c r="A47" s="1"/>
      <c r="B47" s="5" t="s">
        <v>23</v>
      </c>
      <c r="C47" s="65">
        <v>86198.71</v>
      </c>
      <c r="D47" s="1"/>
      <c r="E47" s="1"/>
      <c r="F47" s="1"/>
      <c r="G47" s="1"/>
      <c r="H47" s="1"/>
      <c r="I47" s="1"/>
      <c r="J47" s="1"/>
      <c r="K47" s="1"/>
      <c r="L47" s="1"/>
      <c r="M47" s="1"/>
    </row>
    <row r="48" spans="1:13" ht="12.75" customHeight="1" x14ac:dyDescent="0.3">
      <c r="A48" s="1"/>
      <c r="B48" s="5" t="s">
        <v>24</v>
      </c>
      <c r="C48" s="65">
        <v>0</v>
      </c>
      <c r="D48" s="1"/>
      <c r="E48" s="1"/>
      <c r="F48" s="1"/>
      <c r="G48" s="1"/>
      <c r="H48" s="1"/>
      <c r="I48" s="1"/>
      <c r="J48" s="1"/>
      <c r="K48" s="1"/>
      <c r="L48" s="1"/>
      <c r="M48" s="1"/>
    </row>
    <row r="49" spans="1:13" ht="12.75" customHeight="1" x14ac:dyDescent="0.3">
      <c r="A49" s="1"/>
      <c r="B49" s="5" t="s">
        <v>62</v>
      </c>
      <c r="C49" s="65">
        <v>0</v>
      </c>
      <c r="D49" s="1"/>
      <c r="E49" s="1"/>
      <c r="F49" s="1"/>
      <c r="G49" s="1"/>
      <c r="H49" s="1"/>
      <c r="I49" s="1"/>
      <c r="J49" s="1"/>
      <c r="K49" s="1"/>
      <c r="L49" s="1"/>
      <c r="M49" s="1"/>
    </row>
    <row r="50" spans="1:13" ht="12.75" customHeight="1" x14ac:dyDescent="0.3">
      <c r="A50" s="1"/>
      <c r="B50" s="5" t="s">
        <v>26</v>
      </c>
      <c r="C50" s="65">
        <v>0</v>
      </c>
      <c r="D50" s="1"/>
      <c r="E50" s="1"/>
      <c r="F50" s="1"/>
      <c r="G50" s="1"/>
      <c r="H50" s="1"/>
      <c r="I50" s="1"/>
      <c r="J50" s="1"/>
      <c r="K50" s="1"/>
      <c r="L50" s="1"/>
      <c r="M50" s="1"/>
    </row>
    <row r="51" spans="1:13" ht="12.75" customHeight="1" x14ac:dyDescent="0.3">
      <c r="A51" s="1"/>
      <c r="B51" s="5" t="s">
        <v>27</v>
      </c>
      <c r="C51" s="65">
        <v>0</v>
      </c>
      <c r="D51" s="1"/>
      <c r="E51" s="1"/>
      <c r="F51" s="1"/>
      <c r="G51" s="1"/>
      <c r="H51" s="1"/>
      <c r="I51" s="1"/>
      <c r="J51" s="1"/>
      <c r="K51" s="1"/>
      <c r="L51" s="1"/>
      <c r="M51" s="1"/>
    </row>
    <row r="52" spans="1:13" ht="12.75" customHeight="1" x14ac:dyDescent="0.3">
      <c r="A52" s="1"/>
      <c r="B52" s="5" t="s">
        <v>28</v>
      </c>
      <c r="C52" s="65">
        <v>890112.08</v>
      </c>
      <c r="D52" s="1"/>
      <c r="E52" s="1"/>
      <c r="F52" s="1"/>
      <c r="G52" s="1"/>
      <c r="H52" s="1"/>
      <c r="I52" s="1"/>
      <c r="J52" s="1"/>
      <c r="K52" s="1"/>
      <c r="L52" s="1"/>
      <c r="M52" s="1"/>
    </row>
    <row r="53" spans="1:13" ht="12.75" customHeight="1" x14ac:dyDescent="0.3">
      <c r="A53" s="1"/>
      <c r="B53" s="5" t="s">
        <v>29</v>
      </c>
      <c r="C53" s="65">
        <v>0</v>
      </c>
      <c r="D53" s="1"/>
      <c r="E53" s="1"/>
      <c r="F53" s="1"/>
      <c r="G53" s="1"/>
      <c r="H53" s="1"/>
      <c r="I53" s="1"/>
      <c r="J53" s="1"/>
      <c r="K53" s="1"/>
      <c r="L53" s="1"/>
      <c r="M53" s="1"/>
    </row>
    <row r="54" spans="1:13" ht="12.75" customHeight="1" x14ac:dyDescent="0.3">
      <c r="A54" s="1"/>
      <c r="B54" s="5" t="s">
        <v>30</v>
      </c>
      <c r="C54" s="65">
        <v>0</v>
      </c>
      <c r="D54" s="1"/>
      <c r="E54" s="1"/>
      <c r="F54" s="1"/>
      <c r="G54" s="1"/>
      <c r="H54" s="1"/>
      <c r="I54" s="1"/>
      <c r="J54" s="1"/>
      <c r="K54" s="1"/>
      <c r="L54" s="1"/>
      <c r="M54" s="1"/>
    </row>
    <row r="55" spans="1:13" ht="12.75" customHeight="1" x14ac:dyDescent="0.3">
      <c r="A55" s="1"/>
      <c r="B55" s="5" t="s">
        <v>31</v>
      </c>
      <c r="C55" s="65">
        <v>1040402</v>
      </c>
      <c r="D55" s="1"/>
      <c r="E55" s="1"/>
      <c r="F55" s="1"/>
      <c r="G55" s="1"/>
      <c r="H55" s="1"/>
      <c r="I55" s="1"/>
      <c r="J55" s="1"/>
      <c r="K55" s="1"/>
      <c r="L55" s="1"/>
      <c r="M55" s="1"/>
    </row>
    <row r="56" spans="1:13" ht="12.75" customHeight="1" x14ac:dyDescent="0.3">
      <c r="A56" s="1"/>
      <c r="B56" s="5" t="s">
        <v>32</v>
      </c>
      <c r="C56" s="65">
        <v>229000</v>
      </c>
      <c r="D56" s="1"/>
      <c r="E56" s="1"/>
      <c r="F56" s="1"/>
      <c r="G56" s="1"/>
      <c r="H56" s="1"/>
      <c r="I56" s="1"/>
      <c r="J56" s="1"/>
      <c r="K56" s="1"/>
      <c r="L56" s="1"/>
      <c r="M56" s="1"/>
    </row>
    <row r="57" spans="1:13" ht="12.75" customHeight="1" x14ac:dyDescent="0.3">
      <c r="A57" s="1"/>
      <c r="B57" s="5" t="s">
        <v>33</v>
      </c>
      <c r="C57" s="65">
        <v>1040548</v>
      </c>
      <c r="D57" s="1"/>
      <c r="E57" s="1"/>
      <c r="F57" s="1"/>
      <c r="G57" s="1"/>
      <c r="H57" s="1"/>
      <c r="I57" s="1"/>
      <c r="J57" s="1"/>
      <c r="K57" s="1"/>
      <c r="L57" s="1"/>
      <c r="M57" s="1"/>
    </row>
    <row r="58" spans="1:13" ht="12.75" customHeight="1" x14ac:dyDescent="0.3">
      <c r="A58" s="1"/>
      <c r="B58" s="5" t="s">
        <v>34</v>
      </c>
      <c r="C58" s="65">
        <v>1545492.69</v>
      </c>
      <c r="D58" s="1"/>
      <c r="E58" s="1"/>
      <c r="F58" s="1"/>
      <c r="G58" s="1"/>
      <c r="H58" s="1"/>
      <c r="I58" s="1"/>
      <c r="J58" s="1"/>
      <c r="K58" s="1"/>
      <c r="L58" s="1"/>
      <c r="M58" s="1"/>
    </row>
    <row r="59" spans="1:13" ht="12.75" customHeight="1" x14ac:dyDescent="0.3">
      <c r="A59" s="1"/>
      <c r="B59" s="5" t="s">
        <v>36</v>
      </c>
      <c r="C59" s="65">
        <v>57400</v>
      </c>
      <c r="D59" s="1"/>
      <c r="E59" s="1"/>
      <c r="F59" s="1"/>
      <c r="G59" s="1"/>
      <c r="H59" s="1"/>
      <c r="I59" s="1"/>
      <c r="J59" s="1"/>
      <c r="K59" s="1"/>
      <c r="L59" s="1"/>
      <c r="M59" s="1"/>
    </row>
    <row r="60" spans="1:13" ht="12.75" customHeight="1" x14ac:dyDescent="0.3">
      <c r="A60" s="1"/>
      <c r="B60" s="5" t="s">
        <v>37</v>
      </c>
      <c r="C60" s="65">
        <v>141200</v>
      </c>
      <c r="D60" s="1"/>
      <c r="E60" s="1"/>
      <c r="F60" s="1"/>
      <c r="G60" s="1"/>
      <c r="H60" s="1"/>
      <c r="I60" s="1"/>
      <c r="J60" s="1"/>
      <c r="K60" s="1"/>
      <c r="L60" s="1"/>
      <c r="M60" s="1"/>
    </row>
    <row r="61" spans="1:13" ht="12.75" customHeight="1" x14ac:dyDescent="0.3">
      <c r="A61" s="1"/>
      <c r="B61" s="5" t="s">
        <v>38</v>
      </c>
      <c r="C61" s="65">
        <v>57388.63</v>
      </c>
      <c r="D61" s="1"/>
      <c r="E61" s="1"/>
      <c r="F61" s="1"/>
      <c r="G61" s="1"/>
      <c r="H61" s="1"/>
      <c r="I61" s="1"/>
      <c r="J61" s="1"/>
      <c r="K61" s="1"/>
      <c r="L61" s="1"/>
      <c r="M61" s="1"/>
    </row>
    <row r="62" spans="1:13" ht="12.75" customHeight="1" x14ac:dyDescent="0.3">
      <c r="A62" s="1"/>
      <c r="B62" s="5" t="s">
        <v>39</v>
      </c>
      <c r="C62" s="65">
        <v>0</v>
      </c>
      <c r="D62" s="1"/>
      <c r="E62" s="1"/>
      <c r="F62" s="1"/>
      <c r="G62" s="1"/>
      <c r="H62" s="1"/>
      <c r="I62" s="1"/>
      <c r="J62" s="1"/>
      <c r="K62" s="1"/>
      <c r="L62" s="1"/>
      <c r="M62" s="1"/>
    </row>
    <row r="63" spans="1:13" ht="12.75" customHeight="1" x14ac:dyDescent="0.3">
      <c r="A63" s="1"/>
      <c r="B63" s="5" t="s">
        <v>40</v>
      </c>
      <c r="C63" s="65">
        <v>0</v>
      </c>
      <c r="D63" s="1"/>
      <c r="E63" s="1"/>
      <c r="F63" s="1"/>
      <c r="G63" s="1"/>
      <c r="H63" s="1"/>
      <c r="I63" s="1"/>
      <c r="J63" s="1"/>
      <c r="K63" s="1"/>
      <c r="L63" s="1"/>
      <c r="M63" s="1"/>
    </row>
    <row r="64" spans="1:13" ht="12.75" customHeight="1" x14ac:dyDescent="0.3">
      <c r="A64" s="1"/>
      <c r="B64" s="5" t="s">
        <v>42</v>
      </c>
      <c r="C64" s="65">
        <v>0</v>
      </c>
      <c r="D64" s="1"/>
      <c r="E64" s="1"/>
      <c r="F64" s="1"/>
      <c r="G64" s="1"/>
      <c r="H64" s="1"/>
      <c r="I64" s="1"/>
      <c r="J64" s="1"/>
      <c r="K64" s="1"/>
      <c r="L64" s="1"/>
      <c r="M64" s="1"/>
    </row>
    <row r="65" spans="1:13" ht="12.75" customHeight="1" x14ac:dyDescent="0.3">
      <c r="A65" s="1"/>
      <c r="B65" s="5" t="s">
        <v>43</v>
      </c>
      <c r="C65" s="65">
        <v>936019.82</v>
      </c>
      <c r="D65" s="1"/>
      <c r="E65" s="1"/>
      <c r="F65" s="1"/>
      <c r="G65" s="1"/>
      <c r="H65" s="1"/>
      <c r="I65" s="1"/>
      <c r="J65" s="1"/>
      <c r="K65" s="1"/>
      <c r="L65" s="1"/>
      <c r="M65" s="1"/>
    </row>
    <row r="66" spans="1:13" ht="12.75" customHeight="1" x14ac:dyDescent="0.3">
      <c r="A66" s="1"/>
      <c r="B66" s="5" t="s">
        <v>44</v>
      </c>
      <c r="C66" s="65">
        <v>0</v>
      </c>
      <c r="D66" s="1"/>
      <c r="E66" s="1"/>
      <c r="F66" s="1"/>
      <c r="G66" s="1"/>
      <c r="H66" s="1"/>
      <c r="I66" s="1"/>
      <c r="J66" s="1"/>
      <c r="K66" s="1"/>
      <c r="L66" s="1"/>
      <c r="M66" s="1"/>
    </row>
    <row r="67" spans="1:13" ht="12.75" customHeight="1" x14ac:dyDescent="0.3">
      <c r="A67" s="1"/>
      <c r="B67" s="83" t="s">
        <v>211</v>
      </c>
      <c r="C67" s="65">
        <v>40000</v>
      </c>
      <c r="D67" s="1"/>
      <c r="E67" s="1"/>
      <c r="F67" s="1"/>
      <c r="G67" s="1"/>
      <c r="H67" s="1"/>
      <c r="I67" s="1"/>
      <c r="J67" s="1"/>
      <c r="K67" s="1"/>
      <c r="L67" s="1"/>
      <c r="M67" s="1"/>
    </row>
    <row r="68" spans="1:13" ht="12.75" customHeight="1" x14ac:dyDescent="0.3">
      <c r="A68" s="1"/>
      <c r="B68" s="83" t="s">
        <v>212</v>
      </c>
      <c r="C68" s="65">
        <v>661530.23</v>
      </c>
      <c r="D68" s="1"/>
      <c r="E68" s="1"/>
      <c r="F68" s="1"/>
      <c r="G68" s="1"/>
      <c r="H68" s="1"/>
      <c r="I68" s="1"/>
      <c r="J68" s="1"/>
      <c r="K68" s="1"/>
      <c r="L68" s="1"/>
      <c r="M68" s="1"/>
    </row>
    <row r="69" spans="1:13" ht="12.75" customHeight="1" x14ac:dyDescent="0.3">
      <c r="A69" s="1"/>
      <c r="B69" s="60"/>
      <c r="C69" s="65"/>
      <c r="D69" s="1"/>
      <c r="E69" s="1"/>
      <c r="F69" s="1"/>
      <c r="G69" s="1"/>
      <c r="H69" s="1"/>
      <c r="I69" s="1"/>
      <c r="J69" s="1"/>
      <c r="K69" s="1"/>
      <c r="L69" s="1"/>
      <c r="M69" s="1"/>
    </row>
    <row r="70" spans="1:13" ht="12.75" customHeight="1" x14ac:dyDescent="0.3">
      <c r="A70" s="1"/>
      <c r="B70" s="60"/>
      <c r="C70" s="65"/>
      <c r="D70" s="1"/>
      <c r="E70" s="1"/>
      <c r="F70" s="1"/>
      <c r="G70" s="1"/>
      <c r="H70" s="1"/>
      <c r="I70" s="1"/>
      <c r="J70" s="1"/>
      <c r="K70" s="1"/>
      <c r="L70" s="1"/>
      <c r="M70" s="1"/>
    </row>
    <row r="71" spans="1:13" ht="12.75" customHeight="1" x14ac:dyDescent="0.3">
      <c r="A71" s="1"/>
      <c r="B71" s="9" t="s">
        <v>63</v>
      </c>
      <c r="C71" s="65"/>
      <c r="D71" s="1"/>
      <c r="E71" s="1"/>
      <c r="F71" s="1"/>
      <c r="G71" s="1"/>
      <c r="H71" s="1"/>
      <c r="I71" s="1"/>
      <c r="J71" s="1"/>
      <c r="K71" s="1"/>
      <c r="L71" s="1"/>
      <c r="M71" s="1"/>
    </row>
    <row r="72" spans="1:13" ht="12.75" customHeight="1" x14ac:dyDescent="0.3">
      <c r="A72" s="1"/>
      <c r="B72" s="10" t="s">
        <v>64</v>
      </c>
      <c r="C72" s="65">
        <v>89552.3</v>
      </c>
      <c r="D72" s="1"/>
      <c r="E72" s="1"/>
      <c r="F72" s="1"/>
      <c r="G72" s="1"/>
      <c r="H72" s="1"/>
      <c r="I72" s="1"/>
      <c r="J72" s="1"/>
      <c r="K72" s="1"/>
      <c r="L72" s="1"/>
      <c r="M72" s="1"/>
    </row>
    <row r="73" spans="1:13" ht="12.75" customHeight="1" x14ac:dyDescent="0.3">
      <c r="A73" s="1"/>
      <c r="B73" s="10" t="s">
        <v>65</v>
      </c>
      <c r="C73" s="65">
        <v>0</v>
      </c>
      <c r="D73" s="1"/>
      <c r="E73" s="1"/>
      <c r="F73" s="1"/>
      <c r="G73" s="1"/>
      <c r="H73" s="1"/>
      <c r="I73" s="1"/>
      <c r="J73" s="1"/>
      <c r="K73" s="1"/>
      <c r="L73" s="1"/>
      <c r="M73" s="1"/>
    </row>
    <row r="74" spans="1:13" ht="12.75" customHeight="1" x14ac:dyDescent="0.3">
      <c r="A74" s="1"/>
      <c r="B74" s="10" t="s">
        <v>66</v>
      </c>
      <c r="C74" s="65">
        <v>45480</v>
      </c>
      <c r="D74" s="1"/>
      <c r="E74" s="1"/>
      <c r="F74" s="1"/>
      <c r="G74" s="1"/>
      <c r="H74" s="1"/>
      <c r="I74" s="1"/>
      <c r="J74" s="1"/>
      <c r="K74" s="1"/>
      <c r="L74" s="1"/>
      <c r="M74" s="1"/>
    </row>
    <row r="75" spans="1:13" ht="12.75" customHeight="1" x14ac:dyDescent="0.3">
      <c r="A75" s="1"/>
      <c r="B75" s="10" t="s">
        <v>67</v>
      </c>
      <c r="C75" s="65">
        <v>0</v>
      </c>
      <c r="D75" s="1"/>
      <c r="E75" s="1"/>
      <c r="F75" s="1"/>
      <c r="G75" s="1"/>
      <c r="H75" s="1"/>
      <c r="I75" s="1"/>
      <c r="J75" s="1"/>
      <c r="K75" s="1"/>
      <c r="L75" s="1"/>
      <c r="M75" s="1"/>
    </row>
    <row r="76" spans="1:13" ht="12.75" customHeight="1" x14ac:dyDescent="0.3">
      <c r="A76" s="1"/>
      <c r="B76" s="10" t="s">
        <v>68</v>
      </c>
      <c r="C76" s="65">
        <v>340921.93</v>
      </c>
      <c r="D76" s="1"/>
      <c r="E76" s="1"/>
      <c r="F76" s="1"/>
      <c r="G76" s="1"/>
      <c r="H76" s="1"/>
      <c r="I76" s="1"/>
      <c r="J76" s="1"/>
      <c r="K76" s="1"/>
      <c r="L76" s="1"/>
      <c r="M76" s="1"/>
    </row>
    <row r="77" spans="1:13" ht="12.75" customHeight="1" x14ac:dyDescent="0.3">
      <c r="A77" s="1"/>
      <c r="B77" s="10" t="s">
        <v>69</v>
      </c>
      <c r="C77" s="65">
        <v>880</v>
      </c>
      <c r="D77" s="1"/>
      <c r="E77" s="1"/>
      <c r="F77" s="1"/>
      <c r="G77" s="1"/>
      <c r="H77" s="1"/>
      <c r="I77" s="1"/>
      <c r="J77" s="1"/>
      <c r="K77" s="1"/>
      <c r="L77" s="1"/>
      <c r="M77" s="1"/>
    </row>
    <row r="78" spans="1:13" ht="12.75" customHeight="1" x14ac:dyDescent="0.3">
      <c r="A78" s="1"/>
      <c r="B78" s="10" t="s">
        <v>70</v>
      </c>
      <c r="C78" s="65">
        <v>140651</v>
      </c>
      <c r="D78" s="1"/>
      <c r="E78" s="1"/>
      <c r="F78" s="1"/>
      <c r="G78" s="1"/>
      <c r="H78" s="1"/>
      <c r="I78" s="1"/>
      <c r="J78" s="1"/>
      <c r="K78" s="1"/>
      <c r="L78" s="1"/>
      <c r="M78" s="1"/>
    </row>
    <row r="79" spans="1:13" ht="12.75" customHeight="1" x14ac:dyDescent="0.3">
      <c r="A79" s="1"/>
      <c r="B79" s="10" t="s">
        <v>71</v>
      </c>
      <c r="C79" s="65">
        <v>0</v>
      </c>
      <c r="D79" s="1"/>
      <c r="E79" s="1"/>
      <c r="F79" s="1"/>
      <c r="G79" s="1"/>
      <c r="H79" s="1"/>
      <c r="I79" s="1"/>
      <c r="J79" s="1"/>
      <c r="K79" s="1"/>
      <c r="L79" s="1"/>
      <c r="M79" s="1"/>
    </row>
    <row r="80" spans="1:13" ht="12.75" customHeight="1" x14ac:dyDescent="0.3">
      <c r="A80" s="1"/>
      <c r="B80" s="10" t="s">
        <v>72</v>
      </c>
      <c r="C80" s="65">
        <v>960915</v>
      </c>
      <c r="D80" s="1"/>
      <c r="E80" s="1"/>
      <c r="F80" s="1"/>
      <c r="G80" s="1"/>
      <c r="H80" s="1"/>
      <c r="I80" s="1"/>
      <c r="J80" s="1"/>
      <c r="K80" s="1"/>
      <c r="L80" s="1"/>
      <c r="M80" s="1"/>
    </row>
    <row r="81" spans="1:13" ht="12.75" customHeight="1" x14ac:dyDescent="0.3">
      <c r="A81" s="1"/>
      <c r="B81" s="10" t="s">
        <v>73</v>
      </c>
      <c r="C81" s="65">
        <v>0</v>
      </c>
      <c r="D81" s="1"/>
      <c r="E81" s="1"/>
      <c r="F81" s="1"/>
      <c r="G81" s="1"/>
      <c r="H81" s="1"/>
      <c r="I81" s="1"/>
      <c r="J81" s="1"/>
      <c r="K81" s="1"/>
      <c r="L81" s="1"/>
      <c r="M81" s="1"/>
    </row>
    <row r="82" spans="1:13" ht="12.75" customHeight="1" x14ac:dyDescent="0.3">
      <c r="A82" s="1"/>
      <c r="B82" s="10" t="s">
        <v>74</v>
      </c>
      <c r="C82" s="65">
        <v>8631947.2300000004</v>
      </c>
      <c r="D82" s="1"/>
      <c r="E82" s="1"/>
      <c r="F82" s="1"/>
      <c r="G82" s="1"/>
      <c r="H82" s="1"/>
      <c r="I82" s="1"/>
      <c r="J82" s="1"/>
      <c r="K82" s="1"/>
      <c r="L82" s="1"/>
      <c r="M82" s="1"/>
    </row>
    <row r="83" spans="1:13" ht="12.75" customHeight="1" x14ac:dyDescent="0.3">
      <c r="A83" s="1"/>
      <c r="B83" s="10" t="s">
        <v>75</v>
      </c>
      <c r="C83" s="65"/>
      <c r="D83" s="1"/>
      <c r="E83" s="1"/>
      <c r="F83" s="1"/>
      <c r="G83" s="1"/>
      <c r="H83" s="1"/>
      <c r="I83" s="1"/>
      <c r="J83" s="1"/>
      <c r="K83" s="1"/>
      <c r="L83" s="1"/>
      <c r="M83" s="1"/>
    </row>
    <row r="84" spans="1:13" ht="12.75" customHeight="1" x14ac:dyDescent="0.3">
      <c r="A84" s="1"/>
      <c r="B84" s="10" t="s">
        <v>76</v>
      </c>
      <c r="C84" s="65">
        <v>7435733.9699999997</v>
      </c>
      <c r="D84" s="1"/>
      <c r="E84" s="1"/>
      <c r="F84" s="1"/>
      <c r="G84" s="1"/>
      <c r="H84" s="1"/>
      <c r="I84" s="1"/>
      <c r="J84" s="1"/>
      <c r="K84" s="1"/>
      <c r="L84" s="1"/>
      <c r="M84" s="1"/>
    </row>
    <row r="85" spans="1:13" ht="12.75" customHeight="1" x14ac:dyDescent="0.3">
      <c r="A85" s="1"/>
      <c r="B85" s="10" t="s">
        <v>77</v>
      </c>
      <c r="C85" s="65">
        <v>0</v>
      </c>
      <c r="D85" s="1"/>
      <c r="E85" s="1"/>
      <c r="F85" s="1"/>
      <c r="G85" s="1"/>
      <c r="H85" s="1"/>
      <c r="I85" s="1"/>
      <c r="J85" s="1"/>
      <c r="K85" s="1"/>
      <c r="L85" s="1"/>
      <c r="M85" s="1"/>
    </row>
    <row r="86" spans="1:13" ht="12.75" customHeight="1" x14ac:dyDescent="0.3">
      <c r="A86" s="1"/>
      <c r="B86" s="10" t="s">
        <v>78</v>
      </c>
      <c r="C86" s="65">
        <v>147902</v>
      </c>
      <c r="D86" s="1"/>
      <c r="E86" s="1"/>
      <c r="F86" s="1"/>
      <c r="G86" s="1"/>
      <c r="H86" s="1"/>
      <c r="I86" s="1"/>
      <c r="J86" s="1"/>
      <c r="K86" s="1"/>
      <c r="L86" s="1"/>
      <c r="M86" s="1"/>
    </row>
    <row r="87" spans="1:13" ht="12.75" customHeight="1" x14ac:dyDescent="0.3">
      <c r="A87" s="1"/>
      <c r="B87" s="10" t="s">
        <v>79</v>
      </c>
      <c r="C87" s="65">
        <v>217699.49</v>
      </c>
      <c r="D87" s="1"/>
      <c r="E87" s="1"/>
      <c r="F87" s="1"/>
      <c r="G87" s="1"/>
      <c r="H87" s="1"/>
      <c r="I87" s="1"/>
      <c r="J87" s="1"/>
      <c r="K87" s="1"/>
      <c r="L87" s="1"/>
      <c r="M87" s="1"/>
    </row>
    <row r="88" spans="1:13" ht="12.75" customHeight="1" x14ac:dyDescent="0.3">
      <c r="A88" s="1"/>
      <c r="B88" s="10" t="s">
        <v>80</v>
      </c>
      <c r="C88" s="65">
        <v>0</v>
      </c>
      <c r="D88" s="1"/>
      <c r="E88" s="1"/>
      <c r="F88" s="1"/>
      <c r="G88" s="1"/>
      <c r="H88" s="1"/>
      <c r="I88" s="1"/>
      <c r="J88" s="1"/>
      <c r="K88" s="1"/>
      <c r="L88" s="1"/>
      <c r="M88" s="1"/>
    </row>
    <row r="89" spans="1:13" ht="12.75" customHeight="1" x14ac:dyDescent="0.3">
      <c r="A89" s="1"/>
      <c r="B89" s="10" t="s">
        <v>81</v>
      </c>
      <c r="C89" s="65">
        <v>0</v>
      </c>
      <c r="D89" s="1"/>
      <c r="E89" s="1"/>
      <c r="F89" s="1"/>
      <c r="G89" s="1"/>
      <c r="H89" s="1"/>
      <c r="I89" s="1"/>
      <c r="J89" s="1"/>
      <c r="K89" s="1"/>
      <c r="L89" s="1"/>
      <c r="M89" s="1"/>
    </row>
    <row r="90" spans="1:13" ht="12.75" customHeight="1" x14ac:dyDescent="0.3">
      <c r="A90" s="1"/>
      <c r="B90" s="11" t="s">
        <v>82</v>
      </c>
      <c r="C90" s="65">
        <v>0</v>
      </c>
      <c r="D90" s="1"/>
      <c r="E90" s="1"/>
      <c r="F90" s="1"/>
      <c r="G90" s="1"/>
      <c r="H90" s="1"/>
      <c r="I90" s="1"/>
      <c r="J90" s="1"/>
      <c r="K90" s="1"/>
      <c r="L90" s="1"/>
      <c r="M90" s="1"/>
    </row>
    <row r="91" spans="1:13" ht="12.75" customHeight="1" x14ac:dyDescent="0.3">
      <c r="A91" s="1"/>
      <c r="B91" s="10" t="s">
        <v>83</v>
      </c>
      <c r="C91" s="65">
        <v>2350</v>
      </c>
      <c r="D91" s="1"/>
      <c r="E91" s="1"/>
      <c r="F91" s="1"/>
      <c r="G91" s="1"/>
      <c r="H91" s="1"/>
      <c r="I91" s="1"/>
      <c r="J91" s="1"/>
      <c r="K91" s="1"/>
      <c r="L91" s="1"/>
      <c r="M91" s="1"/>
    </row>
    <row r="92" spans="1:13" ht="12.75" customHeight="1" x14ac:dyDescent="0.3">
      <c r="A92" s="1"/>
      <c r="B92" s="10" t="s">
        <v>84</v>
      </c>
      <c r="C92" s="65">
        <v>33465.53</v>
      </c>
      <c r="D92" s="1"/>
      <c r="E92" s="1"/>
      <c r="F92" s="1"/>
      <c r="G92" s="1"/>
      <c r="H92" s="1"/>
      <c r="I92" s="1"/>
      <c r="J92" s="1"/>
      <c r="K92" s="1"/>
      <c r="L92" s="1"/>
      <c r="M92" s="1"/>
    </row>
    <row r="93" spans="1:13" ht="12.75" customHeight="1" x14ac:dyDescent="0.3">
      <c r="A93" s="1"/>
      <c r="B93" s="10" t="s">
        <v>85</v>
      </c>
      <c r="C93" s="65">
        <v>24669.040000000001</v>
      </c>
      <c r="D93" s="1"/>
      <c r="E93" s="1"/>
      <c r="F93" s="1"/>
      <c r="G93" s="1"/>
      <c r="H93" s="1"/>
      <c r="I93" s="1"/>
      <c r="J93" s="1"/>
      <c r="K93" s="1"/>
      <c r="L93" s="1"/>
      <c r="M93" s="1"/>
    </row>
    <row r="94" spans="1:13" ht="12.75" customHeight="1" x14ac:dyDescent="0.3">
      <c r="A94" s="1"/>
      <c r="B94" s="10" t="s">
        <v>86</v>
      </c>
      <c r="C94" s="65">
        <v>0</v>
      </c>
      <c r="D94" s="1"/>
      <c r="E94" s="1"/>
      <c r="F94" s="1"/>
      <c r="G94" s="1"/>
      <c r="H94" s="1"/>
      <c r="I94" s="1"/>
      <c r="J94" s="1"/>
      <c r="K94" s="1"/>
      <c r="L94" s="1"/>
      <c r="M94" s="1"/>
    </row>
    <row r="95" spans="1:13" ht="12.75" customHeight="1" x14ac:dyDescent="0.3">
      <c r="A95" s="1"/>
      <c r="B95" s="10" t="s">
        <v>87</v>
      </c>
      <c r="C95" s="65">
        <v>0</v>
      </c>
      <c r="D95" s="1"/>
      <c r="E95" s="1"/>
      <c r="F95" s="1"/>
      <c r="G95" s="1"/>
      <c r="H95" s="1"/>
      <c r="I95" s="1"/>
      <c r="J95" s="1"/>
      <c r="K95" s="1"/>
      <c r="L95" s="1"/>
      <c r="M95" s="1"/>
    </row>
    <row r="96" spans="1:13" ht="12.75" customHeight="1" x14ac:dyDescent="0.3">
      <c r="A96" s="1"/>
      <c r="B96" s="10" t="s">
        <v>88</v>
      </c>
      <c r="C96" s="65">
        <v>0</v>
      </c>
      <c r="D96" s="1"/>
      <c r="E96" s="1"/>
      <c r="F96" s="1"/>
      <c r="G96" s="1"/>
      <c r="H96" s="1"/>
      <c r="I96" s="1"/>
      <c r="J96" s="1"/>
      <c r="K96" s="1"/>
      <c r="L96" s="1"/>
      <c r="M96" s="1"/>
    </row>
    <row r="97" spans="1:13" ht="12.75" customHeight="1" x14ac:dyDescent="0.3">
      <c r="A97" s="1"/>
      <c r="B97" s="10" t="s">
        <v>89</v>
      </c>
      <c r="C97" s="65">
        <v>0</v>
      </c>
      <c r="D97" s="1"/>
      <c r="E97" s="1"/>
      <c r="F97" s="1"/>
      <c r="G97" s="1"/>
      <c r="H97" s="1"/>
      <c r="I97" s="1"/>
      <c r="J97" s="1"/>
      <c r="K97" s="1"/>
      <c r="L97" s="1"/>
      <c r="M97" s="1"/>
    </row>
    <row r="98" spans="1:13" ht="12.75" customHeight="1" x14ac:dyDescent="0.3">
      <c r="A98" s="1"/>
      <c r="B98" s="10" t="s">
        <v>90</v>
      </c>
      <c r="C98" s="65">
        <v>0</v>
      </c>
      <c r="D98" s="1"/>
      <c r="E98" s="1"/>
      <c r="F98" s="1"/>
      <c r="G98" s="1"/>
      <c r="H98" s="1"/>
      <c r="I98" s="1"/>
      <c r="J98" s="1"/>
      <c r="K98" s="1"/>
      <c r="L98" s="1"/>
      <c r="M98" s="1"/>
    </row>
    <row r="99" spans="1:13" ht="12.75" customHeight="1" x14ac:dyDescent="0.3">
      <c r="A99" s="1"/>
      <c r="B99" s="10" t="s">
        <v>91</v>
      </c>
      <c r="C99" s="65">
        <v>0</v>
      </c>
      <c r="D99" s="1"/>
      <c r="E99" s="1"/>
      <c r="F99" s="1"/>
      <c r="G99" s="1"/>
      <c r="H99" s="1"/>
      <c r="I99" s="1"/>
      <c r="J99" s="1"/>
      <c r="K99" s="1"/>
      <c r="L99" s="1"/>
      <c r="M99" s="1"/>
    </row>
    <row r="100" spans="1:13" ht="12.75" customHeight="1" x14ac:dyDescent="0.3">
      <c r="A100" s="1"/>
      <c r="B100" s="10" t="s">
        <v>92</v>
      </c>
      <c r="C100" s="65">
        <v>0</v>
      </c>
      <c r="D100" s="1"/>
      <c r="E100" s="1"/>
      <c r="F100" s="1"/>
      <c r="G100" s="1"/>
      <c r="H100" s="1"/>
      <c r="I100" s="1"/>
      <c r="J100" s="1"/>
      <c r="K100" s="1"/>
      <c r="L100" s="1"/>
      <c r="M100" s="1"/>
    </row>
    <row r="101" spans="1:13" ht="12.75" customHeight="1" x14ac:dyDescent="0.3">
      <c r="A101" s="1"/>
      <c r="B101" s="10" t="s">
        <v>93</v>
      </c>
      <c r="C101" s="65">
        <v>0</v>
      </c>
      <c r="D101" s="1"/>
      <c r="E101" s="1"/>
      <c r="F101" s="1"/>
      <c r="G101" s="1"/>
      <c r="H101" s="1"/>
      <c r="I101" s="1"/>
      <c r="J101" s="1"/>
      <c r="K101" s="1"/>
      <c r="L101" s="1"/>
      <c r="M101" s="1"/>
    </row>
    <row r="102" spans="1:13" ht="12.75" customHeight="1" x14ac:dyDescent="0.3">
      <c r="A102" s="1"/>
      <c r="B102" s="10" t="s">
        <v>94</v>
      </c>
      <c r="C102" s="65">
        <v>0</v>
      </c>
      <c r="D102" s="1"/>
      <c r="E102" s="1"/>
      <c r="F102" s="1"/>
      <c r="G102" s="1"/>
      <c r="H102" s="1"/>
      <c r="I102" s="1"/>
      <c r="J102" s="1"/>
      <c r="K102" s="1"/>
      <c r="L102" s="1"/>
      <c r="M102" s="1"/>
    </row>
    <row r="103" spans="1:13" ht="12.75" customHeight="1" x14ac:dyDescent="0.3">
      <c r="A103" s="1"/>
      <c r="B103" s="10" t="s">
        <v>95</v>
      </c>
      <c r="C103" s="65">
        <v>0</v>
      </c>
      <c r="D103" s="1"/>
      <c r="E103" s="1"/>
      <c r="F103" s="1"/>
      <c r="G103" s="1"/>
      <c r="H103" s="1"/>
      <c r="I103" s="1"/>
      <c r="J103" s="1"/>
      <c r="K103" s="1"/>
      <c r="L103" s="1"/>
      <c r="M103" s="1"/>
    </row>
    <row r="104" spans="1:13" ht="12.75" customHeight="1" x14ac:dyDescent="0.3">
      <c r="A104" s="1"/>
      <c r="B104" s="10" t="s">
        <v>96</v>
      </c>
      <c r="C104" s="65">
        <v>0</v>
      </c>
      <c r="D104" s="1"/>
      <c r="E104" s="1"/>
      <c r="F104" s="1"/>
      <c r="G104" s="1"/>
      <c r="H104" s="1"/>
      <c r="I104" s="1"/>
      <c r="J104" s="1"/>
      <c r="K104" s="1"/>
      <c r="L104" s="1"/>
      <c r="M104" s="1"/>
    </row>
    <row r="105" spans="1:13" ht="12.75" customHeight="1" x14ac:dyDescent="0.3">
      <c r="A105" s="1"/>
      <c r="B105" s="10" t="s">
        <v>97</v>
      </c>
      <c r="C105" s="65">
        <v>0</v>
      </c>
      <c r="D105" s="1"/>
      <c r="E105" s="1"/>
      <c r="F105" s="1"/>
      <c r="G105" s="1"/>
      <c r="H105" s="1"/>
      <c r="I105" s="1"/>
      <c r="J105" s="1"/>
      <c r="K105" s="1"/>
      <c r="L105" s="1"/>
      <c r="M105" s="1"/>
    </row>
    <row r="106" spans="1:13" ht="12.75" customHeight="1" x14ac:dyDescent="0.3">
      <c r="A106" s="1"/>
      <c r="B106" s="10" t="s">
        <v>98</v>
      </c>
      <c r="C106" s="65">
        <v>0</v>
      </c>
      <c r="D106" s="1"/>
      <c r="E106" s="1"/>
      <c r="F106" s="1"/>
      <c r="G106" s="1"/>
      <c r="H106" s="1"/>
      <c r="I106" s="1"/>
      <c r="J106" s="1"/>
      <c r="K106" s="1"/>
      <c r="L106" s="1"/>
      <c r="M106" s="1"/>
    </row>
    <row r="107" spans="1:13" ht="12.75" customHeight="1" x14ac:dyDescent="0.3">
      <c r="A107" s="1"/>
      <c r="B107" s="10" t="s">
        <v>99</v>
      </c>
      <c r="C107" s="65">
        <v>23210</v>
      </c>
      <c r="D107" s="1"/>
      <c r="E107" s="1"/>
      <c r="F107" s="1"/>
      <c r="G107" s="1"/>
      <c r="H107" s="1"/>
      <c r="I107" s="1"/>
      <c r="J107" s="1"/>
      <c r="K107" s="1"/>
      <c r="L107" s="1"/>
      <c r="M107" s="1"/>
    </row>
    <row r="108" spans="1:13" ht="12.75" customHeight="1" x14ac:dyDescent="0.3">
      <c r="A108" s="1"/>
      <c r="B108" s="10" t="s">
        <v>100</v>
      </c>
      <c r="C108" s="65">
        <v>32604.01</v>
      </c>
      <c r="D108" s="1"/>
      <c r="E108" s="1"/>
      <c r="F108" s="1"/>
      <c r="G108" s="1"/>
      <c r="H108" s="1"/>
      <c r="I108" s="1"/>
      <c r="J108" s="1"/>
      <c r="K108" s="1"/>
      <c r="L108" s="1"/>
      <c r="M108" s="1"/>
    </row>
    <row r="109" spans="1:13" ht="12.75" customHeight="1" x14ac:dyDescent="0.3">
      <c r="A109" s="1"/>
      <c r="B109" s="10" t="s">
        <v>101</v>
      </c>
      <c r="C109" s="65">
        <v>0</v>
      </c>
      <c r="D109" s="1"/>
      <c r="E109" s="1"/>
      <c r="F109" s="1"/>
      <c r="G109" s="1"/>
      <c r="H109" s="1"/>
      <c r="I109" s="1"/>
      <c r="J109" s="1"/>
      <c r="K109" s="1"/>
      <c r="L109" s="1"/>
      <c r="M109" s="1"/>
    </row>
    <row r="110" spans="1:13" ht="12.75" customHeight="1" x14ac:dyDescent="0.3">
      <c r="A110" s="1"/>
      <c r="B110" s="10" t="s">
        <v>102</v>
      </c>
      <c r="C110" s="65">
        <v>42425</v>
      </c>
      <c r="D110" s="1"/>
      <c r="E110" s="1"/>
      <c r="F110" s="1"/>
      <c r="G110" s="1"/>
      <c r="H110" s="1"/>
      <c r="I110" s="1"/>
      <c r="J110" s="1"/>
      <c r="K110" s="1"/>
      <c r="L110" s="1"/>
      <c r="M110" s="1"/>
    </row>
    <row r="111" spans="1:13" ht="12.75" customHeight="1" x14ac:dyDescent="0.3">
      <c r="A111" s="1"/>
      <c r="B111" s="10" t="s">
        <v>103</v>
      </c>
      <c r="C111" s="65">
        <v>10125</v>
      </c>
      <c r="D111" s="1"/>
      <c r="E111" s="1"/>
      <c r="F111" s="1"/>
      <c r="G111" s="1"/>
      <c r="H111" s="1"/>
      <c r="I111" s="1"/>
      <c r="J111" s="1"/>
      <c r="K111" s="1"/>
      <c r="L111" s="1"/>
      <c r="M111" s="1"/>
    </row>
    <row r="112" spans="1:13" ht="12.75" customHeight="1" x14ac:dyDescent="0.3">
      <c r="A112" s="1"/>
      <c r="B112" s="10" t="s">
        <v>104</v>
      </c>
      <c r="C112" s="65">
        <v>0</v>
      </c>
      <c r="D112" s="1"/>
      <c r="E112" s="1"/>
      <c r="F112" s="1"/>
      <c r="G112" s="1"/>
      <c r="H112" s="1"/>
      <c r="I112" s="1"/>
      <c r="J112" s="1"/>
      <c r="K112" s="1"/>
      <c r="L112" s="1"/>
      <c r="M112" s="1"/>
    </row>
    <row r="113" spans="1:13" ht="12.75" customHeight="1" x14ac:dyDescent="0.3">
      <c r="A113" s="1"/>
      <c r="B113" s="10" t="s">
        <v>105</v>
      </c>
      <c r="C113" s="65">
        <v>0</v>
      </c>
      <c r="D113" s="1"/>
      <c r="E113" s="1"/>
      <c r="F113" s="1"/>
      <c r="G113" s="1"/>
      <c r="H113" s="1"/>
      <c r="I113" s="1"/>
      <c r="J113" s="1"/>
      <c r="K113" s="1"/>
      <c r="L113" s="1"/>
      <c r="M113" s="1"/>
    </row>
    <row r="114" spans="1:13" ht="12.75" customHeight="1" x14ac:dyDescent="0.3">
      <c r="A114" s="1"/>
      <c r="B114" s="10" t="s">
        <v>106</v>
      </c>
      <c r="C114" s="65">
        <v>0</v>
      </c>
      <c r="D114" s="1"/>
      <c r="E114" s="1"/>
      <c r="F114" s="1"/>
      <c r="G114" s="1"/>
      <c r="H114" s="1"/>
      <c r="I114" s="1"/>
      <c r="J114" s="1"/>
      <c r="K114" s="1"/>
      <c r="L114" s="1"/>
      <c r="M114" s="1"/>
    </row>
    <row r="115" spans="1:13" ht="12.75" customHeight="1" x14ac:dyDescent="0.3">
      <c r="A115" s="1"/>
      <c r="B115" s="10" t="s">
        <v>107</v>
      </c>
      <c r="C115" s="65">
        <v>3740</v>
      </c>
      <c r="D115" s="1"/>
      <c r="E115" s="1"/>
      <c r="F115" s="1"/>
      <c r="G115" s="1"/>
      <c r="H115" s="1"/>
      <c r="I115" s="1"/>
      <c r="J115" s="1"/>
      <c r="K115" s="1"/>
      <c r="L115" s="1"/>
      <c r="M115" s="1"/>
    </row>
    <row r="116" spans="1:13" ht="12.75" customHeight="1" x14ac:dyDescent="0.3">
      <c r="A116" s="1"/>
      <c r="B116" s="10" t="s">
        <v>108</v>
      </c>
      <c r="C116" s="65">
        <v>5000</v>
      </c>
      <c r="D116" s="1"/>
      <c r="E116" s="1"/>
      <c r="F116" s="1"/>
      <c r="G116" s="1"/>
      <c r="H116" s="1"/>
      <c r="I116" s="1"/>
      <c r="J116" s="1"/>
      <c r="K116" s="1"/>
      <c r="L116" s="1"/>
      <c r="M116" s="1"/>
    </row>
    <row r="117" spans="1:13" ht="12.75" customHeight="1" x14ac:dyDescent="0.3">
      <c r="A117" s="1"/>
      <c r="B117" s="10" t="s">
        <v>109</v>
      </c>
      <c r="C117" s="65">
        <v>0</v>
      </c>
      <c r="D117" s="1"/>
      <c r="E117" s="1"/>
      <c r="F117" s="1"/>
      <c r="G117" s="1"/>
      <c r="H117" s="1"/>
      <c r="I117" s="1"/>
      <c r="J117" s="1"/>
      <c r="K117" s="1"/>
      <c r="L117" s="1"/>
      <c r="M117" s="1"/>
    </row>
    <row r="118" spans="1:13" ht="12.75" customHeight="1" x14ac:dyDescent="0.3">
      <c r="A118" s="1"/>
      <c r="B118" s="12" t="s">
        <v>110</v>
      </c>
      <c r="C118" s="65">
        <v>0</v>
      </c>
      <c r="D118" s="1"/>
      <c r="E118" s="1"/>
      <c r="F118" s="1"/>
      <c r="G118" s="1"/>
      <c r="H118" s="1"/>
      <c r="I118" s="1"/>
      <c r="J118" s="1"/>
      <c r="K118" s="1"/>
      <c r="L118" s="1"/>
      <c r="M118" s="1"/>
    </row>
    <row r="119" spans="1:13" ht="12.75" customHeight="1" x14ac:dyDescent="0.3">
      <c r="A119" s="1"/>
      <c r="B119" s="18" t="s">
        <v>111</v>
      </c>
      <c r="C119" s="65">
        <v>0</v>
      </c>
      <c r="D119" s="1"/>
      <c r="E119" s="1"/>
      <c r="F119" s="1"/>
      <c r="G119" s="1"/>
      <c r="H119" s="1"/>
      <c r="I119" s="1"/>
      <c r="J119" s="1"/>
      <c r="K119" s="1"/>
      <c r="L119" s="1"/>
      <c r="M119" s="1"/>
    </row>
    <row r="120" spans="1:13" ht="12.75" customHeight="1" x14ac:dyDescent="0.3">
      <c r="A120" s="1"/>
      <c r="B120" s="18" t="s">
        <v>112</v>
      </c>
      <c r="C120" s="65">
        <v>32712.1</v>
      </c>
      <c r="D120" s="1"/>
      <c r="E120" s="1"/>
      <c r="F120" s="1"/>
      <c r="G120" s="1"/>
      <c r="H120" s="1"/>
      <c r="I120" s="1"/>
      <c r="J120" s="1"/>
      <c r="K120" s="1"/>
      <c r="L120" s="1"/>
      <c r="M120" s="1"/>
    </row>
    <row r="121" spans="1:13" ht="12.75" customHeight="1" x14ac:dyDescent="0.3">
      <c r="A121" s="1"/>
      <c r="B121" s="17"/>
      <c r="C121" s="65">
        <v>2820</v>
      </c>
      <c r="D121" s="1"/>
      <c r="E121" s="1"/>
      <c r="F121" s="1"/>
      <c r="G121" s="1"/>
      <c r="H121" s="1"/>
      <c r="I121" s="1"/>
      <c r="J121" s="1"/>
      <c r="K121" s="1"/>
      <c r="L121" s="1"/>
      <c r="M121" s="1"/>
    </row>
    <row r="122" spans="1:13" ht="12.75" customHeight="1" x14ac:dyDescent="0.3">
      <c r="A122" s="1"/>
      <c r="B122" s="19"/>
      <c r="C122" s="65"/>
      <c r="D122" s="1"/>
      <c r="E122" s="1"/>
      <c r="F122" s="1"/>
      <c r="G122" s="1"/>
      <c r="H122" s="1"/>
      <c r="I122" s="1"/>
      <c r="J122" s="1"/>
      <c r="K122" s="1"/>
      <c r="L122" s="1"/>
      <c r="M122" s="1"/>
    </row>
    <row r="123" spans="1:13" ht="12.75" customHeight="1" x14ac:dyDescent="0.3">
      <c r="A123" s="1"/>
      <c r="B123" s="20"/>
      <c r="C123" s="65"/>
      <c r="D123" s="1"/>
      <c r="E123" s="1"/>
      <c r="F123" s="1"/>
      <c r="G123" s="1"/>
      <c r="H123" s="1"/>
      <c r="I123" s="1"/>
      <c r="J123" s="1"/>
      <c r="K123" s="1"/>
      <c r="L123" s="1"/>
      <c r="M123" s="1"/>
    </row>
    <row r="124" spans="1:13" ht="12.75" customHeight="1" x14ac:dyDescent="0.3">
      <c r="A124" s="1"/>
      <c r="B124" s="20"/>
      <c r="C124" s="65"/>
      <c r="D124" s="1"/>
      <c r="E124" s="1"/>
      <c r="F124" s="1"/>
      <c r="G124" s="1"/>
      <c r="H124" s="1"/>
      <c r="I124" s="1"/>
      <c r="J124" s="1"/>
      <c r="K124" s="1"/>
      <c r="L124" s="1"/>
      <c r="M124" s="1"/>
    </row>
    <row r="125" spans="1:13" ht="13" customHeight="1" x14ac:dyDescent="0.3">
      <c r="A125" s="1"/>
      <c r="B125" s="21" t="s">
        <v>129</v>
      </c>
      <c r="C125" s="65"/>
      <c r="D125" s="1"/>
      <c r="E125" s="1"/>
      <c r="F125" s="1"/>
      <c r="G125" s="1"/>
      <c r="H125" s="1"/>
      <c r="I125" s="1"/>
      <c r="J125" s="1"/>
      <c r="K125" s="1"/>
      <c r="L125" s="1"/>
      <c r="M125" s="1"/>
    </row>
    <row r="126" spans="1:13" ht="12.75" customHeight="1" x14ac:dyDescent="0.3">
      <c r="A126" s="1"/>
      <c r="B126" s="20" t="s">
        <v>124</v>
      </c>
      <c r="C126" s="65">
        <v>0</v>
      </c>
      <c r="D126" s="1"/>
      <c r="E126" s="1"/>
      <c r="F126" s="1"/>
      <c r="G126" s="1"/>
      <c r="H126" s="1"/>
      <c r="I126" s="1"/>
      <c r="J126" s="1"/>
      <c r="K126" s="1"/>
      <c r="L126" s="1"/>
      <c r="M126" s="1"/>
    </row>
    <row r="127" spans="1:13" ht="12.75" customHeight="1" x14ac:dyDescent="0.3">
      <c r="A127" s="1"/>
      <c r="B127" s="20" t="s">
        <v>125</v>
      </c>
      <c r="C127" s="65">
        <v>0</v>
      </c>
      <c r="D127" s="1"/>
      <c r="E127" s="1"/>
      <c r="F127" s="1"/>
      <c r="G127" s="1"/>
      <c r="H127" s="1"/>
      <c r="I127" s="1"/>
      <c r="J127" s="1"/>
      <c r="K127" s="1"/>
      <c r="L127" s="1"/>
      <c r="M127" s="1"/>
    </row>
    <row r="128" spans="1:13" ht="12.75" customHeight="1" x14ac:dyDescent="0.3">
      <c r="A128" s="1"/>
      <c r="B128" s="20" t="s">
        <v>126</v>
      </c>
      <c r="C128" s="65">
        <v>96050</v>
      </c>
      <c r="D128" s="1"/>
      <c r="E128" s="1"/>
      <c r="F128" s="1"/>
      <c r="G128" s="1"/>
      <c r="H128" s="1"/>
      <c r="I128" s="1"/>
      <c r="J128" s="1"/>
      <c r="K128" s="1"/>
      <c r="L128" s="1"/>
      <c r="M128" s="1"/>
    </row>
    <row r="129" spans="1:13" ht="12.75" customHeight="1" x14ac:dyDescent="0.3">
      <c r="A129" s="1"/>
      <c r="B129" s="20" t="s">
        <v>127</v>
      </c>
      <c r="C129" s="65">
        <v>0</v>
      </c>
      <c r="D129" s="1"/>
      <c r="E129" s="1"/>
      <c r="F129" s="1"/>
      <c r="G129" s="1"/>
      <c r="H129" s="1"/>
      <c r="I129" s="1"/>
      <c r="J129" s="1"/>
      <c r="K129" s="1"/>
      <c r="L129" s="1"/>
      <c r="M129" s="1"/>
    </row>
    <row r="130" spans="1:13" ht="12.75" customHeight="1" x14ac:dyDescent="0.3">
      <c r="A130" s="1"/>
      <c r="B130" s="17" t="s">
        <v>128</v>
      </c>
      <c r="C130" s="65">
        <v>330175</v>
      </c>
      <c r="D130" s="1"/>
      <c r="E130" s="1"/>
      <c r="F130" s="1"/>
      <c r="G130" s="1"/>
      <c r="H130" s="1"/>
      <c r="I130" s="1"/>
      <c r="J130" s="1"/>
      <c r="K130" s="1"/>
      <c r="L130" s="1"/>
      <c r="M130" s="1"/>
    </row>
    <row r="131" spans="1:13" ht="27.75" customHeight="1" x14ac:dyDescent="0.3">
      <c r="A131" s="1"/>
      <c r="B131" s="13" t="s">
        <v>113</v>
      </c>
      <c r="C131" s="65">
        <v>47858249.840000004</v>
      </c>
      <c r="D131" s="1"/>
      <c r="E131" s="1"/>
      <c r="F131" s="1"/>
      <c r="G131" s="1"/>
      <c r="H131" s="1"/>
      <c r="I131" s="1"/>
      <c r="J131" s="1"/>
      <c r="K131" s="1"/>
      <c r="L131" s="1"/>
      <c r="M131" s="1"/>
    </row>
    <row r="132" spans="1:13" ht="12.75" customHeight="1" x14ac:dyDescent="0.3">
      <c r="A132" s="1"/>
      <c r="B132" s="1"/>
      <c r="C132" s="1"/>
      <c r="D132" s="1"/>
      <c r="E132" s="1"/>
      <c r="F132" s="1"/>
      <c r="G132" s="1"/>
      <c r="H132" s="1"/>
      <c r="I132" s="1"/>
      <c r="J132" s="1"/>
      <c r="K132" s="1"/>
      <c r="L132" s="1"/>
      <c r="M132" s="1"/>
    </row>
    <row r="133" spans="1:13" ht="15.75" customHeight="1" x14ac:dyDescent="0.3"/>
    <row r="134" spans="1:13" ht="15.75" customHeight="1" x14ac:dyDescent="0.3"/>
    <row r="135" spans="1:13" ht="15.75" customHeight="1" x14ac:dyDescent="0.3"/>
    <row r="136" spans="1:13" ht="15.75" customHeight="1" x14ac:dyDescent="0.3"/>
    <row r="137" spans="1:13" ht="15.75" customHeight="1" x14ac:dyDescent="0.3"/>
    <row r="138" spans="1:13" ht="15.75" customHeight="1" x14ac:dyDescent="0.3"/>
    <row r="139" spans="1:13" ht="15.75" customHeight="1" x14ac:dyDescent="0.3"/>
    <row r="140" spans="1:13" ht="15.75" customHeight="1" x14ac:dyDescent="0.3"/>
    <row r="141" spans="1:13" ht="15.75" customHeight="1" x14ac:dyDescent="0.3"/>
    <row r="142" spans="1:13" ht="15.75" customHeight="1" x14ac:dyDescent="0.3"/>
    <row r="143" spans="1:13" ht="15.75" customHeight="1" x14ac:dyDescent="0.3"/>
    <row r="144" spans="1:13"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row r="1001" ht="15.75" customHeight="1" x14ac:dyDescent="0.3"/>
    <row r="1002" ht="15.75" customHeight="1" x14ac:dyDescent="0.3"/>
    <row r="1003" ht="15.75" customHeight="1" x14ac:dyDescent="0.3"/>
    <row r="1004" ht="15.75" customHeight="1" x14ac:dyDescent="0.3"/>
  </sheetData>
  <sheetProtection algorithmName="SHA-512" hashValue="vrvYIkfyox1uUF69IYha0cOhUDGAi6dQYkKO0Susfi6e2RpL7n27s7XS0s4d0cEVzDXZWYHnbtYCjkrtk/W77w==" saltValue="j6uKSgogIEZheWjdr85oRQ==" spinCount="100000" sheet="1" objects="1" scenarios="1"/>
  <mergeCells count="4">
    <mergeCell ref="B4:C4"/>
    <mergeCell ref="B5:C5"/>
    <mergeCell ref="B6:C6"/>
    <mergeCell ref="B7:C7"/>
  </mergeCells>
  <dataValidations count="1">
    <dataValidation type="decimal" operator="greaterThanOrEqual" allowBlank="1" showInputMessage="1" showErrorMessage="1" sqref="C11:C34 C39:C131" xr:uid="{00000000-0002-0000-0100-000000000000}">
      <formula1>0</formula1>
    </dataValidation>
  </dataValidations>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67"/>
  <sheetViews>
    <sheetView workbookViewId="0">
      <selection activeCell="B2" sqref="B2:B67"/>
    </sheetView>
  </sheetViews>
  <sheetFormatPr defaultColWidth="9.08984375" defaultRowHeight="14.5" x14ac:dyDescent="0.35"/>
  <cols>
    <col min="1" max="1" width="9.08984375" style="27"/>
    <col min="2" max="2" width="58.08984375" style="27" bestFit="1" customWidth="1"/>
    <col min="3" max="16384" width="9.08984375" style="27"/>
  </cols>
  <sheetData>
    <row r="1" spans="1:2" x14ac:dyDescent="0.35">
      <c r="B1" s="28" t="s">
        <v>131</v>
      </c>
    </row>
    <row r="2" spans="1:2" x14ac:dyDescent="0.35">
      <c r="A2" s="27">
        <v>1</v>
      </c>
      <c r="B2" s="27" t="str">
        <f>IF('10.1 Payroll'!$C$12="Level I",'Level I_Departments'!C4,'Level IIandIII_Departments'!C4)</f>
        <v>Administrative/Overhead services -&gt; Office of the Medical Center Chief</v>
      </c>
    </row>
    <row r="3" spans="1:2" x14ac:dyDescent="0.35">
      <c r="A3" s="27">
        <f t="shared" ref="A3:A34" si="0">A2+1</f>
        <v>2</v>
      </c>
      <c r="B3" s="27" t="str">
        <f>IF('10.1 Payroll'!$C$12="Level I",'Level I_Departments'!C5,'Level IIandIII_Departments'!C5)</f>
        <v>Administrative/Overhead services -&gt; IT Departments</v>
      </c>
    </row>
    <row r="4" spans="1:2" x14ac:dyDescent="0.35">
      <c r="A4" s="27">
        <f t="shared" si="0"/>
        <v>3</v>
      </c>
      <c r="B4" s="27" t="str">
        <f>IF('10.1 Payroll'!$C$12="Level I",'Level I_Departments'!C6,'Level IIandIII_Departments'!C6)</f>
        <v>Administrative/Overhead services -&gt; Office of the Administrative Officer</v>
      </c>
    </row>
    <row r="5" spans="1:2" x14ac:dyDescent="0.35">
      <c r="A5" s="27">
        <f t="shared" si="0"/>
        <v>4</v>
      </c>
      <c r="B5" s="27" t="str">
        <f>IF('10.1 Payroll'!$C$12="Level I",'Level I_Departments'!C7,'Level IIandIII_Departments'!C7)</f>
        <v>Administrative/Overhead services -&gt; Human Resource Management</v>
      </c>
    </row>
    <row r="6" spans="1:2" x14ac:dyDescent="0.35">
      <c r="A6" s="27">
        <f t="shared" si="0"/>
        <v>5</v>
      </c>
      <c r="B6" s="27" t="str">
        <f>IF('10.1 Payroll'!$C$12="Level I",'Level I_Departments'!C8,'Level IIandIII_Departments'!C8)</f>
        <v>Administrative/Overhead services -&gt; Procurement</v>
      </c>
    </row>
    <row r="7" spans="1:2" x14ac:dyDescent="0.35">
      <c r="A7" s="27">
        <f t="shared" si="0"/>
        <v>6</v>
      </c>
      <c r="B7" s="27" t="str">
        <f>IF('10.1 Payroll'!$C$12="Level I",'Level I_Departments'!C9,'Level IIandIII_Departments'!C9)</f>
        <v>Administrative/Overhead services -&gt; Materials Management</v>
      </c>
    </row>
    <row r="8" spans="1:2" x14ac:dyDescent="0.35">
      <c r="A8" s="27">
        <f t="shared" si="0"/>
        <v>7</v>
      </c>
      <c r="B8" s="27" t="str">
        <f>IF('10.1 Payroll'!$C$12="Level I",'Level I_Departments'!C10,'Level IIandIII_Departments'!C10)</f>
        <v>Administrative/Overhead services -&gt; Engineering and Facilities Management</v>
      </c>
    </row>
    <row r="9" spans="1:2" x14ac:dyDescent="0.35">
      <c r="A9" s="27">
        <f t="shared" si="0"/>
        <v>8</v>
      </c>
      <c r="B9" s="27" t="str">
        <f>IF('10.1 Payroll'!$C$12="Level I",'Level I_Departments'!C11,'Level IIandIII_Departments'!C11)</f>
        <v>Administrative/Overhead services -&gt; Housekeeping</v>
      </c>
    </row>
    <row r="10" spans="1:2" x14ac:dyDescent="0.35">
      <c r="A10" s="27">
        <f t="shared" si="0"/>
        <v>9</v>
      </c>
      <c r="B10" s="27" t="str">
        <f>IF('10.1 Payroll'!$C$12="Level I",'Level I_Departments'!C12,'Level IIandIII_Departments'!C12)</f>
        <v>Administrative/Overhead services -&gt; Budget and Accounting</v>
      </c>
    </row>
    <row r="11" spans="1:2" x14ac:dyDescent="0.35">
      <c r="A11" s="27">
        <f t="shared" si="0"/>
        <v>10</v>
      </c>
      <c r="B11" s="27" t="str">
        <f>IF('10.1 Payroll'!$C$12="Level I",'Level I_Departments'!C13,'Level IIandIII_Departments'!C13)</f>
        <v>Administrative/Overhead services -&gt; Medical Social Work</v>
      </c>
    </row>
    <row r="12" spans="1:2" x14ac:dyDescent="0.35">
      <c r="A12" s="27">
        <f t="shared" si="0"/>
        <v>11</v>
      </c>
      <c r="B12" s="27" t="str">
        <f>IF('10.1 Payroll'!$C$12="Level I",'Level I_Departments'!C14,'Level IIandIII_Departments'!C14)</f>
        <v>Administrative/Overhead services -&gt; Office of the Chief Nurse</v>
      </c>
    </row>
    <row r="13" spans="1:2" x14ac:dyDescent="0.35">
      <c r="A13" s="27">
        <f t="shared" si="0"/>
        <v>12</v>
      </c>
      <c r="B13" s="27" t="str">
        <f>IF('10.1 Payroll'!$C$12="Level I",'Level I_Departments'!C15,'Level IIandIII_Departments'!C15)</f>
        <v>Administrative/Overhead services -&gt; Health Info Mgt (Admitting)</v>
      </c>
    </row>
    <row r="14" spans="1:2" x14ac:dyDescent="0.35">
      <c r="A14" s="27">
        <f t="shared" si="0"/>
        <v>13</v>
      </c>
      <c r="B14" s="27" t="str">
        <f>IF('10.1 Payroll'!$C$12="Level I",'Level I_Departments'!C16,'Level IIandIII_Departments'!C16)</f>
        <v>Administrative/Overhead services -&gt; Central Supply Office</v>
      </c>
    </row>
    <row r="15" spans="1:2" x14ac:dyDescent="0.35">
      <c r="A15" s="27">
        <f t="shared" si="0"/>
        <v>14</v>
      </c>
      <c r="B15" s="27" t="str">
        <f>IF('10.1 Payroll'!$C$12="Level I",'Level I_Departments'!C17,'Level IIandIII_Departments'!C17)</f>
        <v>Administrative/Overhead services -&gt; Billing and Claims</v>
      </c>
    </row>
    <row r="16" spans="1:2" x14ac:dyDescent="0.35">
      <c r="A16" s="27">
        <f t="shared" si="0"/>
        <v>15</v>
      </c>
      <c r="B16" s="27" t="str">
        <f>IF('10.1 Payroll'!$C$12="Level I",'Level I_Departments'!C18,'Level IIandIII_Departments'!C18)</f>
        <v>Administrative/Overhead services -&gt; Cash Operations</v>
      </c>
    </row>
    <row r="17" spans="1:2" x14ac:dyDescent="0.35">
      <c r="A17" s="27">
        <f t="shared" si="0"/>
        <v>16</v>
      </c>
      <c r="B17" s="27" t="str">
        <f>IF('10.1 Payroll'!$C$12="Level I",'Level I_Departments'!C19,'Level IIandIII_Departments'!C19)</f>
        <v>Administrative/Overhead services -&gt; Security</v>
      </c>
    </row>
    <row r="18" spans="1:2" x14ac:dyDescent="0.35">
      <c r="A18" s="27">
        <f t="shared" si="0"/>
        <v>17</v>
      </c>
      <c r="B18" s="27" t="str">
        <f>IF('10.1 Payroll'!$C$12="Level I",'Level I_Departments'!C20,'Level IIandIII_Departments'!C20)</f>
        <v>Administrative/Overhead services -&gt; Office of the Chief of Medical Professional Staff</v>
      </c>
    </row>
    <row r="19" spans="1:2" x14ac:dyDescent="0.35">
      <c r="A19" s="27">
        <f t="shared" si="0"/>
        <v>18</v>
      </c>
      <c r="B19" s="27" t="str">
        <f>IF('10.1 Payroll'!$C$12="Level I",'Level I_Departments'!C21,'Level IIandIII_Departments'!C21)</f>
        <v>Administrative/Overhead services -&gt; Others</v>
      </c>
    </row>
    <row r="20" spans="1:2" x14ac:dyDescent="0.35">
      <c r="A20" s="27">
        <f t="shared" si="0"/>
        <v>19</v>
      </c>
      <c r="B20" s="27" t="str">
        <f>IF('10.1 Payroll'!$C$12="Level I",'Level I_Departments'!C22,'Level IIandIII_Departments'!C22)</f>
        <v>Ancillary services/Support services -&gt; Laundry</v>
      </c>
    </row>
    <row r="21" spans="1:2" x14ac:dyDescent="0.35">
      <c r="A21" s="27">
        <f t="shared" si="0"/>
        <v>20</v>
      </c>
      <c r="B21" s="27" t="str">
        <f>IF('10.1 Payroll'!$C$12="Level I",'Level I_Departments'!C23,'Level IIandIII_Departments'!C23)</f>
        <v>Ancillary services/Support services -&gt; Nutrition and Dietetics</v>
      </c>
    </row>
    <row r="22" spans="1:2" x14ac:dyDescent="0.35">
      <c r="A22" s="27">
        <f t="shared" si="0"/>
        <v>21</v>
      </c>
      <c r="B22" s="27" t="str">
        <f>IF('10.1 Payroll'!$C$12="Level I",'Level I_Departments'!C24,'Level IIandIII_Departments'!C24)</f>
        <v>Ancillary services/Support services -&gt; Sterilization</v>
      </c>
    </row>
    <row r="23" spans="1:2" x14ac:dyDescent="0.35">
      <c r="A23" s="27">
        <f t="shared" si="0"/>
        <v>22</v>
      </c>
      <c r="B23" s="27" t="str">
        <f>IF('10.1 Payroll'!$C$12="Level I",'Level I_Departments'!C25,'Level IIandIII_Departments'!C25)</f>
        <v>Ancillary services/Support services -&gt; Pharmacy</v>
      </c>
    </row>
    <row r="24" spans="1:2" x14ac:dyDescent="0.35">
      <c r="A24" s="27">
        <f t="shared" si="0"/>
        <v>23</v>
      </c>
      <c r="B24" s="27" t="str">
        <f>IF('10.1 Payroll'!$C$12="Level I",'Level I_Departments'!C26,'Level IIandIII_Departments'!C26)</f>
        <v>Ancillary services/Support services -&gt; Blood Bank</v>
      </c>
    </row>
    <row r="25" spans="1:2" x14ac:dyDescent="0.35">
      <c r="A25" s="27">
        <f t="shared" si="0"/>
        <v>24</v>
      </c>
      <c r="B25" s="27" t="str">
        <f>IF('10.1 Payroll'!$C$12="Level I",'Level I_Departments'!C27,'Level IIandIII_Departments'!C27)</f>
        <v>Ancillary services/Support services -&gt; Laboratory</v>
      </c>
    </row>
    <row r="26" spans="1:2" x14ac:dyDescent="0.35">
      <c r="A26" s="27">
        <f t="shared" si="0"/>
        <v>25</v>
      </c>
      <c r="B26" s="27" t="str">
        <f>IF('10.1 Payroll'!$C$12="Level I",'Level I_Departments'!C28,'Level IIandIII_Departments'!C28)</f>
        <v>Ancillary services/Support services -&gt; Radiology / Diagnostic Imaging (CT Scan, MRI, ECG, Mammography, Endoscopy)</v>
      </c>
    </row>
    <row r="27" spans="1:2" x14ac:dyDescent="0.35">
      <c r="A27" s="27">
        <f t="shared" si="0"/>
        <v>26</v>
      </c>
      <c r="B27" s="27" t="str">
        <f>IF('10.1 Payroll'!$C$12="Level I",'Level I_Departments'!C29,'Level IIandIII_Departments'!C29)</f>
        <v>Ancillary services/Support services -&gt; Physiotherapy / Rehabilitation</v>
      </c>
    </row>
    <row r="28" spans="1:2" x14ac:dyDescent="0.35">
      <c r="A28" s="27">
        <f t="shared" si="0"/>
        <v>27</v>
      </c>
      <c r="B28" s="27" t="str">
        <f>IF('10.1 Payroll'!$C$12="Level I",'Level I_Departments'!C30,'Level IIandIII_Departments'!C30)</f>
        <v>Ancillary services/Support services -&gt; Delivery Room</v>
      </c>
    </row>
    <row r="29" spans="1:2" x14ac:dyDescent="0.35">
      <c r="A29" s="27">
        <f t="shared" si="0"/>
        <v>28</v>
      </c>
      <c r="B29" s="27" t="str">
        <f>IF('10.1 Payroll'!$C$12="Level I",'Level I_Departments'!C31,'Level IIandIII_Departments'!C31)</f>
        <v>Ancillary services/Support services -&gt; Operating Room / Aneasthesiology / PACU / Recovery Room</v>
      </c>
    </row>
    <row r="30" spans="1:2" x14ac:dyDescent="0.35">
      <c r="A30" s="27">
        <f t="shared" si="0"/>
        <v>29</v>
      </c>
      <c r="B30" s="27" t="str">
        <f>IF('10.1 Payroll'!$C$12="Level I",'Level I_Departments'!C32,'Level IIandIII_Departments'!C32)</f>
        <v>Ancillary services/Support services -&gt; Respiratory Unit</v>
      </c>
    </row>
    <row r="31" spans="1:2" x14ac:dyDescent="0.35">
      <c r="A31" s="27">
        <f t="shared" si="0"/>
        <v>30</v>
      </c>
      <c r="B31" s="27" t="str">
        <f>IF('10.1 Payroll'!$C$12="Level I",'Level I_Departments'!C33,'Level IIandIII_Departments'!C33)</f>
        <v>Ancillary services/Support services -&gt; Medical ICU</v>
      </c>
    </row>
    <row r="32" spans="1:2" x14ac:dyDescent="0.35">
      <c r="A32" s="27">
        <f t="shared" si="0"/>
        <v>31</v>
      </c>
      <c r="B32" s="27" t="str">
        <f>IF('10.1 Payroll'!$C$12="Level I",'Level I_Departments'!C34,'Level IIandIII_Departments'!C34)</f>
        <v>Ancillary services/Support services -&gt; Neonatal ICU*</v>
      </c>
    </row>
    <row r="33" spans="1:2" x14ac:dyDescent="0.35">
      <c r="A33" s="27">
        <f t="shared" si="0"/>
        <v>32</v>
      </c>
      <c r="B33" s="27" t="str">
        <f>IF('10.1 Payroll'!$C$12="Level I",'Level I_Departments'!C35,'Level IIandIII_Departments'!C35)</f>
        <v>Ancillary services/Support services -&gt; Surgical ICU*</v>
      </c>
    </row>
    <row r="34" spans="1:2" x14ac:dyDescent="0.35">
      <c r="A34" s="27">
        <f t="shared" si="0"/>
        <v>33</v>
      </c>
      <c r="B34" s="27" t="str">
        <f>IF('10.1 Payroll'!$C$12="Level I",'Level I_Departments'!C36,'Level IIandIII_Departments'!C36)</f>
        <v>Ancillary services/Support services -&gt; Pediatric ICU*</v>
      </c>
    </row>
    <row r="35" spans="1:2" x14ac:dyDescent="0.35">
      <c r="A35" s="27">
        <f t="shared" ref="A35:A67" si="1">A34+1</f>
        <v>34</v>
      </c>
      <c r="B35" s="27" t="str">
        <f>IF('10.1 Payroll'!$C$12="Level I",'Level I_Departments'!C37,'Level IIandIII_Departments'!C37)</f>
        <v>Ancillary services/Support services -&gt; Burn Unit</v>
      </c>
    </row>
    <row r="36" spans="1:2" x14ac:dyDescent="0.35">
      <c r="A36" s="27">
        <f t="shared" si="1"/>
        <v>35</v>
      </c>
      <c r="B36" s="27" t="str">
        <f>IF('10.1 Payroll'!$C$12="Level I",'Level I_Departments'!C38,'Level IIandIII_Departments'!C38)</f>
        <v>Ancillary services/Support services -&gt; Morgue</v>
      </c>
    </row>
    <row r="37" spans="1:2" x14ac:dyDescent="0.35">
      <c r="A37" s="27">
        <f t="shared" si="1"/>
        <v>36</v>
      </c>
      <c r="B37" s="27" t="str">
        <f>IF('10.1 Payroll'!$C$12="Level I",'Level I_Departments'!C39,'Level IIandIII_Departments'!C39)</f>
        <v>Ancillary services/Support services -&gt; Others</v>
      </c>
    </row>
    <row r="38" spans="1:2" x14ac:dyDescent="0.35">
      <c r="A38" s="27">
        <f t="shared" si="1"/>
        <v>37</v>
      </c>
      <c r="B38" s="27" t="str">
        <f>IF('10.1 Payroll'!$C$12="Level I",'Level I_Departments'!C40,'Level IIandIII_Departments'!C40)</f>
        <v>Clinical/Medical services -&gt; Outpatient Department (general)</v>
      </c>
    </row>
    <row r="39" spans="1:2" x14ac:dyDescent="0.35">
      <c r="A39" s="27">
        <f t="shared" si="1"/>
        <v>38</v>
      </c>
      <c r="B39" s="27" t="str">
        <f>IF('10.1 Payroll'!$C$12="Level I",'Level I_Departments'!C41,'Level IIandIII_Departments'!C41)</f>
        <v>Clinical/Medical services -&gt; Animal Bite Center</v>
      </c>
    </row>
    <row r="40" spans="1:2" x14ac:dyDescent="0.35">
      <c r="A40" s="27">
        <f t="shared" si="1"/>
        <v>39</v>
      </c>
      <c r="B40" s="27" t="str">
        <f>IF('10.1 Payroll'!$C$12="Level I",'Level I_Departments'!C42,'Level IIandIII_Departments'!C42)</f>
        <v>Clinical/Medical services -&gt; TB Dots</v>
      </c>
    </row>
    <row r="41" spans="1:2" x14ac:dyDescent="0.35">
      <c r="A41" s="27">
        <f t="shared" si="1"/>
        <v>40</v>
      </c>
      <c r="B41" s="27" t="str">
        <f>IF('10.1 Payroll'!$C$12="Level I",'Level I_Departments'!C43,'Level IIandIII_Departments'!C43)</f>
        <v>Clinical/Medical services -&gt; HIV Aids</v>
      </c>
    </row>
    <row r="42" spans="1:2" x14ac:dyDescent="0.35">
      <c r="A42" s="27">
        <f t="shared" si="1"/>
        <v>41</v>
      </c>
      <c r="B42" s="27" t="str">
        <f>IF('10.1 Payroll'!$C$12="Level I",'Level I_Departments'!C44,'Level IIandIII_Departments'!C44)</f>
        <v>Clinical/Medical services -&gt; Family Planning Unit</v>
      </c>
    </row>
    <row r="43" spans="1:2" x14ac:dyDescent="0.35">
      <c r="A43" s="27">
        <f t="shared" si="1"/>
        <v>42</v>
      </c>
      <c r="B43" s="27" t="str">
        <f>IF('10.1 Payroll'!$C$12="Level I",'Level I_Departments'!C45,'Level IIandIII_Departments'!C45)</f>
        <v>Clinical/Medical services -&gt; Smoking Cessation</v>
      </c>
    </row>
    <row r="44" spans="1:2" x14ac:dyDescent="0.35">
      <c r="A44" s="27">
        <f t="shared" si="1"/>
        <v>43</v>
      </c>
      <c r="B44" s="27" t="str">
        <f>IF('10.1 Payroll'!$C$12="Level I",'Level I_Departments'!C46,'Level IIandIII_Departments'!C46)</f>
        <v>Clinical/Medical services -&gt; Malaria</v>
      </c>
    </row>
    <row r="45" spans="1:2" x14ac:dyDescent="0.35">
      <c r="A45" s="27">
        <f t="shared" si="1"/>
        <v>44</v>
      </c>
      <c r="B45" s="27" t="str">
        <f>IF('10.1 Payroll'!$C$12="Level I",'Level I_Departments'!C47,'Level IIandIII_Departments'!C47)</f>
        <v xml:space="preserve">Clinical/Medical services -&gt; Diabetes </v>
      </c>
    </row>
    <row r="46" spans="1:2" x14ac:dyDescent="0.35">
      <c r="A46" s="27">
        <f t="shared" si="1"/>
        <v>45</v>
      </c>
      <c r="B46" s="27" t="str">
        <f>IF('10.1 Payroll'!$C$12="Level I",'Level I_Departments'!C48,'Level IIandIII_Departments'!C48)</f>
        <v>Clinical/Medical services -&gt; Hypertension</v>
      </c>
    </row>
    <row r="47" spans="1:2" x14ac:dyDescent="0.35">
      <c r="A47" s="27">
        <f t="shared" si="1"/>
        <v>46</v>
      </c>
      <c r="B47" s="27" t="str">
        <f>IF('10.1 Payroll'!$C$12="Level I",'Level I_Departments'!C49,'Level IIandIII_Departments'!C49)</f>
        <v>Clinical/Medical services -&gt; Emergency Medicine Department</v>
      </c>
    </row>
    <row r="48" spans="1:2" x14ac:dyDescent="0.35">
      <c r="A48" s="27">
        <f t="shared" si="1"/>
        <v>47</v>
      </c>
      <c r="B48" s="27" t="str">
        <f>IF('10.1 Payroll'!$C$12="Level I",'Level I_Departments'!C50,'Level IIandIII_Departments'!C50)</f>
        <v>Clinical/Medical services -&gt; Dialysis Unit</v>
      </c>
    </row>
    <row r="49" spans="1:2" x14ac:dyDescent="0.35">
      <c r="A49" s="27">
        <f t="shared" si="1"/>
        <v>48</v>
      </c>
      <c r="B49" s="27" t="str">
        <f>IF('10.1 Payroll'!$C$12="Level I",'Level I_Departments'!C51,'Level IIandIII_Departments'!C51)</f>
        <v>Clinical/Medical services -&gt; Radiation Oncology Unit*</v>
      </c>
    </row>
    <row r="50" spans="1:2" x14ac:dyDescent="0.35">
      <c r="A50" s="27">
        <f t="shared" si="1"/>
        <v>49</v>
      </c>
      <c r="B50" s="27" t="str">
        <f>IF('10.1 Payroll'!$C$12="Level I",'Level I_Departments'!C52,'Level IIandIII_Departments'!C52)</f>
        <v>Clinical/Medical services -&gt; Dental</v>
      </c>
    </row>
    <row r="51" spans="1:2" x14ac:dyDescent="0.35">
      <c r="A51" s="27">
        <f t="shared" si="1"/>
        <v>50</v>
      </c>
      <c r="B51" s="27" t="str">
        <f>IF('10.1 Payroll'!$C$12="Level I",'Level I_Departments'!C53,'Level IIandIII_Departments'!C53)</f>
        <v>Clinical/Medical services -&gt; Internal Medicine Ward</v>
      </c>
    </row>
    <row r="52" spans="1:2" x14ac:dyDescent="0.35">
      <c r="A52" s="27">
        <f t="shared" si="1"/>
        <v>51</v>
      </c>
      <c r="B52" s="27" t="str">
        <f>IF('10.1 Payroll'!$C$12="Level I",'Level I_Departments'!C54,'Level IIandIII_Departments'!C54)</f>
        <v>Clinical/Medical services -&gt; Pediatric Ward</v>
      </c>
    </row>
    <row r="53" spans="1:2" x14ac:dyDescent="0.35">
      <c r="A53" s="27">
        <f t="shared" si="1"/>
        <v>52</v>
      </c>
      <c r="B53" s="27" t="str">
        <f>IF('10.1 Payroll'!$C$12="Level I",'Level I_Departments'!C55,'Level IIandIII_Departments'!C55)</f>
        <v>Clinical/Medical services -&gt; Surgical Ward</v>
      </c>
    </row>
    <row r="54" spans="1:2" x14ac:dyDescent="0.35">
      <c r="A54" s="27">
        <f t="shared" si="1"/>
        <v>53</v>
      </c>
      <c r="B54" s="27" t="str">
        <f>IF('10.1 Payroll'!$C$12="Level I",'Level I_Departments'!C56,'Level IIandIII_Departments'!C56)</f>
        <v>Clinical/Medical services -&gt; Ob/Gyne Ward</v>
      </c>
    </row>
    <row r="55" spans="1:2" x14ac:dyDescent="0.35">
      <c r="A55" s="27">
        <f t="shared" si="1"/>
        <v>54</v>
      </c>
      <c r="B55" s="27" t="str">
        <f>IF('10.1 Payroll'!$C$12="Level I",'Level I_Departments'!C57,'Level IIandIII_Departments'!C57)</f>
        <v>Clinical/Medical services -&gt; Private Ward</v>
      </c>
    </row>
    <row r="56" spans="1:2" x14ac:dyDescent="0.35">
      <c r="A56" s="27">
        <f t="shared" si="1"/>
        <v>55</v>
      </c>
      <c r="B56" s="27">
        <f>IF('10.1 Payroll'!$C$12="Level I",'Level I_Departments'!C58,'Level IIandIII_Departments'!C58)</f>
        <v>0</v>
      </c>
    </row>
    <row r="57" spans="1:2" x14ac:dyDescent="0.35">
      <c r="A57" s="27">
        <f t="shared" si="1"/>
        <v>56</v>
      </c>
      <c r="B57" s="27">
        <f>IF('10.1 Payroll'!$C$12="Level I",'Level I_Departments'!C59,'Level IIandIII_Departments'!C59)</f>
        <v>0</v>
      </c>
    </row>
    <row r="58" spans="1:2" x14ac:dyDescent="0.35">
      <c r="A58" s="27">
        <f t="shared" si="1"/>
        <v>57</v>
      </c>
      <c r="B58" s="27">
        <f>IF('10.1 Payroll'!$C$12="Level I",'Level I_Departments'!C60,'Level IIandIII_Departments'!C60)</f>
        <v>0</v>
      </c>
    </row>
    <row r="59" spans="1:2" x14ac:dyDescent="0.35">
      <c r="A59" s="27">
        <f t="shared" si="1"/>
        <v>58</v>
      </c>
      <c r="B59" s="27">
        <f>IF('10.1 Payroll'!$C$12="Level I",'Level I_Departments'!C61,'Level IIandIII_Departments'!C61)</f>
        <v>0</v>
      </c>
    </row>
    <row r="60" spans="1:2" x14ac:dyDescent="0.35">
      <c r="A60" s="27">
        <f t="shared" si="1"/>
        <v>59</v>
      </c>
      <c r="B60" s="27">
        <f>IF('10.1 Payroll'!$C$12="Level I",'Level I_Departments'!C62,'Level IIandIII_Departments'!C62)</f>
        <v>0</v>
      </c>
    </row>
    <row r="61" spans="1:2" x14ac:dyDescent="0.35">
      <c r="A61" s="27">
        <f t="shared" si="1"/>
        <v>60</v>
      </c>
      <c r="B61" s="27">
        <f>IF('10.1 Payroll'!$C$12="Level I",'Level I_Departments'!C63,'Level IIandIII_Departments'!C63)</f>
        <v>0</v>
      </c>
    </row>
    <row r="62" spans="1:2" x14ac:dyDescent="0.35">
      <c r="A62" s="27">
        <f t="shared" si="1"/>
        <v>61</v>
      </c>
      <c r="B62" s="27">
        <f>IF('10.1 Payroll'!$C$12="Level I",'Level I_Departments'!C64,'Level IIandIII_Departments'!C64)</f>
        <v>0</v>
      </c>
    </row>
    <row r="63" spans="1:2" x14ac:dyDescent="0.35">
      <c r="A63" s="27">
        <f t="shared" si="1"/>
        <v>62</v>
      </c>
      <c r="B63" s="27">
        <f>IF('10.1 Payroll'!$C$12="Level I",'Level I_Departments'!C65,'Level IIandIII_Departments'!C65)</f>
        <v>0</v>
      </c>
    </row>
    <row r="64" spans="1:2" x14ac:dyDescent="0.35">
      <c r="A64" s="27">
        <f t="shared" si="1"/>
        <v>63</v>
      </c>
      <c r="B64" s="27">
        <f>IF('10.1 Payroll'!$C$12="Level I",'Level I_Departments'!C66,'Level IIandIII_Departments'!C66)</f>
        <v>0</v>
      </c>
    </row>
    <row r="65" spans="1:2" x14ac:dyDescent="0.35">
      <c r="A65" s="27">
        <f t="shared" si="1"/>
        <v>64</v>
      </c>
      <c r="B65" s="27">
        <f>IF('10.1 Payroll'!$C$12="Level I",'Level I_Departments'!C67,'Level IIandIII_Departments'!C67)</f>
        <v>0</v>
      </c>
    </row>
    <row r="66" spans="1:2" x14ac:dyDescent="0.35">
      <c r="A66" s="27">
        <f t="shared" si="1"/>
        <v>65</v>
      </c>
      <c r="B66" s="27">
        <f>IF('10.1 Payroll'!$C$12="Level I",'Level I_Departments'!C68,'Level IIandIII_Departments'!C68)</f>
        <v>0</v>
      </c>
    </row>
    <row r="67" spans="1:2" x14ac:dyDescent="0.35">
      <c r="A67" s="27">
        <f t="shared" si="1"/>
        <v>66</v>
      </c>
      <c r="B67" s="27">
        <f>IF('10.1 Payroll'!$C$12="Level I",'Level I_Departments'!C69,'Level IIandIII_Departments'!C69)</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outlinePr summaryBelow="0" summaryRight="0"/>
  </sheetPr>
  <dimension ref="A1:C1004"/>
  <sheetViews>
    <sheetView topLeftCell="A2" workbookViewId="0">
      <selection activeCell="B22" sqref="B22"/>
    </sheetView>
  </sheetViews>
  <sheetFormatPr defaultColWidth="14.453125" defaultRowHeight="15" customHeight="1" x14ac:dyDescent="0.35"/>
  <cols>
    <col min="1" max="1" width="39.54296875" style="29" customWidth="1"/>
    <col min="2" max="2" width="65.7265625" style="29" customWidth="1"/>
    <col min="3" max="3" width="86.54296875" style="29" bestFit="1" customWidth="1"/>
    <col min="4" max="16384" width="14.453125" style="29"/>
  </cols>
  <sheetData>
    <row r="1" spans="1:3" ht="15" customHeight="1" x14ac:dyDescent="0.35">
      <c r="A1" s="43" t="s">
        <v>193</v>
      </c>
      <c r="B1" s="32"/>
    </row>
    <row r="2" spans="1:3" ht="15" customHeight="1" x14ac:dyDescent="0.35">
      <c r="A2" s="32"/>
      <c r="B2" s="32"/>
    </row>
    <row r="3" spans="1:3" ht="15" customHeight="1" x14ac:dyDescent="0.35">
      <c r="A3" s="42" t="s">
        <v>192</v>
      </c>
      <c r="B3" s="41" t="s">
        <v>191</v>
      </c>
    </row>
    <row r="4" spans="1:3" ht="15" customHeight="1" x14ac:dyDescent="0.35">
      <c r="A4" s="37" t="s">
        <v>173</v>
      </c>
      <c r="B4" s="41" t="s">
        <v>190</v>
      </c>
      <c r="C4" s="33" t="str">
        <f t="shared" ref="C4:C35" si="0">CONCATENATE(A4, " -&gt; ",B4)</f>
        <v>Administrative/Overhead services -&gt; Office of the Medical Center Chief</v>
      </c>
    </row>
    <row r="5" spans="1:3" ht="15" customHeight="1" x14ac:dyDescent="0.35">
      <c r="A5" s="37" t="s">
        <v>173</v>
      </c>
      <c r="B5" s="40" t="s">
        <v>189</v>
      </c>
      <c r="C5" s="33" t="str">
        <f t="shared" si="0"/>
        <v>Administrative/Overhead services -&gt; IT Departments</v>
      </c>
    </row>
    <row r="6" spans="1:3" ht="15" customHeight="1" x14ac:dyDescent="0.35">
      <c r="A6" s="37" t="s">
        <v>173</v>
      </c>
      <c r="B6" s="40" t="s">
        <v>188</v>
      </c>
      <c r="C6" s="33" t="str">
        <f t="shared" si="0"/>
        <v>Administrative/Overhead services -&gt; Office of the Administrative Officer</v>
      </c>
    </row>
    <row r="7" spans="1:3" ht="15" customHeight="1" x14ac:dyDescent="0.35">
      <c r="A7" s="37" t="s">
        <v>173</v>
      </c>
      <c r="B7" s="40" t="s">
        <v>187</v>
      </c>
      <c r="C7" s="33" t="str">
        <f t="shared" si="0"/>
        <v>Administrative/Overhead services -&gt; Human Resource Management</v>
      </c>
    </row>
    <row r="8" spans="1:3" ht="15" customHeight="1" x14ac:dyDescent="0.35">
      <c r="A8" s="37" t="s">
        <v>173</v>
      </c>
      <c r="B8" s="40" t="s">
        <v>186</v>
      </c>
      <c r="C8" s="33" t="str">
        <f t="shared" si="0"/>
        <v>Administrative/Overhead services -&gt; Procurement</v>
      </c>
    </row>
    <row r="9" spans="1:3" ht="15" customHeight="1" x14ac:dyDescent="0.35">
      <c r="A9" s="37" t="s">
        <v>173</v>
      </c>
      <c r="B9" s="40" t="s">
        <v>185</v>
      </c>
      <c r="C9" s="33" t="str">
        <f t="shared" si="0"/>
        <v>Administrative/Overhead services -&gt; Materials Management</v>
      </c>
    </row>
    <row r="10" spans="1:3" ht="15" customHeight="1" x14ac:dyDescent="0.35">
      <c r="A10" s="37" t="s">
        <v>173</v>
      </c>
      <c r="B10" s="40" t="s">
        <v>184</v>
      </c>
      <c r="C10" s="33" t="str">
        <f t="shared" si="0"/>
        <v>Administrative/Overhead services -&gt; Engineering and Facilities Management</v>
      </c>
    </row>
    <row r="11" spans="1:3" ht="15" customHeight="1" x14ac:dyDescent="0.35">
      <c r="A11" s="37" t="s">
        <v>173</v>
      </c>
      <c r="B11" s="40" t="s">
        <v>183</v>
      </c>
      <c r="C11" s="33" t="str">
        <f t="shared" si="0"/>
        <v>Administrative/Overhead services -&gt; Housekeeping</v>
      </c>
    </row>
    <row r="12" spans="1:3" ht="15" customHeight="1" x14ac:dyDescent="0.35">
      <c r="A12" s="37" t="s">
        <v>173</v>
      </c>
      <c r="B12" s="40" t="s">
        <v>182</v>
      </c>
      <c r="C12" s="33" t="str">
        <f t="shared" si="0"/>
        <v>Administrative/Overhead services -&gt; Budget and Accounting</v>
      </c>
    </row>
    <row r="13" spans="1:3" ht="15" customHeight="1" x14ac:dyDescent="0.35">
      <c r="A13" s="37" t="s">
        <v>173</v>
      </c>
      <c r="B13" s="40" t="s">
        <v>181</v>
      </c>
      <c r="C13" s="33" t="str">
        <f t="shared" si="0"/>
        <v>Administrative/Overhead services -&gt; Medical Social Work</v>
      </c>
    </row>
    <row r="14" spans="1:3" ht="15" customHeight="1" x14ac:dyDescent="0.35">
      <c r="A14" s="37" t="s">
        <v>173</v>
      </c>
      <c r="B14" s="40" t="s">
        <v>180</v>
      </c>
      <c r="C14" s="33" t="str">
        <f t="shared" si="0"/>
        <v>Administrative/Overhead services -&gt; Office of the Chief Nurse</v>
      </c>
    </row>
    <row r="15" spans="1:3" ht="15" customHeight="1" x14ac:dyDescent="0.35">
      <c r="A15" s="37" t="s">
        <v>173</v>
      </c>
      <c r="B15" s="40" t="s">
        <v>179</v>
      </c>
      <c r="C15" s="33" t="str">
        <f t="shared" si="0"/>
        <v>Administrative/Overhead services -&gt; Health Info Mgt (Admitting)</v>
      </c>
    </row>
    <row r="16" spans="1:3" ht="15" customHeight="1" x14ac:dyDescent="0.35">
      <c r="A16" s="37" t="s">
        <v>173</v>
      </c>
      <c r="B16" s="40" t="s">
        <v>178</v>
      </c>
      <c r="C16" s="33" t="str">
        <f t="shared" si="0"/>
        <v>Administrative/Overhead services -&gt; Central Supply Office</v>
      </c>
    </row>
    <row r="17" spans="1:3" ht="15" customHeight="1" x14ac:dyDescent="0.35">
      <c r="A17" s="37" t="s">
        <v>173</v>
      </c>
      <c r="B17" s="40" t="s">
        <v>177</v>
      </c>
      <c r="C17" s="33" t="str">
        <f t="shared" si="0"/>
        <v>Administrative/Overhead services -&gt; Billing and Claims</v>
      </c>
    </row>
    <row r="18" spans="1:3" ht="15" customHeight="1" x14ac:dyDescent="0.35">
      <c r="A18" s="37" t="s">
        <v>173</v>
      </c>
      <c r="B18" s="40" t="s">
        <v>176</v>
      </c>
      <c r="C18" s="33" t="str">
        <f t="shared" si="0"/>
        <v>Administrative/Overhead services -&gt; Cash Operations</v>
      </c>
    </row>
    <row r="19" spans="1:3" ht="15" customHeight="1" x14ac:dyDescent="0.35">
      <c r="A19" s="37" t="s">
        <v>173</v>
      </c>
      <c r="B19" s="40" t="s">
        <v>175</v>
      </c>
      <c r="C19" s="33" t="str">
        <f t="shared" si="0"/>
        <v>Administrative/Overhead services -&gt; Security</v>
      </c>
    </row>
    <row r="20" spans="1:3" ht="15" customHeight="1" x14ac:dyDescent="0.35">
      <c r="A20" s="37" t="s">
        <v>173</v>
      </c>
      <c r="B20" s="40" t="s">
        <v>174</v>
      </c>
      <c r="C20" s="33" t="str">
        <f t="shared" si="0"/>
        <v>Administrative/Overhead services -&gt; Office of the Chief of Medical Professional Staff</v>
      </c>
    </row>
    <row r="21" spans="1:3" ht="15" customHeight="1" x14ac:dyDescent="0.35">
      <c r="A21" s="37" t="s">
        <v>173</v>
      </c>
      <c r="B21" s="37" t="s">
        <v>154</v>
      </c>
      <c r="C21" s="33" t="str">
        <f t="shared" si="0"/>
        <v>Administrative/Overhead services -&gt; Others</v>
      </c>
    </row>
    <row r="22" spans="1:3" ht="15" customHeight="1" x14ac:dyDescent="0.35">
      <c r="A22" s="34" t="s">
        <v>155</v>
      </c>
      <c r="B22" s="34" t="s">
        <v>172</v>
      </c>
      <c r="C22" s="33" t="str">
        <f t="shared" si="0"/>
        <v>Ancillary services/Support services -&gt; Laundry</v>
      </c>
    </row>
    <row r="23" spans="1:3" ht="15" customHeight="1" x14ac:dyDescent="0.35">
      <c r="A23" s="34" t="s">
        <v>155</v>
      </c>
      <c r="B23" s="34" t="s">
        <v>171</v>
      </c>
      <c r="C23" s="33" t="str">
        <f t="shared" si="0"/>
        <v>Ancillary services/Support services -&gt; Nutrition and Dietetics</v>
      </c>
    </row>
    <row r="24" spans="1:3" ht="15" customHeight="1" x14ac:dyDescent="0.35">
      <c r="A24" s="34" t="s">
        <v>155</v>
      </c>
      <c r="B24" s="36" t="s">
        <v>170</v>
      </c>
      <c r="C24" s="33" t="str">
        <f t="shared" si="0"/>
        <v>Ancillary services/Support services -&gt; Sterilization</v>
      </c>
    </row>
    <row r="25" spans="1:3" ht="15" customHeight="1" x14ac:dyDescent="0.35">
      <c r="A25" s="34" t="s">
        <v>155</v>
      </c>
      <c r="B25" s="34" t="s">
        <v>169</v>
      </c>
      <c r="C25" s="33" t="str">
        <f t="shared" si="0"/>
        <v>Ancillary services/Support services -&gt; Pharmacy</v>
      </c>
    </row>
    <row r="26" spans="1:3" ht="14.5" x14ac:dyDescent="0.35">
      <c r="A26" s="34" t="s">
        <v>155</v>
      </c>
      <c r="B26" s="36" t="s">
        <v>168</v>
      </c>
      <c r="C26" s="33" t="str">
        <f t="shared" si="0"/>
        <v>Ancillary services/Support services -&gt; Blood Bank</v>
      </c>
    </row>
    <row r="27" spans="1:3" ht="14.5" x14ac:dyDescent="0.35">
      <c r="A27" s="34" t="s">
        <v>155</v>
      </c>
      <c r="B27" s="34" t="s">
        <v>167</v>
      </c>
      <c r="C27" s="33" t="str">
        <f t="shared" si="0"/>
        <v>Ancillary services/Support services -&gt; Laboratory</v>
      </c>
    </row>
    <row r="28" spans="1:3" ht="14.5" x14ac:dyDescent="0.35">
      <c r="A28" s="34" t="s">
        <v>155</v>
      </c>
      <c r="B28" s="34" t="s">
        <v>166</v>
      </c>
      <c r="C28" s="33" t="str">
        <f t="shared" si="0"/>
        <v>Ancillary services/Support services -&gt; Radiology / Diagnostic Imaging (CT Scan, MRI, ECG, Mammography, Endoscopy)</v>
      </c>
    </row>
    <row r="29" spans="1:3" ht="14.5" x14ac:dyDescent="0.35">
      <c r="A29" s="34" t="s">
        <v>155</v>
      </c>
      <c r="B29" s="34" t="s">
        <v>165</v>
      </c>
      <c r="C29" s="33" t="str">
        <f t="shared" si="0"/>
        <v>Ancillary services/Support services -&gt; Physiotherapy / Rehabilitation</v>
      </c>
    </row>
    <row r="30" spans="1:3" ht="14.5" x14ac:dyDescent="0.35">
      <c r="A30" s="34" t="s">
        <v>155</v>
      </c>
      <c r="B30" s="34" t="s">
        <v>164</v>
      </c>
      <c r="C30" s="33" t="str">
        <f t="shared" si="0"/>
        <v>Ancillary services/Support services -&gt; Delivery Room</v>
      </c>
    </row>
    <row r="31" spans="1:3" ht="14.5" x14ac:dyDescent="0.35">
      <c r="A31" s="34" t="s">
        <v>155</v>
      </c>
      <c r="B31" s="39" t="s">
        <v>163</v>
      </c>
      <c r="C31" s="33" t="str">
        <f t="shared" si="0"/>
        <v>Ancillary services/Support services -&gt; Operating Room / Aneasthesiology / PACU / Recovery Room</v>
      </c>
    </row>
    <row r="32" spans="1:3" ht="14.5" x14ac:dyDescent="0.35">
      <c r="A32" s="34" t="s">
        <v>155</v>
      </c>
      <c r="B32" s="34" t="s">
        <v>162</v>
      </c>
      <c r="C32" s="33" t="str">
        <f t="shared" si="0"/>
        <v>Ancillary services/Support services -&gt; Respiratory Unit</v>
      </c>
    </row>
    <row r="33" spans="1:3" ht="14.5" x14ac:dyDescent="0.35">
      <c r="A33" s="34" t="s">
        <v>155</v>
      </c>
      <c r="B33" s="39" t="s">
        <v>161</v>
      </c>
      <c r="C33" s="33" t="str">
        <f t="shared" si="0"/>
        <v>Ancillary services/Support services -&gt; Medical ICU</v>
      </c>
    </row>
    <row r="34" spans="1:3" ht="14.5" x14ac:dyDescent="0.35">
      <c r="A34" s="34" t="s">
        <v>155</v>
      </c>
      <c r="B34" s="39" t="s">
        <v>160</v>
      </c>
      <c r="C34" s="33" t="str">
        <f t="shared" si="0"/>
        <v>Ancillary services/Support services -&gt; Neonatal ICU*</v>
      </c>
    </row>
    <row r="35" spans="1:3" ht="14.5" x14ac:dyDescent="0.35">
      <c r="A35" s="34" t="s">
        <v>155</v>
      </c>
      <c r="B35" s="39" t="s">
        <v>159</v>
      </c>
      <c r="C35" s="33" t="str">
        <f t="shared" si="0"/>
        <v>Ancillary services/Support services -&gt; Surgical ICU*</v>
      </c>
    </row>
    <row r="36" spans="1:3" ht="14.5" x14ac:dyDescent="0.35">
      <c r="A36" s="34" t="s">
        <v>155</v>
      </c>
      <c r="B36" s="39" t="s">
        <v>158</v>
      </c>
      <c r="C36" s="33" t="str">
        <f t="shared" ref="C36:C57" si="1">CONCATENATE(A36, " -&gt; ",B36)</f>
        <v>Ancillary services/Support services -&gt; Pediatric ICU*</v>
      </c>
    </row>
    <row r="37" spans="1:3" ht="14.5" x14ac:dyDescent="0.35">
      <c r="A37" s="34" t="s">
        <v>155</v>
      </c>
      <c r="B37" s="36" t="s">
        <v>157</v>
      </c>
      <c r="C37" s="33" t="str">
        <f t="shared" si="1"/>
        <v>Ancillary services/Support services -&gt; Burn Unit</v>
      </c>
    </row>
    <row r="38" spans="1:3" ht="14.5" x14ac:dyDescent="0.35">
      <c r="A38" s="34" t="s">
        <v>155</v>
      </c>
      <c r="B38" s="36" t="s">
        <v>156</v>
      </c>
      <c r="C38" s="33" t="str">
        <f t="shared" si="1"/>
        <v>Ancillary services/Support services -&gt; Morgue</v>
      </c>
    </row>
    <row r="39" spans="1:3" ht="14.5" x14ac:dyDescent="0.35">
      <c r="A39" s="34" t="s">
        <v>155</v>
      </c>
      <c r="B39" s="38" t="s">
        <v>154</v>
      </c>
      <c r="C39" s="33" t="str">
        <f t="shared" si="1"/>
        <v>Ancillary services/Support services -&gt; Others</v>
      </c>
    </row>
    <row r="40" spans="1:3" ht="14.5" x14ac:dyDescent="0.35">
      <c r="A40" s="35" t="s">
        <v>136</v>
      </c>
      <c r="B40" s="37" t="s">
        <v>153</v>
      </c>
      <c r="C40" s="33" t="str">
        <f t="shared" si="1"/>
        <v>Clinical/Medical services -&gt; Outpatient Department (general)</v>
      </c>
    </row>
    <row r="41" spans="1:3" ht="14.5" x14ac:dyDescent="0.35">
      <c r="A41" s="35" t="s">
        <v>136</v>
      </c>
      <c r="B41" s="34" t="s">
        <v>152</v>
      </c>
      <c r="C41" s="33" t="str">
        <f t="shared" si="1"/>
        <v>Clinical/Medical services -&gt; Animal Bite Center</v>
      </c>
    </row>
    <row r="42" spans="1:3" ht="14.5" x14ac:dyDescent="0.35">
      <c r="A42" s="35" t="s">
        <v>136</v>
      </c>
      <c r="B42" s="34" t="s">
        <v>151</v>
      </c>
      <c r="C42" s="33" t="str">
        <f t="shared" si="1"/>
        <v>Clinical/Medical services -&gt; TB Dots</v>
      </c>
    </row>
    <row r="43" spans="1:3" ht="14.5" x14ac:dyDescent="0.35">
      <c r="A43" s="35" t="s">
        <v>136</v>
      </c>
      <c r="B43" s="34" t="s">
        <v>150</v>
      </c>
      <c r="C43" s="33" t="str">
        <f t="shared" si="1"/>
        <v>Clinical/Medical services -&gt; HIV Aids</v>
      </c>
    </row>
    <row r="44" spans="1:3" ht="14.5" x14ac:dyDescent="0.35">
      <c r="A44" s="35" t="s">
        <v>136</v>
      </c>
      <c r="B44" s="34" t="s">
        <v>149</v>
      </c>
      <c r="C44" s="33" t="str">
        <f t="shared" si="1"/>
        <v>Clinical/Medical services -&gt; Family Planning Unit</v>
      </c>
    </row>
    <row r="45" spans="1:3" ht="14.5" x14ac:dyDescent="0.35">
      <c r="A45" s="35" t="s">
        <v>136</v>
      </c>
      <c r="B45" s="34" t="s">
        <v>148</v>
      </c>
      <c r="C45" s="33" t="str">
        <f t="shared" si="1"/>
        <v>Clinical/Medical services -&gt; Smoking Cessation</v>
      </c>
    </row>
    <row r="46" spans="1:3" ht="14.5" x14ac:dyDescent="0.35">
      <c r="A46" s="35" t="s">
        <v>136</v>
      </c>
      <c r="B46" s="34" t="s">
        <v>147</v>
      </c>
      <c r="C46" s="33" t="str">
        <f t="shared" si="1"/>
        <v>Clinical/Medical services -&gt; Malaria</v>
      </c>
    </row>
    <row r="47" spans="1:3" ht="14.5" x14ac:dyDescent="0.35">
      <c r="A47" s="35" t="s">
        <v>136</v>
      </c>
      <c r="B47" s="36" t="s">
        <v>146</v>
      </c>
      <c r="C47" s="33" t="str">
        <f t="shared" si="1"/>
        <v xml:space="preserve">Clinical/Medical services -&gt; Diabetes </v>
      </c>
    </row>
    <row r="48" spans="1:3" ht="14.5" x14ac:dyDescent="0.35">
      <c r="A48" s="35" t="s">
        <v>136</v>
      </c>
      <c r="B48" s="34" t="s">
        <v>145</v>
      </c>
      <c r="C48" s="33" t="str">
        <f t="shared" si="1"/>
        <v>Clinical/Medical services -&gt; Hypertension</v>
      </c>
    </row>
    <row r="49" spans="1:3" ht="14.5" x14ac:dyDescent="0.35">
      <c r="A49" s="35" t="s">
        <v>136</v>
      </c>
      <c r="B49" s="34" t="s">
        <v>144</v>
      </c>
      <c r="C49" s="33" t="str">
        <f t="shared" si="1"/>
        <v>Clinical/Medical services -&gt; Emergency Medicine Department</v>
      </c>
    </row>
    <row r="50" spans="1:3" ht="14.5" x14ac:dyDescent="0.35">
      <c r="A50" s="35" t="s">
        <v>136</v>
      </c>
      <c r="B50" s="34" t="s">
        <v>143</v>
      </c>
      <c r="C50" s="33" t="str">
        <f t="shared" si="1"/>
        <v>Clinical/Medical services -&gt; Dialysis Unit</v>
      </c>
    </row>
    <row r="51" spans="1:3" ht="14.5" x14ac:dyDescent="0.35">
      <c r="A51" s="35" t="s">
        <v>136</v>
      </c>
      <c r="B51" s="34" t="s">
        <v>142</v>
      </c>
      <c r="C51" s="33" t="str">
        <f t="shared" si="1"/>
        <v>Clinical/Medical services -&gt; Radiation Oncology Unit*</v>
      </c>
    </row>
    <row r="52" spans="1:3" ht="14.5" x14ac:dyDescent="0.35">
      <c r="A52" s="35" t="s">
        <v>136</v>
      </c>
      <c r="B52" s="34" t="s">
        <v>141</v>
      </c>
      <c r="C52" s="33" t="str">
        <f t="shared" si="1"/>
        <v>Clinical/Medical services -&gt; Dental</v>
      </c>
    </row>
    <row r="53" spans="1:3" ht="14.5" x14ac:dyDescent="0.35">
      <c r="A53" s="35" t="s">
        <v>136</v>
      </c>
      <c r="B53" s="34" t="s">
        <v>140</v>
      </c>
      <c r="C53" s="33" t="str">
        <f t="shared" si="1"/>
        <v>Clinical/Medical services -&gt; Internal Medicine Ward</v>
      </c>
    </row>
    <row r="54" spans="1:3" ht="14.5" x14ac:dyDescent="0.35">
      <c r="A54" s="35" t="s">
        <v>136</v>
      </c>
      <c r="B54" s="34" t="s">
        <v>139</v>
      </c>
      <c r="C54" s="33" t="str">
        <f t="shared" si="1"/>
        <v>Clinical/Medical services -&gt; Pediatric Ward</v>
      </c>
    </row>
    <row r="55" spans="1:3" ht="14.5" x14ac:dyDescent="0.35">
      <c r="A55" s="35" t="s">
        <v>136</v>
      </c>
      <c r="B55" s="34" t="s">
        <v>138</v>
      </c>
      <c r="C55" s="33" t="str">
        <f t="shared" si="1"/>
        <v>Clinical/Medical services -&gt; Surgical Ward</v>
      </c>
    </row>
    <row r="56" spans="1:3" ht="14.5" x14ac:dyDescent="0.35">
      <c r="A56" s="35" t="s">
        <v>136</v>
      </c>
      <c r="B56" s="34" t="s">
        <v>137</v>
      </c>
      <c r="C56" s="33" t="str">
        <f t="shared" si="1"/>
        <v>Clinical/Medical services -&gt; Ob/Gyne Ward</v>
      </c>
    </row>
    <row r="57" spans="1:3" ht="14.5" x14ac:dyDescent="0.35">
      <c r="A57" s="35" t="s">
        <v>136</v>
      </c>
      <c r="B57" s="34" t="s">
        <v>135</v>
      </c>
      <c r="C57" s="33" t="str">
        <f t="shared" si="1"/>
        <v>Clinical/Medical services -&gt; Private Ward</v>
      </c>
    </row>
    <row r="58" spans="1:3" ht="14.5" x14ac:dyDescent="0.35">
      <c r="A58" s="32"/>
      <c r="B58" s="32"/>
    </row>
    <row r="59" spans="1:3" ht="14.5" x14ac:dyDescent="0.35">
      <c r="A59" s="32"/>
      <c r="B59" s="32"/>
    </row>
    <row r="60" spans="1:3" ht="14.5" x14ac:dyDescent="0.35">
      <c r="A60" s="32"/>
      <c r="B60" s="32"/>
    </row>
    <row r="61" spans="1:3" ht="14.5" x14ac:dyDescent="0.35">
      <c r="A61" s="32"/>
      <c r="B61" s="32"/>
    </row>
    <row r="62" spans="1:3" ht="14.5" x14ac:dyDescent="0.35">
      <c r="A62" s="32" t="s">
        <v>134</v>
      </c>
      <c r="B62" s="31" t="s">
        <v>133</v>
      </c>
    </row>
    <row r="63" spans="1:3" ht="14.5" x14ac:dyDescent="0.35">
      <c r="A63" s="32"/>
      <c r="B63" s="31" t="s">
        <v>132</v>
      </c>
    </row>
    <row r="64" spans="1:3" ht="14.5" x14ac:dyDescent="0.35">
      <c r="A64" s="30"/>
      <c r="B64" s="30"/>
    </row>
    <row r="65" spans="1:2" ht="14.5" x14ac:dyDescent="0.35">
      <c r="A65" s="30"/>
      <c r="B65" s="30"/>
    </row>
    <row r="66" spans="1:2" ht="14.5" x14ac:dyDescent="0.35">
      <c r="A66" s="30"/>
      <c r="B66" s="30"/>
    </row>
    <row r="67" spans="1:2" ht="14.5" x14ac:dyDescent="0.35">
      <c r="A67" s="30"/>
      <c r="B67" s="30"/>
    </row>
    <row r="68" spans="1:2" ht="14.5" x14ac:dyDescent="0.35">
      <c r="A68" s="30"/>
      <c r="B68" s="30"/>
    </row>
    <row r="69" spans="1:2" ht="14.5" x14ac:dyDescent="0.35">
      <c r="A69" s="30"/>
      <c r="B69" s="30"/>
    </row>
    <row r="70" spans="1:2" ht="14.5" x14ac:dyDescent="0.35">
      <c r="A70" s="30"/>
      <c r="B70" s="30"/>
    </row>
    <row r="71" spans="1:2" ht="14.5" x14ac:dyDescent="0.35">
      <c r="A71" s="30"/>
      <c r="B71" s="30"/>
    </row>
    <row r="72" spans="1:2" ht="14.5" x14ac:dyDescent="0.35">
      <c r="A72" s="30"/>
      <c r="B72" s="30"/>
    </row>
    <row r="73" spans="1:2" ht="14.5" x14ac:dyDescent="0.35">
      <c r="A73" s="30"/>
      <c r="B73" s="30"/>
    </row>
    <row r="74" spans="1:2" ht="14.5" x14ac:dyDescent="0.35">
      <c r="A74" s="30"/>
      <c r="B74" s="30"/>
    </row>
    <row r="75" spans="1:2" ht="14.5" x14ac:dyDescent="0.35">
      <c r="A75" s="30"/>
      <c r="B75" s="30"/>
    </row>
    <row r="76" spans="1:2" ht="14.5" x14ac:dyDescent="0.35">
      <c r="A76" s="30"/>
      <c r="B76" s="30"/>
    </row>
    <row r="77" spans="1:2" ht="14.5" x14ac:dyDescent="0.35">
      <c r="A77" s="30"/>
      <c r="B77" s="30"/>
    </row>
    <row r="78" spans="1:2" ht="14.5" x14ac:dyDescent="0.35">
      <c r="A78" s="30"/>
      <c r="B78" s="30"/>
    </row>
    <row r="79" spans="1:2" ht="14.5" x14ac:dyDescent="0.35">
      <c r="A79" s="30"/>
      <c r="B79" s="30"/>
    </row>
    <row r="80" spans="1:2" ht="14.5" x14ac:dyDescent="0.35">
      <c r="A80" s="30"/>
      <c r="B80" s="30"/>
    </row>
    <row r="81" spans="1:2" ht="14.5" x14ac:dyDescent="0.35">
      <c r="A81" s="30"/>
      <c r="B81" s="30"/>
    </row>
    <row r="82" spans="1:2" ht="14.5" x14ac:dyDescent="0.35">
      <c r="A82" s="30"/>
      <c r="B82" s="30"/>
    </row>
    <row r="83" spans="1:2" ht="14.5" x14ac:dyDescent="0.35">
      <c r="A83" s="30"/>
      <c r="B83" s="30"/>
    </row>
    <row r="84" spans="1:2" ht="14.5" x14ac:dyDescent="0.35">
      <c r="A84" s="30"/>
      <c r="B84" s="30"/>
    </row>
    <row r="85" spans="1:2" ht="14.5" x14ac:dyDescent="0.35">
      <c r="A85" s="30"/>
      <c r="B85" s="30"/>
    </row>
    <row r="86" spans="1:2" ht="14.5" x14ac:dyDescent="0.35">
      <c r="A86" s="30"/>
      <c r="B86" s="30"/>
    </row>
    <row r="87" spans="1:2" ht="14.5" x14ac:dyDescent="0.35">
      <c r="A87" s="30"/>
      <c r="B87" s="30"/>
    </row>
    <row r="88" spans="1:2" ht="14.5" x14ac:dyDescent="0.35">
      <c r="A88" s="30"/>
      <c r="B88" s="30"/>
    </row>
    <row r="89" spans="1:2" ht="14.5" x14ac:dyDescent="0.35">
      <c r="A89" s="30"/>
      <c r="B89" s="30"/>
    </row>
    <row r="90" spans="1:2" ht="14.5" x14ac:dyDescent="0.35">
      <c r="A90" s="30"/>
      <c r="B90" s="30"/>
    </row>
    <row r="91" spans="1:2" ht="14.5" x14ac:dyDescent="0.35">
      <c r="A91" s="30"/>
      <c r="B91" s="30"/>
    </row>
    <row r="92" spans="1:2" ht="14.5" x14ac:dyDescent="0.35">
      <c r="A92" s="30"/>
      <c r="B92" s="30"/>
    </row>
    <row r="93" spans="1:2" ht="14.5" x14ac:dyDescent="0.35">
      <c r="A93" s="30"/>
      <c r="B93" s="30"/>
    </row>
    <row r="94" spans="1:2" ht="14.5" x14ac:dyDescent="0.35">
      <c r="A94" s="30"/>
      <c r="B94" s="30"/>
    </row>
    <row r="95" spans="1:2" ht="14.5" x14ac:dyDescent="0.35">
      <c r="A95" s="30"/>
      <c r="B95" s="30"/>
    </row>
    <row r="96" spans="1:2" ht="14.5" x14ac:dyDescent="0.35">
      <c r="A96" s="30"/>
      <c r="B96" s="30"/>
    </row>
    <row r="97" spans="1:2" ht="14.5" x14ac:dyDescent="0.35">
      <c r="A97" s="30"/>
      <c r="B97" s="30"/>
    </row>
    <row r="98" spans="1:2" ht="14.5" x14ac:dyDescent="0.35">
      <c r="A98" s="30"/>
      <c r="B98" s="30"/>
    </row>
    <row r="99" spans="1:2" ht="14.5" x14ac:dyDescent="0.35">
      <c r="A99" s="30"/>
      <c r="B99" s="30"/>
    </row>
    <row r="100" spans="1:2" ht="14.5" x14ac:dyDescent="0.35">
      <c r="A100" s="30"/>
      <c r="B100" s="30"/>
    </row>
    <row r="101" spans="1:2" ht="14.5" x14ac:dyDescent="0.35">
      <c r="A101" s="30"/>
      <c r="B101" s="30"/>
    </row>
    <row r="102" spans="1:2" ht="14.5" x14ac:dyDescent="0.35">
      <c r="A102" s="30"/>
      <c r="B102" s="30"/>
    </row>
    <row r="103" spans="1:2" ht="14.5" x14ac:dyDescent="0.35">
      <c r="A103" s="30"/>
      <c r="B103" s="30"/>
    </row>
    <row r="104" spans="1:2" ht="14.5" x14ac:dyDescent="0.35">
      <c r="A104" s="30"/>
      <c r="B104" s="30"/>
    </row>
    <row r="105" spans="1:2" ht="14.5" x14ac:dyDescent="0.35">
      <c r="A105" s="30"/>
      <c r="B105" s="30"/>
    </row>
    <row r="106" spans="1:2" ht="14.5" x14ac:dyDescent="0.35">
      <c r="A106" s="30"/>
      <c r="B106" s="30"/>
    </row>
    <row r="107" spans="1:2" ht="14.5" x14ac:dyDescent="0.35">
      <c r="A107" s="30"/>
      <c r="B107" s="30"/>
    </row>
    <row r="108" spans="1:2" ht="14.5" x14ac:dyDescent="0.35">
      <c r="A108" s="30"/>
      <c r="B108" s="30"/>
    </row>
    <row r="109" spans="1:2" ht="14.5" x14ac:dyDescent="0.35">
      <c r="A109" s="30"/>
      <c r="B109" s="30"/>
    </row>
    <row r="110" spans="1:2" ht="14.5" x14ac:dyDescent="0.35">
      <c r="A110" s="30"/>
      <c r="B110" s="30"/>
    </row>
    <row r="111" spans="1:2" ht="14.5" x14ac:dyDescent="0.35">
      <c r="A111" s="30"/>
      <c r="B111" s="30"/>
    </row>
    <row r="112" spans="1:2" ht="14.5" x14ac:dyDescent="0.35">
      <c r="A112" s="30"/>
      <c r="B112" s="30"/>
    </row>
    <row r="113" spans="1:2" ht="14.5" x14ac:dyDescent="0.35">
      <c r="A113" s="30"/>
      <c r="B113" s="30"/>
    </row>
    <row r="114" spans="1:2" ht="14.5" x14ac:dyDescent="0.35">
      <c r="A114" s="30"/>
      <c r="B114" s="30"/>
    </row>
    <row r="115" spans="1:2" ht="14.5" x14ac:dyDescent="0.35">
      <c r="A115" s="30"/>
      <c r="B115" s="30"/>
    </row>
    <row r="116" spans="1:2" ht="14.5" x14ac:dyDescent="0.35">
      <c r="A116" s="30"/>
      <c r="B116" s="30"/>
    </row>
    <row r="117" spans="1:2" ht="14.5" x14ac:dyDescent="0.35">
      <c r="A117" s="30"/>
      <c r="B117" s="30"/>
    </row>
    <row r="118" spans="1:2" ht="14.5" x14ac:dyDescent="0.35">
      <c r="A118" s="30"/>
      <c r="B118" s="30"/>
    </row>
    <row r="119" spans="1:2" ht="14.5" x14ac:dyDescent="0.35">
      <c r="A119" s="30"/>
      <c r="B119" s="30"/>
    </row>
    <row r="120" spans="1:2" ht="14.5" x14ac:dyDescent="0.35">
      <c r="A120" s="30"/>
      <c r="B120" s="30"/>
    </row>
    <row r="121" spans="1:2" ht="14.5" x14ac:dyDescent="0.35">
      <c r="A121" s="30"/>
      <c r="B121" s="30"/>
    </row>
    <row r="122" spans="1:2" ht="14.5" x14ac:dyDescent="0.35">
      <c r="A122" s="30"/>
      <c r="B122" s="30"/>
    </row>
    <row r="123" spans="1:2" ht="14.5" x14ac:dyDescent="0.35">
      <c r="A123" s="30"/>
      <c r="B123" s="30"/>
    </row>
    <row r="124" spans="1:2" ht="14.5" x14ac:dyDescent="0.35">
      <c r="A124" s="30"/>
      <c r="B124" s="30"/>
    </row>
    <row r="125" spans="1:2" ht="14.5" x14ac:dyDescent="0.35">
      <c r="A125" s="30"/>
      <c r="B125" s="30"/>
    </row>
    <row r="126" spans="1:2" ht="14.5" x14ac:dyDescent="0.35">
      <c r="A126" s="30"/>
      <c r="B126" s="30"/>
    </row>
    <row r="127" spans="1:2" ht="14.5" x14ac:dyDescent="0.35">
      <c r="A127" s="30"/>
      <c r="B127" s="30"/>
    </row>
    <row r="128" spans="1:2" ht="14.5" x14ac:dyDescent="0.35">
      <c r="A128" s="30"/>
      <c r="B128" s="30"/>
    </row>
    <row r="129" spans="1:2" ht="14.5" x14ac:dyDescent="0.35">
      <c r="A129" s="30"/>
      <c r="B129" s="30"/>
    </row>
    <row r="130" spans="1:2" ht="14.5" x14ac:dyDescent="0.35">
      <c r="A130" s="30"/>
      <c r="B130" s="30"/>
    </row>
    <row r="131" spans="1:2" ht="14.5" x14ac:dyDescent="0.35">
      <c r="A131" s="30"/>
      <c r="B131" s="30"/>
    </row>
    <row r="132" spans="1:2" ht="14.5" x14ac:dyDescent="0.35">
      <c r="A132" s="30"/>
      <c r="B132" s="30"/>
    </row>
    <row r="133" spans="1:2" ht="14.5" x14ac:dyDescent="0.35">
      <c r="A133" s="30"/>
      <c r="B133" s="30"/>
    </row>
    <row r="134" spans="1:2" ht="14.5" x14ac:dyDescent="0.35">
      <c r="A134" s="30"/>
      <c r="B134" s="30"/>
    </row>
    <row r="135" spans="1:2" ht="14.5" x14ac:dyDescent="0.35">
      <c r="A135" s="30"/>
      <c r="B135" s="30"/>
    </row>
    <row r="136" spans="1:2" ht="14.5" x14ac:dyDescent="0.35">
      <c r="A136" s="30"/>
      <c r="B136" s="30"/>
    </row>
    <row r="137" spans="1:2" ht="14.5" x14ac:dyDescent="0.35">
      <c r="A137" s="30"/>
      <c r="B137" s="30"/>
    </row>
    <row r="138" spans="1:2" ht="14.5" x14ac:dyDescent="0.35">
      <c r="A138" s="30"/>
      <c r="B138" s="30"/>
    </row>
    <row r="139" spans="1:2" ht="14.5" x14ac:dyDescent="0.35">
      <c r="A139" s="30"/>
      <c r="B139" s="30"/>
    </row>
    <row r="140" spans="1:2" ht="14.5" x14ac:dyDescent="0.35">
      <c r="A140" s="30"/>
      <c r="B140" s="30"/>
    </row>
    <row r="141" spans="1:2" ht="14.5" x14ac:dyDescent="0.35">
      <c r="A141" s="30"/>
      <c r="B141" s="30"/>
    </row>
    <row r="142" spans="1:2" ht="14.5" x14ac:dyDescent="0.35">
      <c r="A142" s="30"/>
      <c r="B142" s="30"/>
    </row>
    <row r="143" spans="1:2" ht="14.5" x14ac:dyDescent="0.35">
      <c r="A143" s="30"/>
      <c r="B143" s="30"/>
    </row>
    <row r="144" spans="1:2" ht="14.5" x14ac:dyDescent="0.35">
      <c r="A144" s="30"/>
      <c r="B144" s="30"/>
    </row>
    <row r="145" spans="1:2" ht="14.5" x14ac:dyDescent="0.35">
      <c r="A145" s="30"/>
      <c r="B145" s="30"/>
    </row>
    <row r="146" spans="1:2" ht="14.5" x14ac:dyDescent="0.35">
      <c r="A146" s="30"/>
      <c r="B146" s="30"/>
    </row>
    <row r="147" spans="1:2" ht="14.5" x14ac:dyDescent="0.35">
      <c r="A147" s="30"/>
      <c r="B147" s="30"/>
    </row>
    <row r="148" spans="1:2" ht="14.5" x14ac:dyDescent="0.35">
      <c r="A148" s="30"/>
      <c r="B148" s="30"/>
    </row>
    <row r="149" spans="1:2" ht="14.5" x14ac:dyDescent="0.35">
      <c r="A149" s="30"/>
      <c r="B149" s="30"/>
    </row>
    <row r="150" spans="1:2" ht="14.5" x14ac:dyDescent="0.35">
      <c r="A150" s="30"/>
      <c r="B150" s="30"/>
    </row>
    <row r="151" spans="1:2" ht="14.5" x14ac:dyDescent="0.35">
      <c r="A151" s="30"/>
      <c r="B151" s="30"/>
    </row>
    <row r="152" spans="1:2" ht="14.5" x14ac:dyDescent="0.35">
      <c r="A152" s="30"/>
      <c r="B152" s="30"/>
    </row>
    <row r="153" spans="1:2" ht="14.5" x14ac:dyDescent="0.35">
      <c r="A153" s="30"/>
      <c r="B153" s="30"/>
    </row>
    <row r="154" spans="1:2" ht="14.5" x14ac:dyDescent="0.35">
      <c r="A154" s="30"/>
      <c r="B154" s="30"/>
    </row>
    <row r="155" spans="1:2" ht="14.5" x14ac:dyDescent="0.35">
      <c r="A155" s="30"/>
      <c r="B155" s="30"/>
    </row>
    <row r="156" spans="1:2" ht="14.5" x14ac:dyDescent="0.35">
      <c r="A156" s="30"/>
      <c r="B156" s="30"/>
    </row>
    <row r="157" spans="1:2" ht="14.5" x14ac:dyDescent="0.35">
      <c r="A157" s="30"/>
      <c r="B157" s="30"/>
    </row>
    <row r="158" spans="1:2" ht="14.5" x14ac:dyDescent="0.35">
      <c r="A158" s="30"/>
      <c r="B158" s="30"/>
    </row>
    <row r="159" spans="1:2" ht="14.5" x14ac:dyDescent="0.35">
      <c r="A159" s="30"/>
      <c r="B159" s="30"/>
    </row>
    <row r="160" spans="1:2" ht="14.5" x14ac:dyDescent="0.35">
      <c r="A160" s="30"/>
      <c r="B160" s="30"/>
    </row>
    <row r="161" spans="1:2" ht="14.5" x14ac:dyDescent="0.35">
      <c r="A161" s="30"/>
      <c r="B161" s="30"/>
    </row>
    <row r="162" spans="1:2" ht="14.5" x14ac:dyDescent="0.35">
      <c r="A162" s="30"/>
      <c r="B162" s="30"/>
    </row>
    <row r="163" spans="1:2" ht="14.5" x14ac:dyDescent="0.35">
      <c r="A163" s="30"/>
      <c r="B163" s="30"/>
    </row>
    <row r="164" spans="1:2" ht="14.5" x14ac:dyDescent="0.35">
      <c r="A164" s="30"/>
      <c r="B164" s="30"/>
    </row>
    <row r="165" spans="1:2" ht="14.5" x14ac:dyDescent="0.35">
      <c r="A165" s="30"/>
      <c r="B165" s="30"/>
    </row>
    <row r="166" spans="1:2" ht="14.5" x14ac:dyDescent="0.35">
      <c r="A166" s="30"/>
      <c r="B166" s="30"/>
    </row>
    <row r="167" spans="1:2" ht="14.5" x14ac:dyDescent="0.35">
      <c r="A167" s="30"/>
      <c r="B167" s="30"/>
    </row>
    <row r="168" spans="1:2" ht="14.5" x14ac:dyDescent="0.35">
      <c r="A168" s="30"/>
      <c r="B168" s="30"/>
    </row>
    <row r="169" spans="1:2" ht="14.5" x14ac:dyDescent="0.35">
      <c r="A169" s="30"/>
      <c r="B169" s="30"/>
    </row>
    <row r="170" spans="1:2" ht="14.5" x14ac:dyDescent="0.35">
      <c r="A170" s="30"/>
      <c r="B170" s="30"/>
    </row>
    <row r="171" spans="1:2" ht="14.5" x14ac:dyDescent="0.35">
      <c r="A171" s="30"/>
      <c r="B171" s="30"/>
    </row>
    <row r="172" spans="1:2" ht="14.5" x14ac:dyDescent="0.35">
      <c r="A172" s="30"/>
      <c r="B172" s="30"/>
    </row>
    <row r="173" spans="1:2" ht="14.5" x14ac:dyDescent="0.35">
      <c r="A173" s="30"/>
      <c r="B173" s="30"/>
    </row>
    <row r="174" spans="1:2" ht="14.5" x14ac:dyDescent="0.35">
      <c r="A174" s="30"/>
      <c r="B174" s="30"/>
    </row>
    <row r="175" spans="1:2" ht="14.5" x14ac:dyDescent="0.35">
      <c r="A175" s="30"/>
      <c r="B175" s="30"/>
    </row>
    <row r="176" spans="1:2" ht="14.5" x14ac:dyDescent="0.35">
      <c r="A176" s="30"/>
      <c r="B176" s="30"/>
    </row>
    <row r="177" spans="1:2" ht="14.5" x14ac:dyDescent="0.35">
      <c r="A177" s="30"/>
      <c r="B177" s="30"/>
    </row>
    <row r="178" spans="1:2" ht="14.5" x14ac:dyDescent="0.35">
      <c r="A178" s="30"/>
      <c r="B178" s="30"/>
    </row>
    <row r="179" spans="1:2" ht="14.5" x14ac:dyDescent="0.35">
      <c r="A179" s="30"/>
      <c r="B179" s="30"/>
    </row>
    <row r="180" spans="1:2" ht="14.5" x14ac:dyDescent="0.35">
      <c r="A180" s="30"/>
      <c r="B180" s="30"/>
    </row>
    <row r="181" spans="1:2" ht="14.5" x14ac:dyDescent="0.35">
      <c r="A181" s="30"/>
      <c r="B181" s="30"/>
    </row>
    <row r="182" spans="1:2" ht="14.5" x14ac:dyDescent="0.35">
      <c r="A182" s="30"/>
      <c r="B182" s="30"/>
    </row>
    <row r="183" spans="1:2" ht="14.5" x14ac:dyDescent="0.35">
      <c r="A183" s="30"/>
      <c r="B183" s="30"/>
    </row>
    <row r="184" spans="1:2" ht="14.5" x14ac:dyDescent="0.35">
      <c r="A184" s="30"/>
      <c r="B184" s="30"/>
    </row>
    <row r="185" spans="1:2" ht="14.5" x14ac:dyDescent="0.35">
      <c r="A185" s="30"/>
      <c r="B185" s="30"/>
    </row>
    <row r="186" spans="1:2" ht="14.5" x14ac:dyDescent="0.35">
      <c r="A186" s="30"/>
      <c r="B186" s="30"/>
    </row>
    <row r="187" spans="1:2" ht="14.5" x14ac:dyDescent="0.35">
      <c r="A187" s="30"/>
      <c r="B187" s="30"/>
    </row>
    <row r="188" spans="1:2" ht="14.5" x14ac:dyDescent="0.35">
      <c r="A188" s="30"/>
      <c r="B188" s="30"/>
    </row>
    <row r="189" spans="1:2" ht="14.5" x14ac:dyDescent="0.35">
      <c r="A189" s="30"/>
      <c r="B189" s="30"/>
    </row>
    <row r="190" spans="1:2" ht="14.5" x14ac:dyDescent="0.35">
      <c r="A190" s="30"/>
      <c r="B190" s="30"/>
    </row>
    <row r="191" spans="1:2" ht="14.5" x14ac:dyDescent="0.35">
      <c r="A191" s="30"/>
      <c r="B191" s="30"/>
    </row>
    <row r="192" spans="1:2" ht="14.5" x14ac:dyDescent="0.35">
      <c r="A192" s="30"/>
      <c r="B192" s="30"/>
    </row>
    <row r="193" spans="1:2" ht="14.5" x14ac:dyDescent="0.35">
      <c r="A193" s="30"/>
      <c r="B193" s="30"/>
    </row>
    <row r="194" spans="1:2" ht="14.5" x14ac:dyDescent="0.35">
      <c r="A194" s="30"/>
      <c r="B194" s="30"/>
    </row>
    <row r="195" spans="1:2" ht="14.5" x14ac:dyDescent="0.35">
      <c r="A195" s="30"/>
      <c r="B195" s="30"/>
    </row>
    <row r="196" spans="1:2" ht="14.5" x14ac:dyDescent="0.35">
      <c r="A196" s="30"/>
      <c r="B196" s="30"/>
    </row>
    <row r="197" spans="1:2" ht="14.5" x14ac:dyDescent="0.35">
      <c r="A197" s="30"/>
      <c r="B197" s="30"/>
    </row>
    <row r="198" spans="1:2" ht="14.5" x14ac:dyDescent="0.35">
      <c r="A198" s="30"/>
      <c r="B198" s="30"/>
    </row>
    <row r="199" spans="1:2" ht="14.5" x14ac:dyDescent="0.35">
      <c r="A199" s="30"/>
      <c r="B199" s="30"/>
    </row>
    <row r="200" spans="1:2" ht="14.5" x14ac:dyDescent="0.35">
      <c r="A200" s="30"/>
      <c r="B200" s="30"/>
    </row>
    <row r="201" spans="1:2" ht="14.5" x14ac:dyDescent="0.35">
      <c r="A201" s="30"/>
      <c r="B201" s="30"/>
    </row>
    <row r="202" spans="1:2" ht="14.5" x14ac:dyDescent="0.35">
      <c r="A202" s="30"/>
      <c r="B202" s="30"/>
    </row>
    <row r="203" spans="1:2" ht="14.5" x14ac:dyDescent="0.35">
      <c r="A203" s="30"/>
      <c r="B203" s="30"/>
    </row>
    <row r="204" spans="1:2" ht="14.5" x14ac:dyDescent="0.35">
      <c r="A204" s="30"/>
      <c r="B204" s="30"/>
    </row>
    <row r="205" spans="1:2" ht="14.5" x14ac:dyDescent="0.35">
      <c r="A205" s="30"/>
      <c r="B205" s="30"/>
    </row>
    <row r="206" spans="1:2" ht="14.5" x14ac:dyDescent="0.35">
      <c r="A206" s="30"/>
      <c r="B206" s="30"/>
    </row>
    <row r="207" spans="1:2" ht="14.5" x14ac:dyDescent="0.35">
      <c r="A207" s="30"/>
      <c r="B207" s="30"/>
    </row>
    <row r="208" spans="1:2" ht="14.5" x14ac:dyDescent="0.35">
      <c r="A208" s="30"/>
      <c r="B208" s="30"/>
    </row>
    <row r="209" spans="1:2" ht="14.5" x14ac:dyDescent="0.35">
      <c r="A209" s="30"/>
      <c r="B209" s="30"/>
    </row>
    <row r="210" spans="1:2" ht="14.5" x14ac:dyDescent="0.35">
      <c r="A210" s="30"/>
      <c r="B210" s="30"/>
    </row>
    <row r="211" spans="1:2" ht="14.5" x14ac:dyDescent="0.35">
      <c r="A211" s="30"/>
      <c r="B211" s="30"/>
    </row>
    <row r="212" spans="1:2" ht="14.5" x14ac:dyDescent="0.35">
      <c r="A212" s="30"/>
      <c r="B212" s="30"/>
    </row>
    <row r="213" spans="1:2" ht="14.5" x14ac:dyDescent="0.35">
      <c r="A213" s="30"/>
      <c r="B213" s="30"/>
    </row>
    <row r="214" spans="1:2" ht="14.5" x14ac:dyDescent="0.35">
      <c r="A214" s="30"/>
      <c r="B214" s="30"/>
    </row>
    <row r="215" spans="1:2" ht="14.5" x14ac:dyDescent="0.35">
      <c r="A215" s="30"/>
      <c r="B215" s="30"/>
    </row>
    <row r="216" spans="1:2" ht="14.5" x14ac:dyDescent="0.35">
      <c r="A216" s="30"/>
      <c r="B216" s="30"/>
    </row>
    <row r="217" spans="1:2" ht="14.5" x14ac:dyDescent="0.35">
      <c r="A217" s="30"/>
      <c r="B217" s="30"/>
    </row>
    <row r="218" spans="1:2" ht="14.5" x14ac:dyDescent="0.35">
      <c r="A218" s="30"/>
      <c r="B218" s="30"/>
    </row>
    <row r="219" spans="1:2" ht="14.5" x14ac:dyDescent="0.35">
      <c r="A219" s="30"/>
      <c r="B219" s="30"/>
    </row>
    <row r="220" spans="1:2" ht="14.5" x14ac:dyDescent="0.35">
      <c r="A220" s="30"/>
      <c r="B220" s="30"/>
    </row>
    <row r="221" spans="1:2" ht="14.5" x14ac:dyDescent="0.35">
      <c r="A221" s="30"/>
      <c r="B221" s="30"/>
    </row>
    <row r="222" spans="1:2" ht="14.5" x14ac:dyDescent="0.35">
      <c r="A222" s="30"/>
      <c r="B222" s="30"/>
    </row>
    <row r="223" spans="1:2" ht="14.5" x14ac:dyDescent="0.35">
      <c r="A223" s="30"/>
      <c r="B223" s="30"/>
    </row>
    <row r="224" spans="1:2" ht="14.5" x14ac:dyDescent="0.35">
      <c r="A224" s="30"/>
      <c r="B224" s="30"/>
    </row>
    <row r="225" spans="1:2" ht="14.5" x14ac:dyDescent="0.35">
      <c r="A225" s="30"/>
      <c r="B225" s="30"/>
    </row>
    <row r="226" spans="1:2" ht="14.5" x14ac:dyDescent="0.35">
      <c r="A226" s="30"/>
      <c r="B226" s="30"/>
    </row>
    <row r="227" spans="1:2" ht="14.5" x14ac:dyDescent="0.35">
      <c r="A227" s="30"/>
      <c r="B227" s="30"/>
    </row>
    <row r="228" spans="1:2" ht="14.5" x14ac:dyDescent="0.35">
      <c r="A228" s="30"/>
      <c r="B228" s="30"/>
    </row>
    <row r="229" spans="1:2" ht="14.5" x14ac:dyDescent="0.35">
      <c r="A229" s="30"/>
      <c r="B229" s="30"/>
    </row>
    <row r="230" spans="1:2" ht="14.5" x14ac:dyDescent="0.35">
      <c r="A230" s="30"/>
      <c r="B230" s="30"/>
    </row>
    <row r="231" spans="1:2" ht="14.5" x14ac:dyDescent="0.35">
      <c r="A231" s="30"/>
      <c r="B231" s="30"/>
    </row>
    <row r="232" spans="1:2" ht="14.5" x14ac:dyDescent="0.35">
      <c r="A232" s="30"/>
      <c r="B232" s="30"/>
    </row>
    <row r="233" spans="1:2" ht="14.5" x14ac:dyDescent="0.35">
      <c r="A233" s="30"/>
      <c r="B233" s="30"/>
    </row>
    <row r="234" spans="1:2" ht="14.5" x14ac:dyDescent="0.35">
      <c r="A234" s="30"/>
      <c r="B234" s="30"/>
    </row>
    <row r="235" spans="1:2" ht="14.5" x14ac:dyDescent="0.35">
      <c r="A235" s="30"/>
      <c r="B235" s="30"/>
    </row>
    <row r="236" spans="1:2" ht="14.5" x14ac:dyDescent="0.35">
      <c r="A236" s="30"/>
      <c r="B236" s="30"/>
    </row>
    <row r="237" spans="1:2" ht="14.5" x14ac:dyDescent="0.35">
      <c r="A237" s="30"/>
      <c r="B237" s="30"/>
    </row>
    <row r="238" spans="1:2" ht="14.5" x14ac:dyDescent="0.35">
      <c r="A238" s="30"/>
      <c r="B238" s="30"/>
    </row>
    <row r="239" spans="1:2" ht="14.5" x14ac:dyDescent="0.35">
      <c r="A239" s="30"/>
      <c r="B239" s="30"/>
    </row>
    <row r="240" spans="1:2" ht="14.5" x14ac:dyDescent="0.35">
      <c r="A240" s="30"/>
      <c r="B240" s="30"/>
    </row>
    <row r="241" spans="1:2" ht="14.5" x14ac:dyDescent="0.35">
      <c r="A241" s="30"/>
      <c r="B241" s="30"/>
    </row>
    <row r="242" spans="1:2" ht="14.5" x14ac:dyDescent="0.35">
      <c r="A242" s="30"/>
      <c r="B242" s="30"/>
    </row>
    <row r="243" spans="1:2" ht="14.5" x14ac:dyDescent="0.35">
      <c r="A243" s="30"/>
      <c r="B243" s="30"/>
    </row>
    <row r="244" spans="1:2" ht="14.5" x14ac:dyDescent="0.35">
      <c r="A244" s="30"/>
      <c r="B244" s="30"/>
    </row>
    <row r="245" spans="1:2" ht="14.5" x14ac:dyDescent="0.35">
      <c r="A245" s="30"/>
      <c r="B245" s="30"/>
    </row>
    <row r="246" spans="1:2" ht="14.5" x14ac:dyDescent="0.35">
      <c r="A246" s="30"/>
      <c r="B246" s="30"/>
    </row>
    <row r="247" spans="1:2" ht="14.5" x14ac:dyDescent="0.35">
      <c r="A247" s="30"/>
      <c r="B247" s="30"/>
    </row>
    <row r="248" spans="1:2" ht="14.5" x14ac:dyDescent="0.35">
      <c r="A248" s="30"/>
      <c r="B248" s="30"/>
    </row>
    <row r="249" spans="1:2" ht="14.5" x14ac:dyDescent="0.35">
      <c r="A249" s="30"/>
      <c r="B249" s="30"/>
    </row>
    <row r="250" spans="1:2" ht="14.5" x14ac:dyDescent="0.35">
      <c r="A250" s="30"/>
      <c r="B250" s="30"/>
    </row>
    <row r="251" spans="1:2" ht="14.5" x14ac:dyDescent="0.35">
      <c r="A251" s="30"/>
      <c r="B251" s="30"/>
    </row>
    <row r="252" spans="1:2" ht="14.5" x14ac:dyDescent="0.35">
      <c r="A252" s="30"/>
      <c r="B252" s="30"/>
    </row>
    <row r="253" spans="1:2" ht="14.5" x14ac:dyDescent="0.35">
      <c r="A253" s="30"/>
      <c r="B253" s="30"/>
    </row>
    <row r="254" spans="1:2" ht="14.5" x14ac:dyDescent="0.35">
      <c r="A254" s="30"/>
      <c r="B254" s="30"/>
    </row>
    <row r="255" spans="1:2" ht="14.5" x14ac:dyDescent="0.35">
      <c r="A255" s="30"/>
      <c r="B255" s="30"/>
    </row>
    <row r="256" spans="1:2" ht="14.5" x14ac:dyDescent="0.35">
      <c r="A256" s="30"/>
      <c r="B256" s="30"/>
    </row>
    <row r="257" spans="1:2" ht="14.5" x14ac:dyDescent="0.35">
      <c r="A257" s="30"/>
      <c r="B257" s="30"/>
    </row>
    <row r="258" spans="1:2" ht="14.5" x14ac:dyDescent="0.35">
      <c r="A258" s="30"/>
      <c r="B258" s="30"/>
    </row>
    <row r="259" spans="1:2" ht="14.5" x14ac:dyDescent="0.35">
      <c r="A259" s="30"/>
      <c r="B259" s="30"/>
    </row>
    <row r="260" spans="1:2" ht="14.5" x14ac:dyDescent="0.35">
      <c r="A260" s="30"/>
      <c r="B260" s="30"/>
    </row>
    <row r="261" spans="1:2" ht="14.5" x14ac:dyDescent="0.35">
      <c r="A261" s="30"/>
      <c r="B261" s="30"/>
    </row>
    <row r="262" spans="1:2" ht="14.5" x14ac:dyDescent="0.35">
      <c r="A262" s="30"/>
      <c r="B262" s="30"/>
    </row>
    <row r="263" spans="1:2" ht="14.5" x14ac:dyDescent="0.35">
      <c r="A263" s="30"/>
      <c r="B263" s="30"/>
    </row>
    <row r="264" spans="1:2" ht="14.5" x14ac:dyDescent="0.35">
      <c r="A264" s="30"/>
      <c r="B264" s="30"/>
    </row>
    <row r="265" spans="1:2" ht="14.5" x14ac:dyDescent="0.35">
      <c r="A265" s="30"/>
      <c r="B265" s="30"/>
    </row>
    <row r="266" spans="1:2" ht="14.5" x14ac:dyDescent="0.35">
      <c r="A266" s="30"/>
      <c r="B266" s="30"/>
    </row>
    <row r="267" spans="1:2" ht="14.5" x14ac:dyDescent="0.35">
      <c r="A267" s="30"/>
      <c r="B267" s="30"/>
    </row>
    <row r="268" spans="1:2" ht="14.5" x14ac:dyDescent="0.35">
      <c r="A268" s="30"/>
      <c r="B268" s="30"/>
    </row>
    <row r="269" spans="1:2" ht="14.5" x14ac:dyDescent="0.35">
      <c r="A269" s="30"/>
      <c r="B269" s="30"/>
    </row>
    <row r="270" spans="1:2" ht="14.5" x14ac:dyDescent="0.35">
      <c r="A270" s="30"/>
      <c r="B270" s="30"/>
    </row>
    <row r="271" spans="1:2" ht="14.5" x14ac:dyDescent="0.35">
      <c r="A271" s="30"/>
      <c r="B271" s="30"/>
    </row>
    <row r="272" spans="1:2" ht="14.5" x14ac:dyDescent="0.35">
      <c r="A272" s="30"/>
      <c r="B272" s="30"/>
    </row>
    <row r="273" spans="1:2" ht="14.5" x14ac:dyDescent="0.35">
      <c r="A273" s="30"/>
      <c r="B273" s="30"/>
    </row>
    <row r="274" spans="1:2" ht="14.5" x14ac:dyDescent="0.35">
      <c r="A274" s="30"/>
      <c r="B274" s="30"/>
    </row>
    <row r="275" spans="1:2" ht="14.5" x14ac:dyDescent="0.35">
      <c r="A275" s="30"/>
      <c r="B275" s="30"/>
    </row>
    <row r="276" spans="1:2" ht="14.5" x14ac:dyDescent="0.35">
      <c r="A276" s="30"/>
      <c r="B276" s="30"/>
    </row>
    <row r="277" spans="1:2" ht="14.5" x14ac:dyDescent="0.35">
      <c r="A277" s="30"/>
      <c r="B277" s="30"/>
    </row>
    <row r="278" spans="1:2" ht="14.5" x14ac:dyDescent="0.35">
      <c r="A278" s="30"/>
      <c r="B278" s="30"/>
    </row>
    <row r="279" spans="1:2" ht="14.5" x14ac:dyDescent="0.35">
      <c r="A279" s="30"/>
      <c r="B279" s="30"/>
    </row>
    <row r="280" spans="1:2" ht="14.5" x14ac:dyDescent="0.35">
      <c r="A280" s="30"/>
      <c r="B280" s="30"/>
    </row>
    <row r="281" spans="1:2" ht="14.5" x14ac:dyDescent="0.35">
      <c r="A281" s="30"/>
      <c r="B281" s="30"/>
    </row>
    <row r="282" spans="1:2" ht="14.5" x14ac:dyDescent="0.35">
      <c r="A282" s="30"/>
      <c r="B282" s="30"/>
    </row>
    <row r="283" spans="1:2" ht="14.5" x14ac:dyDescent="0.35">
      <c r="A283" s="30"/>
      <c r="B283" s="30"/>
    </row>
    <row r="284" spans="1:2" ht="14.5" x14ac:dyDescent="0.35">
      <c r="A284" s="30"/>
      <c r="B284" s="30"/>
    </row>
    <row r="285" spans="1:2" ht="14.5" x14ac:dyDescent="0.35">
      <c r="A285" s="30"/>
      <c r="B285" s="30"/>
    </row>
    <row r="286" spans="1:2" ht="14.5" x14ac:dyDescent="0.35">
      <c r="A286" s="30"/>
      <c r="B286" s="30"/>
    </row>
    <row r="287" spans="1:2" ht="14.5" x14ac:dyDescent="0.35">
      <c r="A287" s="30"/>
      <c r="B287" s="30"/>
    </row>
    <row r="288" spans="1:2" ht="14.5" x14ac:dyDescent="0.35">
      <c r="A288" s="30"/>
      <c r="B288" s="30"/>
    </row>
    <row r="289" spans="1:2" ht="14.5" x14ac:dyDescent="0.35">
      <c r="A289" s="30"/>
      <c r="B289" s="30"/>
    </row>
    <row r="290" spans="1:2" ht="14.5" x14ac:dyDescent="0.35">
      <c r="A290" s="30"/>
      <c r="B290" s="30"/>
    </row>
    <row r="291" spans="1:2" ht="14.5" x14ac:dyDescent="0.35">
      <c r="A291" s="30"/>
      <c r="B291" s="30"/>
    </row>
    <row r="292" spans="1:2" ht="14.5" x14ac:dyDescent="0.35">
      <c r="A292" s="30"/>
      <c r="B292" s="30"/>
    </row>
    <row r="293" spans="1:2" ht="14.5" x14ac:dyDescent="0.35">
      <c r="A293" s="30"/>
      <c r="B293" s="30"/>
    </row>
    <row r="294" spans="1:2" ht="14.5" x14ac:dyDescent="0.35">
      <c r="A294" s="30"/>
      <c r="B294" s="30"/>
    </row>
    <row r="295" spans="1:2" ht="14.5" x14ac:dyDescent="0.35">
      <c r="A295" s="30"/>
      <c r="B295" s="30"/>
    </row>
    <row r="296" spans="1:2" ht="14.5" x14ac:dyDescent="0.35">
      <c r="A296" s="30"/>
      <c r="B296" s="30"/>
    </row>
    <row r="297" spans="1:2" ht="14.5" x14ac:dyDescent="0.35">
      <c r="A297" s="30"/>
      <c r="B297" s="30"/>
    </row>
    <row r="298" spans="1:2" ht="14.5" x14ac:dyDescent="0.35">
      <c r="A298" s="30"/>
      <c r="B298" s="30"/>
    </row>
    <row r="299" spans="1:2" ht="14.5" x14ac:dyDescent="0.35">
      <c r="A299" s="30"/>
      <c r="B299" s="30"/>
    </row>
    <row r="300" spans="1:2" ht="14.5" x14ac:dyDescent="0.35">
      <c r="A300" s="30"/>
      <c r="B300" s="30"/>
    </row>
    <row r="301" spans="1:2" ht="14.5" x14ac:dyDescent="0.35">
      <c r="A301" s="30"/>
      <c r="B301" s="30"/>
    </row>
    <row r="302" spans="1:2" ht="14.5" x14ac:dyDescent="0.35">
      <c r="A302" s="30"/>
      <c r="B302" s="30"/>
    </row>
    <row r="303" spans="1:2" ht="14.5" x14ac:dyDescent="0.35">
      <c r="A303" s="30"/>
      <c r="B303" s="30"/>
    </row>
    <row r="304" spans="1:2" ht="14.5" x14ac:dyDescent="0.35">
      <c r="A304" s="30"/>
      <c r="B304" s="30"/>
    </row>
    <row r="305" spans="1:2" ht="14.5" x14ac:dyDescent="0.35">
      <c r="A305" s="30"/>
      <c r="B305" s="30"/>
    </row>
    <row r="306" spans="1:2" ht="14.5" x14ac:dyDescent="0.35">
      <c r="A306" s="30"/>
      <c r="B306" s="30"/>
    </row>
    <row r="307" spans="1:2" ht="14.5" x14ac:dyDescent="0.35">
      <c r="A307" s="30"/>
      <c r="B307" s="30"/>
    </row>
    <row r="308" spans="1:2" ht="14.5" x14ac:dyDescent="0.35">
      <c r="A308" s="30"/>
      <c r="B308" s="30"/>
    </row>
    <row r="309" spans="1:2" ht="14.5" x14ac:dyDescent="0.35">
      <c r="A309" s="30"/>
      <c r="B309" s="30"/>
    </row>
    <row r="310" spans="1:2" ht="14.5" x14ac:dyDescent="0.35">
      <c r="A310" s="30"/>
      <c r="B310" s="30"/>
    </row>
    <row r="311" spans="1:2" ht="14.5" x14ac:dyDescent="0.35">
      <c r="A311" s="30"/>
      <c r="B311" s="30"/>
    </row>
    <row r="312" spans="1:2" ht="14.5" x14ac:dyDescent="0.35">
      <c r="A312" s="30"/>
      <c r="B312" s="30"/>
    </row>
    <row r="313" spans="1:2" ht="14.5" x14ac:dyDescent="0.35">
      <c r="A313" s="30"/>
      <c r="B313" s="30"/>
    </row>
    <row r="314" spans="1:2" ht="14.5" x14ac:dyDescent="0.35">
      <c r="A314" s="30"/>
      <c r="B314" s="30"/>
    </row>
    <row r="315" spans="1:2" ht="14.5" x14ac:dyDescent="0.35">
      <c r="A315" s="30"/>
      <c r="B315" s="30"/>
    </row>
    <row r="316" spans="1:2" ht="14.5" x14ac:dyDescent="0.35">
      <c r="A316" s="30"/>
      <c r="B316" s="30"/>
    </row>
    <row r="317" spans="1:2" ht="14.5" x14ac:dyDescent="0.35">
      <c r="A317" s="30"/>
      <c r="B317" s="30"/>
    </row>
    <row r="318" spans="1:2" ht="14.5" x14ac:dyDescent="0.35">
      <c r="A318" s="30"/>
      <c r="B318" s="30"/>
    </row>
    <row r="319" spans="1:2" ht="14.5" x14ac:dyDescent="0.35">
      <c r="A319" s="30"/>
      <c r="B319" s="30"/>
    </row>
    <row r="320" spans="1:2" ht="14.5" x14ac:dyDescent="0.35">
      <c r="A320" s="30"/>
      <c r="B320" s="30"/>
    </row>
    <row r="321" spans="1:2" ht="14.5" x14ac:dyDescent="0.35">
      <c r="A321" s="30"/>
      <c r="B321" s="30"/>
    </row>
    <row r="322" spans="1:2" ht="14.5" x14ac:dyDescent="0.35">
      <c r="A322" s="30"/>
      <c r="B322" s="30"/>
    </row>
    <row r="323" spans="1:2" ht="14.5" x14ac:dyDescent="0.35">
      <c r="A323" s="30"/>
      <c r="B323" s="30"/>
    </row>
    <row r="324" spans="1:2" ht="14.5" x14ac:dyDescent="0.35">
      <c r="A324" s="30"/>
      <c r="B324" s="30"/>
    </row>
    <row r="325" spans="1:2" ht="14.5" x14ac:dyDescent="0.35">
      <c r="A325" s="30"/>
      <c r="B325" s="30"/>
    </row>
    <row r="326" spans="1:2" ht="14.5" x14ac:dyDescent="0.35">
      <c r="A326" s="30"/>
      <c r="B326" s="30"/>
    </row>
    <row r="327" spans="1:2" ht="14.5" x14ac:dyDescent="0.35">
      <c r="A327" s="30"/>
      <c r="B327" s="30"/>
    </row>
    <row r="328" spans="1:2" ht="14.5" x14ac:dyDescent="0.35">
      <c r="A328" s="30"/>
      <c r="B328" s="30"/>
    </row>
    <row r="329" spans="1:2" ht="14.5" x14ac:dyDescent="0.35">
      <c r="A329" s="30"/>
      <c r="B329" s="30"/>
    </row>
    <row r="330" spans="1:2" ht="14.5" x14ac:dyDescent="0.35">
      <c r="A330" s="30"/>
      <c r="B330" s="30"/>
    </row>
    <row r="331" spans="1:2" ht="14.5" x14ac:dyDescent="0.35">
      <c r="A331" s="30"/>
      <c r="B331" s="30"/>
    </row>
    <row r="332" spans="1:2" ht="14.5" x14ac:dyDescent="0.35">
      <c r="A332" s="30"/>
      <c r="B332" s="30"/>
    </row>
    <row r="333" spans="1:2" ht="14.5" x14ac:dyDescent="0.35">
      <c r="A333" s="30"/>
      <c r="B333" s="30"/>
    </row>
    <row r="334" spans="1:2" ht="14.5" x14ac:dyDescent="0.35">
      <c r="A334" s="30"/>
      <c r="B334" s="30"/>
    </row>
    <row r="335" spans="1:2" ht="14.5" x14ac:dyDescent="0.35">
      <c r="A335" s="30"/>
      <c r="B335" s="30"/>
    </row>
    <row r="336" spans="1:2" ht="14.5" x14ac:dyDescent="0.35">
      <c r="A336" s="30"/>
      <c r="B336" s="30"/>
    </row>
    <row r="337" spans="1:2" ht="14.5" x14ac:dyDescent="0.35">
      <c r="A337" s="30"/>
      <c r="B337" s="30"/>
    </row>
    <row r="338" spans="1:2" ht="14.5" x14ac:dyDescent="0.35">
      <c r="A338" s="30"/>
      <c r="B338" s="30"/>
    </row>
    <row r="339" spans="1:2" ht="14.5" x14ac:dyDescent="0.35">
      <c r="A339" s="30"/>
      <c r="B339" s="30"/>
    </row>
    <row r="340" spans="1:2" ht="14.5" x14ac:dyDescent="0.35">
      <c r="A340" s="30"/>
      <c r="B340" s="30"/>
    </row>
    <row r="341" spans="1:2" ht="14.5" x14ac:dyDescent="0.35">
      <c r="A341" s="30"/>
      <c r="B341" s="30"/>
    </row>
    <row r="342" spans="1:2" ht="14.5" x14ac:dyDescent="0.35">
      <c r="A342" s="30"/>
      <c r="B342" s="30"/>
    </row>
    <row r="343" spans="1:2" ht="14.5" x14ac:dyDescent="0.35">
      <c r="A343" s="30"/>
      <c r="B343" s="30"/>
    </row>
    <row r="344" spans="1:2" ht="14.5" x14ac:dyDescent="0.35">
      <c r="A344" s="30"/>
      <c r="B344" s="30"/>
    </row>
    <row r="345" spans="1:2" ht="14.5" x14ac:dyDescent="0.35">
      <c r="A345" s="30"/>
      <c r="B345" s="30"/>
    </row>
    <row r="346" spans="1:2" ht="14.5" x14ac:dyDescent="0.35">
      <c r="A346" s="30"/>
      <c r="B346" s="30"/>
    </row>
    <row r="347" spans="1:2" ht="14.5" x14ac:dyDescent="0.35">
      <c r="A347" s="30"/>
      <c r="B347" s="30"/>
    </row>
    <row r="348" spans="1:2" ht="14.5" x14ac:dyDescent="0.35">
      <c r="A348" s="30"/>
      <c r="B348" s="30"/>
    </row>
    <row r="349" spans="1:2" ht="14.5" x14ac:dyDescent="0.35">
      <c r="A349" s="30"/>
      <c r="B349" s="30"/>
    </row>
    <row r="350" spans="1:2" ht="14.5" x14ac:dyDescent="0.35">
      <c r="A350" s="30"/>
      <c r="B350" s="30"/>
    </row>
    <row r="351" spans="1:2" ht="14.5" x14ac:dyDescent="0.35">
      <c r="A351" s="30"/>
      <c r="B351" s="30"/>
    </row>
    <row r="352" spans="1:2" ht="14.5" x14ac:dyDescent="0.35">
      <c r="A352" s="30"/>
      <c r="B352" s="30"/>
    </row>
    <row r="353" spans="1:2" ht="14.5" x14ac:dyDescent="0.35">
      <c r="A353" s="30"/>
      <c r="B353" s="30"/>
    </row>
    <row r="354" spans="1:2" ht="14.5" x14ac:dyDescent="0.35">
      <c r="A354" s="30"/>
      <c r="B354" s="30"/>
    </row>
    <row r="355" spans="1:2" ht="14.5" x14ac:dyDescent="0.35">
      <c r="A355" s="30"/>
      <c r="B355" s="30"/>
    </row>
    <row r="356" spans="1:2" ht="14.5" x14ac:dyDescent="0.35">
      <c r="A356" s="30"/>
      <c r="B356" s="30"/>
    </row>
    <row r="357" spans="1:2" ht="14.5" x14ac:dyDescent="0.35">
      <c r="A357" s="30"/>
      <c r="B357" s="30"/>
    </row>
    <row r="358" spans="1:2" ht="14.5" x14ac:dyDescent="0.35">
      <c r="A358" s="30"/>
      <c r="B358" s="30"/>
    </row>
    <row r="359" spans="1:2" ht="14.5" x14ac:dyDescent="0.35">
      <c r="A359" s="30"/>
      <c r="B359" s="30"/>
    </row>
    <row r="360" spans="1:2" ht="14.5" x14ac:dyDescent="0.35">
      <c r="A360" s="30"/>
      <c r="B360" s="30"/>
    </row>
    <row r="361" spans="1:2" ht="14.5" x14ac:dyDescent="0.35">
      <c r="A361" s="30"/>
      <c r="B361" s="30"/>
    </row>
    <row r="362" spans="1:2" ht="14.5" x14ac:dyDescent="0.35">
      <c r="A362" s="30"/>
      <c r="B362" s="30"/>
    </row>
    <row r="363" spans="1:2" ht="14.5" x14ac:dyDescent="0.35">
      <c r="A363" s="30"/>
      <c r="B363" s="30"/>
    </row>
    <row r="364" spans="1:2" ht="14.5" x14ac:dyDescent="0.35">
      <c r="A364" s="30"/>
      <c r="B364" s="30"/>
    </row>
    <row r="365" spans="1:2" ht="14.5" x14ac:dyDescent="0.35">
      <c r="A365" s="30"/>
      <c r="B365" s="30"/>
    </row>
    <row r="366" spans="1:2" ht="14.5" x14ac:dyDescent="0.35">
      <c r="A366" s="30"/>
      <c r="B366" s="30"/>
    </row>
    <row r="367" spans="1:2" ht="14.5" x14ac:dyDescent="0.35">
      <c r="A367" s="30"/>
      <c r="B367" s="30"/>
    </row>
    <row r="368" spans="1:2" ht="14.5" x14ac:dyDescent="0.35">
      <c r="A368" s="30"/>
      <c r="B368" s="30"/>
    </row>
    <row r="369" spans="1:2" ht="14.5" x14ac:dyDescent="0.35">
      <c r="A369" s="30"/>
      <c r="B369" s="30"/>
    </row>
    <row r="370" spans="1:2" ht="14.5" x14ac:dyDescent="0.35">
      <c r="A370" s="30"/>
      <c r="B370" s="30"/>
    </row>
    <row r="371" spans="1:2" ht="14.5" x14ac:dyDescent="0.35">
      <c r="A371" s="30"/>
      <c r="B371" s="30"/>
    </row>
    <row r="372" spans="1:2" ht="14.5" x14ac:dyDescent="0.35">
      <c r="A372" s="30"/>
      <c r="B372" s="30"/>
    </row>
    <row r="373" spans="1:2" ht="14.5" x14ac:dyDescent="0.35">
      <c r="A373" s="30"/>
      <c r="B373" s="30"/>
    </row>
    <row r="374" spans="1:2" ht="14.5" x14ac:dyDescent="0.35">
      <c r="A374" s="30"/>
      <c r="B374" s="30"/>
    </row>
    <row r="375" spans="1:2" ht="14.5" x14ac:dyDescent="0.35">
      <c r="A375" s="30"/>
      <c r="B375" s="30"/>
    </row>
    <row r="376" spans="1:2" ht="14.5" x14ac:dyDescent="0.35">
      <c r="A376" s="30"/>
      <c r="B376" s="30"/>
    </row>
    <row r="377" spans="1:2" ht="14.5" x14ac:dyDescent="0.35">
      <c r="A377" s="30"/>
      <c r="B377" s="30"/>
    </row>
    <row r="378" spans="1:2" ht="14.5" x14ac:dyDescent="0.35">
      <c r="A378" s="30"/>
      <c r="B378" s="30"/>
    </row>
    <row r="379" spans="1:2" ht="14.5" x14ac:dyDescent="0.35">
      <c r="A379" s="30"/>
      <c r="B379" s="30"/>
    </row>
    <row r="380" spans="1:2" ht="14.5" x14ac:dyDescent="0.35">
      <c r="A380" s="30"/>
      <c r="B380" s="30"/>
    </row>
    <row r="381" spans="1:2" ht="14.5" x14ac:dyDescent="0.35">
      <c r="A381" s="30"/>
      <c r="B381" s="30"/>
    </row>
    <row r="382" spans="1:2" ht="14.5" x14ac:dyDescent="0.35">
      <c r="A382" s="30"/>
      <c r="B382" s="30"/>
    </row>
    <row r="383" spans="1:2" ht="14.5" x14ac:dyDescent="0.35">
      <c r="A383" s="30"/>
      <c r="B383" s="30"/>
    </row>
    <row r="384" spans="1:2" ht="14.5" x14ac:dyDescent="0.35">
      <c r="A384" s="30"/>
      <c r="B384" s="30"/>
    </row>
    <row r="385" spans="1:2" ht="14.5" x14ac:dyDescent="0.35">
      <c r="A385" s="30"/>
      <c r="B385" s="30"/>
    </row>
    <row r="386" spans="1:2" ht="14.5" x14ac:dyDescent="0.35">
      <c r="A386" s="30"/>
      <c r="B386" s="30"/>
    </row>
    <row r="387" spans="1:2" ht="14.5" x14ac:dyDescent="0.35">
      <c r="A387" s="30"/>
      <c r="B387" s="30"/>
    </row>
    <row r="388" spans="1:2" ht="14.5" x14ac:dyDescent="0.35">
      <c r="A388" s="30"/>
      <c r="B388" s="30"/>
    </row>
    <row r="389" spans="1:2" ht="14.5" x14ac:dyDescent="0.35">
      <c r="A389" s="30"/>
      <c r="B389" s="30"/>
    </row>
    <row r="390" spans="1:2" ht="14.5" x14ac:dyDescent="0.35">
      <c r="A390" s="30"/>
      <c r="B390" s="30"/>
    </row>
    <row r="391" spans="1:2" ht="14.5" x14ac:dyDescent="0.35">
      <c r="A391" s="30"/>
      <c r="B391" s="30"/>
    </row>
    <row r="392" spans="1:2" ht="14.5" x14ac:dyDescent="0.35">
      <c r="A392" s="30"/>
      <c r="B392" s="30"/>
    </row>
    <row r="393" spans="1:2" ht="14.5" x14ac:dyDescent="0.35">
      <c r="A393" s="30"/>
      <c r="B393" s="30"/>
    </row>
    <row r="394" spans="1:2" ht="14.5" x14ac:dyDescent="0.35">
      <c r="A394" s="30"/>
      <c r="B394" s="30"/>
    </row>
    <row r="395" spans="1:2" ht="14.5" x14ac:dyDescent="0.35">
      <c r="A395" s="30"/>
      <c r="B395" s="30"/>
    </row>
    <row r="396" spans="1:2" ht="14.5" x14ac:dyDescent="0.35">
      <c r="A396" s="30"/>
      <c r="B396" s="30"/>
    </row>
    <row r="397" spans="1:2" ht="14.5" x14ac:dyDescent="0.35">
      <c r="A397" s="30"/>
      <c r="B397" s="30"/>
    </row>
    <row r="398" spans="1:2" ht="14.5" x14ac:dyDescent="0.35">
      <c r="A398" s="30"/>
      <c r="B398" s="30"/>
    </row>
    <row r="399" spans="1:2" ht="14.5" x14ac:dyDescent="0.35">
      <c r="A399" s="30"/>
      <c r="B399" s="30"/>
    </row>
    <row r="400" spans="1:2" ht="14.5" x14ac:dyDescent="0.35">
      <c r="A400" s="30"/>
      <c r="B400" s="30"/>
    </row>
    <row r="401" spans="1:2" ht="14.5" x14ac:dyDescent="0.35">
      <c r="A401" s="30"/>
      <c r="B401" s="30"/>
    </row>
    <row r="402" spans="1:2" ht="14.5" x14ac:dyDescent="0.35">
      <c r="A402" s="30"/>
      <c r="B402" s="30"/>
    </row>
    <row r="403" spans="1:2" ht="14.5" x14ac:dyDescent="0.35">
      <c r="A403" s="30"/>
      <c r="B403" s="30"/>
    </row>
    <row r="404" spans="1:2" ht="14.5" x14ac:dyDescent="0.35">
      <c r="A404" s="30"/>
      <c r="B404" s="30"/>
    </row>
    <row r="405" spans="1:2" ht="14.5" x14ac:dyDescent="0.35">
      <c r="A405" s="30"/>
      <c r="B405" s="30"/>
    </row>
    <row r="406" spans="1:2" ht="14.5" x14ac:dyDescent="0.35">
      <c r="A406" s="30"/>
      <c r="B406" s="30"/>
    </row>
    <row r="407" spans="1:2" ht="14.5" x14ac:dyDescent="0.35">
      <c r="A407" s="30"/>
      <c r="B407" s="30"/>
    </row>
    <row r="408" spans="1:2" ht="14.5" x14ac:dyDescent="0.35">
      <c r="A408" s="30"/>
      <c r="B408" s="30"/>
    </row>
    <row r="409" spans="1:2" ht="14.5" x14ac:dyDescent="0.35">
      <c r="A409" s="30"/>
      <c r="B409" s="30"/>
    </row>
    <row r="410" spans="1:2" ht="14.5" x14ac:dyDescent="0.35">
      <c r="A410" s="30"/>
      <c r="B410" s="30"/>
    </row>
    <row r="411" spans="1:2" ht="14.5" x14ac:dyDescent="0.35">
      <c r="A411" s="30"/>
      <c r="B411" s="30"/>
    </row>
    <row r="412" spans="1:2" ht="14.5" x14ac:dyDescent="0.35">
      <c r="A412" s="30"/>
      <c r="B412" s="30"/>
    </row>
    <row r="413" spans="1:2" ht="14.5" x14ac:dyDescent="0.35">
      <c r="A413" s="30"/>
      <c r="B413" s="30"/>
    </row>
    <row r="414" spans="1:2" ht="14.5" x14ac:dyDescent="0.35">
      <c r="A414" s="30"/>
      <c r="B414" s="30"/>
    </row>
    <row r="415" spans="1:2" ht="14.5" x14ac:dyDescent="0.35">
      <c r="A415" s="30"/>
      <c r="B415" s="30"/>
    </row>
    <row r="416" spans="1:2" ht="14.5" x14ac:dyDescent="0.35">
      <c r="A416" s="30"/>
      <c r="B416" s="30"/>
    </row>
    <row r="417" spans="1:2" ht="14.5" x14ac:dyDescent="0.35">
      <c r="A417" s="30"/>
      <c r="B417" s="30"/>
    </row>
    <row r="418" spans="1:2" ht="14.5" x14ac:dyDescent="0.35">
      <c r="A418" s="30"/>
      <c r="B418" s="30"/>
    </row>
    <row r="419" spans="1:2" ht="14.5" x14ac:dyDescent="0.35">
      <c r="A419" s="30"/>
      <c r="B419" s="30"/>
    </row>
    <row r="420" spans="1:2" ht="14.5" x14ac:dyDescent="0.35">
      <c r="A420" s="30"/>
      <c r="B420" s="30"/>
    </row>
    <row r="421" spans="1:2" ht="14.5" x14ac:dyDescent="0.35">
      <c r="A421" s="30"/>
      <c r="B421" s="30"/>
    </row>
    <row r="422" spans="1:2" ht="14.5" x14ac:dyDescent="0.35">
      <c r="A422" s="30"/>
      <c r="B422" s="30"/>
    </row>
    <row r="423" spans="1:2" ht="14.5" x14ac:dyDescent="0.35">
      <c r="A423" s="30"/>
      <c r="B423" s="30"/>
    </row>
    <row r="424" spans="1:2" ht="14.5" x14ac:dyDescent="0.35">
      <c r="A424" s="30"/>
      <c r="B424" s="30"/>
    </row>
    <row r="425" spans="1:2" ht="14.5" x14ac:dyDescent="0.35">
      <c r="A425" s="30"/>
      <c r="B425" s="30"/>
    </row>
    <row r="426" spans="1:2" ht="14.5" x14ac:dyDescent="0.35">
      <c r="A426" s="30"/>
      <c r="B426" s="30"/>
    </row>
    <row r="427" spans="1:2" ht="14.5" x14ac:dyDescent="0.35">
      <c r="A427" s="30"/>
      <c r="B427" s="30"/>
    </row>
    <row r="428" spans="1:2" ht="14.5" x14ac:dyDescent="0.35">
      <c r="A428" s="30"/>
      <c r="B428" s="30"/>
    </row>
    <row r="429" spans="1:2" ht="14.5" x14ac:dyDescent="0.35">
      <c r="A429" s="30"/>
      <c r="B429" s="30"/>
    </row>
    <row r="430" spans="1:2" ht="14.5" x14ac:dyDescent="0.35">
      <c r="A430" s="30"/>
      <c r="B430" s="30"/>
    </row>
    <row r="431" spans="1:2" ht="14.5" x14ac:dyDescent="0.35">
      <c r="A431" s="30"/>
      <c r="B431" s="30"/>
    </row>
    <row r="432" spans="1:2" ht="14.5" x14ac:dyDescent="0.35">
      <c r="A432" s="30"/>
      <c r="B432" s="30"/>
    </row>
    <row r="433" spans="1:2" ht="14.5" x14ac:dyDescent="0.35">
      <c r="A433" s="30"/>
      <c r="B433" s="30"/>
    </row>
    <row r="434" spans="1:2" ht="14.5" x14ac:dyDescent="0.35">
      <c r="A434" s="30"/>
      <c r="B434" s="30"/>
    </row>
    <row r="435" spans="1:2" ht="14.5" x14ac:dyDescent="0.35">
      <c r="A435" s="30"/>
      <c r="B435" s="30"/>
    </row>
    <row r="436" spans="1:2" ht="14.5" x14ac:dyDescent="0.35">
      <c r="A436" s="30"/>
      <c r="B436" s="30"/>
    </row>
    <row r="437" spans="1:2" ht="14.5" x14ac:dyDescent="0.35">
      <c r="A437" s="30"/>
      <c r="B437" s="30"/>
    </row>
    <row r="438" spans="1:2" ht="14.5" x14ac:dyDescent="0.35">
      <c r="A438" s="30"/>
      <c r="B438" s="30"/>
    </row>
    <row r="439" spans="1:2" ht="14.5" x14ac:dyDescent="0.35">
      <c r="A439" s="30"/>
      <c r="B439" s="30"/>
    </row>
    <row r="440" spans="1:2" ht="14.5" x14ac:dyDescent="0.35">
      <c r="A440" s="30"/>
      <c r="B440" s="30"/>
    </row>
    <row r="441" spans="1:2" ht="14.5" x14ac:dyDescent="0.35">
      <c r="A441" s="30"/>
      <c r="B441" s="30"/>
    </row>
    <row r="442" spans="1:2" ht="14.5" x14ac:dyDescent="0.35">
      <c r="A442" s="30"/>
      <c r="B442" s="30"/>
    </row>
    <row r="443" spans="1:2" ht="14.5" x14ac:dyDescent="0.35">
      <c r="A443" s="30"/>
      <c r="B443" s="30"/>
    </row>
    <row r="444" spans="1:2" ht="14.5" x14ac:dyDescent="0.35">
      <c r="A444" s="30"/>
      <c r="B444" s="30"/>
    </row>
    <row r="445" spans="1:2" ht="14.5" x14ac:dyDescent="0.35">
      <c r="A445" s="30"/>
      <c r="B445" s="30"/>
    </row>
    <row r="446" spans="1:2" ht="14.5" x14ac:dyDescent="0.35">
      <c r="A446" s="30"/>
      <c r="B446" s="30"/>
    </row>
    <row r="447" spans="1:2" ht="14.5" x14ac:dyDescent="0.35">
      <c r="A447" s="30"/>
      <c r="B447" s="30"/>
    </row>
    <row r="448" spans="1:2" ht="14.5" x14ac:dyDescent="0.35">
      <c r="A448" s="30"/>
      <c r="B448" s="30"/>
    </row>
    <row r="449" spans="1:2" ht="14.5" x14ac:dyDescent="0.35">
      <c r="A449" s="30"/>
      <c r="B449" s="30"/>
    </row>
    <row r="450" spans="1:2" ht="14.5" x14ac:dyDescent="0.35">
      <c r="A450" s="30"/>
      <c r="B450" s="30"/>
    </row>
    <row r="451" spans="1:2" ht="14.5" x14ac:dyDescent="0.35">
      <c r="A451" s="30"/>
      <c r="B451" s="30"/>
    </row>
    <row r="452" spans="1:2" ht="14.5" x14ac:dyDescent="0.35">
      <c r="A452" s="30"/>
      <c r="B452" s="30"/>
    </row>
    <row r="453" spans="1:2" ht="14.5" x14ac:dyDescent="0.35">
      <c r="A453" s="30"/>
      <c r="B453" s="30"/>
    </row>
    <row r="454" spans="1:2" ht="14.5" x14ac:dyDescent="0.35">
      <c r="A454" s="30"/>
      <c r="B454" s="30"/>
    </row>
    <row r="455" spans="1:2" ht="14.5" x14ac:dyDescent="0.35">
      <c r="A455" s="30"/>
      <c r="B455" s="30"/>
    </row>
    <row r="456" spans="1:2" ht="14.5" x14ac:dyDescent="0.35">
      <c r="A456" s="30"/>
      <c r="B456" s="30"/>
    </row>
    <row r="457" spans="1:2" ht="14.5" x14ac:dyDescent="0.35">
      <c r="A457" s="30"/>
      <c r="B457" s="30"/>
    </row>
    <row r="458" spans="1:2" ht="14.5" x14ac:dyDescent="0.35">
      <c r="A458" s="30"/>
      <c r="B458" s="30"/>
    </row>
    <row r="459" spans="1:2" ht="14.5" x14ac:dyDescent="0.35">
      <c r="A459" s="30"/>
      <c r="B459" s="30"/>
    </row>
    <row r="460" spans="1:2" ht="14.5" x14ac:dyDescent="0.35">
      <c r="A460" s="30"/>
      <c r="B460" s="30"/>
    </row>
    <row r="461" spans="1:2" ht="14.5" x14ac:dyDescent="0.35">
      <c r="A461" s="30"/>
      <c r="B461" s="30"/>
    </row>
    <row r="462" spans="1:2" ht="14.5" x14ac:dyDescent="0.35">
      <c r="A462" s="30"/>
      <c r="B462" s="30"/>
    </row>
    <row r="463" spans="1:2" ht="14.5" x14ac:dyDescent="0.35">
      <c r="A463" s="30"/>
      <c r="B463" s="30"/>
    </row>
    <row r="464" spans="1:2" ht="14.5" x14ac:dyDescent="0.35">
      <c r="A464" s="30"/>
      <c r="B464" s="30"/>
    </row>
    <row r="465" spans="1:2" ht="14.5" x14ac:dyDescent="0.35">
      <c r="A465" s="30"/>
      <c r="B465" s="30"/>
    </row>
    <row r="466" spans="1:2" ht="14.5" x14ac:dyDescent="0.35">
      <c r="A466" s="30"/>
      <c r="B466" s="30"/>
    </row>
    <row r="467" spans="1:2" ht="14.5" x14ac:dyDescent="0.35">
      <c r="A467" s="30"/>
      <c r="B467" s="30"/>
    </row>
    <row r="468" spans="1:2" ht="14.5" x14ac:dyDescent="0.35">
      <c r="A468" s="30"/>
      <c r="B468" s="30"/>
    </row>
    <row r="469" spans="1:2" ht="14.5" x14ac:dyDescent="0.35">
      <c r="A469" s="30"/>
      <c r="B469" s="30"/>
    </row>
    <row r="470" spans="1:2" ht="14.5" x14ac:dyDescent="0.35">
      <c r="A470" s="30"/>
      <c r="B470" s="30"/>
    </row>
    <row r="471" spans="1:2" ht="14.5" x14ac:dyDescent="0.35">
      <c r="A471" s="30"/>
      <c r="B471" s="30"/>
    </row>
    <row r="472" spans="1:2" ht="14.5" x14ac:dyDescent="0.35">
      <c r="A472" s="30"/>
      <c r="B472" s="30"/>
    </row>
    <row r="473" spans="1:2" ht="14.5" x14ac:dyDescent="0.35">
      <c r="A473" s="30"/>
      <c r="B473" s="30"/>
    </row>
    <row r="474" spans="1:2" ht="14.5" x14ac:dyDescent="0.35">
      <c r="A474" s="30"/>
      <c r="B474" s="30"/>
    </row>
    <row r="475" spans="1:2" ht="14.5" x14ac:dyDescent="0.35">
      <c r="A475" s="30"/>
      <c r="B475" s="30"/>
    </row>
    <row r="476" spans="1:2" ht="14.5" x14ac:dyDescent="0.35">
      <c r="A476" s="30"/>
      <c r="B476" s="30"/>
    </row>
    <row r="477" spans="1:2" ht="14.5" x14ac:dyDescent="0.35">
      <c r="A477" s="30"/>
      <c r="B477" s="30"/>
    </row>
    <row r="478" spans="1:2" ht="14.5" x14ac:dyDescent="0.35">
      <c r="A478" s="30"/>
      <c r="B478" s="30"/>
    </row>
    <row r="479" spans="1:2" ht="14.5" x14ac:dyDescent="0.35">
      <c r="A479" s="30"/>
      <c r="B479" s="30"/>
    </row>
    <row r="480" spans="1:2" ht="14.5" x14ac:dyDescent="0.35">
      <c r="A480" s="30"/>
      <c r="B480" s="30"/>
    </row>
    <row r="481" spans="1:2" ht="14.5" x14ac:dyDescent="0.35">
      <c r="A481" s="30"/>
      <c r="B481" s="30"/>
    </row>
    <row r="482" spans="1:2" ht="14.5" x14ac:dyDescent="0.35">
      <c r="A482" s="30"/>
      <c r="B482" s="30"/>
    </row>
    <row r="483" spans="1:2" ht="14.5" x14ac:dyDescent="0.35">
      <c r="A483" s="30"/>
      <c r="B483" s="30"/>
    </row>
    <row r="484" spans="1:2" ht="14.5" x14ac:dyDescent="0.35">
      <c r="A484" s="30"/>
      <c r="B484" s="30"/>
    </row>
    <row r="485" spans="1:2" ht="14.5" x14ac:dyDescent="0.35">
      <c r="A485" s="30"/>
      <c r="B485" s="30"/>
    </row>
    <row r="486" spans="1:2" ht="14.5" x14ac:dyDescent="0.35">
      <c r="A486" s="30"/>
      <c r="B486" s="30"/>
    </row>
    <row r="487" spans="1:2" ht="14.5" x14ac:dyDescent="0.35">
      <c r="A487" s="30"/>
      <c r="B487" s="30"/>
    </row>
    <row r="488" spans="1:2" ht="14.5" x14ac:dyDescent="0.35">
      <c r="A488" s="30"/>
      <c r="B488" s="30"/>
    </row>
    <row r="489" spans="1:2" ht="14.5" x14ac:dyDescent="0.35">
      <c r="A489" s="30"/>
      <c r="B489" s="30"/>
    </row>
    <row r="490" spans="1:2" ht="14.5" x14ac:dyDescent="0.35">
      <c r="A490" s="30"/>
      <c r="B490" s="30"/>
    </row>
    <row r="491" spans="1:2" ht="14.5" x14ac:dyDescent="0.35">
      <c r="A491" s="30"/>
      <c r="B491" s="30"/>
    </row>
    <row r="492" spans="1:2" ht="14.5" x14ac:dyDescent="0.35">
      <c r="A492" s="30"/>
      <c r="B492" s="30"/>
    </row>
    <row r="493" spans="1:2" ht="14.5" x14ac:dyDescent="0.35">
      <c r="A493" s="30"/>
      <c r="B493" s="30"/>
    </row>
    <row r="494" spans="1:2" ht="14.5" x14ac:dyDescent="0.35">
      <c r="A494" s="30"/>
      <c r="B494" s="30"/>
    </row>
    <row r="495" spans="1:2" ht="14.5" x14ac:dyDescent="0.35">
      <c r="A495" s="30"/>
      <c r="B495" s="30"/>
    </row>
    <row r="496" spans="1:2" ht="14.5" x14ac:dyDescent="0.35">
      <c r="A496" s="30"/>
      <c r="B496" s="30"/>
    </row>
    <row r="497" spans="1:2" ht="14.5" x14ac:dyDescent="0.35">
      <c r="A497" s="30"/>
      <c r="B497" s="30"/>
    </row>
    <row r="498" spans="1:2" ht="14.5" x14ac:dyDescent="0.35">
      <c r="A498" s="30"/>
      <c r="B498" s="30"/>
    </row>
    <row r="499" spans="1:2" ht="14.5" x14ac:dyDescent="0.35">
      <c r="A499" s="30"/>
      <c r="B499" s="30"/>
    </row>
    <row r="500" spans="1:2" ht="14.5" x14ac:dyDescent="0.35">
      <c r="A500" s="30"/>
      <c r="B500" s="30"/>
    </row>
    <row r="501" spans="1:2" ht="14.5" x14ac:dyDescent="0.35">
      <c r="A501" s="30"/>
      <c r="B501" s="30"/>
    </row>
    <row r="502" spans="1:2" ht="14.5" x14ac:dyDescent="0.35">
      <c r="A502" s="30"/>
      <c r="B502" s="30"/>
    </row>
    <row r="503" spans="1:2" ht="14.5" x14ac:dyDescent="0.35">
      <c r="A503" s="30"/>
      <c r="B503" s="30"/>
    </row>
    <row r="504" spans="1:2" ht="14.5" x14ac:dyDescent="0.35">
      <c r="A504" s="30"/>
      <c r="B504" s="30"/>
    </row>
    <row r="505" spans="1:2" ht="14.5" x14ac:dyDescent="0.35">
      <c r="A505" s="30"/>
      <c r="B505" s="30"/>
    </row>
    <row r="506" spans="1:2" ht="14.5" x14ac:dyDescent="0.35">
      <c r="A506" s="30"/>
      <c r="B506" s="30"/>
    </row>
    <row r="507" spans="1:2" ht="14.5" x14ac:dyDescent="0.35">
      <c r="A507" s="30"/>
      <c r="B507" s="30"/>
    </row>
    <row r="508" spans="1:2" ht="14.5" x14ac:dyDescent="0.35">
      <c r="A508" s="30"/>
      <c r="B508" s="30"/>
    </row>
    <row r="509" spans="1:2" ht="14.5" x14ac:dyDescent="0.35">
      <c r="A509" s="30"/>
      <c r="B509" s="30"/>
    </row>
    <row r="510" spans="1:2" ht="14.5" x14ac:dyDescent="0.35">
      <c r="A510" s="30"/>
      <c r="B510" s="30"/>
    </row>
    <row r="511" spans="1:2" ht="14.5" x14ac:dyDescent="0.35">
      <c r="A511" s="30"/>
      <c r="B511" s="30"/>
    </row>
    <row r="512" spans="1:2" ht="14.5" x14ac:dyDescent="0.35">
      <c r="A512" s="30"/>
      <c r="B512" s="30"/>
    </row>
    <row r="513" spans="1:2" ht="14.5" x14ac:dyDescent="0.35">
      <c r="A513" s="30"/>
      <c r="B513" s="30"/>
    </row>
    <row r="514" spans="1:2" ht="14.5" x14ac:dyDescent="0.35">
      <c r="A514" s="30"/>
      <c r="B514" s="30"/>
    </row>
    <row r="515" spans="1:2" ht="14.5" x14ac:dyDescent="0.35">
      <c r="A515" s="30"/>
      <c r="B515" s="30"/>
    </row>
    <row r="516" spans="1:2" ht="14.5" x14ac:dyDescent="0.35">
      <c r="A516" s="30"/>
      <c r="B516" s="30"/>
    </row>
    <row r="517" spans="1:2" ht="14.5" x14ac:dyDescent="0.35">
      <c r="A517" s="30"/>
      <c r="B517" s="30"/>
    </row>
    <row r="518" spans="1:2" ht="14.5" x14ac:dyDescent="0.35">
      <c r="A518" s="30"/>
      <c r="B518" s="30"/>
    </row>
    <row r="519" spans="1:2" ht="14.5" x14ac:dyDescent="0.35">
      <c r="A519" s="30"/>
      <c r="B519" s="30"/>
    </row>
    <row r="520" spans="1:2" ht="14.5" x14ac:dyDescent="0.35">
      <c r="A520" s="30"/>
      <c r="B520" s="30"/>
    </row>
    <row r="521" spans="1:2" ht="14.5" x14ac:dyDescent="0.35">
      <c r="A521" s="30"/>
      <c r="B521" s="30"/>
    </row>
    <row r="522" spans="1:2" ht="14.5" x14ac:dyDescent="0.35">
      <c r="A522" s="30"/>
      <c r="B522" s="30"/>
    </row>
    <row r="523" spans="1:2" ht="14.5" x14ac:dyDescent="0.35">
      <c r="A523" s="30"/>
      <c r="B523" s="30"/>
    </row>
    <row r="524" spans="1:2" ht="14.5" x14ac:dyDescent="0.35">
      <c r="A524" s="30"/>
      <c r="B524" s="30"/>
    </row>
    <row r="525" spans="1:2" ht="14.5" x14ac:dyDescent="0.35">
      <c r="A525" s="30"/>
      <c r="B525" s="30"/>
    </row>
    <row r="526" spans="1:2" ht="14.5" x14ac:dyDescent="0.35">
      <c r="A526" s="30"/>
      <c r="B526" s="30"/>
    </row>
    <row r="527" spans="1:2" ht="14.5" x14ac:dyDescent="0.35">
      <c r="A527" s="30"/>
      <c r="B527" s="30"/>
    </row>
    <row r="528" spans="1:2" ht="14.5" x14ac:dyDescent="0.35">
      <c r="A528" s="30"/>
      <c r="B528" s="30"/>
    </row>
    <row r="529" spans="1:2" ht="14.5" x14ac:dyDescent="0.35">
      <c r="A529" s="30"/>
      <c r="B529" s="30"/>
    </row>
    <row r="530" spans="1:2" ht="14.5" x14ac:dyDescent="0.35">
      <c r="A530" s="30"/>
      <c r="B530" s="30"/>
    </row>
    <row r="531" spans="1:2" ht="14.5" x14ac:dyDescent="0.35">
      <c r="A531" s="30"/>
      <c r="B531" s="30"/>
    </row>
    <row r="532" spans="1:2" ht="14.5" x14ac:dyDescent="0.35">
      <c r="A532" s="30"/>
      <c r="B532" s="30"/>
    </row>
    <row r="533" spans="1:2" ht="14.5" x14ac:dyDescent="0.35">
      <c r="A533" s="30"/>
      <c r="B533" s="30"/>
    </row>
    <row r="534" spans="1:2" ht="14.5" x14ac:dyDescent="0.35">
      <c r="A534" s="30"/>
      <c r="B534" s="30"/>
    </row>
    <row r="535" spans="1:2" ht="14.5" x14ac:dyDescent="0.35">
      <c r="A535" s="30"/>
      <c r="B535" s="30"/>
    </row>
    <row r="536" spans="1:2" ht="14.5" x14ac:dyDescent="0.35">
      <c r="A536" s="30"/>
      <c r="B536" s="30"/>
    </row>
    <row r="537" spans="1:2" ht="14.5" x14ac:dyDescent="0.35">
      <c r="A537" s="30"/>
      <c r="B537" s="30"/>
    </row>
    <row r="538" spans="1:2" ht="14.5" x14ac:dyDescent="0.35">
      <c r="A538" s="30"/>
      <c r="B538" s="30"/>
    </row>
    <row r="539" spans="1:2" ht="14.5" x14ac:dyDescent="0.35">
      <c r="A539" s="30"/>
      <c r="B539" s="30"/>
    </row>
    <row r="540" spans="1:2" ht="14.5" x14ac:dyDescent="0.35">
      <c r="A540" s="30"/>
      <c r="B540" s="30"/>
    </row>
    <row r="541" spans="1:2" ht="14.5" x14ac:dyDescent="0.35">
      <c r="A541" s="30"/>
      <c r="B541" s="30"/>
    </row>
    <row r="542" spans="1:2" ht="14.5" x14ac:dyDescent="0.35">
      <c r="A542" s="30"/>
      <c r="B542" s="30"/>
    </row>
    <row r="543" spans="1:2" ht="14.5" x14ac:dyDescent="0.35">
      <c r="A543" s="30"/>
      <c r="B543" s="30"/>
    </row>
    <row r="544" spans="1:2" ht="14.5" x14ac:dyDescent="0.35">
      <c r="A544" s="30"/>
      <c r="B544" s="30"/>
    </row>
    <row r="545" spans="1:2" ht="14.5" x14ac:dyDescent="0.35">
      <c r="A545" s="30"/>
      <c r="B545" s="30"/>
    </row>
    <row r="546" spans="1:2" ht="14.5" x14ac:dyDescent="0.35">
      <c r="A546" s="30"/>
      <c r="B546" s="30"/>
    </row>
    <row r="547" spans="1:2" ht="14.5" x14ac:dyDescent="0.35">
      <c r="A547" s="30"/>
      <c r="B547" s="30"/>
    </row>
    <row r="548" spans="1:2" ht="14.5" x14ac:dyDescent="0.35">
      <c r="A548" s="30"/>
      <c r="B548" s="30"/>
    </row>
    <row r="549" spans="1:2" ht="14.5" x14ac:dyDescent="0.35">
      <c r="A549" s="30"/>
      <c r="B549" s="30"/>
    </row>
    <row r="550" spans="1:2" ht="14.5" x14ac:dyDescent="0.35">
      <c r="A550" s="30"/>
      <c r="B550" s="30"/>
    </row>
    <row r="551" spans="1:2" ht="14.5" x14ac:dyDescent="0.35">
      <c r="A551" s="30"/>
      <c r="B551" s="30"/>
    </row>
    <row r="552" spans="1:2" ht="14.5" x14ac:dyDescent="0.35">
      <c r="A552" s="30"/>
      <c r="B552" s="30"/>
    </row>
    <row r="553" spans="1:2" ht="14.5" x14ac:dyDescent="0.35">
      <c r="A553" s="30"/>
      <c r="B553" s="30"/>
    </row>
    <row r="554" spans="1:2" ht="14.5" x14ac:dyDescent="0.35">
      <c r="A554" s="30"/>
      <c r="B554" s="30"/>
    </row>
    <row r="555" spans="1:2" ht="14.5" x14ac:dyDescent="0.35">
      <c r="A555" s="30"/>
      <c r="B555" s="30"/>
    </row>
    <row r="556" spans="1:2" ht="14.5" x14ac:dyDescent="0.35">
      <c r="A556" s="30"/>
      <c r="B556" s="30"/>
    </row>
    <row r="557" spans="1:2" ht="14.5" x14ac:dyDescent="0.35">
      <c r="A557" s="30"/>
      <c r="B557" s="30"/>
    </row>
    <row r="558" spans="1:2" ht="14.5" x14ac:dyDescent="0.35">
      <c r="A558" s="30"/>
      <c r="B558" s="30"/>
    </row>
    <row r="559" spans="1:2" ht="14.5" x14ac:dyDescent="0.35">
      <c r="A559" s="30"/>
      <c r="B559" s="30"/>
    </row>
    <row r="560" spans="1:2" ht="14.5" x14ac:dyDescent="0.35">
      <c r="A560" s="30"/>
      <c r="B560" s="30"/>
    </row>
    <row r="561" spans="1:2" ht="14.5" x14ac:dyDescent="0.35">
      <c r="A561" s="30"/>
      <c r="B561" s="30"/>
    </row>
    <row r="562" spans="1:2" ht="14.5" x14ac:dyDescent="0.35">
      <c r="A562" s="30"/>
      <c r="B562" s="30"/>
    </row>
    <row r="563" spans="1:2" ht="14.5" x14ac:dyDescent="0.35">
      <c r="A563" s="30"/>
      <c r="B563" s="30"/>
    </row>
    <row r="564" spans="1:2" ht="14.5" x14ac:dyDescent="0.35">
      <c r="A564" s="30"/>
      <c r="B564" s="30"/>
    </row>
    <row r="565" spans="1:2" ht="14.5" x14ac:dyDescent="0.35">
      <c r="A565" s="30"/>
      <c r="B565" s="30"/>
    </row>
    <row r="566" spans="1:2" ht="14.5" x14ac:dyDescent="0.35">
      <c r="A566" s="30"/>
      <c r="B566" s="30"/>
    </row>
    <row r="567" spans="1:2" ht="14.5" x14ac:dyDescent="0.35">
      <c r="A567" s="30"/>
      <c r="B567" s="30"/>
    </row>
    <row r="568" spans="1:2" ht="14.5" x14ac:dyDescent="0.35">
      <c r="A568" s="30"/>
      <c r="B568" s="30"/>
    </row>
    <row r="569" spans="1:2" ht="14.5" x14ac:dyDescent="0.35">
      <c r="A569" s="30"/>
      <c r="B569" s="30"/>
    </row>
    <row r="570" spans="1:2" ht="14.5" x14ac:dyDescent="0.35">
      <c r="A570" s="30"/>
      <c r="B570" s="30"/>
    </row>
    <row r="571" spans="1:2" ht="14.5" x14ac:dyDescent="0.35">
      <c r="A571" s="30"/>
      <c r="B571" s="30"/>
    </row>
    <row r="572" spans="1:2" ht="14.5" x14ac:dyDescent="0.35">
      <c r="A572" s="30"/>
      <c r="B572" s="30"/>
    </row>
    <row r="573" spans="1:2" ht="14.5" x14ac:dyDescent="0.35">
      <c r="A573" s="30"/>
      <c r="B573" s="30"/>
    </row>
    <row r="574" spans="1:2" ht="14.5" x14ac:dyDescent="0.35">
      <c r="A574" s="30"/>
      <c r="B574" s="30"/>
    </row>
    <row r="575" spans="1:2" ht="14.5" x14ac:dyDescent="0.35">
      <c r="A575" s="30"/>
      <c r="B575" s="30"/>
    </row>
    <row r="576" spans="1:2" ht="14.5" x14ac:dyDescent="0.35">
      <c r="A576" s="30"/>
      <c r="B576" s="30"/>
    </row>
    <row r="577" spans="1:2" ht="14.5" x14ac:dyDescent="0.35">
      <c r="A577" s="30"/>
      <c r="B577" s="30"/>
    </row>
    <row r="578" spans="1:2" ht="14.5" x14ac:dyDescent="0.35">
      <c r="A578" s="30"/>
      <c r="B578" s="30"/>
    </row>
    <row r="579" spans="1:2" ht="14.5" x14ac:dyDescent="0.35">
      <c r="A579" s="30"/>
      <c r="B579" s="30"/>
    </row>
    <row r="580" spans="1:2" ht="14.5" x14ac:dyDescent="0.35">
      <c r="A580" s="30"/>
      <c r="B580" s="30"/>
    </row>
    <row r="581" spans="1:2" ht="14.5" x14ac:dyDescent="0.35">
      <c r="A581" s="30"/>
      <c r="B581" s="30"/>
    </row>
    <row r="582" spans="1:2" ht="14.5" x14ac:dyDescent="0.35">
      <c r="A582" s="30"/>
      <c r="B582" s="30"/>
    </row>
    <row r="583" spans="1:2" ht="14.5" x14ac:dyDescent="0.35">
      <c r="A583" s="30"/>
      <c r="B583" s="30"/>
    </row>
    <row r="584" spans="1:2" ht="14.5" x14ac:dyDescent="0.35">
      <c r="A584" s="30"/>
      <c r="B584" s="30"/>
    </row>
    <row r="585" spans="1:2" ht="14.5" x14ac:dyDescent="0.35">
      <c r="A585" s="30"/>
      <c r="B585" s="30"/>
    </row>
    <row r="586" spans="1:2" ht="14.5" x14ac:dyDescent="0.35">
      <c r="A586" s="30"/>
      <c r="B586" s="30"/>
    </row>
    <row r="587" spans="1:2" ht="14.5" x14ac:dyDescent="0.35">
      <c r="A587" s="30"/>
      <c r="B587" s="30"/>
    </row>
    <row r="588" spans="1:2" ht="14.5" x14ac:dyDescent="0.35">
      <c r="A588" s="30"/>
      <c r="B588" s="30"/>
    </row>
    <row r="589" spans="1:2" ht="14.5" x14ac:dyDescent="0.35">
      <c r="A589" s="30"/>
      <c r="B589" s="30"/>
    </row>
    <row r="590" spans="1:2" ht="14.5" x14ac:dyDescent="0.35">
      <c r="A590" s="30"/>
      <c r="B590" s="30"/>
    </row>
    <row r="591" spans="1:2" ht="14.5" x14ac:dyDescent="0.35">
      <c r="A591" s="30"/>
      <c r="B591" s="30"/>
    </row>
    <row r="592" spans="1:2" ht="14.5" x14ac:dyDescent="0.35">
      <c r="A592" s="30"/>
      <c r="B592" s="30"/>
    </row>
    <row r="593" spans="1:2" ht="14.5" x14ac:dyDescent="0.35">
      <c r="A593" s="30"/>
      <c r="B593" s="30"/>
    </row>
    <row r="594" spans="1:2" ht="14.5" x14ac:dyDescent="0.35">
      <c r="A594" s="30"/>
      <c r="B594" s="30"/>
    </row>
    <row r="595" spans="1:2" ht="14.5" x14ac:dyDescent="0.35">
      <c r="A595" s="30"/>
      <c r="B595" s="30"/>
    </row>
    <row r="596" spans="1:2" ht="14.5" x14ac:dyDescent="0.35">
      <c r="A596" s="30"/>
      <c r="B596" s="30"/>
    </row>
    <row r="597" spans="1:2" ht="14.5" x14ac:dyDescent="0.35">
      <c r="A597" s="30"/>
      <c r="B597" s="30"/>
    </row>
    <row r="598" spans="1:2" ht="14.5" x14ac:dyDescent="0.35">
      <c r="A598" s="30"/>
      <c r="B598" s="30"/>
    </row>
    <row r="599" spans="1:2" ht="14.5" x14ac:dyDescent="0.35">
      <c r="A599" s="30"/>
      <c r="B599" s="30"/>
    </row>
    <row r="600" spans="1:2" ht="14.5" x14ac:dyDescent="0.35">
      <c r="A600" s="30"/>
      <c r="B600" s="30"/>
    </row>
    <row r="601" spans="1:2" ht="14.5" x14ac:dyDescent="0.35">
      <c r="A601" s="30"/>
      <c r="B601" s="30"/>
    </row>
    <row r="602" spans="1:2" ht="14.5" x14ac:dyDescent="0.35">
      <c r="A602" s="30"/>
      <c r="B602" s="30"/>
    </row>
    <row r="603" spans="1:2" ht="14.5" x14ac:dyDescent="0.35">
      <c r="A603" s="30"/>
      <c r="B603" s="30"/>
    </row>
    <row r="604" spans="1:2" ht="14.5" x14ac:dyDescent="0.35">
      <c r="A604" s="30"/>
      <c r="B604" s="30"/>
    </row>
    <row r="605" spans="1:2" ht="14.5" x14ac:dyDescent="0.35">
      <c r="A605" s="30"/>
      <c r="B605" s="30"/>
    </row>
    <row r="606" spans="1:2" ht="14.5" x14ac:dyDescent="0.35">
      <c r="A606" s="30"/>
      <c r="B606" s="30"/>
    </row>
    <row r="607" spans="1:2" ht="14.5" x14ac:dyDescent="0.35">
      <c r="A607" s="30"/>
      <c r="B607" s="30"/>
    </row>
    <row r="608" spans="1:2" ht="14.5" x14ac:dyDescent="0.35">
      <c r="A608" s="30"/>
      <c r="B608" s="30"/>
    </row>
    <row r="609" spans="1:2" ht="14.5" x14ac:dyDescent="0.35">
      <c r="A609" s="30"/>
      <c r="B609" s="30"/>
    </row>
    <row r="610" spans="1:2" ht="14.5" x14ac:dyDescent="0.35">
      <c r="A610" s="30"/>
      <c r="B610" s="30"/>
    </row>
    <row r="611" spans="1:2" ht="14.5" x14ac:dyDescent="0.35">
      <c r="A611" s="30"/>
      <c r="B611" s="30"/>
    </row>
    <row r="612" spans="1:2" ht="14.5" x14ac:dyDescent="0.35">
      <c r="A612" s="30"/>
      <c r="B612" s="30"/>
    </row>
    <row r="613" spans="1:2" ht="14.5" x14ac:dyDescent="0.35">
      <c r="A613" s="30"/>
      <c r="B613" s="30"/>
    </row>
    <row r="614" spans="1:2" ht="14.5" x14ac:dyDescent="0.35">
      <c r="A614" s="30"/>
      <c r="B614" s="30"/>
    </row>
    <row r="615" spans="1:2" ht="14.5" x14ac:dyDescent="0.35">
      <c r="A615" s="30"/>
      <c r="B615" s="30"/>
    </row>
    <row r="616" spans="1:2" ht="14.5" x14ac:dyDescent="0.35">
      <c r="A616" s="30"/>
      <c r="B616" s="30"/>
    </row>
    <row r="617" spans="1:2" ht="14.5" x14ac:dyDescent="0.35">
      <c r="A617" s="30"/>
      <c r="B617" s="30"/>
    </row>
    <row r="618" spans="1:2" ht="14.5" x14ac:dyDescent="0.35">
      <c r="A618" s="30"/>
      <c r="B618" s="30"/>
    </row>
    <row r="619" spans="1:2" ht="14.5" x14ac:dyDescent="0.35">
      <c r="A619" s="30"/>
      <c r="B619" s="30"/>
    </row>
    <row r="620" spans="1:2" ht="14.5" x14ac:dyDescent="0.35">
      <c r="A620" s="30"/>
      <c r="B620" s="30"/>
    </row>
    <row r="621" spans="1:2" ht="14.5" x14ac:dyDescent="0.35">
      <c r="A621" s="30"/>
      <c r="B621" s="30"/>
    </row>
    <row r="622" spans="1:2" ht="14.5" x14ac:dyDescent="0.35">
      <c r="A622" s="30"/>
      <c r="B622" s="30"/>
    </row>
    <row r="623" spans="1:2" ht="14.5" x14ac:dyDescent="0.35">
      <c r="A623" s="30"/>
      <c r="B623" s="30"/>
    </row>
    <row r="624" spans="1:2" ht="14.5" x14ac:dyDescent="0.35">
      <c r="A624" s="30"/>
      <c r="B624" s="30"/>
    </row>
    <row r="625" spans="1:2" ht="14.5" x14ac:dyDescent="0.35">
      <c r="A625" s="30"/>
      <c r="B625" s="30"/>
    </row>
    <row r="626" spans="1:2" ht="14.5" x14ac:dyDescent="0.35">
      <c r="A626" s="30"/>
      <c r="B626" s="30"/>
    </row>
    <row r="627" spans="1:2" ht="14.5" x14ac:dyDescent="0.35">
      <c r="A627" s="30"/>
      <c r="B627" s="30"/>
    </row>
    <row r="628" spans="1:2" ht="14.5" x14ac:dyDescent="0.35">
      <c r="A628" s="30"/>
      <c r="B628" s="30"/>
    </row>
    <row r="629" spans="1:2" ht="14.5" x14ac:dyDescent="0.35">
      <c r="A629" s="30"/>
      <c r="B629" s="30"/>
    </row>
    <row r="630" spans="1:2" ht="14.5" x14ac:dyDescent="0.35">
      <c r="A630" s="30"/>
      <c r="B630" s="30"/>
    </row>
    <row r="631" spans="1:2" ht="14.5" x14ac:dyDescent="0.35">
      <c r="A631" s="30"/>
      <c r="B631" s="30"/>
    </row>
    <row r="632" spans="1:2" ht="14.5" x14ac:dyDescent="0.35">
      <c r="A632" s="30"/>
      <c r="B632" s="30"/>
    </row>
    <row r="633" spans="1:2" ht="14.5" x14ac:dyDescent="0.35">
      <c r="A633" s="30"/>
      <c r="B633" s="30"/>
    </row>
    <row r="634" spans="1:2" ht="14.5" x14ac:dyDescent="0.35">
      <c r="A634" s="30"/>
      <c r="B634" s="30"/>
    </row>
    <row r="635" spans="1:2" ht="14.5" x14ac:dyDescent="0.35">
      <c r="A635" s="30"/>
      <c r="B635" s="30"/>
    </row>
    <row r="636" spans="1:2" ht="14.5" x14ac:dyDescent="0.35">
      <c r="A636" s="30"/>
      <c r="B636" s="30"/>
    </row>
    <row r="637" spans="1:2" ht="14.5" x14ac:dyDescent="0.35">
      <c r="A637" s="30"/>
      <c r="B637" s="30"/>
    </row>
    <row r="638" spans="1:2" ht="14.5" x14ac:dyDescent="0.35">
      <c r="A638" s="30"/>
      <c r="B638" s="30"/>
    </row>
    <row r="639" spans="1:2" ht="14.5" x14ac:dyDescent="0.35">
      <c r="A639" s="30"/>
      <c r="B639" s="30"/>
    </row>
    <row r="640" spans="1:2" ht="14.5" x14ac:dyDescent="0.35">
      <c r="A640" s="30"/>
      <c r="B640" s="30"/>
    </row>
    <row r="641" spans="1:2" ht="14.5" x14ac:dyDescent="0.35">
      <c r="A641" s="30"/>
      <c r="B641" s="30"/>
    </row>
    <row r="642" spans="1:2" ht="14.5" x14ac:dyDescent="0.35">
      <c r="A642" s="30"/>
      <c r="B642" s="30"/>
    </row>
    <row r="643" spans="1:2" ht="14.5" x14ac:dyDescent="0.35">
      <c r="A643" s="30"/>
      <c r="B643" s="30"/>
    </row>
    <row r="644" spans="1:2" ht="14.5" x14ac:dyDescent="0.35">
      <c r="A644" s="30"/>
      <c r="B644" s="30"/>
    </row>
    <row r="645" spans="1:2" ht="14.5" x14ac:dyDescent="0.35">
      <c r="A645" s="30"/>
      <c r="B645" s="30"/>
    </row>
    <row r="646" spans="1:2" ht="14.5" x14ac:dyDescent="0.35">
      <c r="A646" s="30"/>
      <c r="B646" s="30"/>
    </row>
    <row r="647" spans="1:2" ht="14.5" x14ac:dyDescent="0.35">
      <c r="A647" s="30"/>
      <c r="B647" s="30"/>
    </row>
    <row r="648" spans="1:2" ht="14.5" x14ac:dyDescent="0.35">
      <c r="A648" s="30"/>
      <c r="B648" s="30"/>
    </row>
    <row r="649" spans="1:2" ht="14.5" x14ac:dyDescent="0.35">
      <c r="A649" s="30"/>
      <c r="B649" s="30"/>
    </row>
    <row r="650" spans="1:2" ht="14.5" x14ac:dyDescent="0.35">
      <c r="A650" s="30"/>
      <c r="B650" s="30"/>
    </row>
    <row r="651" spans="1:2" ht="14.5" x14ac:dyDescent="0.35">
      <c r="A651" s="30"/>
      <c r="B651" s="30"/>
    </row>
    <row r="652" spans="1:2" ht="14.5" x14ac:dyDescent="0.35">
      <c r="A652" s="30"/>
      <c r="B652" s="30"/>
    </row>
    <row r="653" spans="1:2" ht="14.5" x14ac:dyDescent="0.35">
      <c r="A653" s="30"/>
      <c r="B653" s="30"/>
    </row>
    <row r="654" spans="1:2" ht="14.5" x14ac:dyDescent="0.35">
      <c r="A654" s="30"/>
      <c r="B654" s="30"/>
    </row>
    <row r="655" spans="1:2" ht="14.5" x14ac:dyDescent="0.35">
      <c r="A655" s="30"/>
      <c r="B655" s="30"/>
    </row>
    <row r="656" spans="1:2" ht="14.5" x14ac:dyDescent="0.35">
      <c r="A656" s="30"/>
      <c r="B656" s="30"/>
    </row>
    <row r="657" spans="1:2" ht="14.5" x14ac:dyDescent="0.35">
      <c r="A657" s="30"/>
      <c r="B657" s="30"/>
    </row>
    <row r="658" spans="1:2" ht="14.5" x14ac:dyDescent="0.35">
      <c r="A658" s="30"/>
      <c r="B658" s="30"/>
    </row>
    <row r="659" spans="1:2" ht="14.5" x14ac:dyDescent="0.35">
      <c r="A659" s="30"/>
      <c r="B659" s="30"/>
    </row>
    <row r="660" spans="1:2" ht="14.5" x14ac:dyDescent="0.35">
      <c r="A660" s="30"/>
      <c r="B660" s="30"/>
    </row>
    <row r="661" spans="1:2" ht="14.5" x14ac:dyDescent="0.35">
      <c r="A661" s="30"/>
      <c r="B661" s="30"/>
    </row>
    <row r="662" spans="1:2" ht="14.5" x14ac:dyDescent="0.35">
      <c r="A662" s="30"/>
      <c r="B662" s="30"/>
    </row>
    <row r="663" spans="1:2" ht="14.5" x14ac:dyDescent="0.35">
      <c r="A663" s="30"/>
      <c r="B663" s="30"/>
    </row>
    <row r="664" spans="1:2" ht="14.5" x14ac:dyDescent="0.35">
      <c r="A664" s="30"/>
      <c r="B664" s="30"/>
    </row>
    <row r="665" spans="1:2" ht="14.5" x14ac:dyDescent="0.35">
      <c r="A665" s="30"/>
      <c r="B665" s="30"/>
    </row>
    <row r="666" spans="1:2" ht="14.5" x14ac:dyDescent="0.35">
      <c r="A666" s="30"/>
      <c r="B666" s="30"/>
    </row>
    <row r="667" spans="1:2" ht="14.5" x14ac:dyDescent="0.35">
      <c r="A667" s="30"/>
      <c r="B667" s="30"/>
    </row>
    <row r="668" spans="1:2" ht="14.5" x14ac:dyDescent="0.35">
      <c r="A668" s="30"/>
      <c r="B668" s="30"/>
    </row>
    <row r="669" spans="1:2" ht="14.5" x14ac:dyDescent="0.35">
      <c r="A669" s="30"/>
      <c r="B669" s="30"/>
    </row>
    <row r="670" spans="1:2" ht="14.5" x14ac:dyDescent="0.35">
      <c r="A670" s="30"/>
      <c r="B670" s="30"/>
    </row>
    <row r="671" spans="1:2" ht="14.5" x14ac:dyDescent="0.35">
      <c r="A671" s="30"/>
      <c r="B671" s="30"/>
    </row>
    <row r="672" spans="1:2" ht="14.5" x14ac:dyDescent="0.35">
      <c r="A672" s="30"/>
      <c r="B672" s="30"/>
    </row>
    <row r="673" spans="1:2" ht="14.5" x14ac:dyDescent="0.35">
      <c r="A673" s="30"/>
      <c r="B673" s="30"/>
    </row>
    <row r="674" spans="1:2" ht="14.5" x14ac:dyDescent="0.35">
      <c r="A674" s="30"/>
      <c r="B674" s="30"/>
    </row>
    <row r="675" spans="1:2" ht="14.5" x14ac:dyDescent="0.35">
      <c r="A675" s="30"/>
      <c r="B675" s="30"/>
    </row>
    <row r="676" spans="1:2" ht="14.5" x14ac:dyDescent="0.35">
      <c r="A676" s="30"/>
      <c r="B676" s="30"/>
    </row>
    <row r="677" spans="1:2" ht="14.5" x14ac:dyDescent="0.35">
      <c r="A677" s="30"/>
      <c r="B677" s="30"/>
    </row>
    <row r="678" spans="1:2" ht="14.5" x14ac:dyDescent="0.35">
      <c r="A678" s="30"/>
      <c r="B678" s="30"/>
    </row>
    <row r="679" spans="1:2" ht="14.5" x14ac:dyDescent="0.35">
      <c r="A679" s="30"/>
      <c r="B679" s="30"/>
    </row>
    <row r="680" spans="1:2" ht="14.5" x14ac:dyDescent="0.35">
      <c r="A680" s="30"/>
      <c r="B680" s="30"/>
    </row>
    <row r="681" spans="1:2" ht="14.5" x14ac:dyDescent="0.35">
      <c r="A681" s="30"/>
      <c r="B681" s="30"/>
    </row>
    <row r="682" spans="1:2" ht="14.5" x14ac:dyDescent="0.35">
      <c r="A682" s="30"/>
      <c r="B682" s="30"/>
    </row>
    <row r="683" spans="1:2" ht="14.5" x14ac:dyDescent="0.35">
      <c r="A683" s="30"/>
      <c r="B683" s="30"/>
    </row>
    <row r="684" spans="1:2" ht="14.5" x14ac:dyDescent="0.35">
      <c r="A684" s="30"/>
      <c r="B684" s="30"/>
    </row>
    <row r="685" spans="1:2" ht="14.5" x14ac:dyDescent="0.35">
      <c r="A685" s="30"/>
      <c r="B685" s="30"/>
    </row>
    <row r="686" spans="1:2" ht="14.5" x14ac:dyDescent="0.35">
      <c r="A686" s="30"/>
      <c r="B686" s="30"/>
    </row>
    <row r="687" spans="1:2" ht="14.5" x14ac:dyDescent="0.35">
      <c r="A687" s="30"/>
      <c r="B687" s="30"/>
    </row>
    <row r="688" spans="1:2" ht="14.5" x14ac:dyDescent="0.35">
      <c r="A688" s="30"/>
      <c r="B688" s="30"/>
    </row>
    <row r="689" spans="1:2" ht="14.5" x14ac:dyDescent="0.35">
      <c r="A689" s="30"/>
      <c r="B689" s="30"/>
    </row>
    <row r="690" spans="1:2" ht="14.5" x14ac:dyDescent="0.35">
      <c r="A690" s="30"/>
      <c r="B690" s="30"/>
    </row>
    <row r="691" spans="1:2" ht="14.5" x14ac:dyDescent="0.35">
      <c r="A691" s="30"/>
      <c r="B691" s="30"/>
    </row>
    <row r="692" spans="1:2" ht="14.5" x14ac:dyDescent="0.35">
      <c r="A692" s="30"/>
      <c r="B692" s="30"/>
    </row>
    <row r="693" spans="1:2" ht="14.5" x14ac:dyDescent="0.35">
      <c r="A693" s="30"/>
      <c r="B693" s="30"/>
    </row>
    <row r="694" spans="1:2" ht="14.5" x14ac:dyDescent="0.35">
      <c r="A694" s="30"/>
      <c r="B694" s="30"/>
    </row>
    <row r="695" spans="1:2" ht="14.5" x14ac:dyDescent="0.35">
      <c r="A695" s="30"/>
      <c r="B695" s="30"/>
    </row>
    <row r="696" spans="1:2" ht="14.5" x14ac:dyDescent="0.35">
      <c r="A696" s="30"/>
      <c r="B696" s="30"/>
    </row>
    <row r="697" spans="1:2" ht="14.5" x14ac:dyDescent="0.35">
      <c r="A697" s="30"/>
      <c r="B697" s="30"/>
    </row>
    <row r="698" spans="1:2" ht="14.5" x14ac:dyDescent="0.35">
      <c r="A698" s="30"/>
      <c r="B698" s="30"/>
    </row>
    <row r="699" spans="1:2" ht="14.5" x14ac:dyDescent="0.35">
      <c r="A699" s="30"/>
      <c r="B699" s="30"/>
    </row>
    <row r="700" spans="1:2" ht="14.5" x14ac:dyDescent="0.35">
      <c r="A700" s="30"/>
      <c r="B700" s="30"/>
    </row>
    <row r="701" spans="1:2" ht="14.5" x14ac:dyDescent="0.35">
      <c r="A701" s="30"/>
      <c r="B701" s="30"/>
    </row>
    <row r="702" spans="1:2" ht="14.5" x14ac:dyDescent="0.35">
      <c r="A702" s="30"/>
      <c r="B702" s="30"/>
    </row>
    <row r="703" spans="1:2" ht="14.5" x14ac:dyDescent="0.35">
      <c r="A703" s="30"/>
      <c r="B703" s="30"/>
    </row>
    <row r="704" spans="1:2" ht="14.5" x14ac:dyDescent="0.35">
      <c r="A704" s="30"/>
      <c r="B704" s="30"/>
    </row>
    <row r="705" spans="1:2" ht="14.5" x14ac:dyDescent="0.35">
      <c r="A705" s="30"/>
      <c r="B705" s="30"/>
    </row>
    <row r="706" spans="1:2" ht="14.5" x14ac:dyDescent="0.35">
      <c r="A706" s="30"/>
      <c r="B706" s="30"/>
    </row>
    <row r="707" spans="1:2" ht="14.5" x14ac:dyDescent="0.35">
      <c r="A707" s="30"/>
      <c r="B707" s="30"/>
    </row>
    <row r="708" spans="1:2" ht="14.5" x14ac:dyDescent="0.35">
      <c r="A708" s="30"/>
      <c r="B708" s="30"/>
    </row>
    <row r="709" spans="1:2" ht="14.5" x14ac:dyDescent="0.35">
      <c r="A709" s="30"/>
      <c r="B709" s="30"/>
    </row>
    <row r="710" spans="1:2" ht="14.5" x14ac:dyDescent="0.35">
      <c r="A710" s="30"/>
      <c r="B710" s="30"/>
    </row>
    <row r="711" spans="1:2" ht="14.5" x14ac:dyDescent="0.35">
      <c r="A711" s="30"/>
      <c r="B711" s="30"/>
    </row>
    <row r="712" spans="1:2" ht="14.5" x14ac:dyDescent="0.35">
      <c r="A712" s="30"/>
      <c r="B712" s="30"/>
    </row>
    <row r="713" spans="1:2" ht="14.5" x14ac:dyDescent="0.35">
      <c r="A713" s="30"/>
      <c r="B713" s="30"/>
    </row>
    <row r="714" spans="1:2" ht="14.5" x14ac:dyDescent="0.35">
      <c r="A714" s="30"/>
      <c r="B714" s="30"/>
    </row>
    <row r="715" spans="1:2" ht="14.5" x14ac:dyDescent="0.35">
      <c r="A715" s="30"/>
      <c r="B715" s="30"/>
    </row>
    <row r="716" spans="1:2" ht="14.5" x14ac:dyDescent="0.35">
      <c r="A716" s="30"/>
      <c r="B716" s="30"/>
    </row>
    <row r="717" spans="1:2" ht="14.5" x14ac:dyDescent="0.35">
      <c r="A717" s="30"/>
      <c r="B717" s="30"/>
    </row>
    <row r="718" spans="1:2" ht="14.5" x14ac:dyDescent="0.35">
      <c r="A718" s="30"/>
      <c r="B718" s="30"/>
    </row>
    <row r="719" spans="1:2" ht="14.5" x14ac:dyDescent="0.35">
      <c r="A719" s="30"/>
      <c r="B719" s="30"/>
    </row>
    <row r="720" spans="1:2" ht="14.5" x14ac:dyDescent="0.35">
      <c r="A720" s="30"/>
      <c r="B720" s="30"/>
    </row>
    <row r="721" spans="1:2" ht="14.5" x14ac:dyDescent="0.35">
      <c r="A721" s="30"/>
      <c r="B721" s="30"/>
    </row>
    <row r="722" spans="1:2" ht="14.5" x14ac:dyDescent="0.35">
      <c r="A722" s="30"/>
      <c r="B722" s="30"/>
    </row>
    <row r="723" spans="1:2" ht="14.5" x14ac:dyDescent="0.35">
      <c r="A723" s="30"/>
      <c r="B723" s="30"/>
    </row>
    <row r="724" spans="1:2" ht="14.5" x14ac:dyDescent="0.35">
      <c r="A724" s="30"/>
      <c r="B724" s="30"/>
    </row>
    <row r="725" spans="1:2" ht="14.5" x14ac:dyDescent="0.35">
      <c r="A725" s="30"/>
      <c r="B725" s="30"/>
    </row>
    <row r="726" spans="1:2" ht="14.5" x14ac:dyDescent="0.35">
      <c r="A726" s="30"/>
      <c r="B726" s="30"/>
    </row>
    <row r="727" spans="1:2" ht="14.5" x14ac:dyDescent="0.35">
      <c r="A727" s="30"/>
      <c r="B727" s="30"/>
    </row>
    <row r="728" spans="1:2" ht="14.5" x14ac:dyDescent="0.35">
      <c r="A728" s="30"/>
      <c r="B728" s="30"/>
    </row>
    <row r="729" spans="1:2" ht="14.5" x14ac:dyDescent="0.35">
      <c r="A729" s="30"/>
      <c r="B729" s="30"/>
    </row>
    <row r="730" spans="1:2" ht="14.5" x14ac:dyDescent="0.35">
      <c r="A730" s="30"/>
      <c r="B730" s="30"/>
    </row>
    <row r="731" spans="1:2" ht="14.5" x14ac:dyDescent="0.35">
      <c r="A731" s="30"/>
      <c r="B731" s="30"/>
    </row>
    <row r="732" spans="1:2" ht="14.5" x14ac:dyDescent="0.35">
      <c r="A732" s="30"/>
      <c r="B732" s="30"/>
    </row>
    <row r="733" spans="1:2" ht="14.5" x14ac:dyDescent="0.35">
      <c r="A733" s="30"/>
      <c r="B733" s="30"/>
    </row>
    <row r="734" spans="1:2" ht="14.5" x14ac:dyDescent="0.35">
      <c r="A734" s="30"/>
      <c r="B734" s="30"/>
    </row>
    <row r="735" spans="1:2" ht="14.5" x14ac:dyDescent="0.35">
      <c r="A735" s="30"/>
      <c r="B735" s="30"/>
    </row>
    <row r="736" spans="1:2" ht="14.5" x14ac:dyDescent="0.35">
      <c r="A736" s="30"/>
      <c r="B736" s="30"/>
    </row>
    <row r="737" spans="1:2" ht="14.5" x14ac:dyDescent="0.35">
      <c r="A737" s="30"/>
      <c r="B737" s="30"/>
    </row>
    <row r="738" spans="1:2" ht="14.5" x14ac:dyDescent="0.35">
      <c r="A738" s="30"/>
      <c r="B738" s="30"/>
    </row>
    <row r="739" spans="1:2" ht="14.5" x14ac:dyDescent="0.35">
      <c r="A739" s="30"/>
      <c r="B739" s="30"/>
    </row>
    <row r="740" spans="1:2" ht="14.5" x14ac:dyDescent="0.35">
      <c r="A740" s="30"/>
      <c r="B740" s="30"/>
    </row>
    <row r="741" spans="1:2" ht="14.5" x14ac:dyDescent="0.35">
      <c r="A741" s="30"/>
      <c r="B741" s="30"/>
    </row>
    <row r="742" spans="1:2" ht="14.5" x14ac:dyDescent="0.35">
      <c r="A742" s="30"/>
      <c r="B742" s="30"/>
    </row>
    <row r="743" spans="1:2" ht="14.5" x14ac:dyDescent="0.35">
      <c r="A743" s="30"/>
      <c r="B743" s="30"/>
    </row>
    <row r="744" spans="1:2" ht="14.5" x14ac:dyDescent="0.35">
      <c r="A744" s="30"/>
      <c r="B744" s="30"/>
    </row>
    <row r="745" spans="1:2" ht="14.5" x14ac:dyDescent="0.35">
      <c r="A745" s="30"/>
      <c r="B745" s="30"/>
    </row>
    <row r="746" spans="1:2" ht="14.5" x14ac:dyDescent="0.35">
      <c r="A746" s="30"/>
      <c r="B746" s="30"/>
    </row>
    <row r="747" spans="1:2" ht="14.5" x14ac:dyDescent="0.35">
      <c r="A747" s="30"/>
      <c r="B747" s="30"/>
    </row>
    <row r="748" spans="1:2" ht="14.5" x14ac:dyDescent="0.35">
      <c r="A748" s="30"/>
      <c r="B748" s="30"/>
    </row>
    <row r="749" spans="1:2" ht="14.5" x14ac:dyDescent="0.35">
      <c r="A749" s="30"/>
      <c r="B749" s="30"/>
    </row>
    <row r="750" spans="1:2" ht="14.5" x14ac:dyDescent="0.35">
      <c r="A750" s="30"/>
      <c r="B750" s="30"/>
    </row>
    <row r="751" spans="1:2" ht="14.5" x14ac:dyDescent="0.35">
      <c r="A751" s="30"/>
      <c r="B751" s="30"/>
    </row>
    <row r="752" spans="1:2" ht="14.5" x14ac:dyDescent="0.35">
      <c r="A752" s="30"/>
      <c r="B752" s="30"/>
    </row>
    <row r="753" spans="1:2" ht="14.5" x14ac:dyDescent="0.35">
      <c r="A753" s="30"/>
      <c r="B753" s="30"/>
    </row>
    <row r="754" spans="1:2" ht="14.5" x14ac:dyDescent="0.35">
      <c r="A754" s="30"/>
      <c r="B754" s="30"/>
    </row>
    <row r="755" spans="1:2" ht="14.5" x14ac:dyDescent="0.35">
      <c r="A755" s="30"/>
      <c r="B755" s="30"/>
    </row>
    <row r="756" spans="1:2" ht="14.5" x14ac:dyDescent="0.35">
      <c r="A756" s="30"/>
      <c r="B756" s="30"/>
    </row>
    <row r="757" spans="1:2" ht="14.5" x14ac:dyDescent="0.35">
      <c r="A757" s="30"/>
      <c r="B757" s="30"/>
    </row>
    <row r="758" spans="1:2" ht="14.5" x14ac:dyDescent="0.35">
      <c r="A758" s="30"/>
      <c r="B758" s="30"/>
    </row>
    <row r="759" spans="1:2" ht="14.5" x14ac:dyDescent="0.35">
      <c r="A759" s="30"/>
      <c r="B759" s="30"/>
    </row>
    <row r="760" spans="1:2" ht="14.5" x14ac:dyDescent="0.35">
      <c r="A760" s="30"/>
      <c r="B760" s="30"/>
    </row>
    <row r="761" spans="1:2" ht="14.5" x14ac:dyDescent="0.35">
      <c r="A761" s="30"/>
      <c r="B761" s="30"/>
    </row>
    <row r="762" spans="1:2" ht="14.5" x14ac:dyDescent="0.35">
      <c r="A762" s="30"/>
      <c r="B762" s="30"/>
    </row>
    <row r="763" spans="1:2" ht="14.5" x14ac:dyDescent="0.35">
      <c r="A763" s="30"/>
      <c r="B763" s="30"/>
    </row>
    <row r="764" spans="1:2" ht="14.5" x14ac:dyDescent="0.35">
      <c r="A764" s="30"/>
      <c r="B764" s="30"/>
    </row>
    <row r="765" spans="1:2" ht="14.5" x14ac:dyDescent="0.35">
      <c r="A765" s="30"/>
      <c r="B765" s="30"/>
    </row>
    <row r="766" spans="1:2" ht="14.5" x14ac:dyDescent="0.35">
      <c r="A766" s="30"/>
      <c r="B766" s="30"/>
    </row>
    <row r="767" spans="1:2" ht="14.5" x14ac:dyDescent="0.35">
      <c r="A767" s="30"/>
      <c r="B767" s="30"/>
    </row>
    <row r="768" spans="1:2" ht="14.5" x14ac:dyDescent="0.35">
      <c r="A768" s="30"/>
      <c r="B768" s="30"/>
    </row>
    <row r="769" spans="1:2" ht="14.5" x14ac:dyDescent="0.35">
      <c r="A769" s="30"/>
      <c r="B769" s="30"/>
    </row>
    <row r="770" spans="1:2" ht="14.5" x14ac:dyDescent="0.35">
      <c r="A770" s="30"/>
      <c r="B770" s="30"/>
    </row>
    <row r="771" spans="1:2" ht="14.5" x14ac:dyDescent="0.35">
      <c r="A771" s="30"/>
      <c r="B771" s="30"/>
    </row>
    <row r="772" spans="1:2" ht="14.5" x14ac:dyDescent="0.35">
      <c r="A772" s="30"/>
      <c r="B772" s="30"/>
    </row>
    <row r="773" spans="1:2" ht="14.5" x14ac:dyDescent="0.35">
      <c r="A773" s="30"/>
      <c r="B773" s="30"/>
    </row>
    <row r="774" spans="1:2" ht="14.5" x14ac:dyDescent="0.35">
      <c r="A774" s="30"/>
      <c r="B774" s="30"/>
    </row>
    <row r="775" spans="1:2" ht="14.5" x14ac:dyDescent="0.35">
      <c r="A775" s="30"/>
      <c r="B775" s="30"/>
    </row>
    <row r="776" spans="1:2" ht="14.5" x14ac:dyDescent="0.35">
      <c r="A776" s="30"/>
      <c r="B776" s="30"/>
    </row>
    <row r="777" spans="1:2" ht="14.5" x14ac:dyDescent="0.35">
      <c r="A777" s="30"/>
      <c r="B777" s="30"/>
    </row>
    <row r="778" spans="1:2" ht="14.5" x14ac:dyDescent="0.35">
      <c r="A778" s="30"/>
      <c r="B778" s="30"/>
    </row>
    <row r="779" spans="1:2" ht="14.5" x14ac:dyDescent="0.35">
      <c r="A779" s="30"/>
      <c r="B779" s="30"/>
    </row>
    <row r="780" spans="1:2" ht="14.5" x14ac:dyDescent="0.35">
      <c r="A780" s="30"/>
      <c r="B780" s="30"/>
    </row>
    <row r="781" spans="1:2" ht="14.5" x14ac:dyDescent="0.35">
      <c r="A781" s="30"/>
      <c r="B781" s="30"/>
    </row>
    <row r="782" spans="1:2" ht="14.5" x14ac:dyDescent="0.35">
      <c r="A782" s="30"/>
      <c r="B782" s="30"/>
    </row>
    <row r="783" spans="1:2" ht="14.5" x14ac:dyDescent="0.35">
      <c r="A783" s="30"/>
      <c r="B783" s="30"/>
    </row>
    <row r="784" spans="1:2" ht="14.5" x14ac:dyDescent="0.35">
      <c r="A784" s="30"/>
      <c r="B784" s="30"/>
    </row>
    <row r="785" spans="1:2" ht="14.5" x14ac:dyDescent="0.35">
      <c r="A785" s="30"/>
      <c r="B785" s="30"/>
    </row>
    <row r="786" spans="1:2" ht="14.5" x14ac:dyDescent="0.35">
      <c r="A786" s="30"/>
      <c r="B786" s="30"/>
    </row>
    <row r="787" spans="1:2" ht="14.5" x14ac:dyDescent="0.35">
      <c r="A787" s="30"/>
      <c r="B787" s="30"/>
    </row>
    <row r="788" spans="1:2" ht="14.5" x14ac:dyDescent="0.35">
      <c r="A788" s="30"/>
      <c r="B788" s="30"/>
    </row>
    <row r="789" spans="1:2" ht="14.5" x14ac:dyDescent="0.35">
      <c r="A789" s="30"/>
      <c r="B789" s="30"/>
    </row>
    <row r="790" spans="1:2" ht="14.5" x14ac:dyDescent="0.35">
      <c r="A790" s="30"/>
      <c r="B790" s="30"/>
    </row>
    <row r="791" spans="1:2" ht="14.5" x14ac:dyDescent="0.35">
      <c r="A791" s="30"/>
      <c r="B791" s="30"/>
    </row>
    <row r="792" spans="1:2" ht="14.5" x14ac:dyDescent="0.35">
      <c r="A792" s="30"/>
      <c r="B792" s="30"/>
    </row>
    <row r="793" spans="1:2" ht="14.5" x14ac:dyDescent="0.35">
      <c r="A793" s="30"/>
      <c r="B793" s="30"/>
    </row>
    <row r="794" spans="1:2" ht="14.5" x14ac:dyDescent="0.35">
      <c r="A794" s="30"/>
      <c r="B794" s="30"/>
    </row>
    <row r="795" spans="1:2" ht="14.5" x14ac:dyDescent="0.35">
      <c r="A795" s="30"/>
      <c r="B795" s="30"/>
    </row>
    <row r="796" spans="1:2" ht="14.5" x14ac:dyDescent="0.35">
      <c r="A796" s="30"/>
      <c r="B796" s="30"/>
    </row>
    <row r="797" spans="1:2" ht="14.5" x14ac:dyDescent="0.35">
      <c r="A797" s="30"/>
      <c r="B797" s="30"/>
    </row>
    <row r="798" spans="1:2" ht="14.5" x14ac:dyDescent="0.35">
      <c r="A798" s="30"/>
      <c r="B798" s="30"/>
    </row>
    <row r="799" spans="1:2" ht="14.5" x14ac:dyDescent="0.35">
      <c r="A799" s="30"/>
      <c r="B799" s="30"/>
    </row>
    <row r="800" spans="1:2" ht="14.5" x14ac:dyDescent="0.35">
      <c r="A800" s="30"/>
      <c r="B800" s="30"/>
    </row>
    <row r="801" spans="1:2" ht="14.5" x14ac:dyDescent="0.35">
      <c r="A801" s="30"/>
      <c r="B801" s="30"/>
    </row>
    <row r="802" spans="1:2" ht="14.5" x14ac:dyDescent="0.35">
      <c r="A802" s="30"/>
      <c r="B802" s="30"/>
    </row>
    <row r="803" spans="1:2" ht="14.5" x14ac:dyDescent="0.35">
      <c r="A803" s="30"/>
      <c r="B803" s="30"/>
    </row>
    <row r="804" spans="1:2" ht="14.5" x14ac:dyDescent="0.35">
      <c r="A804" s="30"/>
      <c r="B804" s="30"/>
    </row>
    <row r="805" spans="1:2" ht="14.5" x14ac:dyDescent="0.35">
      <c r="A805" s="30"/>
      <c r="B805" s="30"/>
    </row>
    <row r="806" spans="1:2" ht="14.5" x14ac:dyDescent="0.35">
      <c r="A806" s="30"/>
      <c r="B806" s="30"/>
    </row>
    <row r="807" spans="1:2" ht="14.5" x14ac:dyDescent="0.35">
      <c r="A807" s="30"/>
      <c r="B807" s="30"/>
    </row>
    <row r="808" spans="1:2" ht="14.5" x14ac:dyDescent="0.35">
      <c r="A808" s="30"/>
      <c r="B808" s="30"/>
    </row>
    <row r="809" spans="1:2" ht="14.5" x14ac:dyDescent="0.35">
      <c r="A809" s="30"/>
      <c r="B809" s="30"/>
    </row>
    <row r="810" spans="1:2" ht="14.5" x14ac:dyDescent="0.35">
      <c r="A810" s="30"/>
      <c r="B810" s="30"/>
    </row>
    <row r="811" spans="1:2" ht="14.5" x14ac:dyDescent="0.35">
      <c r="A811" s="30"/>
      <c r="B811" s="30"/>
    </row>
    <row r="812" spans="1:2" ht="14.5" x14ac:dyDescent="0.35">
      <c r="A812" s="30"/>
      <c r="B812" s="30"/>
    </row>
    <row r="813" spans="1:2" ht="14.5" x14ac:dyDescent="0.35">
      <c r="A813" s="30"/>
      <c r="B813" s="30"/>
    </row>
    <row r="814" spans="1:2" ht="14.5" x14ac:dyDescent="0.35">
      <c r="A814" s="30"/>
      <c r="B814" s="30"/>
    </row>
    <row r="815" spans="1:2" ht="14.5" x14ac:dyDescent="0.35">
      <c r="A815" s="30"/>
      <c r="B815" s="30"/>
    </row>
    <row r="816" spans="1:2" ht="14.5" x14ac:dyDescent="0.35">
      <c r="A816" s="30"/>
      <c r="B816" s="30"/>
    </row>
    <row r="817" spans="1:2" ht="14.5" x14ac:dyDescent="0.35">
      <c r="A817" s="30"/>
      <c r="B817" s="30"/>
    </row>
    <row r="818" spans="1:2" ht="14.5" x14ac:dyDescent="0.35">
      <c r="A818" s="30"/>
      <c r="B818" s="30"/>
    </row>
    <row r="819" spans="1:2" ht="14.5" x14ac:dyDescent="0.35">
      <c r="A819" s="30"/>
      <c r="B819" s="30"/>
    </row>
    <row r="820" spans="1:2" ht="14.5" x14ac:dyDescent="0.35">
      <c r="A820" s="30"/>
      <c r="B820" s="30"/>
    </row>
    <row r="821" spans="1:2" ht="14.5" x14ac:dyDescent="0.35">
      <c r="A821" s="30"/>
      <c r="B821" s="30"/>
    </row>
    <row r="822" spans="1:2" ht="14.5" x14ac:dyDescent="0.35">
      <c r="A822" s="30"/>
      <c r="B822" s="30"/>
    </row>
    <row r="823" spans="1:2" ht="14.5" x14ac:dyDescent="0.35">
      <c r="A823" s="30"/>
      <c r="B823" s="30"/>
    </row>
    <row r="824" spans="1:2" ht="14.5" x14ac:dyDescent="0.35">
      <c r="A824" s="30"/>
      <c r="B824" s="30"/>
    </row>
    <row r="825" spans="1:2" ht="14.5" x14ac:dyDescent="0.35">
      <c r="A825" s="30"/>
      <c r="B825" s="30"/>
    </row>
    <row r="826" spans="1:2" ht="14.5" x14ac:dyDescent="0.35">
      <c r="A826" s="30"/>
      <c r="B826" s="30"/>
    </row>
    <row r="827" spans="1:2" ht="14.5" x14ac:dyDescent="0.35">
      <c r="A827" s="30"/>
      <c r="B827" s="30"/>
    </row>
    <row r="828" spans="1:2" ht="14.5" x14ac:dyDescent="0.35">
      <c r="A828" s="30"/>
      <c r="B828" s="30"/>
    </row>
    <row r="829" spans="1:2" ht="14.5" x14ac:dyDescent="0.35">
      <c r="A829" s="30"/>
      <c r="B829" s="30"/>
    </row>
    <row r="830" spans="1:2" ht="14.5" x14ac:dyDescent="0.35">
      <c r="A830" s="30"/>
      <c r="B830" s="30"/>
    </row>
    <row r="831" spans="1:2" ht="14.5" x14ac:dyDescent="0.35">
      <c r="A831" s="30"/>
      <c r="B831" s="30"/>
    </row>
    <row r="832" spans="1:2" ht="14.5" x14ac:dyDescent="0.35">
      <c r="A832" s="30"/>
      <c r="B832" s="30"/>
    </row>
    <row r="833" spans="1:2" ht="14.5" x14ac:dyDescent="0.35">
      <c r="A833" s="30"/>
      <c r="B833" s="30"/>
    </row>
    <row r="834" spans="1:2" ht="14.5" x14ac:dyDescent="0.35">
      <c r="A834" s="30"/>
      <c r="B834" s="30"/>
    </row>
    <row r="835" spans="1:2" ht="14.5" x14ac:dyDescent="0.35">
      <c r="A835" s="30"/>
      <c r="B835" s="30"/>
    </row>
    <row r="836" spans="1:2" ht="14.5" x14ac:dyDescent="0.35">
      <c r="A836" s="30"/>
      <c r="B836" s="30"/>
    </row>
    <row r="837" spans="1:2" ht="14.5" x14ac:dyDescent="0.35">
      <c r="A837" s="30"/>
      <c r="B837" s="30"/>
    </row>
    <row r="838" spans="1:2" ht="14.5" x14ac:dyDescent="0.35">
      <c r="A838" s="30"/>
      <c r="B838" s="30"/>
    </row>
    <row r="839" spans="1:2" ht="14.5" x14ac:dyDescent="0.35">
      <c r="A839" s="30"/>
      <c r="B839" s="30"/>
    </row>
    <row r="840" spans="1:2" ht="14.5" x14ac:dyDescent="0.35">
      <c r="A840" s="30"/>
      <c r="B840" s="30"/>
    </row>
    <row r="841" spans="1:2" ht="14.5" x14ac:dyDescent="0.35">
      <c r="A841" s="30"/>
      <c r="B841" s="30"/>
    </row>
    <row r="842" spans="1:2" ht="14.5" x14ac:dyDescent="0.35">
      <c r="A842" s="30"/>
      <c r="B842" s="30"/>
    </row>
    <row r="843" spans="1:2" ht="14.5" x14ac:dyDescent="0.35">
      <c r="A843" s="30"/>
      <c r="B843" s="30"/>
    </row>
    <row r="844" spans="1:2" ht="14.5" x14ac:dyDescent="0.35">
      <c r="A844" s="30"/>
      <c r="B844" s="30"/>
    </row>
    <row r="845" spans="1:2" ht="14.5" x14ac:dyDescent="0.35">
      <c r="A845" s="30"/>
      <c r="B845" s="30"/>
    </row>
    <row r="846" spans="1:2" ht="14.5" x14ac:dyDescent="0.35">
      <c r="A846" s="30"/>
      <c r="B846" s="30"/>
    </row>
    <row r="847" spans="1:2" ht="14.5" x14ac:dyDescent="0.35">
      <c r="A847" s="30"/>
      <c r="B847" s="30"/>
    </row>
    <row r="848" spans="1:2" ht="14.5" x14ac:dyDescent="0.35">
      <c r="A848" s="30"/>
      <c r="B848" s="30"/>
    </row>
    <row r="849" spans="1:2" ht="14.5" x14ac:dyDescent="0.35">
      <c r="A849" s="30"/>
      <c r="B849" s="30"/>
    </row>
    <row r="850" spans="1:2" ht="14.5" x14ac:dyDescent="0.35">
      <c r="A850" s="30"/>
      <c r="B850" s="30"/>
    </row>
    <row r="851" spans="1:2" ht="14.5" x14ac:dyDescent="0.35">
      <c r="A851" s="30"/>
      <c r="B851" s="30"/>
    </row>
    <row r="852" spans="1:2" ht="14.5" x14ac:dyDescent="0.35">
      <c r="A852" s="30"/>
      <c r="B852" s="30"/>
    </row>
    <row r="853" spans="1:2" ht="14.5" x14ac:dyDescent="0.35">
      <c r="A853" s="30"/>
      <c r="B853" s="30"/>
    </row>
    <row r="854" spans="1:2" ht="14.5" x14ac:dyDescent="0.35">
      <c r="A854" s="30"/>
      <c r="B854" s="30"/>
    </row>
    <row r="855" spans="1:2" ht="14.5" x14ac:dyDescent="0.35">
      <c r="A855" s="30"/>
      <c r="B855" s="30"/>
    </row>
    <row r="856" spans="1:2" ht="14.5" x14ac:dyDescent="0.35">
      <c r="A856" s="30"/>
      <c r="B856" s="30"/>
    </row>
    <row r="857" spans="1:2" ht="14.5" x14ac:dyDescent="0.35">
      <c r="A857" s="30"/>
      <c r="B857" s="30"/>
    </row>
    <row r="858" spans="1:2" ht="14.5" x14ac:dyDescent="0.35">
      <c r="A858" s="30"/>
      <c r="B858" s="30"/>
    </row>
    <row r="859" spans="1:2" ht="14.5" x14ac:dyDescent="0.35">
      <c r="A859" s="30"/>
      <c r="B859" s="30"/>
    </row>
    <row r="860" spans="1:2" ht="14.5" x14ac:dyDescent="0.35">
      <c r="A860" s="30"/>
      <c r="B860" s="30"/>
    </row>
    <row r="861" spans="1:2" ht="14.5" x14ac:dyDescent="0.35">
      <c r="A861" s="30"/>
      <c r="B861" s="30"/>
    </row>
    <row r="862" spans="1:2" ht="14.5" x14ac:dyDescent="0.35">
      <c r="A862" s="30"/>
      <c r="B862" s="30"/>
    </row>
    <row r="863" spans="1:2" ht="14.5" x14ac:dyDescent="0.35">
      <c r="A863" s="30"/>
      <c r="B863" s="30"/>
    </row>
    <row r="864" spans="1:2" ht="14.5" x14ac:dyDescent="0.35">
      <c r="A864" s="30"/>
      <c r="B864" s="30"/>
    </row>
    <row r="865" spans="1:2" ht="14.5" x14ac:dyDescent="0.35">
      <c r="A865" s="30"/>
      <c r="B865" s="30"/>
    </row>
    <row r="866" spans="1:2" ht="14.5" x14ac:dyDescent="0.35">
      <c r="A866" s="30"/>
      <c r="B866" s="30"/>
    </row>
    <row r="867" spans="1:2" ht="14.5" x14ac:dyDescent="0.35">
      <c r="A867" s="30"/>
      <c r="B867" s="30"/>
    </row>
    <row r="868" spans="1:2" ht="14.5" x14ac:dyDescent="0.35">
      <c r="A868" s="30"/>
      <c r="B868" s="30"/>
    </row>
    <row r="869" spans="1:2" ht="14.5" x14ac:dyDescent="0.35">
      <c r="A869" s="30"/>
      <c r="B869" s="30"/>
    </row>
    <row r="870" spans="1:2" ht="14.5" x14ac:dyDescent="0.35">
      <c r="A870" s="30"/>
      <c r="B870" s="30"/>
    </row>
    <row r="871" spans="1:2" ht="14.5" x14ac:dyDescent="0.35">
      <c r="A871" s="30"/>
      <c r="B871" s="30"/>
    </row>
    <row r="872" spans="1:2" ht="14.5" x14ac:dyDescent="0.35">
      <c r="A872" s="30"/>
      <c r="B872" s="30"/>
    </row>
    <row r="873" spans="1:2" ht="14.5" x14ac:dyDescent="0.35">
      <c r="A873" s="30"/>
      <c r="B873" s="30"/>
    </row>
    <row r="874" spans="1:2" ht="14.5" x14ac:dyDescent="0.35">
      <c r="A874" s="30"/>
      <c r="B874" s="30"/>
    </row>
    <row r="875" spans="1:2" ht="14.5" x14ac:dyDescent="0.35">
      <c r="A875" s="30"/>
      <c r="B875" s="30"/>
    </row>
    <row r="876" spans="1:2" ht="14.5" x14ac:dyDescent="0.35">
      <c r="A876" s="30"/>
      <c r="B876" s="30"/>
    </row>
    <row r="877" spans="1:2" ht="14.5" x14ac:dyDescent="0.35">
      <c r="A877" s="30"/>
      <c r="B877" s="30"/>
    </row>
    <row r="878" spans="1:2" ht="14.5" x14ac:dyDescent="0.35">
      <c r="A878" s="30"/>
      <c r="B878" s="30"/>
    </row>
    <row r="879" spans="1:2" ht="14.5" x14ac:dyDescent="0.35">
      <c r="A879" s="30"/>
      <c r="B879" s="30"/>
    </row>
    <row r="880" spans="1:2" ht="14.5" x14ac:dyDescent="0.35">
      <c r="A880" s="30"/>
      <c r="B880" s="30"/>
    </row>
    <row r="881" spans="1:2" ht="14.5" x14ac:dyDescent="0.35">
      <c r="A881" s="30"/>
      <c r="B881" s="30"/>
    </row>
    <row r="882" spans="1:2" ht="14.5" x14ac:dyDescent="0.35">
      <c r="A882" s="30"/>
      <c r="B882" s="30"/>
    </row>
    <row r="883" spans="1:2" ht="14.5" x14ac:dyDescent="0.35">
      <c r="A883" s="30"/>
      <c r="B883" s="30"/>
    </row>
    <row r="884" spans="1:2" ht="14.5" x14ac:dyDescent="0.35">
      <c r="A884" s="30"/>
      <c r="B884" s="30"/>
    </row>
    <row r="885" spans="1:2" ht="14.5" x14ac:dyDescent="0.35">
      <c r="A885" s="30"/>
      <c r="B885" s="30"/>
    </row>
    <row r="886" spans="1:2" ht="14.5" x14ac:dyDescent="0.35">
      <c r="A886" s="30"/>
      <c r="B886" s="30"/>
    </row>
    <row r="887" spans="1:2" ht="14.5" x14ac:dyDescent="0.35">
      <c r="A887" s="30"/>
      <c r="B887" s="30"/>
    </row>
    <row r="888" spans="1:2" ht="14.5" x14ac:dyDescent="0.35">
      <c r="A888" s="30"/>
      <c r="B888" s="30"/>
    </row>
    <row r="889" spans="1:2" ht="14.5" x14ac:dyDescent="0.35">
      <c r="A889" s="30"/>
      <c r="B889" s="30"/>
    </row>
    <row r="890" spans="1:2" ht="14.5" x14ac:dyDescent="0.35">
      <c r="A890" s="30"/>
      <c r="B890" s="30"/>
    </row>
    <row r="891" spans="1:2" ht="14.5" x14ac:dyDescent="0.35">
      <c r="A891" s="30"/>
      <c r="B891" s="30"/>
    </row>
    <row r="892" spans="1:2" ht="14.5" x14ac:dyDescent="0.35">
      <c r="A892" s="30"/>
      <c r="B892" s="30"/>
    </row>
    <row r="893" spans="1:2" ht="14.5" x14ac:dyDescent="0.35">
      <c r="A893" s="30"/>
      <c r="B893" s="30"/>
    </row>
    <row r="894" spans="1:2" ht="14.5" x14ac:dyDescent="0.35">
      <c r="A894" s="30"/>
      <c r="B894" s="30"/>
    </row>
    <row r="895" spans="1:2" ht="14.5" x14ac:dyDescent="0.35">
      <c r="A895" s="30"/>
      <c r="B895" s="30"/>
    </row>
    <row r="896" spans="1:2" ht="14.5" x14ac:dyDescent="0.35">
      <c r="A896" s="30"/>
      <c r="B896" s="30"/>
    </row>
    <row r="897" spans="1:2" ht="14.5" x14ac:dyDescent="0.35">
      <c r="A897" s="30"/>
      <c r="B897" s="30"/>
    </row>
    <row r="898" spans="1:2" ht="14.5" x14ac:dyDescent="0.35">
      <c r="A898" s="30"/>
      <c r="B898" s="30"/>
    </row>
    <row r="899" spans="1:2" ht="14.5" x14ac:dyDescent="0.35">
      <c r="A899" s="30"/>
      <c r="B899" s="30"/>
    </row>
    <row r="900" spans="1:2" ht="14.5" x14ac:dyDescent="0.35">
      <c r="A900" s="30"/>
      <c r="B900" s="30"/>
    </row>
    <row r="901" spans="1:2" ht="14.5" x14ac:dyDescent="0.35">
      <c r="A901" s="30"/>
      <c r="B901" s="30"/>
    </row>
    <row r="902" spans="1:2" ht="14.5" x14ac:dyDescent="0.35">
      <c r="A902" s="30"/>
      <c r="B902" s="30"/>
    </row>
    <row r="903" spans="1:2" ht="14.5" x14ac:dyDescent="0.35">
      <c r="A903" s="30"/>
      <c r="B903" s="30"/>
    </row>
    <row r="904" spans="1:2" ht="14.5" x14ac:dyDescent="0.35">
      <c r="A904" s="30"/>
      <c r="B904" s="30"/>
    </row>
    <row r="905" spans="1:2" ht="14.5" x14ac:dyDescent="0.35">
      <c r="A905" s="30"/>
      <c r="B905" s="30"/>
    </row>
    <row r="906" spans="1:2" ht="14.5" x14ac:dyDescent="0.35">
      <c r="A906" s="30"/>
      <c r="B906" s="30"/>
    </row>
    <row r="907" spans="1:2" ht="14.5" x14ac:dyDescent="0.35">
      <c r="A907" s="30"/>
      <c r="B907" s="30"/>
    </row>
    <row r="908" spans="1:2" ht="14.5" x14ac:dyDescent="0.35">
      <c r="A908" s="30"/>
      <c r="B908" s="30"/>
    </row>
    <row r="909" spans="1:2" ht="14.5" x14ac:dyDescent="0.35">
      <c r="A909" s="30"/>
      <c r="B909" s="30"/>
    </row>
    <row r="910" spans="1:2" ht="14.5" x14ac:dyDescent="0.35">
      <c r="A910" s="30"/>
      <c r="B910" s="30"/>
    </row>
    <row r="911" spans="1:2" ht="14.5" x14ac:dyDescent="0.35">
      <c r="A911" s="30"/>
      <c r="B911" s="30"/>
    </row>
    <row r="912" spans="1:2" ht="14.5" x14ac:dyDescent="0.35">
      <c r="A912" s="30"/>
      <c r="B912" s="30"/>
    </row>
    <row r="913" spans="1:2" ht="14.5" x14ac:dyDescent="0.35">
      <c r="A913" s="30"/>
      <c r="B913" s="30"/>
    </row>
    <row r="914" spans="1:2" ht="14.5" x14ac:dyDescent="0.35">
      <c r="A914" s="30"/>
      <c r="B914" s="30"/>
    </row>
    <row r="915" spans="1:2" ht="14.5" x14ac:dyDescent="0.35">
      <c r="A915" s="30"/>
      <c r="B915" s="30"/>
    </row>
    <row r="916" spans="1:2" ht="14.5" x14ac:dyDescent="0.35">
      <c r="A916" s="30"/>
      <c r="B916" s="30"/>
    </row>
    <row r="917" spans="1:2" ht="14.5" x14ac:dyDescent="0.35">
      <c r="A917" s="30"/>
      <c r="B917" s="30"/>
    </row>
    <row r="918" spans="1:2" ht="14.5" x14ac:dyDescent="0.35">
      <c r="A918" s="30"/>
      <c r="B918" s="30"/>
    </row>
    <row r="919" spans="1:2" ht="14.5" x14ac:dyDescent="0.35">
      <c r="A919" s="30"/>
      <c r="B919" s="30"/>
    </row>
    <row r="920" spans="1:2" ht="14.5" x14ac:dyDescent="0.35">
      <c r="A920" s="30"/>
      <c r="B920" s="30"/>
    </row>
    <row r="921" spans="1:2" ht="14.5" x14ac:dyDescent="0.35">
      <c r="A921" s="30"/>
      <c r="B921" s="30"/>
    </row>
    <row r="922" spans="1:2" ht="14.5" x14ac:dyDescent="0.35">
      <c r="A922" s="30"/>
      <c r="B922" s="30"/>
    </row>
    <row r="923" spans="1:2" ht="14.5" x14ac:dyDescent="0.35">
      <c r="A923" s="30"/>
      <c r="B923" s="30"/>
    </row>
    <row r="924" spans="1:2" ht="14.5" x14ac:dyDescent="0.35">
      <c r="A924" s="30"/>
      <c r="B924" s="30"/>
    </row>
    <row r="925" spans="1:2" ht="14.5" x14ac:dyDescent="0.35">
      <c r="A925" s="30"/>
      <c r="B925" s="30"/>
    </row>
    <row r="926" spans="1:2" ht="14.5" x14ac:dyDescent="0.35">
      <c r="A926" s="30"/>
      <c r="B926" s="30"/>
    </row>
    <row r="927" spans="1:2" ht="14.5" x14ac:dyDescent="0.35">
      <c r="A927" s="30"/>
      <c r="B927" s="30"/>
    </row>
    <row r="928" spans="1:2" ht="14.5" x14ac:dyDescent="0.35">
      <c r="A928" s="30"/>
      <c r="B928" s="30"/>
    </row>
    <row r="929" spans="1:2" ht="14.5" x14ac:dyDescent="0.35">
      <c r="A929" s="30"/>
      <c r="B929" s="30"/>
    </row>
    <row r="930" spans="1:2" ht="14.5" x14ac:dyDescent="0.35">
      <c r="A930" s="30"/>
      <c r="B930" s="30"/>
    </row>
    <row r="931" spans="1:2" ht="14.5" x14ac:dyDescent="0.35">
      <c r="A931" s="30"/>
      <c r="B931" s="30"/>
    </row>
    <row r="932" spans="1:2" ht="14.5" x14ac:dyDescent="0.35">
      <c r="A932" s="30"/>
      <c r="B932" s="30"/>
    </row>
    <row r="933" spans="1:2" ht="14.5" x14ac:dyDescent="0.35">
      <c r="A933" s="30"/>
      <c r="B933" s="30"/>
    </row>
    <row r="934" spans="1:2" ht="14.5" x14ac:dyDescent="0.35">
      <c r="A934" s="30"/>
      <c r="B934" s="30"/>
    </row>
    <row r="935" spans="1:2" ht="14.5" x14ac:dyDescent="0.35">
      <c r="A935" s="30"/>
      <c r="B935" s="30"/>
    </row>
    <row r="936" spans="1:2" ht="14.5" x14ac:dyDescent="0.35">
      <c r="A936" s="30"/>
      <c r="B936" s="30"/>
    </row>
    <row r="937" spans="1:2" ht="14.5" x14ac:dyDescent="0.35">
      <c r="A937" s="30"/>
      <c r="B937" s="30"/>
    </row>
    <row r="938" spans="1:2" ht="14.5" x14ac:dyDescent="0.35">
      <c r="A938" s="30"/>
      <c r="B938" s="30"/>
    </row>
    <row r="939" spans="1:2" ht="14.5" x14ac:dyDescent="0.35">
      <c r="A939" s="30"/>
      <c r="B939" s="30"/>
    </row>
    <row r="940" spans="1:2" ht="14.5" x14ac:dyDescent="0.35">
      <c r="A940" s="30"/>
      <c r="B940" s="30"/>
    </row>
    <row r="941" spans="1:2" ht="14.5" x14ac:dyDescent="0.35">
      <c r="A941" s="30"/>
      <c r="B941" s="30"/>
    </row>
    <row r="942" spans="1:2" ht="14.5" x14ac:dyDescent="0.35">
      <c r="A942" s="30"/>
      <c r="B942" s="30"/>
    </row>
    <row r="943" spans="1:2" ht="14.5" x14ac:dyDescent="0.35">
      <c r="A943" s="30"/>
      <c r="B943" s="30"/>
    </row>
    <row r="944" spans="1:2" ht="14.5" x14ac:dyDescent="0.35">
      <c r="A944" s="30"/>
      <c r="B944" s="30"/>
    </row>
    <row r="945" spans="1:2" ht="14.5" x14ac:dyDescent="0.35">
      <c r="A945" s="30"/>
      <c r="B945" s="30"/>
    </row>
    <row r="946" spans="1:2" ht="14.5" x14ac:dyDescent="0.35">
      <c r="A946" s="30"/>
      <c r="B946" s="30"/>
    </row>
    <row r="947" spans="1:2" ht="14.5" x14ac:dyDescent="0.35">
      <c r="A947" s="30"/>
      <c r="B947" s="30"/>
    </row>
    <row r="948" spans="1:2" ht="14.5" x14ac:dyDescent="0.35">
      <c r="A948" s="30"/>
      <c r="B948" s="30"/>
    </row>
    <row r="949" spans="1:2" ht="14.5" x14ac:dyDescent="0.35">
      <c r="A949" s="30"/>
      <c r="B949" s="30"/>
    </row>
    <row r="950" spans="1:2" ht="14.5" x14ac:dyDescent="0.35">
      <c r="A950" s="30"/>
      <c r="B950" s="30"/>
    </row>
    <row r="951" spans="1:2" ht="14.5" x14ac:dyDescent="0.35">
      <c r="A951" s="30"/>
      <c r="B951" s="30"/>
    </row>
    <row r="952" spans="1:2" ht="14.5" x14ac:dyDescent="0.35">
      <c r="A952" s="30"/>
      <c r="B952" s="30"/>
    </row>
    <row r="953" spans="1:2" ht="14.5" x14ac:dyDescent="0.35">
      <c r="A953" s="30"/>
      <c r="B953" s="30"/>
    </row>
    <row r="954" spans="1:2" ht="14.5" x14ac:dyDescent="0.35">
      <c r="A954" s="30"/>
      <c r="B954" s="30"/>
    </row>
    <row r="955" spans="1:2" ht="14.5" x14ac:dyDescent="0.35">
      <c r="A955" s="30"/>
      <c r="B955" s="30"/>
    </row>
    <row r="956" spans="1:2" ht="14.5" x14ac:dyDescent="0.35">
      <c r="A956" s="30"/>
      <c r="B956" s="30"/>
    </row>
    <row r="957" spans="1:2" ht="14.5" x14ac:dyDescent="0.35">
      <c r="A957" s="30"/>
      <c r="B957" s="30"/>
    </row>
    <row r="958" spans="1:2" ht="14.5" x14ac:dyDescent="0.35">
      <c r="A958" s="30"/>
      <c r="B958" s="30"/>
    </row>
    <row r="959" spans="1:2" ht="14.5" x14ac:dyDescent="0.35">
      <c r="A959" s="30"/>
      <c r="B959" s="30"/>
    </row>
    <row r="960" spans="1:2" ht="14.5" x14ac:dyDescent="0.35">
      <c r="A960" s="30"/>
      <c r="B960" s="30"/>
    </row>
    <row r="961" spans="1:2" ht="14.5" x14ac:dyDescent="0.35">
      <c r="A961" s="30"/>
      <c r="B961" s="30"/>
    </row>
    <row r="962" spans="1:2" ht="14.5" x14ac:dyDescent="0.35">
      <c r="A962" s="30"/>
      <c r="B962" s="30"/>
    </row>
    <row r="963" spans="1:2" ht="14.5" x14ac:dyDescent="0.35">
      <c r="A963" s="30"/>
      <c r="B963" s="30"/>
    </row>
    <row r="964" spans="1:2" ht="14.5" x14ac:dyDescent="0.35">
      <c r="A964" s="30"/>
      <c r="B964" s="30"/>
    </row>
    <row r="965" spans="1:2" ht="14.5" x14ac:dyDescent="0.35">
      <c r="A965" s="30"/>
      <c r="B965" s="30"/>
    </row>
    <row r="966" spans="1:2" ht="14.5" x14ac:dyDescent="0.35">
      <c r="A966" s="30"/>
      <c r="B966" s="30"/>
    </row>
    <row r="967" spans="1:2" ht="14.5" x14ac:dyDescent="0.35">
      <c r="A967" s="30"/>
      <c r="B967" s="30"/>
    </row>
    <row r="968" spans="1:2" ht="14.5" x14ac:dyDescent="0.35">
      <c r="A968" s="30"/>
      <c r="B968" s="30"/>
    </row>
    <row r="969" spans="1:2" ht="14.5" x14ac:dyDescent="0.35">
      <c r="A969" s="30"/>
      <c r="B969" s="30"/>
    </row>
    <row r="970" spans="1:2" ht="14.5" x14ac:dyDescent="0.35">
      <c r="A970" s="30"/>
      <c r="B970" s="30"/>
    </row>
    <row r="971" spans="1:2" ht="14.5" x14ac:dyDescent="0.35">
      <c r="A971" s="30"/>
      <c r="B971" s="30"/>
    </row>
    <row r="972" spans="1:2" ht="14.5" x14ac:dyDescent="0.35">
      <c r="A972" s="30"/>
      <c r="B972" s="30"/>
    </row>
    <row r="973" spans="1:2" ht="14.5" x14ac:dyDescent="0.35">
      <c r="A973" s="30"/>
      <c r="B973" s="30"/>
    </row>
    <row r="974" spans="1:2" ht="14.5" x14ac:dyDescent="0.35">
      <c r="A974" s="30"/>
      <c r="B974" s="30"/>
    </row>
    <row r="975" spans="1:2" ht="14.5" x14ac:dyDescent="0.35">
      <c r="A975" s="30"/>
      <c r="B975" s="30"/>
    </row>
    <row r="976" spans="1:2" ht="14.5" x14ac:dyDescent="0.35">
      <c r="A976" s="30"/>
      <c r="B976" s="30"/>
    </row>
    <row r="977" spans="1:2" ht="14.5" x14ac:dyDescent="0.35">
      <c r="A977" s="30"/>
      <c r="B977" s="30"/>
    </row>
    <row r="978" spans="1:2" ht="14.5" x14ac:dyDescent="0.35">
      <c r="A978" s="30"/>
      <c r="B978" s="30"/>
    </row>
    <row r="979" spans="1:2" ht="14.5" x14ac:dyDescent="0.35">
      <c r="A979" s="30"/>
      <c r="B979" s="30"/>
    </row>
    <row r="980" spans="1:2" ht="14.5" x14ac:dyDescent="0.35">
      <c r="A980" s="30"/>
      <c r="B980" s="30"/>
    </row>
    <row r="981" spans="1:2" ht="14.5" x14ac:dyDescent="0.35">
      <c r="A981" s="30"/>
      <c r="B981" s="30"/>
    </row>
    <row r="982" spans="1:2" ht="14.5" x14ac:dyDescent="0.35">
      <c r="A982" s="30"/>
      <c r="B982" s="30"/>
    </row>
    <row r="983" spans="1:2" ht="14.5" x14ac:dyDescent="0.35">
      <c r="A983" s="30"/>
      <c r="B983" s="30"/>
    </row>
    <row r="984" spans="1:2" ht="14.5" x14ac:dyDescent="0.35">
      <c r="A984" s="30"/>
      <c r="B984" s="30"/>
    </row>
    <row r="985" spans="1:2" ht="14.5" x14ac:dyDescent="0.35">
      <c r="A985" s="30"/>
      <c r="B985" s="30"/>
    </row>
    <row r="986" spans="1:2" ht="14.5" x14ac:dyDescent="0.35">
      <c r="A986" s="30"/>
      <c r="B986" s="30"/>
    </row>
    <row r="987" spans="1:2" ht="14.5" x14ac:dyDescent="0.35">
      <c r="A987" s="30"/>
      <c r="B987" s="30"/>
    </row>
    <row r="988" spans="1:2" ht="14.5" x14ac:dyDescent="0.35">
      <c r="A988" s="30"/>
      <c r="B988" s="30"/>
    </row>
    <row r="989" spans="1:2" ht="14.5" x14ac:dyDescent="0.35">
      <c r="A989" s="30"/>
      <c r="B989" s="30"/>
    </row>
    <row r="990" spans="1:2" ht="14.5" x14ac:dyDescent="0.35">
      <c r="A990" s="30"/>
      <c r="B990" s="30"/>
    </row>
    <row r="991" spans="1:2" ht="14.5" x14ac:dyDescent="0.35">
      <c r="A991" s="30"/>
      <c r="B991" s="30"/>
    </row>
    <row r="992" spans="1:2" ht="14.5" x14ac:dyDescent="0.35">
      <c r="A992" s="30"/>
      <c r="B992" s="30"/>
    </row>
    <row r="993" spans="1:2" ht="14.5" x14ac:dyDescent="0.35">
      <c r="A993" s="30"/>
      <c r="B993" s="30"/>
    </row>
    <row r="994" spans="1:2" ht="14.5" x14ac:dyDescent="0.35">
      <c r="A994" s="30"/>
      <c r="B994" s="30"/>
    </row>
    <row r="995" spans="1:2" ht="14.5" x14ac:dyDescent="0.35">
      <c r="A995" s="30"/>
      <c r="B995" s="30"/>
    </row>
    <row r="996" spans="1:2" ht="14.5" x14ac:dyDescent="0.35">
      <c r="A996" s="30"/>
      <c r="B996" s="30"/>
    </row>
    <row r="997" spans="1:2" ht="14.5" x14ac:dyDescent="0.35">
      <c r="A997" s="30"/>
      <c r="B997" s="30"/>
    </row>
    <row r="998" spans="1:2" ht="14.5" x14ac:dyDescent="0.35">
      <c r="A998" s="30"/>
      <c r="B998" s="30"/>
    </row>
    <row r="999" spans="1:2" ht="14.5" x14ac:dyDescent="0.35">
      <c r="A999" s="30"/>
      <c r="B999" s="30"/>
    </row>
    <row r="1000" spans="1:2" ht="14.5" x14ac:dyDescent="0.35">
      <c r="A1000" s="30"/>
      <c r="B1000" s="30"/>
    </row>
    <row r="1001" spans="1:2" ht="14.5" x14ac:dyDescent="0.35">
      <c r="A1001" s="30"/>
      <c r="B1001" s="30"/>
    </row>
    <row r="1002" spans="1:2" ht="14.5" x14ac:dyDescent="0.35">
      <c r="A1002" s="30"/>
      <c r="B1002" s="30"/>
    </row>
    <row r="1003" spans="1:2" ht="14.5" x14ac:dyDescent="0.35">
      <c r="A1003" s="30"/>
      <c r="B1003" s="30"/>
    </row>
    <row r="1004" spans="1:2" ht="14.5" x14ac:dyDescent="0.35">
      <c r="A1004" s="30"/>
      <c r="B1004" s="30"/>
    </row>
  </sheetData>
  <hyperlinks>
    <hyperlink ref="B62" r:id="rId1" xr:uid="{00000000-0004-0000-0300-000000000000}"/>
    <hyperlink ref="B63" r:id="rId2" xr:uid="{00000000-0004-0000-0300-000001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Z1012"/>
  <sheetViews>
    <sheetView topLeftCell="B2" workbookViewId="0">
      <selection activeCell="C19" sqref="C19"/>
    </sheetView>
  </sheetViews>
  <sheetFormatPr defaultColWidth="14.453125" defaultRowHeight="15" customHeight="1" x14ac:dyDescent="0.35"/>
  <cols>
    <col min="1" max="1" width="41.453125" style="29" customWidth="1"/>
    <col min="2" max="2" width="62" style="29" customWidth="1"/>
    <col min="3" max="3" width="78" style="29" customWidth="1"/>
    <col min="4" max="26" width="8.7265625" style="29" customWidth="1"/>
    <col min="27" max="16384" width="14.453125" style="29"/>
  </cols>
  <sheetData>
    <row r="1" spans="1:26" ht="13.5" customHeight="1" x14ac:dyDescent="0.35">
      <c r="A1" s="59" t="s">
        <v>193</v>
      </c>
      <c r="B1" s="33"/>
      <c r="C1" s="33"/>
      <c r="D1" s="33"/>
      <c r="E1" s="33"/>
      <c r="F1" s="33"/>
      <c r="G1" s="33"/>
      <c r="H1" s="33"/>
      <c r="I1" s="33"/>
      <c r="J1" s="33"/>
      <c r="K1" s="33"/>
      <c r="L1" s="33"/>
      <c r="M1" s="33"/>
      <c r="N1" s="33"/>
      <c r="O1" s="33"/>
      <c r="P1" s="33"/>
      <c r="Q1" s="33"/>
      <c r="R1" s="33"/>
      <c r="S1" s="33"/>
      <c r="T1" s="33"/>
      <c r="U1" s="33"/>
      <c r="V1" s="33"/>
      <c r="W1" s="33"/>
      <c r="X1" s="33"/>
      <c r="Y1" s="33"/>
      <c r="Z1" s="33"/>
    </row>
    <row r="2" spans="1:26" ht="13.5" customHeight="1" thickBot="1" x14ac:dyDescent="0.4">
      <c r="A2" s="33"/>
      <c r="B2" s="33"/>
      <c r="C2" s="33"/>
      <c r="D2" s="33"/>
      <c r="E2" s="33"/>
      <c r="F2" s="33"/>
      <c r="G2" s="33"/>
      <c r="H2" s="33"/>
      <c r="I2" s="33"/>
      <c r="J2" s="33"/>
      <c r="K2" s="33"/>
      <c r="L2" s="33"/>
      <c r="M2" s="33"/>
      <c r="N2" s="33"/>
      <c r="O2" s="33"/>
      <c r="P2" s="33"/>
      <c r="Q2" s="33"/>
      <c r="R2" s="33"/>
      <c r="S2" s="33"/>
      <c r="T2" s="33"/>
      <c r="U2" s="33"/>
      <c r="V2" s="33"/>
      <c r="W2" s="33"/>
      <c r="X2" s="33"/>
      <c r="Y2" s="33"/>
      <c r="Z2" s="33"/>
    </row>
    <row r="3" spans="1:26" ht="13.5" customHeight="1" thickBot="1" x14ac:dyDescent="0.4">
      <c r="A3" s="58" t="s">
        <v>192</v>
      </c>
      <c r="B3" s="57" t="s">
        <v>191</v>
      </c>
      <c r="C3" s="33"/>
      <c r="D3" s="33"/>
      <c r="E3" s="33"/>
      <c r="F3" s="33"/>
      <c r="G3" s="33"/>
      <c r="H3" s="33"/>
      <c r="I3" s="33"/>
      <c r="J3" s="33"/>
      <c r="K3" s="33"/>
      <c r="L3" s="33"/>
      <c r="M3" s="33"/>
      <c r="N3" s="33"/>
      <c r="O3" s="33"/>
      <c r="P3" s="33"/>
      <c r="Q3" s="33"/>
      <c r="R3" s="33"/>
      <c r="S3" s="33"/>
      <c r="T3" s="33"/>
      <c r="U3" s="33"/>
      <c r="V3" s="33"/>
      <c r="W3" s="33"/>
      <c r="X3" s="33"/>
      <c r="Y3" s="33"/>
      <c r="Z3" s="33"/>
    </row>
    <row r="4" spans="1:26" ht="13.5" customHeight="1" thickBot="1" x14ac:dyDescent="0.4">
      <c r="A4" s="55" t="s">
        <v>173</v>
      </c>
      <c r="B4" s="57" t="s">
        <v>190</v>
      </c>
      <c r="C4" s="33" t="str">
        <f t="shared" ref="C4:C35" si="0">CONCATENATE(A4, " -&gt; ",B4)</f>
        <v>Administrative/Overhead services -&gt; Office of the Medical Center Chief</v>
      </c>
      <c r="D4" s="33"/>
      <c r="E4" s="33"/>
      <c r="F4" s="33"/>
      <c r="G4" s="33"/>
      <c r="H4" s="33"/>
      <c r="I4" s="33"/>
      <c r="J4" s="33"/>
      <c r="K4" s="33"/>
      <c r="L4" s="33"/>
      <c r="M4" s="33"/>
      <c r="N4" s="33"/>
      <c r="O4" s="33"/>
      <c r="P4" s="33"/>
      <c r="Q4" s="33"/>
      <c r="R4" s="33"/>
      <c r="S4" s="33"/>
      <c r="T4" s="33"/>
      <c r="U4" s="33"/>
      <c r="V4" s="33"/>
      <c r="W4" s="33"/>
      <c r="X4" s="33"/>
      <c r="Y4" s="33"/>
      <c r="Z4" s="33"/>
    </row>
    <row r="5" spans="1:26" ht="13.5" customHeight="1" thickBot="1" x14ac:dyDescent="0.4">
      <c r="A5" s="55" t="s">
        <v>173</v>
      </c>
      <c r="B5" s="54" t="s">
        <v>206</v>
      </c>
      <c r="C5" s="33" t="str">
        <f t="shared" si="0"/>
        <v>Administrative/Overhead services -&gt; IT Department</v>
      </c>
      <c r="D5" s="33"/>
      <c r="E5" s="33"/>
      <c r="F5" s="33"/>
      <c r="G5" s="33"/>
      <c r="H5" s="33"/>
      <c r="I5" s="33"/>
      <c r="J5" s="33"/>
      <c r="K5" s="33"/>
      <c r="L5" s="33"/>
      <c r="M5" s="33"/>
      <c r="N5" s="33"/>
      <c r="O5" s="33"/>
      <c r="P5" s="33"/>
      <c r="Q5" s="33"/>
      <c r="R5" s="33"/>
      <c r="S5" s="33"/>
      <c r="T5" s="33"/>
      <c r="U5" s="33"/>
      <c r="V5" s="33"/>
      <c r="W5" s="33"/>
      <c r="X5" s="33"/>
      <c r="Y5" s="33"/>
      <c r="Z5" s="33"/>
    </row>
    <row r="6" spans="1:26" ht="13.5" customHeight="1" thickBot="1" x14ac:dyDescent="0.4">
      <c r="A6" s="55" t="s">
        <v>173</v>
      </c>
      <c r="B6" s="56" t="s">
        <v>188</v>
      </c>
      <c r="C6" s="33" t="str">
        <f t="shared" si="0"/>
        <v>Administrative/Overhead services -&gt; Office of the Administrative Officer</v>
      </c>
      <c r="D6" s="33"/>
      <c r="E6" s="33"/>
      <c r="F6" s="33"/>
      <c r="G6" s="33"/>
      <c r="H6" s="33"/>
      <c r="I6" s="33"/>
      <c r="J6" s="33"/>
      <c r="K6" s="33"/>
      <c r="L6" s="33"/>
      <c r="M6" s="33"/>
      <c r="N6" s="33"/>
      <c r="O6" s="33"/>
      <c r="P6" s="33"/>
      <c r="Q6" s="33"/>
      <c r="R6" s="33"/>
      <c r="S6" s="33"/>
      <c r="T6" s="33"/>
      <c r="U6" s="33"/>
      <c r="V6" s="33"/>
      <c r="W6" s="33"/>
      <c r="X6" s="33"/>
      <c r="Y6" s="33"/>
      <c r="Z6" s="33"/>
    </row>
    <row r="7" spans="1:26" ht="13.5" customHeight="1" thickBot="1" x14ac:dyDescent="0.4">
      <c r="A7" s="55" t="s">
        <v>173</v>
      </c>
      <c r="B7" s="56" t="s">
        <v>187</v>
      </c>
      <c r="C7" s="33" t="str">
        <f t="shared" si="0"/>
        <v>Administrative/Overhead services -&gt; Human Resource Management</v>
      </c>
      <c r="D7" s="33"/>
      <c r="E7" s="33"/>
      <c r="F7" s="33"/>
      <c r="G7" s="33"/>
      <c r="H7" s="33"/>
      <c r="I7" s="33"/>
      <c r="J7" s="33"/>
      <c r="K7" s="33"/>
      <c r="L7" s="33"/>
      <c r="M7" s="33"/>
      <c r="N7" s="33"/>
      <c r="O7" s="33"/>
      <c r="P7" s="33"/>
      <c r="Q7" s="33"/>
      <c r="R7" s="33"/>
      <c r="S7" s="33"/>
      <c r="T7" s="33"/>
      <c r="U7" s="33"/>
      <c r="V7" s="33"/>
      <c r="W7" s="33"/>
      <c r="X7" s="33"/>
      <c r="Y7" s="33"/>
      <c r="Z7" s="33"/>
    </row>
    <row r="8" spans="1:26" ht="13.5" customHeight="1" thickBot="1" x14ac:dyDescent="0.4">
      <c r="A8" s="55" t="s">
        <v>173</v>
      </c>
      <c r="B8" s="56" t="s">
        <v>186</v>
      </c>
      <c r="C8" s="33" t="str">
        <f t="shared" si="0"/>
        <v>Administrative/Overhead services -&gt; Procurement</v>
      </c>
      <c r="D8" s="33"/>
      <c r="E8" s="33"/>
      <c r="F8" s="33"/>
      <c r="G8" s="33"/>
      <c r="H8" s="33"/>
      <c r="I8" s="33"/>
      <c r="J8" s="33"/>
      <c r="K8" s="33"/>
      <c r="L8" s="33"/>
      <c r="M8" s="33"/>
      <c r="N8" s="33"/>
      <c r="O8" s="33"/>
      <c r="P8" s="33"/>
      <c r="Q8" s="33"/>
      <c r="R8" s="33"/>
      <c r="S8" s="33"/>
      <c r="T8" s="33"/>
      <c r="U8" s="33"/>
      <c r="V8" s="33"/>
      <c r="W8" s="33"/>
      <c r="X8" s="33"/>
      <c r="Y8" s="33"/>
      <c r="Z8" s="33"/>
    </row>
    <row r="9" spans="1:26" ht="13.5" customHeight="1" thickBot="1" x14ac:dyDescent="0.4">
      <c r="A9" s="55" t="s">
        <v>173</v>
      </c>
      <c r="B9" s="56" t="s">
        <v>185</v>
      </c>
      <c r="C9" s="33" t="str">
        <f t="shared" si="0"/>
        <v>Administrative/Overhead services -&gt; Materials Management</v>
      </c>
      <c r="D9" s="33"/>
      <c r="E9" s="33"/>
      <c r="F9" s="33"/>
      <c r="G9" s="33"/>
      <c r="H9" s="33"/>
      <c r="I9" s="33"/>
      <c r="J9" s="33"/>
      <c r="K9" s="33"/>
      <c r="L9" s="33"/>
      <c r="M9" s="33"/>
      <c r="N9" s="33"/>
      <c r="O9" s="33"/>
      <c r="P9" s="33"/>
      <c r="Q9" s="33"/>
      <c r="R9" s="33"/>
      <c r="S9" s="33"/>
      <c r="T9" s="33"/>
      <c r="U9" s="33"/>
      <c r="V9" s="33"/>
      <c r="W9" s="33"/>
      <c r="X9" s="33"/>
      <c r="Y9" s="33"/>
      <c r="Z9" s="33"/>
    </row>
    <row r="10" spans="1:26" ht="13.5" customHeight="1" thickBot="1" x14ac:dyDescent="0.4">
      <c r="A10" s="55" t="s">
        <v>173</v>
      </c>
      <c r="B10" s="56" t="s">
        <v>184</v>
      </c>
      <c r="C10" s="33" t="str">
        <f t="shared" si="0"/>
        <v>Administrative/Overhead services -&gt; Engineering and Facilities Management</v>
      </c>
      <c r="D10" s="33"/>
      <c r="E10" s="33"/>
      <c r="F10" s="33"/>
      <c r="G10" s="33"/>
      <c r="H10" s="33"/>
      <c r="I10" s="33"/>
      <c r="J10" s="33"/>
      <c r="K10" s="33"/>
      <c r="L10" s="33"/>
      <c r="M10" s="33"/>
      <c r="N10" s="33"/>
      <c r="O10" s="33"/>
      <c r="P10" s="33"/>
      <c r="Q10" s="33"/>
      <c r="R10" s="33"/>
      <c r="S10" s="33"/>
      <c r="T10" s="33"/>
      <c r="U10" s="33"/>
      <c r="V10" s="33"/>
      <c r="W10" s="33"/>
      <c r="X10" s="33"/>
      <c r="Y10" s="33"/>
      <c r="Z10" s="33"/>
    </row>
    <row r="11" spans="1:26" ht="13.5" customHeight="1" thickBot="1" x14ac:dyDescent="0.4">
      <c r="A11" s="55" t="s">
        <v>173</v>
      </c>
      <c r="B11" s="54" t="s">
        <v>205</v>
      </c>
      <c r="C11" s="33" t="str">
        <f t="shared" si="0"/>
        <v xml:space="preserve">Administrative/Overhead services -&gt; Housekeeping </v>
      </c>
      <c r="D11" s="33"/>
      <c r="E11" s="33"/>
      <c r="F11" s="33"/>
      <c r="G11" s="33"/>
      <c r="H11" s="33"/>
      <c r="I11" s="33"/>
      <c r="J11" s="33"/>
      <c r="K11" s="33"/>
      <c r="L11" s="33"/>
      <c r="M11" s="33"/>
      <c r="N11" s="33"/>
      <c r="O11" s="33"/>
      <c r="P11" s="33"/>
      <c r="Q11" s="33"/>
      <c r="R11" s="33"/>
      <c r="S11" s="33"/>
      <c r="T11" s="33"/>
      <c r="U11" s="33"/>
      <c r="V11" s="33"/>
      <c r="W11" s="33"/>
      <c r="X11" s="33"/>
      <c r="Y11" s="33"/>
      <c r="Z11" s="33"/>
    </row>
    <row r="12" spans="1:26" ht="13.5" customHeight="1" thickBot="1" x14ac:dyDescent="0.4">
      <c r="A12" s="55" t="s">
        <v>173</v>
      </c>
      <c r="B12" s="56" t="s">
        <v>182</v>
      </c>
      <c r="C12" s="33" t="str">
        <f t="shared" si="0"/>
        <v>Administrative/Overhead services -&gt; Budget and Accounting</v>
      </c>
      <c r="D12" s="33"/>
      <c r="E12" s="33"/>
      <c r="F12" s="33"/>
      <c r="G12" s="33"/>
      <c r="H12" s="33"/>
      <c r="I12" s="33"/>
      <c r="J12" s="33"/>
      <c r="K12" s="33"/>
      <c r="L12" s="33"/>
      <c r="M12" s="33"/>
      <c r="N12" s="33"/>
      <c r="O12" s="33"/>
      <c r="P12" s="33"/>
      <c r="Q12" s="33"/>
      <c r="R12" s="33"/>
      <c r="S12" s="33"/>
      <c r="T12" s="33"/>
      <c r="U12" s="33"/>
      <c r="V12" s="33"/>
      <c r="W12" s="33"/>
      <c r="X12" s="33"/>
      <c r="Y12" s="33"/>
      <c r="Z12" s="33"/>
    </row>
    <row r="13" spans="1:26" ht="13.5" customHeight="1" thickBot="1" x14ac:dyDescent="0.4">
      <c r="A13" s="55" t="s">
        <v>173</v>
      </c>
      <c r="B13" s="56" t="s">
        <v>181</v>
      </c>
      <c r="C13" s="33" t="str">
        <f t="shared" si="0"/>
        <v>Administrative/Overhead services -&gt; Medical Social Work</v>
      </c>
      <c r="D13" s="33"/>
      <c r="E13" s="33"/>
      <c r="F13" s="33"/>
      <c r="G13" s="33"/>
      <c r="H13" s="33"/>
      <c r="I13" s="33"/>
      <c r="J13" s="33"/>
      <c r="K13" s="33"/>
      <c r="L13" s="33"/>
      <c r="M13" s="33"/>
      <c r="N13" s="33"/>
      <c r="O13" s="33"/>
      <c r="P13" s="33"/>
      <c r="Q13" s="33"/>
      <c r="R13" s="33"/>
      <c r="S13" s="33"/>
      <c r="T13" s="33"/>
      <c r="U13" s="33"/>
      <c r="V13" s="33"/>
      <c r="W13" s="33"/>
      <c r="X13" s="33"/>
      <c r="Y13" s="33"/>
      <c r="Z13" s="33"/>
    </row>
    <row r="14" spans="1:26" ht="13.5" customHeight="1" thickBot="1" x14ac:dyDescent="0.4">
      <c r="A14" s="55" t="s">
        <v>173</v>
      </c>
      <c r="B14" s="56" t="s">
        <v>180</v>
      </c>
      <c r="C14" s="33" t="str">
        <f t="shared" si="0"/>
        <v>Administrative/Overhead services -&gt; Office of the Chief Nurse</v>
      </c>
      <c r="D14" s="33"/>
      <c r="E14" s="33"/>
      <c r="F14" s="33"/>
      <c r="G14" s="33"/>
      <c r="H14" s="33"/>
      <c r="I14" s="33"/>
      <c r="J14" s="33"/>
      <c r="K14" s="33"/>
      <c r="L14" s="33"/>
      <c r="M14" s="33"/>
      <c r="N14" s="33"/>
      <c r="O14" s="33"/>
      <c r="P14" s="33"/>
      <c r="Q14" s="33"/>
      <c r="R14" s="33"/>
      <c r="S14" s="33"/>
      <c r="T14" s="33"/>
      <c r="U14" s="33"/>
      <c r="V14" s="33"/>
      <c r="W14" s="33"/>
      <c r="X14" s="33"/>
      <c r="Y14" s="33"/>
      <c r="Z14" s="33"/>
    </row>
    <row r="15" spans="1:26" ht="13.5" customHeight="1" thickBot="1" x14ac:dyDescent="0.4">
      <c r="A15" s="55" t="s">
        <v>173</v>
      </c>
      <c r="B15" s="56" t="s">
        <v>179</v>
      </c>
      <c r="C15" s="33" t="str">
        <f t="shared" si="0"/>
        <v>Administrative/Overhead services -&gt; Health Info Mgt (Admitting)</v>
      </c>
      <c r="D15" s="33"/>
      <c r="E15" s="33"/>
      <c r="F15" s="33"/>
      <c r="G15" s="33"/>
      <c r="H15" s="33"/>
      <c r="I15" s="33"/>
      <c r="J15" s="33"/>
      <c r="K15" s="33"/>
      <c r="L15" s="33"/>
      <c r="M15" s="33"/>
      <c r="N15" s="33"/>
      <c r="O15" s="33"/>
      <c r="P15" s="33"/>
      <c r="Q15" s="33"/>
      <c r="R15" s="33"/>
      <c r="S15" s="33"/>
      <c r="T15" s="33"/>
      <c r="U15" s="33"/>
      <c r="V15" s="33"/>
      <c r="W15" s="33"/>
      <c r="X15" s="33"/>
      <c r="Y15" s="33"/>
      <c r="Z15" s="33"/>
    </row>
    <row r="16" spans="1:26" ht="13.5" customHeight="1" thickBot="1" x14ac:dyDescent="0.4">
      <c r="A16" s="55" t="s">
        <v>173</v>
      </c>
      <c r="B16" s="56" t="s">
        <v>178</v>
      </c>
      <c r="C16" s="33" t="str">
        <f t="shared" si="0"/>
        <v>Administrative/Overhead services -&gt; Central Supply Office</v>
      </c>
      <c r="D16" s="33"/>
      <c r="E16" s="33"/>
      <c r="F16" s="33"/>
      <c r="G16" s="33"/>
      <c r="H16" s="33"/>
      <c r="I16" s="33"/>
      <c r="J16" s="33"/>
      <c r="K16" s="33"/>
      <c r="L16" s="33"/>
      <c r="M16" s="33"/>
      <c r="N16" s="33"/>
      <c r="O16" s="33"/>
      <c r="P16" s="33"/>
      <c r="Q16" s="33"/>
      <c r="R16" s="33"/>
      <c r="S16" s="33"/>
      <c r="T16" s="33"/>
      <c r="U16" s="33"/>
      <c r="V16" s="33"/>
      <c r="W16" s="33"/>
      <c r="X16" s="33"/>
      <c r="Y16" s="33"/>
      <c r="Z16" s="33"/>
    </row>
    <row r="17" spans="1:26" ht="13.5" customHeight="1" thickBot="1" x14ac:dyDescent="0.4">
      <c r="A17" s="55" t="s">
        <v>173</v>
      </c>
      <c r="B17" s="56" t="s">
        <v>177</v>
      </c>
      <c r="C17" s="33" t="str">
        <f t="shared" si="0"/>
        <v>Administrative/Overhead services -&gt; Billing and Claims</v>
      </c>
      <c r="D17" s="33"/>
      <c r="E17" s="33"/>
      <c r="F17" s="33"/>
      <c r="G17" s="33"/>
      <c r="H17" s="33"/>
      <c r="I17" s="33"/>
      <c r="J17" s="33"/>
      <c r="K17" s="33"/>
      <c r="L17" s="33"/>
      <c r="M17" s="33"/>
      <c r="N17" s="33"/>
      <c r="O17" s="33"/>
      <c r="P17" s="33"/>
      <c r="Q17" s="33"/>
      <c r="R17" s="33"/>
      <c r="S17" s="33"/>
      <c r="T17" s="33"/>
      <c r="U17" s="33"/>
      <c r="V17" s="33"/>
      <c r="W17" s="33"/>
      <c r="X17" s="33"/>
      <c r="Y17" s="33"/>
      <c r="Z17" s="33"/>
    </row>
    <row r="18" spans="1:26" ht="13.5" customHeight="1" thickBot="1" x14ac:dyDescent="0.4">
      <c r="A18" s="55" t="s">
        <v>173</v>
      </c>
      <c r="B18" s="56" t="s">
        <v>176</v>
      </c>
      <c r="C18" s="33" t="str">
        <f t="shared" si="0"/>
        <v>Administrative/Overhead services -&gt; Cash Operations</v>
      </c>
      <c r="D18" s="33"/>
      <c r="E18" s="33"/>
      <c r="F18" s="33"/>
      <c r="G18" s="33"/>
      <c r="H18" s="33"/>
      <c r="I18" s="33"/>
      <c r="J18" s="33"/>
      <c r="K18" s="33"/>
      <c r="L18" s="33"/>
      <c r="M18" s="33"/>
      <c r="N18" s="33"/>
      <c r="O18" s="33"/>
      <c r="P18" s="33"/>
      <c r="Q18" s="33"/>
      <c r="R18" s="33"/>
      <c r="S18" s="33"/>
      <c r="T18" s="33"/>
      <c r="U18" s="33"/>
      <c r="V18" s="33"/>
      <c r="W18" s="33"/>
      <c r="X18" s="33"/>
      <c r="Y18" s="33"/>
      <c r="Z18" s="33"/>
    </row>
    <row r="19" spans="1:26" ht="13.5" customHeight="1" thickBot="1" x14ac:dyDescent="0.4">
      <c r="A19" s="55" t="s">
        <v>173</v>
      </c>
      <c r="B19" s="56" t="s">
        <v>175</v>
      </c>
      <c r="C19" s="33" t="str">
        <f t="shared" si="0"/>
        <v>Administrative/Overhead services -&gt; Security</v>
      </c>
      <c r="D19" s="33"/>
      <c r="E19" s="33"/>
      <c r="F19" s="33"/>
      <c r="G19" s="33"/>
      <c r="H19" s="33"/>
      <c r="I19" s="33"/>
      <c r="J19" s="33"/>
      <c r="K19" s="33"/>
      <c r="L19" s="33"/>
      <c r="M19" s="33"/>
      <c r="N19" s="33"/>
      <c r="O19" s="33"/>
      <c r="P19" s="33"/>
      <c r="Q19" s="33"/>
      <c r="R19" s="33"/>
      <c r="S19" s="33"/>
      <c r="T19" s="33"/>
      <c r="U19" s="33"/>
      <c r="V19" s="33"/>
      <c r="W19" s="33"/>
      <c r="X19" s="33"/>
      <c r="Y19" s="33"/>
      <c r="Z19" s="33"/>
    </row>
    <row r="20" spans="1:26" ht="13.5" customHeight="1" thickBot="1" x14ac:dyDescent="0.4">
      <c r="A20" s="55" t="s">
        <v>173</v>
      </c>
      <c r="B20" s="54" t="s">
        <v>204</v>
      </c>
      <c r="C20" s="33" t="str">
        <f t="shared" si="0"/>
        <v>Administrative/Overhead services -&gt; Office of the Chief of Medical Professional Staff / Chief of Clinics</v>
      </c>
      <c r="D20" s="33"/>
      <c r="E20" s="33"/>
      <c r="F20" s="33"/>
      <c r="G20" s="33"/>
      <c r="H20" s="33"/>
      <c r="I20" s="33"/>
      <c r="J20" s="33"/>
      <c r="K20" s="33"/>
      <c r="L20" s="33"/>
      <c r="M20" s="33"/>
      <c r="N20" s="33"/>
      <c r="O20" s="33"/>
      <c r="P20" s="33"/>
      <c r="Q20" s="33"/>
      <c r="R20" s="33"/>
      <c r="S20" s="33"/>
      <c r="T20" s="33"/>
      <c r="U20" s="33"/>
      <c r="V20" s="33"/>
      <c r="W20" s="33"/>
      <c r="X20" s="33"/>
      <c r="Y20" s="33"/>
      <c r="Z20" s="33"/>
    </row>
    <row r="21" spans="1:26" ht="13.5" customHeight="1" thickBot="1" x14ac:dyDescent="0.4">
      <c r="A21" s="55" t="s">
        <v>173</v>
      </c>
      <c r="B21" s="54" t="s">
        <v>154</v>
      </c>
      <c r="C21" s="33" t="str">
        <f t="shared" si="0"/>
        <v>Administrative/Overhead services -&gt; Others</v>
      </c>
      <c r="D21" s="33"/>
      <c r="E21" s="33"/>
      <c r="F21" s="33"/>
      <c r="G21" s="33"/>
      <c r="H21" s="33"/>
      <c r="I21" s="33"/>
      <c r="J21" s="33"/>
      <c r="K21" s="33"/>
      <c r="L21" s="33"/>
      <c r="M21" s="33"/>
      <c r="N21" s="33"/>
      <c r="O21" s="33"/>
      <c r="P21" s="33"/>
      <c r="Q21" s="33"/>
      <c r="R21" s="33"/>
      <c r="S21" s="33"/>
      <c r="T21" s="33"/>
      <c r="U21" s="33"/>
      <c r="V21" s="33"/>
      <c r="W21" s="33"/>
      <c r="X21" s="33"/>
      <c r="Y21" s="33"/>
      <c r="Z21" s="33"/>
    </row>
    <row r="22" spans="1:26" ht="13.5" customHeight="1" thickBot="1" x14ac:dyDescent="0.4">
      <c r="A22" s="47" t="s">
        <v>155</v>
      </c>
      <c r="B22" s="53" t="s">
        <v>172</v>
      </c>
      <c r="C22" s="33" t="str">
        <f t="shared" si="0"/>
        <v>Ancillary services/Support services -&gt; Laundry</v>
      </c>
      <c r="D22" s="33"/>
      <c r="E22" s="33"/>
      <c r="F22" s="33"/>
      <c r="G22" s="33"/>
      <c r="H22" s="33"/>
      <c r="I22" s="33"/>
      <c r="J22" s="33"/>
      <c r="K22" s="33"/>
      <c r="L22" s="33"/>
      <c r="M22" s="33"/>
      <c r="N22" s="33"/>
      <c r="O22" s="33"/>
      <c r="P22" s="33"/>
      <c r="Q22" s="33"/>
      <c r="R22" s="33"/>
      <c r="S22" s="33"/>
      <c r="T22" s="33"/>
      <c r="U22" s="33"/>
      <c r="V22" s="33"/>
      <c r="W22" s="33"/>
      <c r="X22" s="33"/>
      <c r="Y22" s="33"/>
      <c r="Z22" s="33"/>
    </row>
    <row r="23" spans="1:26" ht="14.25" customHeight="1" thickBot="1" x14ac:dyDescent="0.4">
      <c r="A23" s="47" t="s">
        <v>155</v>
      </c>
      <c r="B23" s="49" t="s">
        <v>171</v>
      </c>
      <c r="C23" s="33" t="str">
        <f t="shared" si="0"/>
        <v>Ancillary services/Support services -&gt; Nutrition and Dietetics</v>
      </c>
      <c r="D23" s="33"/>
      <c r="E23" s="33"/>
      <c r="F23" s="33"/>
      <c r="G23" s="33"/>
      <c r="H23" s="33"/>
      <c r="I23" s="33"/>
      <c r="J23" s="33"/>
      <c r="K23" s="33"/>
      <c r="L23" s="33"/>
      <c r="M23" s="33"/>
      <c r="N23" s="33"/>
      <c r="O23" s="33"/>
      <c r="P23" s="33"/>
      <c r="Q23" s="33"/>
      <c r="R23" s="33"/>
      <c r="S23" s="33"/>
      <c r="T23" s="33"/>
      <c r="U23" s="33"/>
      <c r="V23" s="33"/>
      <c r="W23" s="33"/>
      <c r="X23" s="33"/>
      <c r="Y23" s="33"/>
      <c r="Z23" s="33"/>
    </row>
    <row r="24" spans="1:26" ht="14.25" customHeight="1" thickBot="1" x14ac:dyDescent="0.4">
      <c r="A24" s="47" t="s">
        <v>155</v>
      </c>
      <c r="B24" s="49" t="s">
        <v>170</v>
      </c>
      <c r="C24" s="33" t="str">
        <f t="shared" si="0"/>
        <v>Ancillary services/Support services -&gt; Sterilization</v>
      </c>
      <c r="D24" s="33"/>
      <c r="E24" s="33"/>
      <c r="F24" s="33"/>
      <c r="G24" s="33"/>
      <c r="H24" s="33"/>
      <c r="I24" s="33"/>
      <c r="J24" s="33"/>
      <c r="K24" s="33"/>
      <c r="L24" s="33"/>
      <c r="M24" s="33"/>
      <c r="N24" s="33"/>
      <c r="O24" s="33"/>
      <c r="P24" s="33"/>
      <c r="Q24" s="33"/>
      <c r="R24" s="33"/>
      <c r="S24" s="33"/>
      <c r="T24" s="33"/>
      <c r="U24" s="33"/>
      <c r="V24" s="33"/>
      <c r="W24" s="33"/>
      <c r="X24" s="33"/>
      <c r="Y24" s="33"/>
      <c r="Z24" s="33"/>
    </row>
    <row r="25" spans="1:26" ht="14.25" customHeight="1" thickBot="1" x14ac:dyDescent="0.4">
      <c r="A25" s="47" t="s">
        <v>155</v>
      </c>
      <c r="B25" s="49" t="s">
        <v>169</v>
      </c>
      <c r="C25" s="33" t="str">
        <f t="shared" si="0"/>
        <v>Ancillary services/Support services -&gt; Pharmacy</v>
      </c>
      <c r="D25" s="33"/>
      <c r="E25" s="33"/>
      <c r="F25" s="33"/>
      <c r="G25" s="33"/>
      <c r="H25" s="33"/>
      <c r="I25" s="33"/>
      <c r="J25" s="33"/>
      <c r="K25" s="33"/>
      <c r="L25" s="33"/>
      <c r="M25" s="33"/>
      <c r="N25" s="33"/>
      <c r="O25" s="33"/>
      <c r="P25" s="33"/>
      <c r="Q25" s="33"/>
      <c r="R25" s="33"/>
      <c r="S25" s="33"/>
      <c r="T25" s="33"/>
      <c r="U25" s="33"/>
      <c r="V25" s="33"/>
      <c r="W25" s="33"/>
      <c r="X25" s="33"/>
      <c r="Y25" s="33"/>
      <c r="Z25" s="33"/>
    </row>
    <row r="26" spans="1:26" ht="14.25" customHeight="1" thickBot="1" x14ac:dyDescent="0.4">
      <c r="A26" s="47" t="s">
        <v>155</v>
      </c>
      <c r="B26" s="49" t="s">
        <v>168</v>
      </c>
      <c r="C26" s="33" t="str">
        <f t="shared" si="0"/>
        <v>Ancillary services/Support services -&gt; Blood Bank</v>
      </c>
      <c r="D26" s="33"/>
      <c r="E26" s="33"/>
      <c r="F26" s="33"/>
      <c r="G26" s="33"/>
      <c r="H26" s="33"/>
      <c r="I26" s="33"/>
      <c r="J26" s="33"/>
      <c r="K26" s="33"/>
      <c r="L26" s="33"/>
      <c r="M26" s="33"/>
      <c r="N26" s="33"/>
      <c r="O26" s="33"/>
      <c r="P26" s="33"/>
      <c r="Q26" s="33"/>
      <c r="R26" s="33"/>
      <c r="S26" s="33"/>
      <c r="T26" s="33"/>
      <c r="U26" s="33"/>
      <c r="V26" s="33"/>
      <c r="W26" s="33"/>
      <c r="X26" s="33"/>
      <c r="Y26" s="33"/>
      <c r="Z26" s="33"/>
    </row>
    <row r="27" spans="1:26" ht="14.25" customHeight="1" thickBot="1" x14ac:dyDescent="0.4">
      <c r="A27" s="47" t="s">
        <v>155</v>
      </c>
      <c r="B27" s="49" t="s">
        <v>167</v>
      </c>
      <c r="C27" s="33" t="str">
        <f t="shared" si="0"/>
        <v>Ancillary services/Support services -&gt; Laboratory</v>
      </c>
      <c r="D27" s="33"/>
      <c r="E27" s="33"/>
      <c r="F27" s="33"/>
      <c r="G27" s="33"/>
      <c r="H27" s="33"/>
      <c r="I27" s="33"/>
      <c r="J27" s="33"/>
      <c r="K27" s="33"/>
      <c r="L27" s="33"/>
      <c r="M27" s="33"/>
      <c r="N27" s="33"/>
      <c r="O27" s="33"/>
      <c r="P27" s="33"/>
      <c r="Q27" s="33"/>
      <c r="R27" s="33"/>
      <c r="S27" s="33"/>
      <c r="T27" s="33"/>
      <c r="U27" s="33"/>
      <c r="V27" s="33"/>
      <c r="W27" s="33"/>
      <c r="X27" s="33"/>
      <c r="Y27" s="33"/>
      <c r="Z27" s="33"/>
    </row>
    <row r="28" spans="1:26" ht="14.25" customHeight="1" thickBot="1" x14ac:dyDescent="0.4">
      <c r="A28" s="47" t="s">
        <v>155</v>
      </c>
      <c r="B28" s="49" t="s">
        <v>166</v>
      </c>
      <c r="C28" s="33" t="str">
        <f t="shared" si="0"/>
        <v>Ancillary services/Support services -&gt; Radiology / Diagnostic Imaging (CT Scan, MRI, ECG, Mammography, Endoscopy)</v>
      </c>
      <c r="D28" s="33"/>
      <c r="E28" s="33"/>
      <c r="F28" s="33"/>
      <c r="G28" s="33"/>
      <c r="H28" s="33"/>
      <c r="I28" s="33"/>
      <c r="J28" s="33"/>
      <c r="K28" s="33"/>
      <c r="L28" s="33"/>
      <c r="M28" s="33"/>
      <c r="N28" s="33"/>
      <c r="O28" s="33"/>
      <c r="P28" s="33"/>
      <c r="Q28" s="33"/>
      <c r="R28" s="33"/>
      <c r="S28" s="33"/>
      <c r="T28" s="33"/>
      <c r="U28" s="33"/>
      <c r="V28" s="33"/>
      <c r="W28" s="33"/>
      <c r="X28" s="33"/>
      <c r="Y28" s="33"/>
      <c r="Z28" s="33"/>
    </row>
    <row r="29" spans="1:26" ht="14.25" customHeight="1" thickBot="1" x14ac:dyDescent="0.4">
      <c r="A29" s="47" t="s">
        <v>155</v>
      </c>
      <c r="B29" s="49" t="s">
        <v>203</v>
      </c>
      <c r="C29" s="33" t="str">
        <f t="shared" si="0"/>
        <v>Ancillary services/Support services -&gt; Heart Station</v>
      </c>
      <c r="D29" s="33"/>
      <c r="E29" s="33"/>
      <c r="F29" s="33"/>
      <c r="G29" s="33"/>
      <c r="H29" s="33"/>
      <c r="I29" s="33"/>
      <c r="J29" s="33"/>
      <c r="K29" s="33"/>
      <c r="L29" s="33"/>
      <c r="M29" s="33"/>
      <c r="N29" s="33"/>
      <c r="O29" s="33"/>
      <c r="P29" s="33"/>
      <c r="Q29" s="33"/>
      <c r="R29" s="33"/>
      <c r="S29" s="33"/>
      <c r="T29" s="33"/>
      <c r="U29" s="33"/>
      <c r="V29" s="33"/>
      <c r="W29" s="33"/>
      <c r="X29" s="33"/>
      <c r="Y29" s="33"/>
      <c r="Z29" s="33"/>
    </row>
    <row r="30" spans="1:26" ht="14.25" customHeight="1" thickBot="1" x14ac:dyDescent="0.4">
      <c r="A30" s="47" t="s">
        <v>155</v>
      </c>
      <c r="B30" s="49" t="s">
        <v>165</v>
      </c>
      <c r="C30" s="33" t="str">
        <f t="shared" si="0"/>
        <v>Ancillary services/Support services -&gt; Physiotherapy / Rehabilitation</v>
      </c>
      <c r="D30" s="33"/>
      <c r="E30" s="33"/>
      <c r="F30" s="33"/>
      <c r="G30" s="33"/>
      <c r="H30" s="33"/>
      <c r="I30" s="33"/>
      <c r="J30" s="33"/>
      <c r="K30" s="33"/>
      <c r="L30" s="33"/>
      <c r="M30" s="33"/>
      <c r="N30" s="33"/>
      <c r="O30" s="33"/>
      <c r="P30" s="33"/>
      <c r="Q30" s="33"/>
      <c r="R30" s="33"/>
      <c r="S30" s="33"/>
      <c r="T30" s="33"/>
      <c r="U30" s="33"/>
      <c r="V30" s="33"/>
      <c r="W30" s="33"/>
      <c r="X30" s="33"/>
      <c r="Y30" s="33"/>
      <c r="Z30" s="33"/>
    </row>
    <row r="31" spans="1:26" ht="14.25" customHeight="1" thickBot="1" x14ac:dyDescent="0.4">
      <c r="A31" s="47" t="s">
        <v>155</v>
      </c>
      <c r="B31" s="49" t="s">
        <v>164</v>
      </c>
      <c r="C31" s="33" t="str">
        <f t="shared" si="0"/>
        <v>Ancillary services/Support services -&gt; Delivery Room</v>
      </c>
      <c r="D31" s="33"/>
      <c r="E31" s="33"/>
      <c r="F31" s="33"/>
      <c r="G31" s="33"/>
      <c r="H31" s="33"/>
      <c r="I31" s="33"/>
      <c r="J31" s="33"/>
      <c r="K31" s="33"/>
      <c r="L31" s="33"/>
      <c r="M31" s="33"/>
      <c r="N31" s="33"/>
      <c r="O31" s="33"/>
      <c r="P31" s="33"/>
      <c r="Q31" s="33"/>
      <c r="R31" s="33"/>
      <c r="S31" s="33"/>
      <c r="T31" s="33"/>
      <c r="U31" s="33"/>
      <c r="V31" s="33"/>
      <c r="W31" s="33"/>
      <c r="X31" s="33"/>
      <c r="Y31" s="33"/>
      <c r="Z31" s="33"/>
    </row>
    <row r="32" spans="1:26" ht="14.25" customHeight="1" thickBot="1" x14ac:dyDescent="0.4">
      <c r="A32" s="47" t="s">
        <v>155</v>
      </c>
      <c r="B32" s="48" t="s">
        <v>163</v>
      </c>
      <c r="C32" s="33" t="str">
        <f t="shared" si="0"/>
        <v>Ancillary services/Support services -&gt; Operating Room / Aneasthesiology / PACU / Recovery Room</v>
      </c>
      <c r="D32" s="33"/>
      <c r="E32" s="33"/>
      <c r="F32" s="33"/>
      <c r="G32" s="33"/>
      <c r="H32" s="33"/>
      <c r="I32" s="33"/>
      <c r="J32" s="33"/>
      <c r="K32" s="33"/>
      <c r="L32" s="33"/>
      <c r="M32" s="33"/>
      <c r="N32" s="33"/>
      <c r="O32" s="33"/>
      <c r="P32" s="33"/>
      <c r="Q32" s="33"/>
      <c r="R32" s="33"/>
      <c r="S32" s="33"/>
      <c r="T32" s="33"/>
      <c r="U32" s="33"/>
      <c r="V32" s="33"/>
      <c r="W32" s="33"/>
      <c r="X32" s="33"/>
      <c r="Y32" s="33"/>
      <c r="Z32" s="33"/>
    </row>
    <row r="33" spans="1:26" ht="14.25" customHeight="1" thickBot="1" x14ac:dyDescent="0.4">
      <c r="A33" s="47" t="s">
        <v>155</v>
      </c>
      <c r="B33" s="49" t="s">
        <v>162</v>
      </c>
      <c r="C33" s="33" t="str">
        <f t="shared" si="0"/>
        <v>Ancillary services/Support services -&gt; Respiratory Unit</v>
      </c>
      <c r="D33" s="33"/>
      <c r="E33" s="33"/>
      <c r="F33" s="33"/>
      <c r="G33" s="33"/>
      <c r="H33" s="33"/>
      <c r="I33" s="33"/>
      <c r="J33" s="33"/>
      <c r="K33" s="33"/>
      <c r="L33" s="33"/>
      <c r="M33" s="33"/>
      <c r="N33" s="33"/>
      <c r="O33" s="33"/>
      <c r="P33" s="33"/>
      <c r="Q33" s="33"/>
      <c r="R33" s="33"/>
      <c r="S33" s="33"/>
      <c r="T33" s="33"/>
      <c r="U33" s="33"/>
      <c r="V33" s="33"/>
      <c r="W33" s="33"/>
      <c r="X33" s="33"/>
      <c r="Y33" s="33"/>
      <c r="Z33" s="33"/>
    </row>
    <row r="34" spans="1:26" ht="14.25" customHeight="1" thickBot="1" x14ac:dyDescent="0.4">
      <c r="A34" s="47" t="s">
        <v>155</v>
      </c>
      <c r="B34" s="48" t="s">
        <v>161</v>
      </c>
      <c r="C34" s="33" t="str">
        <f t="shared" si="0"/>
        <v>Ancillary services/Support services -&gt; Medical ICU</v>
      </c>
      <c r="D34" s="33"/>
      <c r="E34" s="33"/>
      <c r="F34" s="33"/>
      <c r="G34" s="33"/>
      <c r="H34" s="33"/>
      <c r="I34" s="33"/>
      <c r="J34" s="33"/>
      <c r="K34" s="33"/>
      <c r="L34" s="33"/>
      <c r="M34" s="33"/>
      <c r="N34" s="33"/>
      <c r="O34" s="33"/>
      <c r="P34" s="33"/>
      <c r="Q34" s="33"/>
      <c r="R34" s="33"/>
      <c r="S34" s="33"/>
      <c r="T34" s="33"/>
      <c r="U34" s="33"/>
      <c r="V34" s="33"/>
      <c r="W34" s="33"/>
      <c r="X34" s="33"/>
      <c r="Y34" s="33"/>
      <c r="Z34" s="33"/>
    </row>
    <row r="35" spans="1:26" ht="14.25" customHeight="1" thickBot="1" x14ac:dyDescent="0.4">
      <c r="A35" s="47" t="s">
        <v>155</v>
      </c>
      <c r="B35" s="48" t="s">
        <v>160</v>
      </c>
      <c r="C35" s="33" t="str">
        <f t="shared" si="0"/>
        <v>Ancillary services/Support services -&gt; Neonatal ICU*</v>
      </c>
      <c r="D35" s="33"/>
      <c r="E35" s="33"/>
      <c r="F35" s="33"/>
      <c r="G35" s="33"/>
      <c r="H35" s="33"/>
      <c r="I35" s="33"/>
      <c r="J35" s="33"/>
      <c r="K35" s="33"/>
      <c r="L35" s="33"/>
      <c r="M35" s="33"/>
      <c r="N35" s="33"/>
      <c r="O35" s="33"/>
      <c r="P35" s="33"/>
      <c r="Q35" s="33"/>
      <c r="R35" s="33"/>
      <c r="S35" s="33"/>
      <c r="T35" s="33"/>
      <c r="U35" s="33"/>
      <c r="V35" s="33"/>
      <c r="W35" s="33"/>
      <c r="X35" s="33"/>
      <c r="Y35" s="33"/>
      <c r="Z35" s="33"/>
    </row>
    <row r="36" spans="1:26" ht="14.25" customHeight="1" thickBot="1" x14ac:dyDescent="0.4">
      <c r="A36" s="47" t="s">
        <v>155</v>
      </c>
      <c r="B36" s="48" t="s">
        <v>159</v>
      </c>
      <c r="C36" s="33" t="str">
        <f t="shared" ref="C36:C64" si="1">CONCATENATE(A36, " -&gt; ",B36)</f>
        <v>Ancillary services/Support services -&gt; Surgical ICU*</v>
      </c>
      <c r="D36" s="33"/>
      <c r="E36" s="33"/>
      <c r="F36" s="33"/>
      <c r="G36" s="33"/>
      <c r="H36" s="33"/>
      <c r="I36" s="33"/>
      <c r="J36" s="33"/>
      <c r="K36" s="33"/>
      <c r="L36" s="33"/>
      <c r="M36" s="33"/>
      <c r="N36" s="33"/>
      <c r="O36" s="33"/>
      <c r="P36" s="33"/>
      <c r="Q36" s="33"/>
      <c r="R36" s="33"/>
      <c r="S36" s="33"/>
      <c r="T36" s="33"/>
      <c r="U36" s="33"/>
      <c r="V36" s="33"/>
      <c r="W36" s="33"/>
      <c r="X36" s="33"/>
      <c r="Y36" s="33"/>
      <c r="Z36" s="33"/>
    </row>
    <row r="37" spans="1:26" ht="14.25" customHeight="1" thickBot="1" x14ac:dyDescent="0.4">
      <c r="A37" s="47" t="s">
        <v>155</v>
      </c>
      <c r="B37" s="48" t="s">
        <v>158</v>
      </c>
      <c r="C37" s="33" t="str">
        <f t="shared" si="1"/>
        <v>Ancillary services/Support services -&gt; Pediatric ICU*</v>
      </c>
      <c r="D37" s="33"/>
      <c r="E37" s="33"/>
      <c r="F37" s="33"/>
      <c r="G37" s="33"/>
      <c r="H37" s="33"/>
      <c r="I37" s="33"/>
      <c r="J37" s="33"/>
      <c r="K37" s="33"/>
      <c r="L37" s="33"/>
      <c r="M37" s="33"/>
      <c r="N37" s="33"/>
      <c r="O37" s="33"/>
      <c r="P37" s="33"/>
      <c r="Q37" s="33"/>
      <c r="R37" s="33"/>
      <c r="S37" s="33"/>
      <c r="T37" s="33"/>
      <c r="U37" s="33"/>
      <c r="V37" s="33"/>
      <c r="W37" s="33"/>
      <c r="X37" s="33"/>
      <c r="Y37" s="33"/>
      <c r="Z37" s="33"/>
    </row>
    <row r="38" spans="1:26" ht="14.25" customHeight="1" thickBot="1" x14ac:dyDescent="0.4">
      <c r="A38" s="47" t="s">
        <v>155</v>
      </c>
      <c r="B38" s="48" t="s">
        <v>157</v>
      </c>
      <c r="C38" s="33" t="str">
        <f t="shared" si="1"/>
        <v>Ancillary services/Support services -&gt; Burn Unit</v>
      </c>
      <c r="D38" s="33"/>
      <c r="E38" s="33"/>
      <c r="F38" s="33"/>
      <c r="G38" s="33"/>
      <c r="H38" s="33"/>
      <c r="I38" s="33"/>
      <c r="J38" s="33"/>
      <c r="K38" s="33"/>
      <c r="L38" s="33"/>
      <c r="M38" s="33"/>
      <c r="N38" s="33"/>
      <c r="O38" s="33"/>
      <c r="P38" s="33"/>
      <c r="Q38" s="33"/>
      <c r="R38" s="33"/>
      <c r="S38" s="33"/>
      <c r="T38" s="33"/>
      <c r="U38" s="33"/>
      <c r="V38" s="33"/>
      <c r="W38" s="33"/>
      <c r="X38" s="33"/>
      <c r="Y38" s="33"/>
      <c r="Z38" s="33"/>
    </row>
    <row r="39" spans="1:26" thickBot="1" x14ac:dyDescent="0.4">
      <c r="A39" s="47" t="s">
        <v>155</v>
      </c>
      <c r="B39" s="49" t="s">
        <v>156</v>
      </c>
      <c r="C39" s="33" t="str">
        <f t="shared" si="1"/>
        <v>Ancillary services/Support services -&gt; Morgue</v>
      </c>
      <c r="D39" s="33"/>
      <c r="E39" s="33"/>
      <c r="F39" s="33"/>
      <c r="G39" s="33"/>
      <c r="H39" s="33"/>
      <c r="I39" s="33"/>
      <c r="J39" s="33"/>
      <c r="K39" s="33"/>
      <c r="L39" s="33"/>
      <c r="M39" s="33"/>
      <c r="N39" s="33"/>
      <c r="O39" s="33"/>
      <c r="P39" s="33"/>
      <c r="Q39" s="33"/>
      <c r="R39" s="33"/>
      <c r="S39" s="33"/>
      <c r="T39" s="33"/>
      <c r="U39" s="33"/>
      <c r="V39" s="33"/>
      <c r="W39" s="33"/>
      <c r="X39" s="33"/>
      <c r="Y39" s="33"/>
      <c r="Z39" s="33"/>
    </row>
    <row r="40" spans="1:26" thickBot="1" x14ac:dyDescent="0.4">
      <c r="A40" s="47" t="s">
        <v>155</v>
      </c>
      <c r="B40" s="52" t="s">
        <v>154</v>
      </c>
      <c r="C40" s="33" t="str">
        <f t="shared" si="1"/>
        <v>Ancillary services/Support services -&gt; Others</v>
      </c>
      <c r="D40" s="33"/>
      <c r="E40" s="33"/>
      <c r="F40" s="33"/>
      <c r="G40" s="33"/>
      <c r="H40" s="33"/>
      <c r="I40" s="33"/>
      <c r="J40" s="33"/>
      <c r="K40" s="33"/>
      <c r="L40" s="33"/>
      <c r="M40" s="33"/>
      <c r="N40" s="33"/>
      <c r="O40" s="33"/>
      <c r="P40" s="33"/>
      <c r="Q40" s="33"/>
      <c r="R40" s="33"/>
      <c r="S40" s="33"/>
      <c r="T40" s="33"/>
      <c r="U40" s="33"/>
      <c r="V40" s="33"/>
      <c r="W40" s="33"/>
      <c r="X40" s="33"/>
      <c r="Y40" s="33"/>
      <c r="Z40" s="33"/>
    </row>
    <row r="41" spans="1:26" ht="13.5" customHeight="1" thickBot="1" x14ac:dyDescent="0.4">
      <c r="A41" s="47" t="s">
        <v>136</v>
      </c>
      <c r="B41" s="51" t="s">
        <v>202</v>
      </c>
      <c r="C41" s="33" t="str">
        <f t="shared" si="1"/>
        <v>Clinical/Medical services -&gt; Outpatient Department</v>
      </c>
      <c r="D41" s="33"/>
      <c r="E41" s="33"/>
      <c r="F41" s="33"/>
      <c r="G41" s="33"/>
      <c r="H41" s="33"/>
      <c r="I41" s="33"/>
      <c r="J41" s="33"/>
      <c r="K41" s="33"/>
      <c r="L41" s="33"/>
      <c r="M41" s="33"/>
      <c r="N41" s="33"/>
      <c r="O41" s="33"/>
      <c r="P41" s="33"/>
      <c r="Q41" s="33"/>
      <c r="R41" s="33"/>
      <c r="S41" s="33"/>
      <c r="T41" s="33"/>
      <c r="U41" s="33"/>
      <c r="V41" s="33"/>
      <c r="W41" s="33"/>
      <c r="X41" s="33"/>
      <c r="Y41" s="33"/>
      <c r="Z41" s="33"/>
    </row>
    <row r="42" spans="1:26" ht="13.5" customHeight="1" thickBot="1" x14ac:dyDescent="0.4">
      <c r="A42" s="47" t="s">
        <v>136</v>
      </c>
      <c r="B42" s="49" t="s">
        <v>152</v>
      </c>
      <c r="C42" s="33" t="str">
        <f t="shared" si="1"/>
        <v>Clinical/Medical services -&gt; Animal Bite Center</v>
      </c>
      <c r="D42" s="33"/>
      <c r="E42" s="33"/>
      <c r="F42" s="33"/>
      <c r="G42" s="33"/>
      <c r="H42" s="33"/>
      <c r="I42" s="33"/>
      <c r="J42" s="33"/>
      <c r="K42" s="33"/>
      <c r="L42" s="33"/>
      <c r="M42" s="33"/>
      <c r="N42" s="33"/>
      <c r="O42" s="33"/>
      <c r="P42" s="33"/>
      <c r="Q42" s="33"/>
      <c r="R42" s="33"/>
      <c r="S42" s="33"/>
      <c r="T42" s="33"/>
      <c r="U42" s="33"/>
      <c r="V42" s="33"/>
      <c r="W42" s="33"/>
      <c r="X42" s="33"/>
      <c r="Y42" s="33"/>
      <c r="Z42" s="33"/>
    </row>
    <row r="43" spans="1:26" ht="13.5" customHeight="1" thickBot="1" x14ac:dyDescent="0.4">
      <c r="A43" s="47" t="s">
        <v>136</v>
      </c>
      <c r="B43" s="49" t="s">
        <v>151</v>
      </c>
      <c r="C43" s="33" t="str">
        <f t="shared" si="1"/>
        <v>Clinical/Medical services -&gt; TB Dots</v>
      </c>
      <c r="D43" s="33"/>
      <c r="E43" s="33"/>
      <c r="F43" s="33"/>
      <c r="G43" s="33"/>
      <c r="H43" s="33"/>
      <c r="I43" s="33"/>
      <c r="J43" s="33"/>
      <c r="K43" s="33"/>
      <c r="L43" s="33"/>
      <c r="M43" s="33"/>
      <c r="N43" s="33"/>
      <c r="O43" s="33"/>
      <c r="P43" s="33"/>
      <c r="Q43" s="33"/>
      <c r="R43" s="33"/>
      <c r="S43" s="33"/>
      <c r="T43" s="33"/>
      <c r="U43" s="33"/>
      <c r="V43" s="33"/>
      <c r="W43" s="33"/>
      <c r="X43" s="33"/>
      <c r="Y43" s="33"/>
      <c r="Z43" s="33"/>
    </row>
    <row r="44" spans="1:26" ht="13.5" customHeight="1" thickBot="1" x14ac:dyDescent="0.4">
      <c r="A44" s="47" t="s">
        <v>136</v>
      </c>
      <c r="B44" s="49" t="s">
        <v>150</v>
      </c>
      <c r="C44" s="33" t="str">
        <f t="shared" si="1"/>
        <v>Clinical/Medical services -&gt; HIV Aids</v>
      </c>
      <c r="D44" s="33"/>
      <c r="E44" s="33"/>
      <c r="F44" s="33"/>
      <c r="G44" s="33"/>
      <c r="H44" s="33"/>
      <c r="I44" s="33"/>
      <c r="J44" s="33"/>
      <c r="K44" s="33"/>
      <c r="L44" s="33"/>
      <c r="M44" s="33"/>
      <c r="N44" s="33"/>
      <c r="O44" s="33"/>
      <c r="P44" s="33"/>
      <c r="Q44" s="33"/>
      <c r="R44" s="33"/>
      <c r="S44" s="33"/>
      <c r="T44" s="33"/>
      <c r="U44" s="33"/>
      <c r="V44" s="33"/>
      <c r="W44" s="33"/>
      <c r="X44" s="33"/>
      <c r="Y44" s="33"/>
      <c r="Z44" s="33"/>
    </row>
    <row r="45" spans="1:26" ht="13.5" customHeight="1" thickBot="1" x14ac:dyDescent="0.4">
      <c r="A45" s="47" t="s">
        <v>136</v>
      </c>
      <c r="B45" s="49" t="s">
        <v>149</v>
      </c>
      <c r="C45" s="33" t="str">
        <f t="shared" si="1"/>
        <v>Clinical/Medical services -&gt; Family Planning Unit</v>
      </c>
      <c r="D45" s="33"/>
      <c r="E45" s="33"/>
      <c r="F45" s="33"/>
      <c r="G45" s="33"/>
      <c r="H45" s="33"/>
      <c r="I45" s="33"/>
      <c r="J45" s="33"/>
      <c r="K45" s="33"/>
      <c r="L45" s="33"/>
      <c r="M45" s="33"/>
      <c r="N45" s="33"/>
      <c r="O45" s="33"/>
      <c r="P45" s="33"/>
      <c r="Q45" s="33"/>
      <c r="R45" s="33"/>
      <c r="S45" s="33"/>
      <c r="T45" s="33"/>
      <c r="U45" s="33"/>
      <c r="V45" s="33"/>
      <c r="W45" s="33"/>
      <c r="X45" s="33"/>
      <c r="Y45" s="33"/>
      <c r="Z45" s="33"/>
    </row>
    <row r="46" spans="1:26" ht="13.5" customHeight="1" thickBot="1" x14ac:dyDescent="0.4">
      <c r="A46" s="47" t="s">
        <v>136</v>
      </c>
      <c r="B46" s="49" t="s">
        <v>148</v>
      </c>
      <c r="C46" s="33" t="str">
        <f t="shared" si="1"/>
        <v>Clinical/Medical services -&gt; Smoking Cessation</v>
      </c>
      <c r="D46" s="33"/>
      <c r="E46" s="33"/>
      <c r="F46" s="33"/>
      <c r="G46" s="33"/>
      <c r="H46" s="33"/>
      <c r="I46" s="33"/>
      <c r="J46" s="33"/>
      <c r="K46" s="33"/>
      <c r="L46" s="33"/>
      <c r="M46" s="33"/>
      <c r="N46" s="33"/>
      <c r="O46" s="33"/>
      <c r="P46" s="33"/>
      <c r="Q46" s="33"/>
      <c r="R46" s="33"/>
      <c r="S46" s="33"/>
      <c r="T46" s="33"/>
      <c r="U46" s="33"/>
      <c r="V46" s="33"/>
      <c r="W46" s="33"/>
      <c r="X46" s="33"/>
      <c r="Y46" s="33"/>
      <c r="Z46" s="33"/>
    </row>
    <row r="47" spans="1:26" ht="13.5" customHeight="1" thickBot="1" x14ac:dyDescent="0.4">
      <c r="A47" s="47" t="s">
        <v>136</v>
      </c>
      <c r="B47" s="49" t="s">
        <v>147</v>
      </c>
      <c r="C47" s="33" t="str">
        <f t="shared" si="1"/>
        <v>Clinical/Medical services -&gt; Malaria</v>
      </c>
      <c r="D47" s="33"/>
      <c r="E47" s="33"/>
      <c r="F47" s="33"/>
      <c r="G47" s="33"/>
      <c r="H47" s="33"/>
      <c r="I47" s="33"/>
      <c r="J47" s="33"/>
      <c r="K47" s="33"/>
      <c r="L47" s="33"/>
      <c r="M47" s="33"/>
      <c r="N47" s="33"/>
      <c r="O47" s="33"/>
      <c r="P47" s="33"/>
      <c r="Q47" s="33"/>
      <c r="R47" s="33"/>
      <c r="S47" s="33"/>
      <c r="T47" s="33"/>
      <c r="U47" s="33"/>
      <c r="V47" s="33"/>
      <c r="W47" s="33"/>
      <c r="X47" s="33"/>
      <c r="Y47" s="33"/>
      <c r="Z47" s="33"/>
    </row>
    <row r="48" spans="1:26" ht="13.5" customHeight="1" thickBot="1" x14ac:dyDescent="0.4">
      <c r="A48" s="47" t="s">
        <v>136</v>
      </c>
      <c r="B48" s="50" t="s">
        <v>201</v>
      </c>
      <c r="C48" s="33" t="str">
        <f t="shared" si="1"/>
        <v>Clinical/Medical services -&gt; Diabetes MAP</v>
      </c>
      <c r="D48" s="33"/>
      <c r="E48" s="33"/>
      <c r="F48" s="33"/>
      <c r="G48" s="33"/>
      <c r="H48" s="33"/>
      <c r="I48" s="33"/>
      <c r="J48" s="33"/>
      <c r="K48" s="33"/>
      <c r="L48" s="33"/>
      <c r="M48" s="33"/>
      <c r="N48" s="33"/>
      <c r="O48" s="33"/>
      <c r="P48" s="33"/>
      <c r="Q48" s="33"/>
      <c r="R48" s="33"/>
      <c r="S48" s="33"/>
      <c r="T48" s="33"/>
      <c r="U48" s="33"/>
      <c r="V48" s="33"/>
      <c r="W48" s="33"/>
      <c r="X48" s="33"/>
      <c r="Y48" s="33"/>
      <c r="Z48" s="33"/>
    </row>
    <row r="49" spans="1:26" ht="13.5" customHeight="1" thickBot="1" x14ac:dyDescent="0.4">
      <c r="A49" s="47" t="s">
        <v>136</v>
      </c>
      <c r="B49" s="49" t="s">
        <v>200</v>
      </c>
      <c r="C49" s="33" t="str">
        <f t="shared" si="1"/>
        <v>Clinical/Medical services -&gt; Hypertension MAP</v>
      </c>
      <c r="D49" s="33"/>
      <c r="E49" s="33"/>
      <c r="F49" s="33"/>
      <c r="G49" s="33"/>
      <c r="H49" s="33"/>
      <c r="I49" s="33"/>
      <c r="J49" s="33"/>
      <c r="K49" s="33"/>
      <c r="L49" s="33"/>
      <c r="M49" s="33"/>
      <c r="N49" s="33"/>
      <c r="O49" s="33"/>
      <c r="P49" s="33"/>
      <c r="Q49" s="33"/>
      <c r="R49" s="33"/>
      <c r="S49" s="33"/>
      <c r="T49" s="33"/>
      <c r="U49" s="33"/>
      <c r="V49" s="33"/>
      <c r="W49" s="33"/>
      <c r="X49" s="33"/>
      <c r="Y49" s="33"/>
      <c r="Z49" s="33"/>
    </row>
    <row r="50" spans="1:26" ht="14.25" customHeight="1" thickBot="1" x14ac:dyDescent="0.4">
      <c r="A50" s="47" t="s">
        <v>136</v>
      </c>
      <c r="B50" s="48" t="s">
        <v>144</v>
      </c>
      <c r="C50" s="33" t="str">
        <f t="shared" si="1"/>
        <v>Clinical/Medical services -&gt; Emergency Medicine Department</v>
      </c>
      <c r="D50" s="33"/>
      <c r="E50" s="33"/>
      <c r="F50" s="33"/>
      <c r="G50" s="33"/>
      <c r="H50" s="33"/>
      <c r="I50" s="33"/>
      <c r="J50" s="33"/>
      <c r="K50" s="33"/>
      <c r="L50" s="33"/>
      <c r="M50" s="33"/>
      <c r="N50" s="33"/>
      <c r="O50" s="33"/>
      <c r="P50" s="33"/>
      <c r="Q50" s="33"/>
      <c r="R50" s="33"/>
      <c r="S50" s="33"/>
      <c r="T50" s="33"/>
      <c r="U50" s="33"/>
      <c r="V50" s="33"/>
      <c r="W50" s="33"/>
      <c r="X50" s="33"/>
      <c r="Y50" s="33"/>
      <c r="Z50" s="33"/>
    </row>
    <row r="51" spans="1:26" ht="14.25" customHeight="1" thickBot="1" x14ac:dyDescent="0.4">
      <c r="A51" s="47" t="s">
        <v>136</v>
      </c>
      <c r="B51" s="48" t="s">
        <v>143</v>
      </c>
      <c r="C51" s="33" t="str">
        <f t="shared" si="1"/>
        <v>Clinical/Medical services -&gt; Dialysis Unit</v>
      </c>
      <c r="D51" s="33"/>
      <c r="E51" s="33"/>
      <c r="F51" s="33"/>
      <c r="G51" s="33"/>
      <c r="H51" s="33"/>
      <c r="I51" s="33"/>
      <c r="J51" s="33"/>
      <c r="K51" s="33"/>
      <c r="L51" s="33"/>
      <c r="M51" s="33"/>
      <c r="N51" s="33"/>
      <c r="O51" s="33"/>
      <c r="P51" s="33"/>
      <c r="Q51" s="33"/>
      <c r="R51" s="33"/>
      <c r="S51" s="33"/>
      <c r="T51" s="33"/>
      <c r="U51" s="33"/>
      <c r="V51" s="33"/>
      <c r="W51" s="33"/>
      <c r="X51" s="33"/>
      <c r="Y51" s="33"/>
      <c r="Z51" s="33"/>
    </row>
    <row r="52" spans="1:26" ht="14.25" customHeight="1" thickBot="1" x14ac:dyDescent="0.4">
      <c r="A52" s="47" t="s">
        <v>136</v>
      </c>
      <c r="B52" s="49" t="s">
        <v>199</v>
      </c>
      <c r="C52" s="33" t="str">
        <f t="shared" si="1"/>
        <v>Clinical/Medical services -&gt; Nuclear Medicine</v>
      </c>
      <c r="D52" s="33"/>
      <c r="E52" s="33"/>
      <c r="F52" s="33"/>
      <c r="G52" s="33"/>
      <c r="H52" s="33"/>
      <c r="I52" s="33"/>
      <c r="J52" s="33"/>
      <c r="K52" s="33"/>
      <c r="L52" s="33"/>
      <c r="M52" s="33"/>
      <c r="N52" s="33"/>
      <c r="O52" s="33"/>
      <c r="P52" s="33"/>
      <c r="Q52" s="33"/>
      <c r="R52" s="33"/>
      <c r="S52" s="33"/>
      <c r="T52" s="33"/>
      <c r="U52" s="33"/>
      <c r="V52" s="33"/>
      <c r="W52" s="33"/>
      <c r="X52" s="33"/>
      <c r="Y52" s="33"/>
      <c r="Z52" s="33"/>
    </row>
    <row r="53" spans="1:26" ht="14.25" customHeight="1" thickBot="1" x14ac:dyDescent="0.4">
      <c r="A53" s="47" t="s">
        <v>136</v>
      </c>
      <c r="B53" s="48" t="s">
        <v>142</v>
      </c>
      <c r="C53" s="33" t="str">
        <f t="shared" si="1"/>
        <v>Clinical/Medical services -&gt; Radiation Oncology Unit*</v>
      </c>
      <c r="D53" s="33"/>
      <c r="E53" s="33"/>
      <c r="F53" s="33"/>
      <c r="G53" s="33"/>
      <c r="H53" s="33"/>
      <c r="I53" s="33"/>
      <c r="J53" s="33"/>
      <c r="K53" s="33"/>
      <c r="L53" s="33"/>
      <c r="M53" s="33"/>
      <c r="N53" s="33"/>
      <c r="O53" s="33"/>
      <c r="P53" s="33"/>
      <c r="Q53" s="33"/>
      <c r="R53" s="33"/>
      <c r="S53" s="33"/>
      <c r="T53" s="33"/>
      <c r="U53" s="33"/>
      <c r="V53" s="33"/>
      <c r="W53" s="33"/>
      <c r="X53" s="33"/>
      <c r="Y53" s="33"/>
      <c r="Z53" s="33"/>
    </row>
    <row r="54" spans="1:26" ht="14.25" customHeight="1" thickBot="1" x14ac:dyDescent="0.4">
      <c r="A54" s="47" t="s">
        <v>136</v>
      </c>
      <c r="B54" s="49" t="s">
        <v>198</v>
      </c>
      <c r="C54" s="33" t="str">
        <f t="shared" si="1"/>
        <v>Clinical/Medical services -&gt; Endoscopy Unit</v>
      </c>
      <c r="D54" s="33"/>
      <c r="E54" s="33"/>
      <c r="F54" s="33"/>
      <c r="G54" s="33"/>
      <c r="H54" s="33"/>
      <c r="I54" s="33"/>
      <c r="J54" s="33"/>
      <c r="K54" s="33"/>
      <c r="L54" s="33"/>
      <c r="M54" s="33"/>
      <c r="N54" s="33"/>
      <c r="O54" s="33"/>
      <c r="P54" s="33"/>
      <c r="Q54" s="33"/>
      <c r="R54" s="33"/>
      <c r="S54" s="33"/>
      <c r="T54" s="33"/>
      <c r="U54" s="33"/>
      <c r="V54" s="33"/>
      <c r="W54" s="33"/>
      <c r="X54" s="33"/>
      <c r="Y54" s="33"/>
      <c r="Z54" s="33"/>
    </row>
    <row r="55" spans="1:26" ht="14.25" customHeight="1" thickBot="1" x14ac:dyDescent="0.4">
      <c r="A55" s="47" t="s">
        <v>136</v>
      </c>
      <c r="B55" s="48" t="s">
        <v>141</v>
      </c>
      <c r="C55" s="33" t="str">
        <f t="shared" si="1"/>
        <v>Clinical/Medical services -&gt; Dental</v>
      </c>
      <c r="D55" s="33"/>
      <c r="E55" s="33"/>
      <c r="F55" s="33"/>
      <c r="G55" s="33"/>
      <c r="H55" s="33"/>
      <c r="I55" s="33"/>
      <c r="J55" s="33"/>
      <c r="K55" s="33"/>
      <c r="L55" s="33"/>
      <c r="M55" s="33"/>
      <c r="N55" s="33"/>
      <c r="O55" s="33"/>
      <c r="P55" s="33"/>
      <c r="Q55" s="33"/>
      <c r="R55" s="33"/>
      <c r="S55" s="33"/>
      <c r="T55" s="33"/>
      <c r="U55" s="33"/>
      <c r="V55" s="33"/>
      <c r="W55" s="33"/>
      <c r="X55" s="33"/>
      <c r="Y55" s="33"/>
      <c r="Z55" s="33"/>
    </row>
    <row r="56" spans="1:26" ht="14.25" customHeight="1" thickBot="1" x14ac:dyDescent="0.4">
      <c r="A56" s="47" t="s">
        <v>136</v>
      </c>
      <c r="B56" s="48" t="s">
        <v>140</v>
      </c>
      <c r="C56" s="33" t="str">
        <f t="shared" si="1"/>
        <v>Clinical/Medical services -&gt; Internal Medicine Ward</v>
      </c>
      <c r="D56" s="33"/>
      <c r="E56" s="33"/>
      <c r="F56" s="33"/>
      <c r="G56" s="33"/>
      <c r="H56" s="33"/>
      <c r="I56" s="33"/>
      <c r="J56" s="33"/>
      <c r="K56" s="33"/>
      <c r="L56" s="33"/>
      <c r="M56" s="33"/>
      <c r="N56" s="33"/>
      <c r="O56" s="33"/>
      <c r="P56" s="33"/>
      <c r="Q56" s="33"/>
      <c r="R56" s="33"/>
      <c r="S56" s="33"/>
      <c r="T56" s="33"/>
      <c r="U56" s="33"/>
      <c r="V56" s="33"/>
      <c r="W56" s="33"/>
      <c r="X56" s="33"/>
      <c r="Y56" s="33"/>
      <c r="Z56" s="33"/>
    </row>
    <row r="57" spans="1:26" ht="14.25" customHeight="1" thickBot="1" x14ac:dyDescent="0.4">
      <c r="A57" s="47" t="s">
        <v>136</v>
      </c>
      <c r="B57" s="48" t="s">
        <v>139</v>
      </c>
      <c r="C57" s="33" t="str">
        <f t="shared" si="1"/>
        <v>Clinical/Medical services -&gt; Pediatric Ward</v>
      </c>
      <c r="D57" s="33"/>
      <c r="E57" s="33"/>
      <c r="F57" s="33"/>
      <c r="G57" s="33"/>
      <c r="H57" s="33"/>
      <c r="I57" s="33"/>
      <c r="J57" s="33"/>
      <c r="K57" s="33"/>
      <c r="L57" s="33"/>
      <c r="M57" s="33"/>
      <c r="N57" s="33"/>
      <c r="O57" s="33"/>
      <c r="P57" s="33"/>
      <c r="Q57" s="33"/>
      <c r="R57" s="33"/>
      <c r="S57" s="33"/>
      <c r="T57" s="33"/>
      <c r="U57" s="33"/>
      <c r="V57" s="33"/>
      <c r="W57" s="33"/>
      <c r="X57" s="33"/>
      <c r="Y57" s="33"/>
      <c r="Z57" s="33"/>
    </row>
    <row r="58" spans="1:26" ht="14.25" customHeight="1" thickBot="1" x14ac:dyDescent="0.4">
      <c r="A58" s="47" t="s">
        <v>136</v>
      </c>
      <c r="B58" s="48" t="s">
        <v>138</v>
      </c>
      <c r="C58" s="33" t="str">
        <f t="shared" si="1"/>
        <v>Clinical/Medical services -&gt; Surgical Ward</v>
      </c>
      <c r="D58" s="33"/>
      <c r="E58" s="33"/>
      <c r="F58" s="33"/>
      <c r="G58" s="33"/>
      <c r="H58" s="33"/>
      <c r="I58" s="33"/>
      <c r="J58" s="33"/>
      <c r="K58" s="33"/>
      <c r="L58" s="33"/>
      <c r="M58" s="33"/>
      <c r="N58" s="33"/>
      <c r="O58" s="33"/>
      <c r="P58" s="33"/>
      <c r="Q58" s="33"/>
      <c r="R58" s="33"/>
      <c r="S58" s="33"/>
      <c r="T58" s="33"/>
      <c r="U58" s="33"/>
      <c r="V58" s="33"/>
      <c r="W58" s="33"/>
      <c r="X58" s="33"/>
      <c r="Y58" s="33"/>
      <c r="Z58" s="33"/>
    </row>
    <row r="59" spans="1:26" ht="14.25" customHeight="1" thickBot="1" x14ac:dyDescent="0.4">
      <c r="A59" s="47" t="s">
        <v>136</v>
      </c>
      <c r="B59" s="48" t="s">
        <v>137</v>
      </c>
      <c r="C59" s="33" t="str">
        <f t="shared" si="1"/>
        <v>Clinical/Medical services -&gt; Ob/Gyne Ward</v>
      </c>
      <c r="D59" s="33"/>
      <c r="E59" s="33"/>
      <c r="F59" s="33"/>
      <c r="G59" s="33"/>
      <c r="H59" s="33"/>
      <c r="I59" s="33"/>
      <c r="J59" s="33"/>
      <c r="K59" s="33"/>
      <c r="L59" s="33"/>
      <c r="M59" s="33"/>
      <c r="N59" s="33"/>
      <c r="O59" s="33"/>
      <c r="P59" s="33"/>
      <c r="Q59" s="33"/>
      <c r="R59" s="33"/>
      <c r="S59" s="33"/>
      <c r="T59" s="33"/>
      <c r="U59" s="33"/>
      <c r="V59" s="33"/>
      <c r="W59" s="33"/>
      <c r="X59" s="33"/>
      <c r="Y59" s="33"/>
      <c r="Z59" s="33"/>
    </row>
    <row r="60" spans="1:26" ht="14.25" customHeight="1" thickBot="1" x14ac:dyDescent="0.4">
      <c r="A60" s="47" t="s">
        <v>136</v>
      </c>
      <c r="B60" s="48" t="s">
        <v>135</v>
      </c>
      <c r="C60" s="33" t="str">
        <f t="shared" si="1"/>
        <v>Clinical/Medical services -&gt; Private Ward</v>
      </c>
      <c r="D60" s="33"/>
      <c r="E60" s="33"/>
      <c r="F60" s="33"/>
      <c r="G60" s="33"/>
      <c r="H60" s="33"/>
      <c r="I60" s="33"/>
      <c r="J60" s="33"/>
      <c r="K60" s="33"/>
      <c r="L60" s="33"/>
      <c r="M60" s="33"/>
      <c r="N60" s="33"/>
      <c r="O60" s="33"/>
      <c r="P60" s="33"/>
      <c r="Q60" s="33"/>
      <c r="R60" s="33"/>
      <c r="S60" s="33"/>
      <c r="T60" s="33"/>
      <c r="U60" s="33"/>
      <c r="V60" s="33"/>
      <c r="W60" s="33"/>
      <c r="X60" s="33"/>
      <c r="Y60" s="33"/>
      <c r="Z60" s="33"/>
    </row>
    <row r="61" spans="1:26" ht="14.25" customHeight="1" thickBot="1" x14ac:dyDescent="0.4">
      <c r="A61" s="47" t="s">
        <v>136</v>
      </c>
      <c r="B61" s="48" t="s">
        <v>197</v>
      </c>
      <c r="C61" s="33" t="str">
        <f t="shared" si="1"/>
        <v>Clinical/Medical services -&gt; Neurosurgery Ward*</v>
      </c>
      <c r="D61" s="33"/>
      <c r="E61" s="33"/>
      <c r="F61" s="33"/>
      <c r="G61" s="33"/>
      <c r="H61" s="33"/>
      <c r="I61" s="33"/>
      <c r="J61" s="33"/>
      <c r="K61" s="33"/>
      <c r="L61" s="33"/>
      <c r="M61" s="33"/>
      <c r="N61" s="33"/>
      <c r="O61" s="33"/>
      <c r="P61" s="33"/>
      <c r="Q61" s="33"/>
      <c r="R61" s="33"/>
      <c r="S61" s="33"/>
      <c r="T61" s="33"/>
      <c r="U61" s="33"/>
      <c r="V61" s="33"/>
      <c r="W61" s="33"/>
      <c r="X61" s="33"/>
      <c r="Y61" s="33"/>
      <c r="Z61" s="33"/>
    </row>
    <row r="62" spans="1:26" ht="14.25" customHeight="1" thickBot="1" x14ac:dyDescent="0.4">
      <c r="A62" s="47" t="s">
        <v>136</v>
      </c>
      <c r="B62" s="48" t="s">
        <v>196</v>
      </c>
      <c r="C62" s="33" t="str">
        <f t="shared" si="1"/>
        <v>Clinical/Medical services -&gt; Orthopedic Ward*</v>
      </c>
      <c r="D62" s="33"/>
      <c r="E62" s="33"/>
      <c r="F62" s="33"/>
      <c r="G62" s="33"/>
      <c r="H62" s="33"/>
      <c r="I62" s="33"/>
      <c r="J62" s="33"/>
      <c r="K62" s="33"/>
      <c r="L62" s="33"/>
      <c r="M62" s="33"/>
      <c r="N62" s="33"/>
      <c r="O62" s="33"/>
      <c r="P62" s="33"/>
      <c r="Q62" s="33"/>
      <c r="R62" s="33"/>
      <c r="S62" s="33"/>
      <c r="T62" s="33"/>
      <c r="U62" s="33"/>
      <c r="V62" s="33"/>
      <c r="W62" s="33"/>
      <c r="X62" s="33"/>
      <c r="Y62" s="33"/>
      <c r="Z62" s="33"/>
    </row>
    <row r="63" spans="1:26" thickBot="1" x14ac:dyDescent="0.4">
      <c r="A63" s="47" t="s">
        <v>136</v>
      </c>
      <c r="B63" s="48" t="s">
        <v>195</v>
      </c>
      <c r="C63" s="33" t="str">
        <f t="shared" si="1"/>
        <v>Clinical/Medical services -&gt; Psychiatric Ward*</v>
      </c>
      <c r="D63" s="33"/>
      <c r="E63" s="33"/>
      <c r="F63" s="33"/>
      <c r="G63" s="33"/>
      <c r="H63" s="33"/>
      <c r="I63" s="33"/>
      <c r="J63" s="33"/>
      <c r="K63" s="33"/>
      <c r="L63" s="33"/>
      <c r="M63" s="33"/>
      <c r="N63" s="33"/>
      <c r="O63" s="33"/>
      <c r="P63" s="33"/>
      <c r="Q63" s="33"/>
      <c r="R63" s="33"/>
      <c r="S63" s="33"/>
      <c r="T63" s="33"/>
      <c r="U63" s="33"/>
      <c r="V63" s="33"/>
      <c r="W63" s="33"/>
      <c r="X63" s="33"/>
      <c r="Y63" s="33"/>
      <c r="Z63" s="33"/>
    </row>
    <row r="64" spans="1:26" ht="13.5" customHeight="1" thickBot="1" x14ac:dyDescent="0.4">
      <c r="A64" s="47" t="s">
        <v>136</v>
      </c>
      <c r="B64" s="46" t="s">
        <v>194</v>
      </c>
      <c r="C64" s="33" t="str">
        <f t="shared" si="1"/>
        <v>Clinical/Medical services -&gt; ENT Ward*</v>
      </c>
      <c r="D64" s="33"/>
      <c r="E64" s="33"/>
      <c r="F64" s="33"/>
      <c r="G64" s="33"/>
      <c r="H64" s="33"/>
      <c r="I64" s="33"/>
      <c r="J64" s="33"/>
      <c r="K64" s="33"/>
      <c r="L64" s="33"/>
      <c r="M64" s="33"/>
      <c r="N64" s="33"/>
      <c r="O64" s="33"/>
      <c r="P64" s="33"/>
      <c r="Q64" s="33"/>
      <c r="R64" s="33"/>
      <c r="S64" s="33"/>
      <c r="T64" s="33"/>
      <c r="U64" s="33"/>
      <c r="V64" s="33"/>
      <c r="W64" s="33"/>
      <c r="X64" s="33"/>
      <c r="Y64" s="33"/>
      <c r="Z64" s="33"/>
    </row>
    <row r="65" spans="1:26" ht="13.5" customHeight="1" x14ac:dyDescent="0.35">
      <c r="A65" s="45"/>
      <c r="B65" s="33"/>
      <c r="C65" s="33"/>
      <c r="D65" s="33"/>
      <c r="E65" s="33"/>
      <c r="F65" s="33"/>
      <c r="G65" s="33"/>
      <c r="H65" s="33"/>
      <c r="I65" s="33"/>
      <c r="J65" s="33"/>
      <c r="K65" s="33"/>
      <c r="L65" s="33"/>
      <c r="M65" s="33"/>
      <c r="N65" s="33"/>
      <c r="O65" s="33"/>
      <c r="P65" s="33"/>
      <c r="Q65" s="33"/>
      <c r="R65" s="33"/>
      <c r="S65" s="33"/>
      <c r="T65" s="33"/>
      <c r="U65" s="33"/>
      <c r="V65" s="33"/>
      <c r="W65" s="33"/>
      <c r="X65" s="33"/>
      <c r="Y65" s="33"/>
      <c r="Z65" s="33"/>
    </row>
    <row r="66" spans="1:26" ht="13.5" customHeight="1" x14ac:dyDescent="0.35">
      <c r="A66" s="33"/>
      <c r="B66" s="32"/>
      <c r="C66" s="33"/>
      <c r="D66" s="33"/>
      <c r="E66" s="33"/>
      <c r="F66" s="33"/>
      <c r="G66" s="33"/>
      <c r="H66" s="33"/>
      <c r="I66" s="33"/>
      <c r="J66" s="33"/>
      <c r="K66" s="33"/>
      <c r="L66" s="33"/>
      <c r="M66" s="33"/>
      <c r="N66" s="33"/>
      <c r="O66" s="33"/>
      <c r="P66" s="33"/>
      <c r="Q66" s="33"/>
      <c r="R66" s="33"/>
      <c r="S66" s="33"/>
      <c r="T66" s="33"/>
      <c r="U66" s="33"/>
      <c r="V66" s="33"/>
      <c r="W66" s="33"/>
      <c r="X66" s="33"/>
      <c r="Y66" s="33"/>
      <c r="Z66" s="33"/>
    </row>
    <row r="67" spans="1:26" ht="13.5" customHeight="1" x14ac:dyDescent="0.35">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row>
    <row r="68" spans="1:26" ht="13.5" customHeight="1" x14ac:dyDescent="0.35">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row>
    <row r="69" spans="1:26" ht="13.5" customHeight="1" x14ac:dyDescent="0.35">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row>
    <row r="70" spans="1:26" ht="13.5" customHeight="1" x14ac:dyDescent="0.35">
      <c r="A70" s="33" t="s">
        <v>134</v>
      </c>
      <c r="B70" s="44" t="s">
        <v>133</v>
      </c>
      <c r="C70" s="33"/>
      <c r="D70" s="33"/>
      <c r="E70" s="33"/>
      <c r="F70" s="33"/>
      <c r="G70" s="33"/>
      <c r="H70" s="33"/>
      <c r="I70" s="33"/>
      <c r="J70" s="33"/>
      <c r="K70" s="33"/>
      <c r="L70" s="33"/>
      <c r="M70" s="33"/>
      <c r="N70" s="33"/>
      <c r="O70" s="33"/>
      <c r="P70" s="33"/>
      <c r="Q70" s="33"/>
      <c r="R70" s="33"/>
      <c r="S70" s="33"/>
      <c r="T70" s="33"/>
      <c r="U70" s="33"/>
      <c r="V70" s="33"/>
      <c r="W70" s="33"/>
      <c r="X70" s="33"/>
      <c r="Y70" s="33"/>
      <c r="Z70" s="33"/>
    </row>
    <row r="71" spans="1:26" ht="13.5" customHeight="1" x14ac:dyDescent="0.35">
      <c r="A71" s="33"/>
      <c r="B71" s="44" t="s">
        <v>132</v>
      </c>
      <c r="C71" s="33"/>
      <c r="D71" s="33"/>
      <c r="E71" s="33"/>
      <c r="F71" s="33"/>
      <c r="G71" s="33"/>
      <c r="H71" s="33"/>
      <c r="I71" s="33"/>
      <c r="J71" s="33"/>
      <c r="K71" s="33"/>
      <c r="L71" s="33"/>
      <c r="M71" s="33"/>
      <c r="N71" s="33"/>
      <c r="O71" s="33"/>
      <c r="P71" s="33"/>
      <c r="Q71" s="33"/>
      <c r="R71" s="33"/>
      <c r="S71" s="33"/>
      <c r="T71" s="33"/>
      <c r="U71" s="33"/>
      <c r="V71" s="33"/>
      <c r="W71" s="33"/>
      <c r="X71" s="33"/>
      <c r="Y71" s="33"/>
      <c r="Z71" s="33"/>
    </row>
    <row r="72" spans="1:26" ht="13.5" customHeight="1" x14ac:dyDescent="0.35">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row>
    <row r="73" spans="1:26" ht="13.5" customHeight="1" x14ac:dyDescent="0.35">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row>
    <row r="74" spans="1:26" ht="13.5" customHeight="1" x14ac:dyDescent="0.35">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row>
    <row r="75" spans="1:26" ht="13.5" customHeight="1" x14ac:dyDescent="0.35">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row>
    <row r="76" spans="1:26" ht="13.5" customHeight="1" x14ac:dyDescent="0.35">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row>
    <row r="77" spans="1:26" ht="13.5" customHeight="1" x14ac:dyDescent="0.35">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row>
    <row r="78" spans="1:26" ht="13.5" customHeight="1" x14ac:dyDescent="0.35">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row>
    <row r="79" spans="1:26" ht="13.5" customHeight="1" x14ac:dyDescent="0.35">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row>
    <row r="80" spans="1:26" ht="13.5" customHeight="1" x14ac:dyDescent="0.35">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row>
    <row r="81" spans="1:26" ht="13.5" customHeight="1" x14ac:dyDescent="0.35">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row>
    <row r="82" spans="1:26" ht="13.5" customHeight="1" x14ac:dyDescent="0.35">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row>
    <row r="83" spans="1:26" ht="13.5" customHeight="1" x14ac:dyDescent="0.35">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row>
    <row r="84" spans="1:26" ht="13.5" customHeight="1" x14ac:dyDescent="0.35">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row>
    <row r="85" spans="1:26" ht="13.5" customHeight="1" x14ac:dyDescent="0.35">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row>
    <row r="86" spans="1:26" ht="13.5" customHeight="1" x14ac:dyDescent="0.35">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row>
    <row r="87" spans="1:26" ht="13.5" customHeight="1" x14ac:dyDescent="0.35">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row>
    <row r="88" spans="1:26" ht="13.5" customHeight="1" x14ac:dyDescent="0.35">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row>
    <row r="89" spans="1:26" ht="13.5" customHeight="1" x14ac:dyDescent="0.35">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row>
    <row r="90" spans="1:26" ht="13.5" customHeight="1" x14ac:dyDescent="0.35">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row>
    <row r="91" spans="1:26" ht="13.5" customHeight="1" x14ac:dyDescent="0.35">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row>
    <row r="92" spans="1:26" ht="13.5" customHeight="1" x14ac:dyDescent="0.35">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row>
    <row r="93" spans="1:26" ht="13.5" customHeight="1" x14ac:dyDescent="0.35">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row>
    <row r="94" spans="1:26" ht="13.5" customHeight="1" x14ac:dyDescent="0.35">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row>
    <row r="95" spans="1:26" ht="13.5" customHeight="1" x14ac:dyDescent="0.35">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row>
    <row r="96" spans="1:26" ht="13.5" customHeight="1" x14ac:dyDescent="0.35">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row>
    <row r="97" spans="1:26" ht="13.5" customHeight="1" x14ac:dyDescent="0.35">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row>
    <row r="98" spans="1:26" ht="13.5" customHeight="1" x14ac:dyDescent="0.35">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row>
    <row r="99" spans="1:26" ht="13.5" customHeight="1" x14ac:dyDescent="0.35">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row>
    <row r="100" spans="1:26" ht="13.5" customHeight="1" x14ac:dyDescent="0.35">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row>
    <row r="101" spans="1:26" ht="13.5" customHeight="1" x14ac:dyDescent="0.35">
      <c r="A101" s="33"/>
      <c r="B101" s="33"/>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row>
    <row r="102" spans="1:26" ht="13.5" customHeight="1" x14ac:dyDescent="0.35">
      <c r="A102" s="33"/>
      <c r="B102" s="33"/>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row>
    <row r="103" spans="1:26" ht="13.5" customHeight="1" x14ac:dyDescent="0.35">
      <c r="A103" s="33"/>
      <c r="B103" s="33"/>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row>
    <row r="104" spans="1:26" ht="13.5" customHeight="1" x14ac:dyDescent="0.35">
      <c r="A104" s="33"/>
      <c r="B104" s="33"/>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row>
    <row r="105" spans="1:26" ht="13.5" customHeight="1" x14ac:dyDescent="0.35">
      <c r="A105" s="33"/>
      <c r="B105" s="33"/>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row>
    <row r="106" spans="1:26" ht="13.5" customHeight="1" x14ac:dyDescent="0.35">
      <c r="A106" s="33"/>
      <c r="B106" s="33"/>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row>
    <row r="107" spans="1:26" ht="13.5" customHeight="1" x14ac:dyDescent="0.35">
      <c r="A107" s="33"/>
      <c r="B107" s="33"/>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row>
    <row r="108" spans="1:26" ht="13.5" customHeight="1" x14ac:dyDescent="0.35">
      <c r="A108" s="33"/>
      <c r="B108" s="33"/>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row>
    <row r="109" spans="1:26" ht="13.5" customHeight="1" x14ac:dyDescent="0.35">
      <c r="A109" s="33"/>
      <c r="B109" s="33"/>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row>
    <row r="110" spans="1:26" ht="13.5" customHeight="1" x14ac:dyDescent="0.35">
      <c r="A110" s="33"/>
      <c r="B110" s="33"/>
      <c r="C110" s="33"/>
      <c r="D110" s="33"/>
      <c r="E110" s="33"/>
      <c r="F110" s="33"/>
      <c r="G110" s="33"/>
      <c r="H110" s="33"/>
      <c r="I110" s="33"/>
      <c r="J110" s="33"/>
      <c r="K110" s="33"/>
      <c r="L110" s="33"/>
      <c r="M110" s="33"/>
      <c r="N110" s="33"/>
      <c r="O110" s="33"/>
      <c r="P110" s="33"/>
      <c r="Q110" s="33"/>
      <c r="R110" s="33"/>
      <c r="S110" s="33"/>
      <c r="T110" s="33"/>
      <c r="U110" s="33"/>
      <c r="V110" s="33"/>
      <c r="W110" s="33"/>
      <c r="X110" s="33"/>
      <c r="Y110" s="33"/>
      <c r="Z110" s="33"/>
    </row>
    <row r="111" spans="1:26" ht="13.5" customHeight="1" x14ac:dyDescent="0.35">
      <c r="A111" s="33"/>
      <c r="B111" s="33"/>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row>
    <row r="112" spans="1:26" ht="13.5" customHeight="1" x14ac:dyDescent="0.35">
      <c r="A112" s="33"/>
      <c r="B112" s="33"/>
      <c r="C112" s="33"/>
      <c r="D112" s="33"/>
      <c r="E112" s="33"/>
      <c r="F112" s="33"/>
      <c r="G112" s="33"/>
      <c r="H112" s="33"/>
      <c r="I112" s="33"/>
      <c r="J112" s="33"/>
      <c r="K112" s="33"/>
      <c r="L112" s="33"/>
      <c r="M112" s="33"/>
      <c r="N112" s="33"/>
      <c r="O112" s="33"/>
      <c r="P112" s="33"/>
      <c r="Q112" s="33"/>
      <c r="R112" s="33"/>
      <c r="S112" s="33"/>
      <c r="T112" s="33"/>
      <c r="U112" s="33"/>
      <c r="V112" s="33"/>
      <c r="W112" s="33"/>
      <c r="X112" s="33"/>
      <c r="Y112" s="33"/>
      <c r="Z112" s="33"/>
    </row>
    <row r="113" spans="1:26" ht="13.5" customHeight="1" x14ac:dyDescent="0.35">
      <c r="A113" s="33"/>
      <c r="B113" s="33"/>
      <c r="C113" s="33"/>
      <c r="D113" s="33"/>
      <c r="E113" s="33"/>
      <c r="F113" s="33"/>
      <c r="G113" s="33"/>
      <c r="H113" s="33"/>
      <c r="I113" s="33"/>
      <c r="J113" s="33"/>
      <c r="K113" s="33"/>
      <c r="L113" s="33"/>
      <c r="M113" s="33"/>
      <c r="N113" s="33"/>
      <c r="O113" s="33"/>
      <c r="P113" s="33"/>
      <c r="Q113" s="33"/>
      <c r="R113" s="33"/>
      <c r="S113" s="33"/>
      <c r="T113" s="33"/>
      <c r="U113" s="33"/>
      <c r="V113" s="33"/>
      <c r="W113" s="33"/>
      <c r="X113" s="33"/>
      <c r="Y113" s="33"/>
      <c r="Z113" s="33"/>
    </row>
    <row r="114" spans="1:26" ht="13.5" customHeight="1" x14ac:dyDescent="0.35">
      <c r="A114" s="33"/>
      <c r="B114" s="33"/>
      <c r="C114" s="33"/>
      <c r="D114" s="33"/>
      <c r="E114" s="33"/>
      <c r="F114" s="33"/>
      <c r="G114" s="33"/>
      <c r="H114" s="33"/>
      <c r="I114" s="33"/>
      <c r="J114" s="33"/>
      <c r="K114" s="33"/>
      <c r="L114" s="33"/>
      <c r="M114" s="33"/>
      <c r="N114" s="33"/>
      <c r="O114" s="33"/>
      <c r="P114" s="33"/>
      <c r="Q114" s="33"/>
      <c r="R114" s="33"/>
      <c r="S114" s="33"/>
      <c r="T114" s="33"/>
      <c r="U114" s="33"/>
      <c r="V114" s="33"/>
      <c r="W114" s="33"/>
      <c r="X114" s="33"/>
      <c r="Y114" s="33"/>
      <c r="Z114" s="33"/>
    </row>
    <row r="115" spans="1:26" ht="13.5" customHeight="1" x14ac:dyDescent="0.35">
      <c r="A115" s="33"/>
      <c r="B115" s="33"/>
      <c r="C115" s="33"/>
      <c r="D115" s="33"/>
      <c r="E115" s="33"/>
      <c r="F115" s="33"/>
      <c r="G115" s="33"/>
      <c r="H115" s="33"/>
      <c r="I115" s="33"/>
      <c r="J115" s="33"/>
      <c r="K115" s="33"/>
      <c r="L115" s="33"/>
      <c r="M115" s="33"/>
      <c r="N115" s="33"/>
      <c r="O115" s="33"/>
      <c r="P115" s="33"/>
      <c r="Q115" s="33"/>
      <c r="R115" s="33"/>
      <c r="S115" s="33"/>
      <c r="T115" s="33"/>
      <c r="U115" s="33"/>
      <c r="V115" s="33"/>
      <c r="W115" s="33"/>
      <c r="X115" s="33"/>
      <c r="Y115" s="33"/>
      <c r="Z115" s="33"/>
    </row>
    <row r="116" spans="1:26" ht="13.5" customHeight="1" x14ac:dyDescent="0.35">
      <c r="A116" s="33"/>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row>
    <row r="117" spans="1:26" ht="13.5" customHeight="1" x14ac:dyDescent="0.35">
      <c r="A117" s="33"/>
      <c r="B117" s="33"/>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row>
    <row r="118" spans="1:26" ht="13.5" customHeight="1" x14ac:dyDescent="0.35">
      <c r="A118" s="33"/>
      <c r="B118" s="33"/>
      <c r="C118" s="33"/>
      <c r="D118" s="33"/>
      <c r="E118" s="33"/>
      <c r="F118" s="33"/>
      <c r="G118" s="33"/>
      <c r="H118" s="33"/>
      <c r="I118" s="33"/>
      <c r="J118" s="33"/>
      <c r="K118" s="33"/>
      <c r="L118" s="33"/>
      <c r="M118" s="33"/>
      <c r="N118" s="33"/>
      <c r="O118" s="33"/>
      <c r="P118" s="33"/>
      <c r="Q118" s="33"/>
      <c r="R118" s="33"/>
      <c r="S118" s="33"/>
      <c r="T118" s="33"/>
      <c r="U118" s="33"/>
      <c r="V118" s="33"/>
      <c r="W118" s="33"/>
      <c r="X118" s="33"/>
      <c r="Y118" s="33"/>
      <c r="Z118" s="33"/>
    </row>
    <row r="119" spans="1:26" ht="13.5" customHeight="1" x14ac:dyDescent="0.35">
      <c r="A119" s="33"/>
      <c r="B119" s="33"/>
      <c r="C119" s="33"/>
      <c r="D119" s="33"/>
      <c r="E119" s="33"/>
      <c r="F119" s="33"/>
      <c r="G119" s="33"/>
      <c r="H119" s="33"/>
      <c r="I119" s="33"/>
      <c r="J119" s="33"/>
      <c r="K119" s="33"/>
      <c r="L119" s="33"/>
      <c r="M119" s="33"/>
      <c r="N119" s="33"/>
      <c r="O119" s="33"/>
      <c r="P119" s="33"/>
      <c r="Q119" s="33"/>
      <c r="R119" s="33"/>
      <c r="S119" s="33"/>
      <c r="T119" s="33"/>
      <c r="U119" s="33"/>
      <c r="V119" s="33"/>
      <c r="W119" s="33"/>
      <c r="X119" s="33"/>
      <c r="Y119" s="33"/>
      <c r="Z119" s="33"/>
    </row>
    <row r="120" spans="1:26" ht="13.5" customHeight="1" x14ac:dyDescent="0.35">
      <c r="A120" s="33"/>
      <c r="B120" s="33"/>
      <c r="C120" s="33"/>
      <c r="D120" s="33"/>
      <c r="E120" s="33"/>
      <c r="F120" s="33"/>
      <c r="G120" s="33"/>
      <c r="H120" s="33"/>
      <c r="I120" s="33"/>
      <c r="J120" s="33"/>
      <c r="K120" s="33"/>
      <c r="L120" s="33"/>
      <c r="M120" s="33"/>
      <c r="N120" s="33"/>
      <c r="O120" s="33"/>
      <c r="P120" s="33"/>
      <c r="Q120" s="33"/>
      <c r="R120" s="33"/>
      <c r="S120" s="33"/>
      <c r="T120" s="33"/>
      <c r="U120" s="33"/>
      <c r="V120" s="33"/>
      <c r="W120" s="33"/>
      <c r="X120" s="33"/>
      <c r="Y120" s="33"/>
      <c r="Z120" s="33"/>
    </row>
    <row r="121" spans="1:26" ht="13.5" customHeight="1" x14ac:dyDescent="0.35">
      <c r="A121" s="33"/>
      <c r="B121" s="33"/>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row>
    <row r="122" spans="1:26" ht="13.5" customHeight="1" x14ac:dyDescent="0.35">
      <c r="A122" s="33"/>
      <c r="B122" s="33"/>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row>
    <row r="123" spans="1:26" ht="13.5" customHeight="1" x14ac:dyDescent="0.35">
      <c r="A123" s="33"/>
      <c r="B123" s="33"/>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row>
    <row r="124" spans="1:26" ht="13.5" customHeight="1" x14ac:dyDescent="0.35">
      <c r="A124" s="33"/>
      <c r="B124" s="33"/>
      <c r="C124" s="33"/>
      <c r="D124" s="33"/>
      <c r="E124" s="33"/>
      <c r="F124" s="33"/>
      <c r="G124" s="33"/>
      <c r="H124" s="33"/>
      <c r="I124" s="33"/>
      <c r="J124" s="33"/>
      <c r="K124" s="33"/>
      <c r="L124" s="33"/>
      <c r="M124" s="33"/>
      <c r="N124" s="33"/>
      <c r="O124" s="33"/>
      <c r="P124" s="33"/>
      <c r="Q124" s="33"/>
      <c r="R124" s="33"/>
      <c r="S124" s="33"/>
      <c r="T124" s="33"/>
      <c r="U124" s="33"/>
      <c r="V124" s="33"/>
      <c r="W124" s="33"/>
      <c r="X124" s="33"/>
      <c r="Y124" s="33"/>
      <c r="Z124" s="33"/>
    </row>
    <row r="125" spans="1:26" ht="13.5" customHeight="1" x14ac:dyDescent="0.35">
      <c r="A125" s="33"/>
      <c r="B125" s="33"/>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row>
    <row r="126" spans="1:26" ht="13.5" customHeight="1" x14ac:dyDescent="0.35">
      <c r="A126" s="33"/>
      <c r="B126" s="33"/>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row>
    <row r="127" spans="1:26" ht="13.5" customHeight="1" x14ac:dyDescent="0.35">
      <c r="A127" s="33"/>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row>
    <row r="128" spans="1:26" ht="13.5" customHeight="1" x14ac:dyDescent="0.35">
      <c r="A128" s="33"/>
      <c r="B128" s="33"/>
      <c r="C128" s="33"/>
      <c r="D128" s="33"/>
      <c r="E128" s="33"/>
      <c r="F128" s="33"/>
      <c r="G128" s="33"/>
      <c r="H128" s="33"/>
      <c r="I128" s="33"/>
      <c r="J128" s="33"/>
      <c r="K128" s="33"/>
      <c r="L128" s="33"/>
      <c r="M128" s="33"/>
      <c r="N128" s="33"/>
      <c r="O128" s="33"/>
      <c r="P128" s="33"/>
      <c r="Q128" s="33"/>
      <c r="R128" s="33"/>
      <c r="S128" s="33"/>
      <c r="T128" s="33"/>
      <c r="U128" s="33"/>
      <c r="V128" s="33"/>
      <c r="W128" s="33"/>
      <c r="X128" s="33"/>
      <c r="Y128" s="33"/>
      <c r="Z128" s="33"/>
    </row>
    <row r="129" spans="1:26" ht="13.5" customHeight="1" x14ac:dyDescent="0.35">
      <c r="A129" s="33"/>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row>
    <row r="130" spans="1:26" ht="13.5" customHeight="1" x14ac:dyDescent="0.35">
      <c r="A130" s="33"/>
      <c r="B130" s="33"/>
      <c r="C130" s="33"/>
      <c r="D130" s="33"/>
      <c r="E130" s="33"/>
      <c r="F130" s="33"/>
      <c r="G130" s="33"/>
      <c r="H130" s="33"/>
      <c r="I130" s="33"/>
      <c r="J130" s="33"/>
      <c r="K130" s="33"/>
      <c r="L130" s="33"/>
      <c r="M130" s="33"/>
      <c r="N130" s="33"/>
      <c r="O130" s="33"/>
      <c r="P130" s="33"/>
      <c r="Q130" s="33"/>
      <c r="R130" s="33"/>
      <c r="S130" s="33"/>
      <c r="T130" s="33"/>
      <c r="U130" s="33"/>
      <c r="V130" s="33"/>
      <c r="W130" s="33"/>
      <c r="X130" s="33"/>
      <c r="Y130" s="33"/>
      <c r="Z130" s="33"/>
    </row>
    <row r="131" spans="1:26" ht="13.5" customHeight="1" x14ac:dyDescent="0.35">
      <c r="A131" s="33"/>
      <c r="B131" s="33"/>
      <c r="C131" s="33"/>
      <c r="D131" s="33"/>
      <c r="E131" s="33"/>
      <c r="F131" s="33"/>
      <c r="G131" s="33"/>
      <c r="H131" s="33"/>
      <c r="I131" s="33"/>
      <c r="J131" s="33"/>
      <c r="K131" s="33"/>
      <c r="L131" s="33"/>
      <c r="M131" s="33"/>
      <c r="N131" s="33"/>
      <c r="O131" s="33"/>
      <c r="P131" s="33"/>
      <c r="Q131" s="33"/>
      <c r="R131" s="33"/>
      <c r="S131" s="33"/>
      <c r="T131" s="33"/>
      <c r="U131" s="33"/>
      <c r="V131" s="33"/>
      <c r="W131" s="33"/>
      <c r="X131" s="33"/>
      <c r="Y131" s="33"/>
      <c r="Z131" s="33"/>
    </row>
    <row r="132" spans="1:26" ht="13.5" customHeight="1" x14ac:dyDescent="0.35">
      <c r="A132" s="33"/>
      <c r="B132" s="33"/>
      <c r="C132" s="33"/>
      <c r="D132" s="33"/>
      <c r="E132" s="33"/>
      <c r="F132" s="33"/>
      <c r="G132" s="33"/>
      <c r="H132" s="33"/>
      <c r="I132" s="33"/>
      <c r="J132" s="33"/>
      <c r="K132" s="33"/>
      <c r="L132" s="33"/>
      <c r="M132" s="33"/>
      <c r="N132" s="33"/>
      <c r="O132" s="33"/>
      <c r="P132" s="33"/>
      <c r="Q132" s="33"/>
      <c r="R132" s="33"/>
      <c r="S132" s="33"/>
      <c r="T132" s="33"/>
      <c r="U132" s="33"/>
      <c r="V132" s="33"/>
      <c r="W132" s="33"/>
      <c r="X132" s="33"/>
      <c r="Y132" s="33"/>
      <c r="Z132" s="33"/>
    </row>
    <row r="133" spans="1:26" ht="13.5" customHeight="1" x14ac:dyDescent="0.35">
      <c r="A133" s="33"/>
      <c r="B133" s="33"/>
      <c r="C133" s="33"/>
      <c r="D133" s="33"/>
      <c r="E133" s="33"/>
      <c r="F133" s="33"/>
      <c r="G133" s="33"/>
      <c r="H133" s="33"/>
      <c r="I133" s="33"/>
      <c r="J133" s="33"/>
      <c r="K133" s="33"/>
      <c r="L133" s="33"/>
      <c r="M133" s="33"/>
      <c r="N133" s="33"/>
      <c r="O133" s="33"/>
      <c r="P133" s="33"/>
      <c r="Q133" s="33"/>
      <c r="R133" s="33"/>
      <c r="S133" s="33"/>
      <c r="T133" s="33"/>
      <c r="U133" s="33"/>
      <c r="V133" s="33"/>
      <c r="W133" s="33"/>
      <c r="X133" s="33"/>
      <c r="Y133" s="33"/>
      <c r="Z133" s="33"/>
    </row>
    <row r="134" spans="1:26" ht="13.5" customHeight="1" x14ac:dyDescent="0.35">
      <c r="A134" s="33"/>
      <c r="B134" s="33"/>
      <c r="C134" s="33"/>
      <c r="D134" s="33"/>
      <c r="E134" s="33"/>
      <c r="F134" s="33"/>
      <c r="G134" s="33"/>
      <c r="H134" s="33"/>
      <c r="I134" s="33"/>
      <c r="J134" s="33"/>
      <c r="K134" s="33"/>
      <c r="L134" s="33"/>
      <c r="M134" s="33"/>
      <c r="N134" s="33"/>
      <c r="O134" s="33"/>
      <c r="P134" s="33"/>
      <c r="Q134" s="33"/>
      <c r="R134" s="33"/>
      <c r="S134" s="33"/>
      <c r="T134" s="33"/>
      <c r="U134" s="33"/>
      <c r="V134" s="33"/>
      <c r="W134" s="33"/>
      <c r="X134" s="33"/>
      <c r="Y134" s="33"/>
      <c r="Z134" s="33"/>
    </row>
    <row r="135" spans="1:26" ht="13.5" customHeight="1" x14ac:dyDescent="0.35">
      <c r="A135" s="33"/>
      <c r="B135" s="33"/>
      <c r="C135" s="33"/>
      <c r="D135" s="33"/>
      <c r="E135" s="33"/>
      <c r="F135" s="33"/>
      <c r="G135" s="33"/>
      <c r="H135" s="33"/>
      <c r="I135" s="33"/>
      <c r="J135" s="33"/>
      <c r="K135" s="33"/>
      <c r="L135" s="33"/>
      <c r="M135" s="33"/>
      <c r="N135" s="33"/>
      <c r="O135" s="33"/>
      <c r="P135" s="33"/>
      <c r="Q135" s="33"/>
      <c r="R135" s="33"/>
      <c r="S135" s="33"/>
      <c r="T135" s="33"/>
      <c r="U135" s="33"/>
      <c r="V135" s="33"/>
      <c r="W135" s="33"/>
      <c r="X135" s="33"/>
      <c r="Y135" s="33"/>
      <c r="Z135" s="33"/>
    </row>
    <row r="136" spans="1:26" ht="13.5" customHeight="1" x14ac:dyDescent="0.35">
      <c r="A136" s="33"/>
      <c r="B136" s="33"/>
      <c r="C136" s="33"/>
      <c r="D136" s="33"/>
      <c r="E136" s="33"/>
      <c r="F136" s="33"/>
      <c r="G136" s="33"/>
      <c r="H136" s="33"/>
      <c r="I136" s="33"/>
      <c r="J136" s="33"/>
      <c r="K136" s="33"/>
      <c r="L136" s="33"/>
      <c r="M136" s="33"/>
      <c r="N136" s="33"/>
      <c r="O136" s="33"/>
      <c r="P136" s="33"/>
      <c r="Q136" s="33"/>
      <c r="R136" s="33"/>
      <c r="S136" s="33"/>
      <c r="T136" s="33"/>
      <c r="U136" s="33"/>
      <c r="V136" s="33"/>
      <c r="W136" s="33"/>
      <c r="X136" s="33"/>
      <c r="Y136" s="33"/>
      <c r="Z136" s="33"/>
    </row>
    <row r="137" spans="1:26" ht="13.5" customHeight="1" x14ac:dyDescent="0.35">
      <c r="A137" s="33"/>
      <c r="B137" s="33"/>
      <c r="C137" s="33"/>
      <c r="D137" s="33"/>
      <c r="E137" s="33"/>
      <c r="F137" s="33"/>
      <c r="G137" s="33"/>
      <c r="H137" s="33"/>
      <c r="I137" s="33"/>
      <c r="J137" s="33"/>
      <c r="K137" s="33"/>
      <c r="L137" s="33"/>
      <c r="M137" s="33"/>
      <c r="N137" s="33"/>
      <c r="O137" s="33"/>
      <c r="P137" s="33"/>
      <c r="Q137" s="33"/>
      <c r="R137" s="33"/>
      <c r="S137" s="33"/>
      <c r="T137" s="33"/>
      <c r="U137" s="33"/>
      <c r="V137" s="33"/>
      <c r="W137" s="33"/>
      <c r="X137" s="33"/>
      <c r="Y137" s="33"/>
      <c r="Z137" s="33"/>
    </row>
    <row r="138" spans="1:26" ht="13.5" customHeight="1" x14ac:dyDescent="0.35">
      <c r="A138" s="33"/>
      <c r="B138" s="33"/>
      <c r="C138" s="33"/>
      <c r="D138" s="33"/>
      <c r="E138" s="33"/>
      <c r="F138" s="33"/>
      <c r="G138" s="33"/>
      <c r="H138" s="33"/>
      <c r="I138" s="33"/>
      <c r="J138" s="33"/>
      <c r="K138" s="33"/>
      <c r="L138" s="33"/>
      <c r="M138" s="33"/>
      <c r="N138" s="33"/>
      <c r="O138" s="33"/>
      <c r="P138" s="33"/>
      <c r="Q138" s="33"/>
      <c r="R138" s="33"/>
      <c r="S138" s="33"/>
      <c r="T138" s="33"/>
      <c r="U138" s="33"/>
      <c r="V138" s="33"/>
      <c r="W138" s="33"/>
      <c r="X138" s="33"/>
      <c r="Y138" s="33"/>
      <c r="Z138" s="33"/>
    </row>
    <row r="139" spans="1:26" ht="13.5" customHeight="1" x14ac:dyDescent="0.35">
      <c r="A139" s="33"/>
      <c r="B139" s="33"/>
      <c r="C139" s="33"/>
      <c r="D139" s="33"/>
      <c r="E139" s="33"/>
      <c r="F139" s="33"/>
      <c r="G139" s="33"/>
      <c r="H139" s="33"/>
      <c r="I139" s="33"/>
      <c r="J139" s="33"/>
      <c r="K139" s="33"/>
      <c r="L139" s="33"/>
      <c r="M139" s="33"/>
      <c r="N139" s="33"/>
      <c r="O139" s="33"/>
      <c r="P139" s="33"/>
      <c r="Q139" s="33"/>
      <c r="R139" s="33"/>
      <c r="S139" s="33"/>
      <c r="T139" s="33"/>
      <c r="U139" s="33"/>
      <c r="V139" s="33"/>
      <c r="W139" s="33"/>
      <c r="X139" s="33"/>
      <c r="Y139" s="33"/>
      <c r="Z139" s="33"/>
    </row>
    <row r="140" spans="1:26" ht="13.5" customHeight="1" x14ac:dyDescent="0.35">
      <c r="A140" s="33"/>
      <c r="B140" s="33"/>
      <c r="C140" s="33"/>
      <c r="D140" s="33"/>
      <c r="E140" s="33"/>
      <c r="F140" s="33"/>
      <c r="G140" s="33"/>
      <c r="H140" s="33"/>
      <c r="I140" s="33"/>
      <c r="J140" s="33"/>
      <c r="K140" s="33"/>
      <c r="L140" s="33"/>
      <c r="M140" s="33"/>
      <c r="N140" s="33"/>
      <c r="O140" s="33"/>
      <c r="P140" s="33"/>
      <c r="Q140" s="33"/>
      <c r="R140" s="33"/>
      <c r="S140" s="33"/>
      <c r="T140" s="33"/>
      <c r="U140" s="33"/>
      <c r="V140" s="33"/>
      <c r="W140" s="33"/>
      <c r="X140" s="33"/>
      <c r="Y140" s="33"/>
      <c r="Z140" s="33"/>
    </row>
    <row r="141" spans="1:26" ht="13.5" customHeight="1" x14ac:dyDescent="0.35">
      <c r="A141" s="33"/>
      <c r="B141" s="33"/>
      <c r="C141" s="33"/>
      <c r="D141" s="33"/>
      <c r="E141" s="33"/>
      <c r="F141" s="33"/>
      <c r="G141" s="33"/>
      <c r="H141" s="33"/>
      <c r="I141" s="33"/>
      <c r="J141" s="33"/>
      <c r="K141" s="33"/>
      <c r="L141" s="33"/>
      <c r="M141" s="33"/>
      <c r="N141" s="33"/>
      <c r="O141" s="33"/>
      <c r="P141" s="33"/>
      <c r="Q141" s="33"/>
      <c r="R141" s="33"/>
      <c r="S141" s="33"/>
      <c r="T141" s="33"/>
      <c r="U141" s="33"/>
      <c r="V141" s="33"/>
      <c r="W141" s="33"/>
      <c r="X141" s="33"/>
      <c r="Y141" s="33"/>
      <c r="Z141" s="33"/>
    </row>
    <row r="142" spans="1:26" ht="13.5" customHeight="1" x14ac:dyDescent="0.35">
      <c r="A142" s="33"/>
      <c r="B142" s="33"/>
      <c r="C142" s="33"/>
      <c r="D142" s="33"/>
      <c r="E142" s="33"/>
      <c r="F142" s="33"/>
      <c r="G142" s="33"/>
      <c r="H142" s="33"/>
      <c r="I142" s="33"/>
      <c r="J142" s="33"/>
      <c r="K142" s="33"/>
      <c r="L142" s="33"/>
      <c r="M142" s="33"/>
      <c r="N142" s="33"/>
      <c r="O142" s="33"/>
      <c r="P142" s="33"/>
      <c r="Q142" s="33"/>
      <c r="R142" s="33"/>
      <c r="S142" s="33"/>
      <c r="T142" s="33"/>
      <c r="U142" s="33"/>
      <c r="V142" s="33"/>
      <c r="W142" s="33"/>
      <c r="X142" s="33"/>
      <c r="Y142" s="33"/>
      <c r="Z142" s="33"/>
    </row>
    <row r="143" spans="1:26" ht="13.5" customHeight="1" x14ac:dyDescent="0.35">
      <c r="A143" s="33"/>
      <c r="B143" s="33"/>
      <c r="C143" s="33"/>
      <c r="D143" s="33"/>
      <c r="E143" s="33"/>
      <c r="F143" s="33"/>
      <c r="G143" s="33"/>
      <c r="H143" s="33"/>
      <c r="I143" s="33"/>
      <c r="J143" s="33"/>
      <c r="K143" s="33"/>
      <c r="L143" s="33"/>
      <c r="M143" s="33"/>
      <c r="N143" s="33"/>
      <c r="O143" s="33"/>
      <c r="P143" s="33"/>
      <c r="Q143" s="33"/>
      <c r="R143" s="33"/>
      <c r="S143" s="33"/>
      <c r="T143" s="33"/>
      <c r="U143" s="33"/>
      <c r="V143" s="33"/>
      <c r="W143" s="33"/>
      <c r="X143" s="33"/>
      <c r="Y143" s="33"/>
      <c r="Z143" s="33"/>
    </row>
    <row r="144" spans="1:26" ht="13.5" customHeight="1" x14ac:dyDescent="0.35">
      <c r="A144" s="33"/>
      <c r="B144" s="33"/>
      <c r="C144" s="33"/>
      <c r="D144" s="33"/>
      <c r="E144" s="33"/>
      <c r="F144" s="33"/>
      <c r="G144" s="33"/>
      <c r="H144" s="33"/>
      <c r="I144" s="33"/>
      <c r="J144" s="33"/>
      <c r="K144" s="33"/>
      <c r="L144" s="33"/>
      <c r="M144" s="33"/>
      <c r="N144" s="33"/>
      <c r="O144" s="33"/>
      <c r="P144" s="33"/>
      <c r="Q144" s="33"/>
      <c r="R144" s="33"/>
      <c r="S144" s="33"/>
      <c r="T144" s="33"/>
      <c r="U144" s="33"/>
      <c r="V144" s="33"/>
      <c r="W144" s="33"/>
      <c r="X144" s="33"/>
      <c r="Y144" s="33"/>
      <c r="Z144" s="33"/>
    </row>
    <row r="145" spans="1:26" ht="13.5" customHeight="1" x14ac:dyDescent="0.35">
      <c r="A145" s="33"/>
      <c r="B145" s="33"/>
      <c r="C145" s="33"/>
      <c r="D145" s="33"/>
      <c r="E145" s="33"/>
      <c r="F145" s="33"/>
      <c r="G145" s="33"/>
      <c r="H145" s="33"/>
      <c r="I145" s="33"/>
      <c r="J145" s="33"/>
      <c r="K145" s="33"/>
      <c r="L145" s="33"/>
      <c r="M145" s="33"/>
      <c r="N145" s="33"/>
      <c r="O145" s="33"/>
      <c r="P145" s="33"/>
      <c r="Q145" s="33"/>
      <c r="R145" s="33"/>
      <c r="S145" s="33"/>
      <c r="T145" s="33"/>
      <c r="U145" s="33"/>
      <c r="V145" s="33"/>
      <c r="W145" s="33"/>
      <c r="X145" s="33"/>
      <c r="Y145" s="33"/>
      <c r="Z145" s="33"/>
    </row>
    <row r="146" spans="1:26" ht="13.5" customHeight="1" x14ac:dyDescent="0.35">
      <c r="A146" s="33"/>
      <c r="B146" s="33"/>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row>
    <row r="147" spans="1:26" ht="13.5" customHeight="1" x14ac:dyDescent="0.35">
      <c r="A147" s="33"/>
      <c r="B147" s="33"/>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row>
    <row r="148" spans="1:26" ht="13.5" customHeight="1" x14ac:dyDescent="0.35">
      <c r="A148" s="33"/>
      <c r="B148" s="33"/>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row>
    <row r="149" spans="1:26" ht="13.5" customHeight="1" x14ac:dyDescent="0.35">
      <c r="A149" s="33"/>
      <c r="B149" s="33"/>
      <c r="C149" s="33"/>
      <c r="D149" s="33"/>
      <c r="E149" s="33"/>
      <c r="F149" s="33"/>
      <c r="G149" s="33"/>
      <c r="H149" s="33"/>
      <c r="I149" s="33"/>
      <c r="J149" s="33"/>
      <c r="K149" s="33"/>
      <c r="L149" s="33"/>
      <c r="M149" s="33"/>
      <c r="N149" s="33"/>
      <c r="O149" s="33"/>
      <c r="P149" s="33"/>
      <c r="Q149" s="33"/>
      <c r="R149" s="33"/>
      <c r="S149" s="33"/>
      <c r="T149" s="33"/>
      <c r="U149" s="33"/>
      <c r="V149" s="33"/>
      <c r="W149" s="33"/>
      <c r="X149" s="33"/>
      <c r="Y149" s="33"/>
      <c r="Z149" s="33"/>
    </row>
    <row r="150" spans="1:26" ht="13.5" customHeight="1" x14ac:dyDescent="0.35">
      <c r="A150" s="33"/>
      <c r="B150" s="33"/>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row>
    <row r="151" spans="1:26" ht="13.5" customHeight="1" x14ac:dyDescent="0.35">
      <c r="A151" s="33"/>
      <c r="B151" s="33"/>
      <c r="C151" s="33"/>
      <c r="D151" s="33"/>
      <c r="E151" s="33"/>
      <c r="F151" s="33"/>
      <c r="G151" s="33"/>
      <c r="H151" s="33"/>
      <c r="I151" s="33"/>
      <c r="J151" s="33"/>
      <c r="K151" s="33"/>
      <c r="L151" s="33"/>
      <c r="M151" s="33"/>
      <c r="N151" s="33"/>
      <c r="O151" s="33"/>
      <c r="P151" s="33"/>
      <c r="Q151" s="33"/>
      <c r="R151" s="33"/>
      <c r="S151" s="33"/>
      <c r="T151" s="33"/>
      <c r="U151" s="33"/>
      <c r="V151" s="33"/>
      <c r="W151" s="33"/>
      <c r="X151" s="33"/>
      <c r="Y151" s="33"/>
      <c r="Z151" s="33"/>
    </row>
    <row r="152" spans="1:26" ht="13.5" customHeight="1" x14ac:dyDescent="0.35">
      <c r="A152" s="33"/>
      <c r="B152" s="33"/>
      <c r="C152" s="33"/>
      <c r="D152" s="33"/>
      <c r="E152" s="33"/>
      <c r="F152" s="33"/>
      <c r="G152" s="33"/>
      <c r="H152" s="33"/>
      <c r="I152" s="33"/>
      <c r="J152" s="33"/>
      <c r="K152" s="33"/>
      <c r="L152" s="33"/>
      <c r="M152" s="33"/>
      <c r="N152" s="33"/>
      <c r="O152" s="33"/>
      <c r="P152" s="33"/>
      <c r="Q152" s="33"/>
      <c r="R152" s="33"/>
      <c r="S152" s="33"/>
      <c r="T152" s="33"/>
      <c r="U152" s="33"/>
      <c r="V152" s="33"/>
      <c r="W152" s="33"/>
      <c r="X152" s="33"/>
      <c r="Y152" s="33"/>
      <c r="Z152" s="33"/>
    </row>
    <row r="153" spans="1:26" ht="13.5" customHeight="1" x14ac:dyDescent="0.35">
      <c r="A153" s="33"/>
      <c r="B153" s="33"/>
      <c r="C153" s="33"/>
      <c r="D153" s="33"/>
      <c r="E153" s="33"/>
      <c r="F153" s="33"/>
      <c r="G153" s="33"/>
      <c r="H153" s="33"/>
      <c r="I153" s="33"/>
      <c r="J153" s="33"/>
      <c r="K153" s="33"/>
      <c r="L153" s="33"/>
      <c r="M153" s="33"/>
      <c r="N153" s="33"/>
      <c r="O153" s="33"/>
      <c r="P153" s="33"/>
      <c r="Q153" s="33"/>
      <c r="R153" s="33"/>
      <c r="S153" s="33"/>
      <c r="T153" s="33"/>
      <c r="U153" s="33"/>
      <c r="V153" s="33"/>
      <c r="W153" s="33"/>
      <c r="X153" s="33"/>
      <c r="Y153" s="33"/>
      <c r="Z153" s="33"/>
    </row>
    <row r="154" spans="1:26" ht="13.5" customHeight="1" x14ac:dyDescent="0.35">
      <c r="A154" s="33"/>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row>
    <row r="155" spans="1:26" ht="13.5" customHeight="1" x14ac:dyDescent="0.35">
      <c r="A155" s="33"/>
      <c r="B155" s="33"/>
      <c r="C155" s="33"/>
      <c r="D155" s="33"/>
      <c r="E155" s="33"/>
      <c r="F155" s="33"/>
      <c r="G155" s="33"/>
      <c r="H155" s="33"/>
      <c r="I155" s="33"/>
      <c r="J155" s="33"/>
      <c r="K155" s="33"/>
      <c r="L155" s="33"/>
      <c r="M155" s="33"/>
      <c r="N155" s="33"/>
      <c r="O155" s="33"/>
      <c r="P155" s="33"/>
      <c r="Q155" s="33"/>
      <c r="R155" s="33"/>
      <c r="S155" s="33"/>
      <c r="T155" s="33"/>
      <c r="U155" s="33"/>
      <c r="V155" s="33"/>
      <c r="W155" s="33"/>
      <c r="X155" s="33"/>
      <c r="Y155" s="33"/>
      <c r="Z155" s="33"/>
    </row>
    <row r="156" spans="1:26" ht="13.5" customHeight="1" x14ac:dyDescent="0.35">
      <c r="A156" s="33"/>
      <c r="B156" s="33"/>
      <c r="C156" s="33"/>
      <c r="D156" s="33"/>
      <c r="E156" s="33"/>
      <c r="F156" s="33"/>
      <c r="G156" s="33"/>
      <c r="H156" s="33"/>
      <c r="I156" s="33"/>
      <c r="J156" s="33"/>
      <c r="K156" s="33"/>
      <c r="L156" s="33"/>
      <c r="M156" s="33"/>
      <c r="N156" s="33"/>
      <c r="O156" s="33"/>
      <c r="P156" s="33"/>
      <c r="Q156" s="33"/>
      <c r="R156" s="33"/>
      <c r="S156" s="33"/>
      <c r="T156" s="33"/>
      <c r="U156" s="33"/>
      <c r="V156" s="33"/>
      <c r="W156" s="33"/>
      <c r="X156" s="33"/>
      <c r="Y156" s="33"/>
      <c r="Z156" s="33"/>
    </row>
    <row r="157" spans="1:26" ht="13.5" customHeight="1" x14ac:dyDescent="0.35">
      <c r="A157" s="33"/>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row>
    <row r="158" spans="1:26" ht="13.5" customHeight="1" x14ac:dyDescent="0.35">
      <c r="A158" s="33"/>
      <c r="B158" s="33"/>
      <c r="C158" s="33"/>
      <c r="D158" s="33"/>
      <c r="E158" s="33"/>
      <c r="F158" s="33"/>
      <c r="G158" s="33"/>
      <c r="H158" s="33"/>
      <c r="I158" s="33"/>
      <c r="J158" s="33"/>
      <c r="K158" s="33"/>
      <c r="L158" s="33"/>
      <c r="M158" s="33"/>
      <c r="N158" s="33"/>
      <c r="O158" s="33"/>
      <c r="P158" s="33"/>
      <c r="Q158" s="33"/>
      <c r="R158" s="33"/>
      <c r="S158" s="33"/>
      <c r="T158" s="33"/>
      <c r="U158" s="33"/>
      <c r="V158" s="33"/>
      <c r="W158" s="33"/>
      <c r="X158" s="33"/>
      <c r="Y158" s="33"/>
      <c r="Z158" s="33"/>
    </row>
    <row r="159" spans="1:26" ht="13.5" customHeight="1" x14ac:dyDescent="0.35">
      <c r="A159" s="33"/>
      <c r="B159" s="33"/>
      <c r="C159" s="33"/>
      <c r="D159" s="33"/>
      <c r="E159" s="33"/>
      <c r="F159" s="33"/>
      <c r="G159" s="33"/>
      <c r="H159" s="33"/>
      <c r="I159" s="33"/>
      <c r="J159" s="33"/>
      <c r="K159" s="33"/>
      <c r="L159" s="33"/>
      <c r="M159" s="33"/>
      <c r="N159" s="33"/>
      <c r="O159" s="33"/>
      <c r="P159" s="33"/>
      <c r="Q159" s="33"/>
      <c r="R159" s="33"/>
      <c r="S159" s="33"/>
      <c r="T159" s="33"/>
      <c r="U159" s="33"/>
      <c r="V159" s="33"/>
      <c r="W159" s="33"/>
      <c r="X159" s="33"/>
      <c r="Y159" s="33"/>
      <c r="Z159" s="33"/>
    </row>
    <row r="160" spans="1:26" ht="13.5" customHeight="1" x14ac:dyDescent="0.35">
      <c r="A160" s="33"/>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row>
    <row r="161" spans="1:26" ht="13.5" customHeight="1" x14ac:dyDescent="0.35">
      <c r="A161" s="33"/>
      <c r="B161" s="33"/>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row>
    <row r="162" spans="1:26" ht="13.5" customHeight="1" x14ac:dyDescent="0.35">
      <c r="A162" s="33"/>
      <c r="B162" s="33"/>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row>
    <row r="163" spans="1:26" ht="13.5" customHeight="1" x14ac:dyDescent="0.35">
      <c r="A163" s="33"/>
      <c r="B163" s="33"/>
      <c r="C163" s="33"/>
      <c r="D163" s="33"/>
      <c r="E163" s="33"/>
      <c r="F163" s="33"/>
      <c r="G163" s="33"/>
      <c r="H163" s="33"/>
      <c r="I163" s="33"/>
      <c r="J163" s="33"/>
      <c r="K163" s="33"/>
      <c r="L163" s="33"/>
      <c r="M163" s="33"/>
      <c r="N163" s="33"/>
      <c r="O163" s="33"/>
      <c r="P163" s="33"/>
      <c r="Q163" s="33"/>
      <c r="R163" s="33"/>
      <c r="S163" s="33"/>
      <c r="T163" s="33"/>
      <c r="U163" s="33"/>
      <c r="V163" s="33"/>
      <c r="W163" s="33"/>
      <c r="X163" s="33"/>
      <c r="Y163" s="33"/>
      <c r="Z163" s="33"/>
    </row>
    <row r="164" spans="1:26" ht="13.5" customHeight="1" x14ac:dyDescent="0.35">
      <c r="A164" s="33"/>
      <c r="B164" s="33"/>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row>
    <row r="165" spans="1:26" ht="13.5" customHeight="1" x14ac:dyDescent="0.35">
      <c r="A165" s="33"/>
      <c r="B165" s="33"/>
      <c r="C165" s="33"/>
      <c r="D165" s="33"/>
      <c r="E165" s="33"/>
      <c r="F165" s="33"/>
      <c r="G165" s="33"/>
      <c r="H165" s="33"/>
      <c r="I165" s="33"/>
      <c r="J165" s="33"/>
      <c r="K165" s="33"/>
      <c r="L165" s="33"/>
      <c r="M165" s="33"/>
      <c r="N165" s="33"/>
      <c r="O165" s="33"/>
      <c r="P165" s="33"/>
      <c r="Q165" s="33"/>
      <c r="R165" s="33"/>
      <c r="S165" s="33"/>
      <c r="T165" s="33"/>
      <c r="U165" s="33"/>
      <c r="V165" s="33"/>
      <c r="W165" s="33"/>
      <c r="X165" s="33"/>
      <c r="Y165" s="33"/>
      <c r="Z165" s="33"/>
    </row>
    <row r="166" spans="1:26" ht="13.5" customHeight="1" x14ac:dyDescent="0.35">
      <c r="A166" s="33"/>
      <c r="B166" s="33"/>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row>
    <row r="167" spans="1:26" ht="13.5" customHeight="1" x14ac:dyDescent="0.35">
      <c r="A167" s="33"/>
      <c r="B167" s="33"/>
      <c r="C167" s="33"/>
      <c r="D167" s="33"/>
      <c r="E167" s="33"/>
      <c r="F167" s="33"/>
      <c r="G167" s="33"/>
      <c r="H167" s="33"/>
      <c r="I167" s="33"/>
      <c r="J167" s="33"/>
      <c r="K167" s="33"/>
      <c r="L167" s="33"/>
      <c r="M167" s="33"/>
      <c r="N167" s="33"/>
      <c r="O167" s="33"/>
      <c r="P167" s="33"/>
      <c r="Q167" s="33"/>
      <c r="R167" s="33"/>
      <c r="S167" s="33"/>
      <c r="T167" s="33"/>
      <c r="U167" s="33"/>
      <c r="V167" s="33"/>
      <c r="W167" s="33"/>
      <c r="X167" s="33"/>
      <c r="Y167" s="33"/>
      <c r="Z167" s="33"/>
    </row>
    <row r="168" spans="1:26" ht="13.5" customHeight="1" x14ac:dyDescent="0.35">
      <c r="A168" s="33"/>
      <c r="B168" s="33"/>
      <c r="C168" s="33"/>
      <c r="D168" s="33"/>
      <c r="E168" s="33"/>
      <c r="F168" s="33"/>
      <c r="G168" s="33"/>
      <c r="H168" s="33"/>
      <c r="I168" s="33"/>
      <c r="J168" s="33"/>
      <c r="K168" s="33"/>
      <c r="L168" s="33"/>
      <c r="M168" s="33"/>
      <c r="N168" s="33"/>
      <c r="O168" s="33"/>
      <c r="P168" s="33"/>
      <c r="Q168" s="33"/>
      <c r="R168" s="33"/>
      <c r="S168" s="33"/>
      <c r="T168" s="33"/>
      <c r="U168" s="33"/>
      <c r="V168" s="33"/>
      <c r="W168" s="33"/>
      <c r="X168" s="33"/>
      <c r="Y168" s="33"/>
      <c r="Z168" s="33"/>
    </row>
    <row r="169" spans="1:26" ht="13.5" customHeight="1" x14ac:dyDescent="0.35">
      <c r="A169" s="33"/>
      <c r="B169" s="33"/>
      <c r="C169" s="33"/>
      <c r="D169" s="33"/>
      <c r="E169" s="33"/>
      <c r="F169" s="33"/>
      <c r="G169" s="33"/>
      <c r="H169" s="33"/>
      <c r="I169" s="33"/>
      <c r="J169" s="33"/>
      <c r="K169" s="33"/>
      <c r="L169" s="33"/>
      <c r="M169" s="33"/>
      <c r="N169" s="33"/>
      <c r="O169" s="33"/>
      <c r="P169" s="33"/>
      <c r="Q169" s="33"/>
      <c r="R169" s="33"/>
      <c r="S169" s="33"/>
      <c r="T169" s="33"/>
      <c r="U169" s="33"/>
      <c r="V169" s="33"/>
      <c r="W169" s="33"/>
      <c r="X169" s="33"/>
      <c r="Y169" s="33"/>
      <c r="Z169" s="33"/>
    </row>
    <row r="170" spans="1:26" ht="13.5" customHeight="1" x14ac:dyDescent="0.35">
      <c r="A170" s="33"/>
      <c r="B170" s="33"/>
      <c r="C170" s="33"/>
      <c r="D170" s="33"/>
      <c r="E170" s="33"/>
      <c r="F170" s="33"/>
      <c r="G170" s="33"/>
      <c r="H170" s="33"/>
      <c r="I170" s="33"/>
      <c r="J170" s="33"/>
      <c r="K170" s="33"/>
      <c r="L170" s="33"/>
      <c r="M170" s="33"/>
      <c r="N170" s="33"/>
      <c r="O170" s="33"/>
      <c r="P170" s="33"/>
      <c r="Q170" s="33"/>
      <c r="R170" s="33"/>
      <c r="S170" s="33"/>
      <c r="T170" s="33"/>
      <c r="U170" s="33"/>
      <c r="V170" s="33"/>
      <c r="W170" s="33"/>
      <c r="X170" s="33"/>
      <c r="Y170" s="33"/>
      <c r="Z170" s="33"/>
    </row>
    <row r="171" spans="1:26" ht="13.5" customHeight="1" x14ac:dyDescent="0.35">
      <c r="A171" s="33"/>
      <c r="B171" s="33"/>
      <c r="C171" s="33"/>
      <c r="D171" s="33"/>
      <c r="E171" s="33"/>
      <c r="F171" s="33"/>
      <c r="G171" s="33"/>
      <c r="H171" s="33"/>
      <c r="I171" s="33"/>
      <c r="J171" s="33"/>
      <c r="K171" s="33"/>
      <c r="L171" s="33"/>
      <c r="M171" s="33"/>
      <c r="N171" s="33"/>
      <c r="O171" s="33"/>
      <c r="P171" s="33"/>
      <c r="Q171" s="33"/>
      <c r="R171" s="33"/>
      <c r="S171" s="33"/>
      <c r="T171" s="33"/>
      <c r="U171" s="33"/>
      <c r="V171" s="33"/>
      <c r="W171" s="33"/>
      <c r="X171" s="33"/>
      <c r="Y171" s="33"/>
      <c r="Z171" s="33"/>
    </row>
    <row r="172" spans="1:26" ht="13.5" customHeight="1" x14ac:dyDescent="0.35">
      <c r="A172" s="33"/>
      <c r="B172" s="33"/>
      <c r="C172" s="33"/>
      <c r="D172" s="33"/>
      <c r="E172" s="33"/>
      <c r="F172" s="33"/>
      <c r="G172" s="33"/>
      <c r="H172" s="33"/>
      <c r="I172" s="33"/>
      <c r="J172" s="33"/>
      <c r="K172" s="33"/>
      <c r="L172" s="33"/>
      <c r="M172" s="33"/>
      <c r="N172" s="33"/>
      <c r="O172" s="33"/>
      <c r="P172" s="33"/>
      <c r="Q172" s="33"/>
      <c r="R172" s="33"/>
      <c r="S172" s="33"/>
      <c r="T172" s="33"/>
      <c r="U172" s="33"/>
      <c r="V172" s="33"/>
      <c r="W172" s="33"/>
      <c r="X172" s="33"/>
      <c r="Y172" s="33"/>
      <c r="Z172" s="33"/>
    </row>
    <row r="173" spans="1:26" ht="13.5" customHeight="1" x14ac:dyDescent="0.35">
      <c r="A173" s="33"/>
      <c r="B173" s="33"/>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row>
    <row r="174" spans="1:26" ht="13.5" customHeight="1" x14ac:dyDescent="0.35">
      <c r="A174" s="33"/>
      <c r="B174" s="33"/>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row>
    <row r="175" spans="1:26" ht="13.5" customHeight="1" x14ac:dyDescent="0.35">
      <c r="A175" s="33"/>
      <c r="B175" s="33"/>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row>
    <row r="176" spans="1:26" ht="13.5" customHeight="1" x14ac:dyDescent="0.35">
      <c r="A176" s="33"/>
      <c r="B176" s="33"/>
      <c r="C176" s="33"/>
      <c r="D176" s="33"/>
      <c r="E176" s="33"/>
      <c r="F176" s="33"/>
      <c r="G176" s="33"/>
      <c r="H176" s="33"/>
      <c r="I176" s="33"/>
      <c r="J176" s="33"/>
      <c r="K176" s="33"/>
      <c r="L176" s="33"/>
      <c r="M176" s="33"/>
      <c r="N176" s="33"/>
      <c r="O176" s="33"/>
      <c r="P176" s="33"/>
      <c r="Q176" s="33"/>
      <c r="R176" s="33"/>
      <c r="S176" s="33"/>
      <c r="T176" s="33"/>
      <c r="U176" s="33"/>
      <c r="V176" s="33"/>
      <c r="W176" s="33"/>
      <c r="X176" s="33"/>
      <c r="Y176" s="33"/>
      <c r="Z176" s="33"/>
    </row>
    <row r="177" spans="1:26" ht="13.5" customHeight="1" x14ac:dyDescent="0.35">
      <c r="A177" s="33"/>
      <c r="B177" s="33"/>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row>
    <row r="178" spans="1:26" ht="13.5" customHeight="1" x14ac:dyDescent="0.35">
      <c r="A178" s="33"/>
      <c r="B178" s="33"/>
      <c r="C178" s="33"/>
      <c r="D178" s="33"/>
      <c r="E178" s="33"/>
      <c r="F178" s="33"/>
      <c r="G178" s="33"/>
      <c r="H178" s="33"/>
      <c r="I178" s="33"/>
      <c r="J178" s="33"/>
      <c r="K178" s="33"/>
      <c r="L178" s="33"/>
      <c r="M178" s="33"/>
      <c r="N178" s="33"/>
      <c r="O178" s="33"/>
      <c r="P178" s="33"/>
      <c r="Q178" s="33"/>
      <c r="R178" s="33"/>
      <c r="S178" s="33"/>
      <c r="T178" s="33"/>
      <c r="U178" s="33"/>
      <c r="V178" s="33"/>
      <c r="W178" s="33"/>
      <c r="X178" s="33"/>
      <c r="Y178" s="33"/>
      <c r="Z178" s="33"/>
    </row>
    <row r="179" spans="1:26" ht="13.5" customHeight="1" x14ac:dyDescent="0.35">
      <c r="A179" s="33"/>
      <c r="B179" s="33"/>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row>
    <row r="180" spans="1:26" ht="13.5" customHeight="1" x14ac:dyDescent="0.35">
      <c r="A180" s="33"/>
      <c r="B180" s="33"/>
      <c r="C180" s="33"/>
      <c r="D180" s="33"/>
      <c r="E180" s="33"/>
      <c r="F180" s="33"/>
      <c r="G180" s="33"/>
      <c r="H180" s="33"/>
      <c r="I180" s="33"/>
      <c r="J180" s="33"/>
      <c r="K180" s="33"/>
      <c r="L180" s="33"/>
      <c r="M180" s="33"/>
      <c r="N180" s="33"/>
      <c r="O180" s="33"/>
      <c r="P180" s="33"/>
      <c r="Q180" s="33"/>
      <c r="R180" s="33"/>
      <c r="S180" s="33"/>
      <c r="T180" s="33"/>
      <c r="U180" s="33"/>
      <c r="V180" s="33"/>
      <c r="W180" s="33"/>
      <c r="X180" s="33"/>
      <c r="Y180" s="33"/>
      <c r="Z180" s="33"/>
    </row>
    <row r="181" spans="1:26" ht="13.5" customHeight="1" x14ac:dyDescent="0.35">
      <c r="A181" s="33"/>
      <c r="B181" s="33"/>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row>
    <row r="182" spans="1:26" ht="13.5" customHeight="1" x14ac:dyDescent="0.35">
      <c r="A182" s="33"/>
      <c r="B182" s="33"/>
      <c r="C182" s="33"/>
      <c r="D182" s="33"/>
      <c r="E182" s="33"/>
      <c r="F182" s="33"/>
      <c r="G182" s="33"/>
      <c r="H182" s="33"/>
      <c r="I182" s="33"/>
      <c r="J182" s="33"/>
      <c r="K182" s="33"/>
      <c r="L182" s="33"/>
      <c r="M182" s="33"/>
      <c r="N182" s="33"/>
      <c r="O182" s="33"/>
      <c r="P182" s="33"/>
      <c r="Q182" s="33"/>
      <c r="R182" s="33"/>
      <c r="S182" s="33"/>
      <c r="T182" s="33"/>
      <c r="U182" s="33"/>
      <c r="V182" s="33"/>
      <c r="W182" s="33"/>
      <c r="X182" s="33"/>
      <c r="Y182" s="33"/>
      <c r="Z182" s="33"/>
    </row>
    <row r="183" spans="1:26" ht="13.5" customHeight="1" x14ac:dyDescent="0.35">
      <c r="A183" s="33"/>
      <c r="B183" s="33"/>
      <c r="C183" s="33"/>
      <c r="D183" s="33"/>
      <c r="E183" s="33"/>
      <c r="F183" s="33"/>
      <c r="G183" s="33"/>
      <c r="H183" s="33"/>
      <c r="I183" s="33"/>
      <c r="J183" s="33"/>
      <c r="K183" s="33"/>
      <c r="L183" s="33"/>
      <c r="M183" s="33"/>
      <c r="N183" s="33"/>
      <c r="O183" s="33"/>
      <c r="P183" s="33"/>
      <c r="Q183" s="33"/>
      <c r="R183" s="33"/>
      <c r="S183" s="33"/>
      <c r="T183" s="33"/>
      <c r="U183" s="33"/>
      <c r="V183" s="33"/>
      <c r="W183" s="33"/>
      <c r="X183" s="33"/>
      <c r="Y183" s="33"/>
      <c r="Z183" s="33"/>
    </row>
    <row r="184" spans="1:26" ht="13.5" customHeight="1" x14ac:dyDescent="0.35">
      <c r="A184" s="33"/>
      <c r="B184" s="33"/>
      <c r="C184" s="33"/>
      <c r="D184" s="33"/>
      <c r="E184" s="33"/>
      <c r="F184" s="33"/>
      <c r="G184" s="33"/>
      <c r="H184" s="33"/>
      <c r="I184" s="33"/>
      <c r="J184" s="33"/>
      <c r="K184" s="33"/>
      <c r="L184" s="33"/>
      <c r="M184" s="33"/>
      <c r="N184" s="33"/>
      <c r="O184" s="33"/>
      <c r="P184" s="33"/>
      <c r="Q184" s="33"/>
      <c r="R184" s="33"/>
      <c r="S184" s="33"/>
      <c r="T184" s="33"/>
      <c r="U184" s="33"/>
      <c r="V184" s="33"/>
      <c r="W184" s="33"/>
      <c r="X184" s="33"/>
      <c r="Y184" s="33"/>
      <c r="Z184" s="33"/>
    </row>
    <row r="185" spans="1:26" ht="13.5" customHeight="1" x14ac:dyDescent="0.35">
      <c r="A185" s="33"/>
      <c r="B185" s="33"/>
      <c r="C185" s="33"/>
      <c r="D185" s="33"/>
      <c r="E185" s="33"/>
      <c r="F185" s="33"/>
      <c r="G185" s="33"/>
      <c r="H185" s="33"/>
      <c r="I185" s="33"/>
      <c r="J185" s="33"/>
      <c r="K185" s="33"/>
      <c r="L185" s="33"/>
      <c r="M185" s="33"/>
      <c r="N185" s="33"/>
      <c r="O185" s="33"/>
      <c r="P185" s="33"/>
      <c r="Q185" s="33"/>
      <c r="R185" s="33"/>
      <c r="S185" s="33"/>
      <c r="T185" s="33"/>
      <c r="U185" s="33"/>
      <c r="V185" s="33"/>
      <c r="W185" s="33"/>
      <c r="X185" s="33"/>
      <c r="Y185" s="33"/>
      <c r="Z185" s="33"/>
    </row>
    <row r="186" spans="1:26" ht="13.5" customHeight="1" x14ac:dyDescent="0.35">
      <c r="A186" s="33"/>
      <c r="B186" s="33"/>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row>
    <row r="187" spans="1:26" ht="13.5" customHeight="1" x14ac:dyDescent="0.35">
      <c r="A187" s="33"/>
      <c r="B187" s="33"/>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row>
    <row r="188" spans="1:26" ht="13.5" customHeight="1" x14ac:dyDescent="0.35">
      <c r="A188" s="33"/>
      <c r="B188" s="33"/>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row>
    <row r="189" spans="1:26" ht="13.5" customHeight="1" x14ac:dyDescent="0.35">
      <c r="A189" s="33"/>
      <c r="B189" s="33"/>
      <c r="C189" s="33"/>
      <c r="D189" s="33"/>
      <c r="E189" s="33"/>
      <c r="F189" s="33"/>
      <c r="G189" s="33"/>
      <c r="H189" s="33"/>
      <c r="I189" s="33"/>
      <c r="J189" s="33"/>
      <c r="K189" s="33"/>
      <c r="L189" s="33"/>
      <c r="M189" s="33"/>
      <c r="N189" s="33"/>
      <c r="O189" s="33"/>
      <c r="P189" s="33"/>
      <c r="Q189" s="33"/>
      <c r="R189" s="33"/>
      <c r="S189" s="33"/>
      <c r="T189" s="33"/>
      <c r="U189" s="33"/>
      <c r="V189" s="33"/>
      <c r="W189" s="33"/>
      <c r="X189" s="33"/>
      <c r="Y189" s="33"/>
      <c r="Z189" s="33"/>
    </row>
    <row r="190" spans="1:26" ht="13.5" customHeight="1" x14ac:dyDescent="0.35">
      <c r="A190" s="33"/>
      <c r="B190" s="33"/>
      <c r="C190" s="33"/>
      <c r="D190" s="33"/>
      <c r="E190" s="33"/>
      <c r="F190" s="33"/>
      <c r="G190" s="33"/>
      <c r="H190" s="33"/>
      <c r="I190" s="33"/>
      <c r="J190" s="33"/>
      <c r="K190" s="33"/>
      <c r="L190" s="33"/>
      <c r="M190" s="33"/>
      <c r="N190" s="33"/>
      <c r="O190" s="33"/>
      <c r="P190" s="33"/>
      <c r="Q190" s="33"/>
      <c r="R190" s="33"/>
      <c r="S190" s="33"/>
      <c r="T190" s="33"/>
      <c r="U190" s="33"/>
      <c r="V190" s="33"/>
      <c r="W190" s="33"/>
      <c r="X190" s="33"/>
      <c r="Y190" s="33"/>
      <c r="Z190" s="33"/>
    </row>
    <row r="191" spans="1:26" ht="13.5" customHeight="1" x14ac:dyDescent="0.35">
      <c r="A191" s="33"/>
      <c r="B191" s="33"/>
      <c r="C191" s="33"/>
      <c r="D191" s="33"/>
      <c r="E191" s="33"/>
      <c r="F191" s="33"/>
      <c r="G191" s="33"/>
      <c r="H191" s="33"/>
      <c r="I191" s="33"/>
      <c r="J191" s="33"/>
      <c r="K191" s="33"/>
      <c r="L191" s="33"/>
      <c r="M191" s="33"/>
      <c r="N191" s="33"/>
      <c r="O191" s="33"/>
      <c r="P191" s="33"/>
      <c r="Q191" s="33"/>
      <c r="R191" s="33"/>
      <c r="S191" s="33"/>
      <c r="T191" s="33"/>
      <c r="U191" s="33"/>
      <c r="V191" s="33"/>
      <c r="W191" s="33"/>
      <c r="X191" s="33"/>
      <c r="Y191" s="33"/>
      <c r="Z191" s="33"/>
    </row>
    <row r="192" spans="1:26" ht="13.5" customHeight="1" x14ac:dyDescent="0.35">
      <c r="A192" s="33"/>
      <c r="B192" s="33"/>
      <c r="C192" s="33"/>
      <c r="D192" s="33"/>
      <c r="E192" s="33"/>
      <c r="F192" s="33"/>
      <c r="G192" s="33"/>
      <c r="H192" s="33"/>
      <c r="I192" s="33"/>
      <c r="J192" s="33"/>
      <c r="K192" s="33"/>
      <c r="L192" s="33"/>
      <c r="M192" s="33"/>
      <c r="N192" s="33"/>
      <c r="O192" s="33"/>
      <c r="P192" s="33"/>
      <c r="Q192" s="33"/>
      <c r="R192" s="33"/>
      <c r="S192" s="33"/>
      <c r="T192" s="33"/>
      <c r="U192" s="33"/>
      <c r="V192" s="33"/>
      <c r="W192" s="33"/>
      <c r="X192" s="33"/>
      <c r="Y192" s="33"/>
      <c r="Z192" s="33"/>
    </row>
    <row r="193" spans="1:26" ht="13.5" customHeight="1" x14ac:dyDescent="0.35">
      <c r="A193" s="33"/>
      <c r="B193" s="33"/>
      <c r="C193" s="33"/>
      <c r="D193" s="33"/>
      <c r="E193" s="33"/>
      <c r="F193" s="33"/>
      <c r="G193" s="33"/>
      <c r="H193" s="33"/>
      <c r="I193" s="33"/>
      <c r="J193" s="33"/>
      <c r="K193" s="33"/>
      <c r="L193" s="33"/>
      <c r="M193" s="33"/>
      <c r="N193" s="33"/>
      <c r="O193" s="33"/>
      <c r="P193" s="33"/>
      <c r="Q193" s="33"/>
      <c r="R193" s="33"/>
      <c r="S193" s="33"/>
      <c r="T193" s="33"/>
      <c r="U193" s="33"/>
      <c r="V193" s="33"/>
      <c r="W193" s="33"/>
      <c r="X193" s="33"/>
      <c r="Y193" s="33"/>
      <c r="Z193" s="33"/>
    </row>
    <row r="194" spans="1:26" ht="13.5" customHeight="1" x14ac:dyDescent="0.35">
      <c r="A194" s="33"/>
      <c r="B194" s="33"/>
      <c r="C194" s="33"/>
      <c r="D194" s="33"/>
      <c r="E194" s="33"/>
      <c r="F194" s="33"/>
      <c r="G194" s="33"/>
      <c r="H194" s="33"/>
      <c r="I194" s="33"/>
      <c r="J194" s="33"/>
      <c r="K194" s="33"/>
      <c r="L194" s="33"/>
      <c r="M194" s="33"/>
      <c r="N194" s="33"/>
      <c r="O194" s="33"/>
      <c r="P194" s="33"/>
      <c r="Q194" s="33"/>
      <c r="R194" s="33"/>
      <c r="S194" s="33"/>
      <c r="T194" s="33"/>
      <c r="U194" s="33"/>
      <c r="V194" s="33"/>
      <c r="W194" s="33"/>
      <c r="X194" s="33"/>
      <c r="Y194" s="33"/>
      <c r="Z194" s="33"/>
    </row>
    <row r="195" spans="1:26" ht="13.5" customHeight="1" x14ac:dyDescent="0.35">
      <c r="A195" s="33"/>
      <c r="B195" s="33"/>
      <c r="C195" s="33"/>
      <c r="D195" s="33"/>
      <c r="E195" s="33"/>
      <c r="F195" s="33"/>
      <c r="G195" s="33"/>
      <c r="H195" s="33"/>
      <c r="I195" s="33"/>
      <c r="J195" s="33"/>
      <c r="K195" s="33"/>
      <c r="L195" s="33"/>
      <c r="M195" s="33"/>
      <c r="N195" s="33"/>
      <c r="O195" s="33"/>
      <c r="P195" s="33"/>
      <c r="Q195" s="33"/>
      <c r="R195" s="33"/>
      <c r="S195" s="33"/>
      <c r="T195" s="33"/>
      <c r="U195" s="33"/>
      <c r="V195" s="33"/>
      <c r="W195" s="33"/>
      <c r="X195" s="33"/>
      <c r="Y195" s="33"/>
      <c r="Z195" s="33"/>
    </row>
    <row r="196" spans="1:26" ht="13.5" customHeight="1" x14ac:dyDescent="0.35">
      <c r="A196" s="33"/>
      <c r="B196" s="33"/>
      <c r="C196" s="33"/>
      <c r="D196" s="33"/>
      <c r="E196" s="33"/>
      <c r="F196" s="33"/>
      <c r="G196" s="33"/>
      <c r="H196" s="33"/>
      <c r="I196" s="33"/>
      <c r="J196" s="33"/>
      <c r="K196" s="33"/>
      <c r="L196" s="33"/>
      <c r="M196" s="33"/>
      <c r="N196" s="33"/>
      <c r="O196" s="33"/>
      <c r="P196" s="33"/>
      <c r="Q196" s="33"/>
      <c r="R196" s="33"/>
      <c r="S196" s="33"/>
      <c r="T196" s="33"/>
      <c r="U196" s="33"/>
      <c r="V196" s="33"/>
      <c r="W196" s="33"/>
      <c r="X196" s="33"/>
      <c r="Y196" s="33"/>
      <c r="Z196" s="33"/>
    </row>
    <row r="197" spans="1:26" ht="13.5" customHeight="1" x14ac:dyDescent="0.35">
      <c r="A197" s="33"/>
      <c r="B197" s="33"/>
      <c r="C197" s="33"/>
      <c r="D197" s="33"/>
      <c r="E197" s="33"/>
      <c r="F197" s="33"/>
      <c r="G197" s="33"/>
      <c r="H197" s="33"/>
      <c r="I197" s="33"/>
      <c r="J197" s="33"/>
      <c r="K197" s="33"/>
      <c r="L197" s="33"/>
      <c r="M197" s="33"/>
      <c r="N197" s="33"/>
      <c r="O197" s="33"/>
      <c r="P197" s="33"/>
      <c r="Q197" s="33"/>
      <c r="R197" s="33"/>
      <c r="S197" s="33"/>
      <c r="T197" s="33"/>
      <c r="U197" s="33"/>
      <c r="V197" s="33"/>
      <c r="W197" s="33"/>
      <c r="X197" s="33"/>
      <c r="Y197" s="33"/>
      <c r="Z197" s="33"/>
    </row>
    <row r="198" spans="1:26" ht="13.5" customHeight="1" x14ac:dyDescent="0.35">
      <c r="A198" s="33"/>
      <c r="B198" s="33"/>
      <c r="C198" s="33"/>
      <c r="D198" s="33"/>
      <c r="E198" s="33"/>
      <c r="F198" s="33"/>
      <c r="G198" s="33"/>
      <c r="H198" s="33"/>
      <c r="I198" s="33"/>
      <c r="J198" s="33"/>
      <c r="K198" s="33"/>
      <c r="L198" s="33"/>
      <c r="M198" s="33"/>
      <c r="N198" s="33"/>
      <c r="O198" s="33"/>
      <c r="P198" s="33"/>
      <c r="Q198" s="33"/>
      <c r="R198" s="33"/>
      <c r="S198" s="33"/>
      <c r="T198" s="33"/>
      <c r="U198" s="33"/>
      <c r="V198" s="33"/>
      <c r="W198" s="33"/>
      <c r="X198" s="33"/>
      <c r="Y198" s="33"/>
      <c r="Z198" s="33"/>
    </row>
    <row r="199" spans="1:26" ht="13.5" customHeight="1" x14ac:dyDescent="0.35">
      <c r="A199" s="33"/>
      <c r="B199" s="33"/>
      <c r="C199" s="33"/>
      <c r="D199" s="33"/>
      <c r="E199" s="33"/>
      <c r="F199" s="33"/>
      <c r="G199" s="33"/>
      <c r="H199" s="33"/>
      <c r="I199" s="33"/>
      <c r="J199" s="33"/>
      <c r="K199" s="33"/>
      <c r="L199" s="33"/>
      <c r="M199" s="33"/>
      <c r="N199" s="33"/>
      <c r="O199" s="33"/>
      <c r="P199" s="33"/>
      <c r="Q199" s="33"/>
      <c r="R199" s="33"/>
      <c r="S199" s="33"/>
      <c r="T199" s="33"/>
      <c r="U199" s="33"/>
      <c r="V199" s="33"/>
      <c r="W199" s="33"/>
      <c r="X199" s="33"/>
      <c r="Y199" s="33"/>
      <c r="Z199" s="33"/>
    </row>
    <row r="200" spans="1:26" ht="13.5" customHeight="1" x14ac:dyDescent="0.35">
      <c r="A200" s="33"/>
      <c r="B200" s="33"/>
      <c r="C200" s="33"/>
      <c r="D200" s="33"/>
      <c r="E200" s="33"/>
      <c r="F200" s="33"/>
      <c r="G200" s="33"/>
      <c r="H200" s="33"/>
      <c r="I200" s="33"/>
      <c r="J200" s="33"/>
      <c r="K200" s="33"/>
      <c r="L200" s="33"/>
      <c r="M200" s="33"/>
      <c r="N200" s="33"/>
      <c r="O200" s="33"/>
      <c r="P200" s="33"/>
      <c r="Q200" s="33"/>
      <c r="R200" s="33"/>
      <c r="S200" s="33"/>
      <c r="T200" s="33"/>
      <c r="U200" s="33"/>
      <c r="V200" s="33"/>
      <c r="W200" s="33"/>
      <c r="X200" s="33"/>
      <c r="Y200" s="33"/>
      <c r="Z200" s="33"/>
    </row>
    <row r="201" spans="1:26" ht="13.5" customHeight="1" x14ac:dyDescent="0.35">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row>
    <row r="202" spans="1:26" ht="13.5" customHeight="1" x14ac:dyDescent="0.35">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row>
    <row r="203" spans="1:26" ht="13.5" customHeight="1" x14ac:dyDescent="0.35">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row>
    <row r="204" spans="1:26" ht="13.5" customHeight="1" x14ac:dyDescent="0.35">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row>
    <row r="205" spans="1:26" ht="13.5" customHeight="1" x14ac:dyDescent="0.35">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row>
    <row r="206" spans="1:26" ht="13.5" customHeight="1" x14ac:dyDescent="0.35">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row>
    <row r="207" spans="1:26" ht="13.5" customHeight="1" x14ac:dyDescent="0.35">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row>
    <row r="208" spans="1:26" ht="13.5" customHeight="1" x14ac:dyDescent="0.35">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row>
    <row r="209" spans="1:26" ht="13.5" customHeight="1" x14ac:dyDescent="0.35">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row>
    <row r="210" spans="1:26" ht="13.5" customHeight="1" x14ac:dyDescent="0.35">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row>
    <row r="211" spans="1:26" ht="13.5" customHeight="1" x14ac:dyDescent="0.35">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row>
    <row r="212" spans="1:26" ht="13.5" customHeight="1" x14ac:dyDescent="0.35">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row>
    <row r="213" spans="1:26" ht="13.5" customHeight="1" x14ac:dyDescent="0.35">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row>
    <row r="214" spans="1:26" ht="13.5" customHeight="1" x14ac:dyDescent="0.35">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row>
    <row r="215" spans="1:26" ht="13.5" customHeight="1" x14ac:dyDescent="0.35">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row>
    <row r="216" spans="1:26" ht="13.5" customHeight="1" x14ac:dyDescent="0.35">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row>
    <row r="217" spans="1:26" ht="13.5" customHeight="1" x14ac:dyDescent="0.35">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row>
    <row r="218" spans="1:26" ht="13.5" customHeight="1" x14ac:dyDescent="0.35">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row>
    <row r="219" spans="1:26" ht="13.5" customHeight="1" x14ac:dyDescent="0.35">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row>
    <row r="220" spans="1:26" ht="13.5" customHeight="1" x14ac:dyDescent="0.35">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row>
    <row r="221" spans="1:26" ht="13.5" customHeight="1" x14ac:dyDescent="0.35">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row>
    <row r="222" spans="1:26" ht="13.5" customHeight="1" x14ac:dyDescent="0.35">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row>
    <row r="223" spans="1:26" ht="13.5" customHeight="1" x14ac:dyDescent="0.35">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row>
    <row r="224" spans="1:26" ht="13.5" customHeight="1" x14ac:dyDescent="0.35">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row>
    <row r="225" spans="1:26" ht="13.5" customHeight="1" x14ac:dyDescent="0.35">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row>
    <row r="226" spans="1:26" ht="13.5" customHeight="1" x14ac:dyDescent="0.35">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row>
    <row r="227" spans="1:26" ht="13.5" customHeight="1" x14ac:dyDescent="0.35">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row>
    <row r="228" spans="1:26" ht="13.5" customHeight="1" x14ac:dyDescent="0.35">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row>
    <row r="229" spans="1:26" ht="13.5" customHeight="1" x14ac:dyDescent="0.35">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row>
    <row r="230" spans="1:26" ht="13.5" customHeight="1" x14ac:dyDescent="0.35">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row>
    <row r="231" spans="1:26" ht="13.5" customHeight="1" x14ac:dyDescent="0.35">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row>
    <row r="232" spans="1:26" ht="13.5" customHeight="1" x14ac:dyDescent="0.35">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row>
    <row r="233" spans="1:26" ht="13.5" customHeight="1" x14ac:dyDescent="0.35">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row>
    <row r="234" spans="1:26" ht="13.5" customHeight="1" x14ac:dyDescent="0.35">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row>
    <row r="235" spans="1:26" ht="13.5" customHeight="1" x14ac:dyDescent="0.35">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row>
    <row r="236" spans="1:26" ht="13.5" customHeight="1" x14ac:dyDescent="0.35">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row>
    <row r="237" spans="1:26" ht="13.5" customHeight="1" x14ac:dyDescent="0.35">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row>
    <row r="238" spans="1:26" ht="13.5" customHeight="1" x14ac:dyDescent="0.35">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row>
    <row r="239" spans="1:26" ht="13.5" customHeight="1" x14ac:dyDescent="0.35">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row>
    <row r="240" spans="1:26" ht="13.5" customHeight="1" x14ac:dyDescent="0.35">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row>
    <row r="241" spans="1:26" ht="13.5" customHeight="1" x14ac:dyDescent="0.35">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row>
    <row r="242" spans="1:26" ht="13.5" customHeight="1" x14ac:dyDescent="0.35">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row>
    <row r="243" spans="1:26" ht="13.5" customHeight="1" x14ac:dyDescent="0.35">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row>
    <row r="244" spans="1:26" ht="13.5" customHeight="1" x14ac:dyDescent="0.35">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row>
    <row r="245" spans="1:26" ht="13.5" customHeight="1" x14ac:dyDescent="0.35">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row>
    <row r="246" spans="1:26" ht="13.5" customHeight="1" x14ac:dyDescent="0.35">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row>
    <row r="247" spans="1:26" ht="13.5" customHeight="1" x14ac:dyDescent="0.35">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row>
    <row r="248" spans="1:26" ht="13.5" customHeight="1" x14ac:dyDescent="0.35">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row>
    <row r="249" spans="1:26" ht="13.5" customHeight="1" x14ac:dyDescent="0.35">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row>
    <row r="250" spans="1:26" ht="13.5" customHeight="1" x14ac:dyDescent="0.35">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row>
    <row r="251" spans="1:26" ht="13.5" customHeight="1" x14ac:dyDescent="0.35">
      <c r="A251" s="33"/>
      <c r="B251" s="33"/>
      <c r="C251" s="33"/>
      <c r="D251" s="33"/>
      <c r="E251" s="33"/>
      <c r="F251" s="33"/>
      <c r="G251" s="33"/>
      <c r="H251" s="33"/>
      <c r="I251" s="33"/>
      <c r="J251" s="33"/>
      <c r="K251" s="33"/>
      <c r="L251" s="33"/>
      <c r="M251" s="33"/>
      <c r="N251" s="33"/>
      <c r="O251" s="33"/>
      <c r="P251" s="33"/>
      <c r="Q251" s="33"/>
      <c r="R251" s="33"/>
      <c r="S251" s="33"/>
      <c r="T251" s="33"/>
      <c r="U251" s="33"/>
      <c r="V251" s="33"/>
      <c r="W251" s="33"/>
      <c r="X251" s="33"/>
      <c r="Y251" s="33"/>
      <c r="Z251" s="33"/>
    </row>
    <row r="252" spans="1:26" ht="13.5" customHeight="1" x14ac:dyDescent="0.35">
      <c r="A252" s="33"/>
      <c r="B252" s="33"/>
      <c r="C252" s="33"/>
      <c r="D252" s="33"/>
      <c r="E252" s="33"/>
      <c r="F252" s="33"/>
      <c r="G252" s="33"/>
      <c r="H252" s="33"/>
      <c r="I252" s="33"/>
      <c r="J252" s="33"/>
      <c r="K252" s="33"/>
      <c r="L252" s="33"/>
      <c r="M252" s="33"/>
      <c r="N252" s="33"/>
      <c r="O252" s="33"/>
      <c r="P252" s="33"/>
      <c r="Q252" s="33"/>
      <c r="R252" s="33"/>
      <c r="S252" s="33"/>
      <c r="T252" s="33"/>
      <c r="U252" s="33"/>
      <c r="V252" s="33"/>
      <c r="W252" s="33"/>
      <c r="X252" s="33"/>
      <c r="Y252" s="33"/>
      <c r="Z252" s="33"/>
    </row>
    <row r="253" spans="1:26" ht="13.5" customHeight="1" x14ac:dyDescent="0.35">
      <c r="A253" s="33"/>
      <c r="B253" s="33"/>
      <c r="C253" s="33"/>
      <c r="D253" s="33"/>
      <c r="E253" s="33"/>
      <c r="F253" s="33"/>
      <c r="G253" s="33"/>
      <c r="H253" s="33"/>
      <c r="I253" s="33"/>
      <c r="J253" s="33"/>
      <c r="K253" s="33"/>
      <c r="L253" s="33"/>
      <c r="M253" s="33"/>
      <c r="N253" s="33"/>
      <c r="O253" s="33"/>
      <c r="P253" s="33"/>
      <c r="Q253" s="33"/>
      <c r="R253" s="33"/>
      <c r="S253" s="33"/>
      <c r="T253" s="33"/>
      <c r="U253" s="33"/>
      <c r="V253" s="33"/>
      <c r="W253" s="33"/>
      <c r="X253" s="33"/>
      <c r="Y253" s="33"/>
      <c r="Z253" s="33"/>
    </row>
    <row r="254" spans="1:26" ht="13.5" customHeight="1" x14ac:dyDescent="0.35">
      <c r="A254" s="33"/>
      <c r="B254" s="33"/>
      <c r="C254" s="33"/>
      <c r="D254" s="33"/>
      <c r="E254" s="33"/>
      <c r="F254" s="33"/>
      <c r="G254" s="33"/>
      <c r="H254" s="33"/>
      <c r="I254" s="33"/>
      <c r="J254" s="33"/>
      <c r="K254" s="33"/>
      <c r="L254" s="33"/>
      <c r="M254" s="33"/>
      <c r="N254" s="33"/>
      <c r="O254" s="33"/>
      <c r="P254" s="33"/>
      <c r="Q254" s="33"/>
      <c r="R254" s="33"/>
      <c r="S254" s="33"/>
      <c r="T254" s="33"/>
      <c r="U254" s="33"/>
      <c r="V254" s="33"/>
      <c r="W254" s="33"/>
      <c r="X254" s="33"/>
      <c r="Y254" s="33"/>
      <c r="Z254" s="33"/>
    </row>
    <row r="255" spans="1:26" ht="13.5" customHeight="1" x14ac:dyDescent="0.35">
      <c r="A255" s="33"/>
      <c r="B255" s="33"/>
      <c r="C255" s="33"/>
      <c r="D255" s="33"/>
      <c r="E255" s="33"/>
      <c r="F255" s="33"/>
      <c r="G255" s="33"/>
      <c r="H255" s="33"/>
      <c r="I255" s="33"/>
      <c r="J255" s="33"/>
      <c r="K255" s="33"/>
      <c r="L255" s="33"/>
      <c r="M255" s="33"/>
      <c r="N255" s="33"/>
      <c r="O255" s="33"/>
      <c r="P255" s="33"/>
      <c r="Q255" s="33"/>
      <c r="R255" s="33"/>
      <c r="S255" s="33"/>
      <c r="T255" s="33"/>
      <c r="U255" s="33"/>
      <c r="V255" s="33"/>
      <c r="W255" s="33"/>
      <c r="X255" s="33"/>
      <c r="Y255" s="33"/>
      <c r="Z255" s="33"/>
    </row>
    <row r="256" spans="1:26" ht="13.5" customHeight="1" x14ac:dyDescent="0.35">
      <c r="A256" s="33"/>
      <c r="B256" s="33"/>
      <c r="C256" s="33"/>
      <c r="D256" s="33"/>
      <c r="E256" s="33"/>
      <c r="F256" s="33"/>
      <c r="G256" s="33"/>
      <c r="H256" s="33"/>
      <c r="I256" s="33"/>
      <c r="J256" s="33"/>
      <c r="K256" s="33"/>
      <c r="L256" s="33"/>
      <c r="M256" s="33"/>
      <c r="N256" s="33"/>
      <c r="O256" s="33"/>
      <c r="P256" s="33"/>
      <c r="Q256" s="33"/>
      <c r="R256" s="33"/>
      <c r="S256" s="33"/>
      <c r="T256" s="33"/>
      <c r="U256" s="33"/>
      <c r="V256" s="33"/>
      <c r="W256" s="33"/>
      <c r="X256" s="33"/>
      <c r="Y256" s="33"/>
      <c r="Z256" s="33"/>
    </row>
    <row r="257" spans="1:26" ht="13.5" customHeight="1" x14ac:dyDescent="0.35">
      <c r="A257" s="33"/>
      <c r="B257" s="33"/>
      <c r="C257" s="33"/>
      <c r="D257" s="33"/>
      <c r="E257" s="33"/>
      <c r="F257" s="33"/>
      <c r="G257" s="33"/>
      <c r="H257" s="33"/>
      <c r="I257" s="33"/>
      <c r="J257" s="33"/>
      <c r="K257" s="33"/>
      <c r="L257" s="33"/>
      <c r="M257" s="33"/>
      <c r="N257" s="33"/>
      <c r="O257" s="33"/>
      <c r="P257" s="33"/>
      <c r="Q257" s="33"/>
      <c r="R257" s="33"/>
      <c r="S257" s="33"/>
      <c r="T257" s="33"/>
      <c r="U257" s="33"/>
      <c r="V257" s="33"/>
      <c r="W257" s="33"/>
      <c r="X257" s="33"/>
      <c r="Y257" s="33"/>
      <c r="Z257" s="33"/>
    </row>
    <row r="258" spans="1:26" ht="13.5" customHeight="1" x14ac:dyDescent="0.35">
      <c r="A258" s="33"/>
      <c r="B258" s="33"/>
      <c r="C258" s="33"/>
      <c r="D258" s="33"/>
      <c r="E258" s="33"/>
      <c r="F258" s="33"/>
      <c r="G258" s="33"/>
      <c r="H258" s="33"/>
      <c r="I258" s="33"/>
      <c r="J258" s="33"/>
      <c r="K258" s="33"/>
      <c r="L258" s="33"/>
      <c r="M258" s="33"/>
      <c r="N258" s="33"/>
      <c r="O258" s="33"/>
      <c r="P258" s="33"/>
      <c r="Q258" s="33"/>
      <c r="R258" s="33"/>
      <c r="S258" s="33"/>
      <c r="T258" s="33"/>
      <c r="U258" s="33"/>
      <c r="V258" s="33"/>
      <c r="W258" s="33"/>
      <c r="X258" s="33"/>
      <c r="Y258" s="33"/>
      <c r="Z258" s="33"/>
    </row>
    <row r="259" spans="1:26" ht="13.5" customHeight="1" x14ac:dyDescent="0.35">
      <c r="A259" s="33"/>
      <c r="B259" s="33"/>
      <c r="C259" s="33"/>
      <c r="D259" s="33"/>
      <c r="E259" s="33"/>
      <c r="F259" s="33"/>
      <c r="G259" s="33"/>
      <c r="H259" s="33"/>
      <c r="I259" s="33"/>
      <c r="J259" s="33"/>
      <c r="K259" s="33"/>
      <c r="L259" s="33"/>
      <c r="M259" s="33"/>
      <c r="N259" s="33"/>
      <c r="O259" s="33"/>
      <c r="P259" s="33"/>
      <c r="Q259" s="33"/>
      <c r="R259" s="33"/>
      <c r="S259" s="33"/>
      <c r="T259" s="33"/>
      <c r="U259" s="33"/>
      <c r="V259" s="33"/>
      <c r="W259" s="33"/>
      <c r="X259" s="33"/>
      <c r="Y259" s="33"/>
      <c r="Z259" s="33"/>
    </row>
    <row r="260" spans="1:26" ht="13.5" customHeight="1" x14ac:dyDescent="0.35">
      <c r="A260" s="33"/>
      <c r="B260" s="33"/>
      <c r="C260" s="33"/>
      <c r="D260" s="33"/>
      <c r="E260" s="33"/>
      <c r="F260" s="33"/>
      <c r="G260" s="33"/>
      <c r="H260" s="33"/>
      <c r="I260" s="33"/>
      <c r="J260" s="33"/>
      <c r="K260" s="33"/>
      <c r="L260" s="33"/>
      <c r="M260" s="33"/>
      <c r="N260" s="33"/>
      <c r="O260" s="33"/>
      <c r="P260" s="33"/>
      <c r="Q260" s="33"/>
      <c r="R260" s="33"/>
      <c r="S260" s="33"/>
      <c r="T260" s="33"/>
      <c r="U260" s="33"/>
      <c r="V260" s="33"/>
      <c r="W260" s="33"/>
      <c r="X260" s="33"/>
      <c r="Y260" s="33"/>
      <c r="Z260" s="33"/>
    </row>
    <row r="261" spans="1:26" ht="13.5" customHeight="1" x14ac:dyDescent="0.35">
      <c r="A261" s="33"/>
      <c r="B261" s="33"/>
      <c r="C261" s="33"/>
      <c r="D261" s="33"/>
      <c r="E261" s="33"/>
      <c r="F261" s="33"/>
      <c r="G261" s="33"/>
      <c r="H261" s="33"/>
      <c r="I261" s="33"/>
      <c r="J261" s="33"/>
      <c r="K261" s="33"/>
      <c r="L261" s="33"/>
      <c r="M261" s="33"/>
      <c r="N261" s="33"/>
      <c r="O261" s="33"/>
      <c r="P261" s="33"/>
      <c r="Q261" s="33"/>
      <c r="R261" s="33"/>
      <c r="S261" s="33"/>
      <c r="T261" s="33"/>
      <c r="U261" s="33"/>
      <c r="V261" s="33"/>
      <c r="W261" s="33"/>
      <c r="X261" s="33"/>
      <c r="Y261" s="33"/>
      <c r="Z261" s="33"/>
    </row>
    <row r="262" spans="1:26" ht="13.5" customHeight="1" x14ac:dyDescent="0.35">
      <c r="A262" s="33"/>
      <c r="B262" s="33"/>
      <c r="C262" s="33"/>
      <c r="D262" s="33"/>
      <c r="E262" s="33"/>
      <c r="F262" s="33"/>
      <c r="G262" s="33"/>
      <c r="H262" s="33"/>
      <c r="I262" s="33"/>
      <c r="J262" s="33"/>
      <c r="K262" s="33"/>
      <c r="L262" s="33"/>
      <c r="M262" s="33"/>
      <c r="N262" s="33"/>
      <c r="O262" s="33"/>
      <c r="P262" s="33"/>
      <c r="Q262" s="33"/>
      <c r="R262" s="33"/>
      <c r="S262" s="33"/>
      <c r="T262" s="33"/>
      <c r="U262" s="33"/>
      <c r="V262" s="33"/>
      <c r="W262" s="33"/>
      <c r="X262" s="33"/>
      <c r="Y262" s="33"/>
      <c r="Z262" s="33"/>
    </row>
    <row r="263" spans="1:26" ht="13.5" customHeight="1" x14ac:dyDescent="0.35">
      <c r="A263" s="33"/>
      <c r="B263" s="33"/>
      <c r="C263" s="33"/>
      <c r="D263" s="33"/>
      <c r="E263" s="33"/>
      <c r="F263" s="33"/>
      <c r="G263" s="33"/>
      <c r="H263" s="33"/>
      <c r="I263" s="33"/>
      <c r="J263" s="33"/>
      <c r="K263" s="33"/>
      <c r="L263" s="33"/>
      <c r="M263" s="33"/>
      <c r="N263" s="33"/>
      <c r="O263" s="33"/>
      <c r="P263" s="33"/>
      <c r="Q263" s="33"/>
      <c r="R263" s="33"/>
      <c r="S263" s="33"/>
      <c r="T263" s="33"/>
      <c r="U263" s="33"/>
      <c r="V263" s="33"/>
      <c r="W263" s="33"/>
      <c r="X263" s="33"/>
      <c r="Y263" s="33"/>
      <c r="Z263" s="33"/>
    </row>
    <row r="264" spans="1:26" ht="13.5" customHeight="1" x14ac:dyDescent="0.35">
      <c r="A264" s="33"/>
      <c r="B264" s="33"/>
      <c r="C264" s="33"/>
      <c r="D264" s="33"/>
      <c r="E264" s="33"/>
      <c r="F264" s="33"/>
      <c r="G264" s="33"/>
      <c r="H264" s="33"/>
      <c r="I264" s="33"/>
      <c r="J264" s="33"/>
      <c r="K264" s="33"/>
      <c r="L264" s="33"/>
      <c r="M264" s="33"/>
      <c r="N264" s="33"/>
      <c r="O264" s="33"/>
      <c r="P264" s="33"/>
      <c r="Q264" s="33"/>
      <c r="R264" s="33"/>
      <c r="S264" s="33"/>
      <c r="T264" s="33"/>
      <c r="U264" s="33"/>
      <c r="V264" s="33"/>
      <c r="W264" s="33"/>
      <c r="X264" s="33"/>
      <c r="Y264" s="33"/>
      <c r="Z264" s="33"/>
    </row>
    <row r="265" spans="1:26" ht="13.5" customHeight="1" x14ac:dyDescent="0.35">
      <c r="A265" s="33"/>
      <c r="B265" s="33"/>
      <c r="C265" s="33"/>
      <c r="D265" s="33"/>
      <c r="E265" s="33"/>
      <c r="F265" s="33"/>
      <c r="G265" s="33"/>
      <c r="H265" s="33"/>
      <c r="I265" s="33"/>
      <c r="J265" s="33"/>
      <c r="K265" s="33"/>
      <c r="L265" s="33"/>
      <c r="M265" s="33"/>
      <c r="N265" s="33"/>
      <c r="O265" s="33"/>
      <c r="P265" s="33"/>
      <c r="Q265" s="33"/>
      <c r="R265" s="33"/>
      <c r="S265" s="33"/>
      <c r="T265" s="33"/>
      <c r="U265" s="33"/>
      <c r="V265" s="33"/>
      <c r="W265" s="33"/>
      <c r="X265" s="33"/>
      <c r="Y265" s="33"/>
      <c r="Z265" s="33"/>
    </row>
    <row r="266" spans="1:26" ht="13.5" customHeight="1" x14ac:dyDescent="0.35">
      <c r="A266" s="33"/>
      <c r="B266" s="33"/>
      <c r="C266" s="33"/>
      <c r="D266" s="33"/>
      <c r="E266" s="33"/>
      <c r="F266" s="33"/>
      <c r="G266" s="33"/>
      <c r="H266" s="33"/>
      <c r="I266" s="33"/>
      <c r="J266" s="33"/>
      <c r="K266" s="33"/>
      <c r="L266" s="33"/>
      <c r="M266" s="33"/>
      <c r="N266" s="33"/>
      <c r="O266" s="33"/>
      <c r="P266" s="33"/>
      <c r="Q266" s="33"/>
      <c r="R266" s="33"/>
      <c r="S266" s="33"/>
      <c r="T266" s="33"/>
      <c r="U266" s="33"/>
      <c r="V266" s="33"/>
      <c r="W266" s="33"/>
      <c r="X266" s="33"/>
      <c r="Y266" s="33"/>
      <c r="Z266" s="33"/>
    </row>
    <row r="267" spans="1:26" ht="13.5" customHeight="1" x14ac:dyDescent="0.35">
      <c r="A267" s="33"/>
      <c r="B267" s="33"/>
      <c r="C267" s="33"/>
      <c r="D267" s="33"/>
      <c r="E267" s="33"/>
      <c r="F267" s="33"/>
      <c r="G267" s="33"/>
      <c r="H267" s="33"/>
      <c r="I267" s="33"/>
      <c r="J267" s="33"/>
      <c r="K267" s="33"/>
      <c r="L267" s="33"/>
      <c r="M267" s="33"/>
      <c r="N267" s="33"/>
      <c r="O267" s="33"/>
      <c r="P267" s="33"/>
      <c r="Q267" s="33"/>
      <c r="R267" s="33"/>
      <c r="S267" s="33"/>
      <c r="T267" s="33"/>
      <c r="U267" s="33"/>
      <c r="V267" s="33"/>
      <c r="W267" s="33"/>
      <c r="X267" s="33"/>
      <c r="Y267" s="33"/>
      <c r="Z267" s="33"/>
    </row>
    <row r="268" spans="1:26" ht="13.5" customHeight="1" x14ac:dyDescent="0.35">
      <c r="A268" s="33"/>
      <c r="B268" s="33"/>
      <c r="C268" s="33"/>
      <c r="D268" s="33"/>
      <c r="E268" s="33"/>
      <c r="F268" s="33"/>
      <c r="G268" s="33"/>
      <c r="H268" s="33"/>
      <c r="I268" s="33"/>
      <c r="J268" s="33"/>
      <c r="K268" s="33"/>
      <c r="L268" s="33"/>
      <c r="M268" s="33"/>
      <c r="N268" s="33"/>
      <c r="O268" s="33"/>
      <c r="P268" s="33"/>
      <c r="Q268" s="33"/>
      <c r="R268" s="33"/>
      <c r="S268" s="33"/>
      <c r="T268" s="33"/>
      <c r="U268" s="33"/>
      <c r="V268" s="33"/>
      <c r="W268" s="33"/>
      <c r="X268" s="33"/>
      <c r="Y268" s="33"/>
      <c r="Z268" s="33"/>
    </row>
    <row r="269" spans="1:26" ht="13.5" customHeight="1" x14ac:dyDescent="0.35">
      <c r="A269" s="33"/>
      <c r="B269" s="33"/>
      <c r="C269" s="33"/>
      <c r="D269" s="33"/>
      <c r="E269" s="33"/>
      <c r="F269" s="33"/>
      <c r="G269" s="33"/>
      <c r="H269" s="33"/>
      <c r="I269" s="33"/>
      <c r="J269" s="33"/>
      <c r="K269" s="33"/>
      <c r="L269" s="33"/>
      <c r="M269" s="33"/>
      <c r="N269" s="33"/>
      <c r="O269" s="33"/>
      <c r="P269" s="33"/>
      <c r="Q269" s="33"/>
      <c r="R269" s="33"/>
      <c r="S269" s="33"/>
      <c r="T269" s="33"/>
      <c r="U269" s="33"/>
      <c r="V269" s="33"/>
      <c r="W269" s="33"/>
      <c r="X269" s="33"/>
      <c r="Y269" s="33"/>
      <c r="Z269" s="33"/>
    </row>
    <row r="270" spans="1:26" ht="13.5" customHeight="1" x14ac:dyDescent="0.35">
      <c r="A270" s="33"/>
      <c r="B270" s="33"/>
      <c r="C270" s="33"/>
      <c r="D270" s="33"/>
      <c r="E270" s="33"/>
      <c r="F270" s="33"/>
      <c r="G270" s="33"/>
      <c r="H270" s="33"/>
      <c r="I270" s="33"/>
      <c r="J270" s="33"/>
      <c r="K270" s="33"/>
      <c r="L270" s="33"/>
      <c r="M270" s="33"/>
      <c r="N270" s="33"/>
      <c r="O270" s="33"/>
      <c r="P270" s="33"/>
      <c r="Q270" s="33"/>
      <c r="R270" s="33"/>
      <c r="S270" s="33"/>
      <c r="T270" s="33"/>
      <c r="U270" s="33"/>
      <c r="V270" s="33"/>
      <c r="W270" s="33"/>
      <c r="X270" s="33"/>
      <c r="Y270" s="33"/>
      <c r="Z270" s="33"/>
    </row>
    <row r="271" spans="1:26" ht="13.5" customHeight="1" x14ac:dyDescent="0.35">
      <c r="A271" s="33"/>
      <c r="B271" s="33"/>
      <c r="C271" s="33"/>
      <c r="D271" s="33"/>
      <c r="E271" s="33"/>
      <c r="F271" s="33"/>
      <c r="G271" s="33"/>
      <c r="H271" s="33"/>
      <c r="I271" s="33"/>
      <c r="J271" s="33"/>
      <c r="K271" s="33"/>
      <c r="L271" s="33"/>
      <c r="M271" s="33"/>
      <c r="N271" s="33"/>
      <c r="O271" s="33"/>
      <c r="P271" s="33"/>
      <c r="Q271" s="33"/>
      <c r="R271" s="33"/>
      <c r="S271" s="33"/>
      <c r="T271" s="33"/>
      <c r="U271" s="33"/>
      <c r="V271" s="33"/>
      <c r="W271" s="33"/>
      <c r="X271" s="33"/>
      <c r="Y271" s="33"/>
      <c r="Z271" s="33"/>
    </row>
    <row r="272" spans="1:26" ht="13.5" customHeight="1" x14ac:dyDescent="0.35">
      <c r="A272" s="33"/>
      <c r="B272" s="33"/>
      <c r="C272" s="33"/>
      <c r="D272" s="33"/>
      <c r="E272" s="33"/>
      <c r="F272" s="33"/>
      <c r="G272" s="33"/>
      <c r="H272" s="33"/>
      <c r="I272" s="33"/>
      <c r="J272" s="33"/>
      <c r="K272" s="33"/>
      <c r="L272" s="33"/>
      <c r="M272" s="33"/>
      <c r="N272" s="33"/>
      <c r="O272" s="33"/>
      <c r="P272" s="33"/>
      <c r="Q272" s="33"/>
      <c r="R272" s="33"/>
      <c r="S272" s="33"/>
      <c r="T272" s="33"/>
      <c r="U272" s="33"/>
      <c r="V272" s="33"/>
      <c r="W272" s="33"/>
      <c r="X272" s="33"/>
      <c r="Y272" s="33"/>
      <c r="Z272" s="33"/>
    </row>
    <row r="273" spans="1:26" ht="13.5" customHeight="1" x14ac:dyDescent="0.35">
      <c r="A273" s="33"/>
      <c r="B273" s="33"/>
      <c r="C273" s="33"/>
      <c r="D273" s="33"/>
      <c r="E273" s="33"/>
      <c r="F273" s="33"/>
      <c r="G273" s="33"/>
      <c r="H273" s="33"/>
      <c r="I273" s="33"/>
      <c r="J273" s="33"/>
      <c r="K273" s="33"/>
      <c r="L273" s="33"/>
      <c r="M273" s="33"/>
      <c r="N273" s="33"/>
      <c r="O273" s="33"/>
      <c r="P273" s="33"/>
      <c r="Q273" s="33"/>
      <c r="R273" s="33"/>
      <c r="S273" s="33"/>
      <c r="T273" s="33"/>
      <c r="U273" s="33"/>
      <c r="V273" s="33"/>
      <c r="W273" s="33"/>
      <c r="X273" s="33"/>
      <c r="Y273" s="33"/>
      <c r="Z273" s="33"/>
    </row>
    <row r="274" spans="1:26" ht="13.5" customHeight="1" x14ac:dyDescent="0.35">
      <c r="A274" s="33"/>
      <c r="B274" s="33"/>
      <c r="C274" s="33"/>
      <c r="D274" s="33"/>
      <c r="E274" s="33"/>
      <c r="F274" s="33"/>
      <c r="G274" s="33"/>
      <c r="H274" s="33"/>
      <c r="I274" s="33"/>
      <c r="J274" s="33"/>
      <c r="K274" s="33"/>
      <c r="L274" s="33"/>
      <c r="M274" s="33"/>
      <c r="N274" s="33"/>
      <c r="O274" s="33"/>
      <c r="P274" s="33"/>
      <c r="Q274" s="33"/>
      <c r="R274" s="33"/>
      <c r="S274" s="33"/>
      <c r="T274" s="33"/>
      <c r="U274" s="33"/>
      <c r="V274" s="33"/>
      <c r="W274" s="33"/>
      <c r="X274" s="33"/>
      <c r="Y274" s="33"/>
      <c r="Z274" s="33"/>
    </row>
    <row r="275" spans="1:26" ht="13.5" customHeight="1" x14ac:dyDescent="0.35">
      <c r="A275" s="33"/>
      <c r="B275" s="33"/>
      <c r="C275" s="33"/>
      <c r="D275" s="33"/>
      <c r="E275" s="33"/>
      <c r="F275" s="33"/>
      <c r="G275" s="33"/>
      <c r="H275" s="33"/>
      <c r="I275" s="33"/>
      <c r="J275" s="33"/>
      <c r="K275" s="33"/>
      <c r="L275" s="33"/>
      <c r="M275" s="33"/>
      <c r="N275" s="33"/>
      <c r="O275" s="33"/>
      <c r="P275" s="33"/>
      <c r="Q275" s="33"/>
      <c r="R275" s="33"/>
      <c r="S275" s="33"/>
      <c r="T275" s="33"/>
      <c r="U275" s="33"/>
      <c r="V275" s="33"/>
      <c r="W275" s="33"/>
      <c r="X275" s="33"/>
      <c r="Y275" s="33"/>
      <c r="Z275" s="33"/>
    </row>
    <row r="276" spans="1:26" ht="13.5" customHeight="1" x14ac:dyDescent="0.35">
      <c r="A276" s="33"/>
      <c r="B276" s="33"/>
      <c r="C276" s="33"/>
      <c r="D276" s="33"/>
      <c r="E276" s="33"/>
      <c r="F276" s="33"/>
      <c r="G276" s="33"/>
      <c r="H276" s="33"/>
      <c r="I276" s="33"/>
      <c r="J276" s="33"/>
      <c r="K276" s="33"/>
      <c r="L276" s="33"/>
      <c r="M276" s="33"/>
      <c r="N276" s="33"/>
      <c r="O276" s="33"/>
      <c r="P276" s="33"/>
      <c r="Q276" s="33"/>
      <c r="R276" s="33"/>
      <c r="S276" s="33"/>
      <c r="T276" s="33"/>
      <c r="U276" s="33"/>
      <c r="V276" s="33"/>
      <c r="W276" s="33"/>
      <c r="X276" s="33"/>
      <c r="Y276" s="33"/>
      <c r="Z276" s="33"/>
    </row>
    <row r="277" spans="1:26" ht="13.5" customHeight="1" x14ac:dyDescent="0.35">
      <c r="A277" s="33"/>
      <c r="B277" s="33"/>
      <c r="C277" s="33"/>
      <c r="D277" s="33"/>
      <c r="E277" s="33"/>
      <c r="F277" s="33"/>
      <c r="G277" s="33"/>
      <c r="H277" s="33"/>
      <c r="I277" s="33"/>
      <c r="J277" s="33"/>
      <c r="K277" s="33"/>
      <c r="L277" s="33"/>
      <c r="M277" s="33"/>
      <c r="N277" s="33"/>
      <c r="O277" s="33"/>
      <c r="P277" s="33"/>
      <c r="Q277" s="33"/>
      <c r="R277" s="33"/>
      <c r="S277" s="33"/>
      <c r="T277" s="33"/>
      <c r="U277" s="33"/>
      <c r="V277" s="33"/>
      <c r="W277" s="33"/>
      <c r="X277" s="33"/>
      <c r="Y277" s="33"/>
      <c r="Z277" s="33"/>
    </row>
    <row r="278" spans="1:26" ht="13.5" customHeight="1" x14ac:dyDescent="0.35">
      <c r="A278" s="33"/>
      <c r="B278" s="33"/>
      <c r="C278" s="33"/>
      <c r="D278" s="33"/>
      <c r="E278" s="33"/>
      <c r="F278" s="33"/>
      <c r="G278" s="33"/>
      <c r="H278" s="33"/>
      <c r="I278" s="33"/>
      <c r="J278" s="33"/>
      <c r="K278" s="33"/>
      <c r="L278" s="33"/>
      <c r="M278" s="33"/>
      <c r="N278" s="33"/>
      <c r="O278" s="33"/>
      <c r="P278" s="33"/>
      <c r="Q278" s="33"/>
      <c r="R278" s="33"/>
      <c r="S278" s="33"/>
      <c r="T278" s="33"/>
      <c r="U278" s="33"/>
      <c r="V278" s="33"/>
      <c r="W278" s="33"/>
      <c r="X278" s="33"/>
      <c r="Y278" s="33"/>
      <c r="Z278" s="33"/>
    </row>
    <row r="279" spans="1:26" ht="13.5" customHeight="1" x14ac:dyDescent="0.35">
      <c r="A279" s="33"/>
      <c r="B279" s="33"/>
      <c r="C279" s="33"/>
      <c r="D279" s="33"/>
      <c r="E279" s="33"/>
      <c r="F279" s="33"/>
      <c r="G279" s="33"/>
      <c r="H279" s="33"/>
      <c r="I279" s="33"/>
      <c r="J279" s="33"/>
      <c r="K279" s="33"/>
      <c r="L279" s="33"/>
      <c r="M279" s="33"/>
      <c r="N279" s="33"/>
      <c r="O279" s="33"/>
      <c r="P279" s="33"/>
      <c r="Q279" s="33"/>
      <c r="R279" s="33"/>
      <c r="S279" s="33"/>
      <c r="T279" s="33"/>
      <c r="U279" s="33"/>
      <c r="V279" s="33"/>
      <c r="W279" s="33"/>
      <c r="X279" s="33"/>
      <c r="Y279" s="33"/>
      <c r="Z279" s="33"/>
    </row>
    <row r="280" spans="1:26" ht="13.5" customHeight="1" x14ac:dyDescent="0.35">
      <c r="A280" s="33"/>
      <c r="B280" s="33"/>
      <c r="C280" s="33"/>
      <c r="D280" s="33"/>
      <c r="E280" s="33"/>
      <c r="F280" s="33"/>
      <c r="G280" s="33"/>
      <c r="H280" s="33"/>
      <c r="I280" s="33"/>
      <c r="J280" s="33"/>
      <c r="K280" s="33"/>
      <c r="L280" s="33"/>
      <c r="M280" s="33"/>
      <c r="N280" s="33"/>
      <c r="O280" s="33"/>
      <c r="P280" s="33"/>
      <c r="Q280" s="33"/>
      <c r="R280" s="33"/>
      <c r="S280" s="33"/>
      <c r="T280" s="33"/>
      <c r="U280" s="33"/>
      <c r="V280" s="33"/>
      <c r="W280" s="33"/>
      <c r="X280" s="33"/>
      <c r="Y280" s="33"/>
      <c r="Z280" s="33"/>
    </row>
    <row r="281" spans="1:26" ht="13.5" customHeight="1" x14ac:dyDescent="0.35">
      <c r="A281" s="33"/>
      <c r="B281" s="33"/>
      <c r="C281" s="33"/>
      <c r="D281" s="33"/>
      <c r="E281" s="33"/>
      <c r="F281" s="33"/>
      <c r="G281" s="33"/>
      <c r="H281" s="33"/>
      <c r="I281" s="33"/>
      <c r="J281" s="33"/>
      <c r="K281" s="33"/>
      <c r="L281" s="33"/>
      <c r="M281" s="33"/>
      <c r="N281" s="33"/>
      <c r="O281" s="33"/>
      <c r="P281" s="33"/>
      <c r="Q281" s="33"/>
      <c r="R281" s="33"/>
      <c r="S281" s="33"/>
      <c r="T281" s="33"/>
      <c r="U281" s="33"/>
      <c r="V281" s="33"/>
      <c r="W281" s="33"/>
      <c r="X281" s="33"/>
      <c r="Y281" s="33"/>
      <c r="Z281" s="33"/>
    </row>
    <row r="282" spans="1:26" ht="13.5" customHeight="1" x14ac:dyDescent="0.35">
      <c r="A282" s="33"/>
      <c r="B282" s="33"/>
      <c r="C282" s="33"/>
      <c r="D282" s="33"/>
      <c r="E282" s="33"/>
      <c r="F282" s="33"/>
      <c r="G282" s="33"/>
      <c r="H282" s="33"/>
      <c r="I282" s="33"/>
      <c r="J282" s="33"/>
      <c r="K282" s="33"/>
      <c r="L282" s="33"/>
      <c r="M282" s="33"/>
      <c r="N282" s="33"/>
      <c r="O282" s="33"/>
      <c r="P282" s="33"/>
      <c r="Q282" s="33"/>
      <c r="R282" s="33"/>
      <c r="S282" s="33"/>
      <c r="T282" s="33"/>
      <c r="U282" s="33"/>
      <c r="V282" s="33"/>
      <c r="W282" s="33"/>
      <c r="X282" s="33"/>
      <c r="Y282" s="33"/>
      <c r="Z282" s="33"/>
    </row>
    <row r="283" spans="1:26" ht="13.5" customHeight="1" x14ac:dyDescent="0.35">
      <c r="A283" s="33"/>
      <c r="B283" s="33"/>
      <c r="C283" s="33"/>
      <c r="D283" s="33"/>
      <c r="E283" s="33"/>
      <c r="F283" s="33"/>
      <c r="G283" s="33"/>
      <c r="H283" s="33"/>
      <c r="I283" s="33"/>
      <c r="J283" s="33"/>
      <c r="K283" s="33"/>
      <c r="L283" s="33"/>
      <c r="M283" s="33"/>
      <c r="N283" s="33"/>
      <c r="O283" s="33"/>
      <c r="P283" s="33"/>
      <c r="Q283" s="33"/>
      <c r="R283" s="33"/>
      <c r="S283" s="33"/>
      <c r="T283" s="33"/>
      <c r="U283" s="33"/>
      <c r="V283" s="33"/>
      <c r="W283" s="33"/>
      <c r="X283" s="33"/>
      <c r="Y283" s="33"/>
      <c r="Z283" s="33"/>
    </row>
    <row r="284" spans="1:26" ht="13.5" customHeight="1" x14ac:dyDescent="0.35">
      <c r="A284" s="33"/>
      <c r="B284" s="33"/>
      <c r="C284" s="33"/>
      <c r="D284" s="33"/>
      <c r="E284" s="33"/>
      <c r="F284" s="33"/>
      <c r="G284" s="33"/>
      <c r="H284" s="33"/>
      <c r="I284" s="33"/>
      <c r="J284" s="33"/>
      <c r="K284" s="33"/>
      <c r="L284" s="33"/>
      <c r="M284" s="33"/>
      <c r="N284" s="33"/>
      <c r="O284" s="33"/>
      <c r="P284" s="33"/>
      <c r="Q284" s="33"/>
      <c r="R284" s="33"/>
      <c r="S284" s="33"/>
      <c r="T284" s="33"/>
      <c r="U284" s="33"/>
      <c r="V284" s="33"/>
      <c r="W284" s="33"/>
      <c r="X284" s="33"/>
      <c r="Y284" s="33"/>
      <c r="Z284" s="33"/>
    </row>
    <row r="285" spans="1:26" ht="13.5" customHeight="1" x14ac:dyDescent="0.35">
      <c r="A285" s="33"/>
      <c r="B285" s="33"/>
      <c r="C285" s="33"/>
      <c r="D285" s="33"/>
      <c r="E285" s="33"/>
      <c r="F285" s="33"/>
      <c r="G285" s="33"/>
      <c r="H285" s="33"/>
      <c r="I285" s="33"/>
      <c r="J285" s="33"/>
      <c r="K285" s="33"/>
      <c r="L285" s="33"/>
      <c r="M285" s="33"/>
      <c r="N285" s="33"/>
      <c r="O285" s="33"/>
      <c r="P285" s="33"/>
      <c r="Q285" s="33"/>
      <c r="R285" s="33"/>
      <c r="S285" s="33"/>
      <c r="T285" s="33"/>
      <c r="U285" s="33"/>
      <c r="V285" s="33"/>
      <c r="W285" s="33"/>
      <c r="X285" s="33"/>
      <c r="Y285" s="33"/>
      <c r="Z285" s="33"/>
    </row>
    <row r="286" spans="1:26" ht="13.5" customHeight="1" x14ac:dyDescent="0.35">
      <c r="A286" s="33"/>
      <c r="B286" s="33"/>
      <c r="C286" s="33"/>
      <c r="D286" s="33"/>
      <c r="E286" s="33"/>
      <c r="F286" s="33"/>
      <c r="G286" s="33"/>
      <c r="H286" s="33"/>
      <c r="I286" s="33"/>
      <c r="J286" s="33"/>
      <c r="K286" s="33"/>
      <c r="L286" s="33"/>
      <c r="M286" s="33"/>
      <c r="N286" s="33"/>
      <c r="O286" s="33"/>
      <c r="P286" s="33"/>
      <c r="Q286" s="33"/>
      <c r="R286" s="33"/>
      <c r="S286" s="33"/>
      <c r="T286" s="33"/>
      <c r="U286" s="33"/>
      <c r="V286" s="33"/>
      <c r="W286" s="33"/>
      <c r="X286" s="33"/>
      <c r="Y286" s="33"/>
      <c r="Z286" s="33"/>
    </row>
    <row r="287" spans="1:26" ht="13.5" customHeight="1" x14ac:dyDescent="0.35">
      <c r="A287" s="33"/>
      <c r="B287" s="33"/>
      <c r="C287" s="33"/>
      <c r="D287" s="33"/>
      <c r="E287" s="33"/>
      <c r="F287" s="33"/>
      <c r="G287" s="33"/>
      <c r="H287" s="33"/>
      <c r="I287" s="33"/>
      <c r="J287" s="33"/>
      <c r="K287" s="33"/>
      <c r="L287" s="33"/>
      <c r="M287" s="33"/>
      <c r="N287" s="33"/>
      <c r="O287" s="33"/>
      <c r="P287" s="33"/>
      <c r="Q287" s="33"/>
      <c r="R287" s="33"/>
      <c r="S287" s="33"/>
      <c r="T287" s="33"/>
      <c r="U287" s="33"/>
      <c r="V287" s="33"/>
      <c r="W287" s="33"/>
      <c r="X287" s="33"/>
      <c r="Y287" s="33"/>
      <c r="Z287" s="33"/>
    </row>
    <row r="288" spans="1:26" ht="13.5" customHeight="1" x14ac:dyDescent="0.35">
      <c r="A288" s="33"/>
      <c r="B288" s="33"/>
      <c r="C288" s="33"/>
      <c r="D288" s="33"/>
      <c r="E288" s="33"/>
      <c r="F288" s="33"/>
      <c r="G288" s="33"/>
      <c r="H288" s="33"/>
      <c r="I288" s="33"/>
      <c r="J288" s="33"/>
      <c r="K288" s="33"/>
      <c r="L288" s="33"/>
      <c r="M288" s="33"/>
      <c r="N288" s="33"/>
      <c r="O288" s="33"/>
      <c r="P288" s="33"/>
      <c r="Q288" s="33"/>
      <c r="R288" s="33"/>
      <c r="S288" s="33"/>
      <c r="T288" s="33"/>
      <c r="U288" s="33"/>
      <c r="V288" s="33"/>
      <c r="W288" s="33"/>
      <c r="X288" s="33"/>
      <c r="Y288" s="33"/>
      <c r="Z288" s="33"/>
    </row>
    <row r="289" spans="1:26" ht="13.5" customHeight="1" x14ac:dyDescent="0.35">
      <c r="A289" s="33"/>
      <c r="B289" s="33"/>
      <c r="C289" s="33"/>
      <c r="D289" s="33"/>
      <c r="E289" s="33"/>
      <c r="F289" s="33"/>
      <c r="G289" s="33"/>
      <c r="H289" s="33"/>
      <c r="I289" s="33"/>
      <c r="J289" s="33"/>
      <c r="K289" s="33"/>
      <c r="L289" s="33"/>
      <c r="M289" s="33"/>
      <c r="N289" s="33"/>
      <c r="O289" s="33"/>
      <c r="P289" s="33"/>
      <c r="Q289" s="33"/>
      <c r="R289" s="33"/>
      <c r="S289" s="33"/>
      <c r="T289" s="33"/>
      <c r="U289" s="33"/>
      <c r="V289" s="33"/>
      <c r="W289" s="33"/>
      <c r="X289" s="33"/>
      <c r="Y289" s="33"/>
      <c r="Z289" s="33"/>
    </row>
    <row r="290" spans="1:26" ht="13.5" customHeight="1" x14ac:dyDescent="0.35">
      <c r="A290" s="33"/>
      <c r="B290" s="33"/>
      <c r="C290" s="33"/>
      <c r="D290" s="33"/>
      <c r="E290" s="33"/>
      <c r="F290" s="33"/>
      <c r="G290" s="33"/>
      <c r="H290" s="33"/>
      <c r="I290" s="33"/>
      <c r="J290" s="33"/>
      <c r="K290" s="33"/>
      <c r="L290" s="33"/>
      <c r="M290" s="33"/>
      <c r="N290" s="33"/>
      <c r="O290" s="33"/>
      <c r="P290" s="33"/>
      <c r="Q290" s="33"/>
      <c r="R290" s="33"/>
      <c r="S290" s="33"/>
      <c r="T290" s="33"/>
      <c r="U290" s="33"/>
      <c r="V290" s="33"/>
      <c r="W290" s="33"/>
      <c r="X290" s="33"/>
      <c r="Y290" s="33"/>
      <c r="Z290" s="33"/>
    </row>
    <row r="291" spans="1:26" ht="13.5" customHeight="1" x14ac:dyDescent="0.35">
      <c r="A291" s="33"/>
      <c r="B291" s="33"/>
      <c r="C291" s="33"/>
      <c r="D291" s="33"/>
      <c r="E291" s="33"/>
      <c r="F291" s="33"/>
      <c r="G291" s="33"/>
      <c r="H291" s="33"/>
      <c r="I291" s="33"/>
      <c r="J291" s="33"/>
      <c r="K291" s="33"/>
      <c r="L291" s="33"/>
      <c r="M291" s="33"/>
      <c r="N291" s="33"/>
      <c r="O291" s="33"/>
      <c r="P291" s="33"/>
      <c r="Q291" s="33"/>
      <c r="R291" s="33"/>
      <c r="S291" s="33"/>
      <c r="T291" s="33"/>
      <c r="U291" s="33"/>
      <c r="V291" s="33"/>
      <c r="W291" s="33"/>
      <c r="X291" s="33"/>
      <c r="Y291" s="33"/>
      <c r="Z291" s="33"/>
    </row>
    <row r="292" spans="1:26" ht="13.5" customHeight="1" x14ac:dyDescent="0.35">
      <c r="A292" s="33"/>
      <c r="B292" s="33"/>
      <c r="C292" s="33"/>
      <c r="D292" s="33"/>
      <c r="E292" s="33"/>
      <c r="F292" s="33"/>
      <c r="G292" s="33"/>
      <c r="H292" s="33"/>
      <c r="I292" s="33"/>
      <c r="J292" s="33"/>
      <c r="K292" s="33"/>
      <c r="L292" s="33"/>
      <c r="M292" s="33"/>
      <c r="N292" s="33"/>
      <c r="O292" s="33"/>
      <c r="P292" s="33"/>
      <c r="Q292" s="33"/>
      <c r="R292" s="33"/>
      <c r="S292" s="33"/>
      <c r="T292" s="33"/>
      <c r="U292" s="33"/>
      <c r="V292" s="33"/>
      <c r="W292" s="33"/>
      <c r="X292" s="33"/>
      <c r="Y292" s="33"/>
      <c r="Z292" s="33"/>
    </row>
    <row r="293" spans="1:26" ht="13.5" customHeight="1" x14ac:dyDescent="0.35">
      <c r="A293" s="33"/>
      <c r="B293" s="33"/>
      <c r="C293" s="33"/>
      <c r="D293" s="33"/>
      <c r="E293" s="33"/>
      <c r="F293" s="33"/>
      <c r="G293" s="33"/>
      <c r="H293" s="33"/>
      <c r="I293" s="33"/>
      <c r="J293" s="33"/>
      <c r="K293" s="33"/>
      <c r="L293" s="33"/>
      <c r="M293" s="33"/>
      <c r="N293" s="33"/>
      <c r="O293" s="33"/>
      <c r="P293" s="33"/>
      <c r="Q293" s="33"/>
      <c r="R293" s="33"/>
      <c r="S293" s="33"/>
      <c r="T293" s="33"/>
      <c r="U293" s="33"/>
      <c r="V293" s="33"/>
      <c r="W293" s="33"/>
      <c r="X293" s="33"/>
      <c r="Y293" s="33"/>
      <c r="Z293" s="33"/>
    </row>
    <row r="294" spans="1:26" ht="13.5" customHeight="1" x14ac:dyDescent="0.35">
      <c r="A294" s="33"/>
      <c r="B294" s="33"/>
      <c r="C294" s="33"/>
      <c r="D294" s="33"/>
      <c r="E294" s="33"/>
      <c r="F294" s="33"/>
      <c r="G294" s="33"/>
      <c r="H294" s="33"/>
      <c r="I294" s="33"/>
      <c r="J294" s="33"/>
      <c r="K294" s="33"/>
      <c r="L294" s="33"/>
      <c r="M294" s="33"/>
      <c r="N294" s="33"/>
      <c r="O294" s="33"/>
      <c r="P294" s="33"/>
      <c r="Q294" s="33"/>
      <c r="R294" s="33"/>
      <c r="S294" s="33"/>
      <c r="T294" s="33"/>
      <c r="U294" s="33"/>
      <c r="V294" s="33"/>
      <c r="W294" s="33"/>
      <c r="X294" s="33"/>
      <c r="Y294" s="33"/>
      <c r="Z294" s="33"/>
    </row>
    <row r="295" spans="1:26" ht="13.5" customHeight="1" x14ac:dyDescent="0.35">
      <c r="A295" s="33"/>
      <c r="B295" s="33"/>
      <c r="C295" s="33"/>
      <c r="D295" s="33"/>
      <c r="E295" s="33"/>
      <c r="F295" s="33"/>
      <c r="G295" s="33"/>
      <c r="H295" s="33"/>
      <c r="I295" s="33"/>
      <c r="J295" s="33"/>
      <c r="K295" s="33"/>
      <c r="L295" s="33"/>
      <c r="M295" s="33"/>
      <c r="N295" s="33"/>
      <c r="O295" s="33"/>
      <c r="P295" s="33"/>
      <c r="Q295" s="33"/>
      <c r="R295" s="33"/>
      <c r="S295" s="33"/>
      <c r="T295" s="33"/>
      <c r="U295" s="33"/>
      <c r="V295" s="33"/>
      <c r="W295" s="33"/>
      <c r="X295" s="33"/>
      <c r="Y295" s="33"/>
      <c r="Z295" s="33"/>
    </row>
    <row r="296" spans="1:26" ht="13.5" customHeight="1" x14ac:dyDescent="0.35">
      <c r="A296" s="33"/>
      <c r="B296" s="33"/>
      <c r="C296" s="33"/>
      <c r="D296" s="33"/>
      <c r="E296" s="33"/>
      <c r="F296" s="33"/>
      <c r="G296" s="33"/>
      <c r="H296" s="33"/>
      <c r="I296" s="33"/>
      <c r="J296" s="33"/>
      <c r="K296" s="33"/>
      <c r="L296" s="33"/>
      <c r="M296" s="33"/>
      <c r="N296" s="33"/>
      <c r="O296" s="33"/>
      <c r="P296" s="33"/>
      <c r="Q296" s="33"/>
      <c r="R296" s="33"/>
      <c r="S296" s="33"/>
      <c r="T296" s="33"/>
      <c r="U296" s="33"/>
      <c r="V296" s="33"/>
      <c r="W296" s="33"/>
      <c r="X296" s="33"/>
      <c r="Y296" s="33"/>
      <c r="Z296" s="33"/>
    </row>
    <row r="297" spans="1:26" ht="13.5" customHeight="1" x14ac:dyDescent="0.35">
      <c r="A297" s="33"/>
      <c r="B297" s="33"/>
      <c r="C297" s="33"/>
      <c r="D297" s="33"/>
      <c r="E297" s="33"/>
      <c r="F297" s="33"/>
      <c r="G297" s="33"/>
      <c r="H297" s="33"/>
      <c r="I297" s="33"/>
      <c r="J297" s="33"/>
      <c r="K297" s="33"/>
      <c r="L297" s="33"/>
      <c r="M297" s="33"/>
      <c r="N297" s="33"/>
      <c r="O297" s="33"/>
      <c r="P297" s="33"/>
      <c r="Q297" s="33"/>
      <c r="R297" s="33"/>
      <c r="S297" s="33"/>
      <c r="T297" s="33"/>
      <c r="U297" s="33"/>
      <c r="V297" s="33"/>
      <c r="W297" s="33"/>
      <c r="X297" s="33"/>
      <c r="Y297" s="33"/>
      <c r="Z297" s="33"/>
    </row>
    <row r="298" spans="1:26" ht="13.5" customHeight="1" x14ac:dyDescent="0.35">
      <c r="A298" s="33"/>
      <c r="B298" s="33"/>
      <c r="C298" s="33"/>
      <c r="D298" s="33"/>
      <c r="E298" s="33"/>
      <c r="F298" s="33"/>
      <c r="G298" s="33"/>
      <c r="H298" s="33"/>
      <c r="I298" s="33"/>
      <c r="J298" s="33"/>
      <c r="K298" s="33"/>
      <c r="L298" s="33"/>
      <c r="M298" s="33"/>
      <c r="N298" s="33"/>
      <c r="O298" s="33"/>
      <c r="P298" s="33"/>
      <c r="Q298" s="33"/>
      <c r="R298" s="33"/>
      <c r="S298" s="33"/>
      <c r="T298" s="33"/>
      <c r="U298" s="33"/>
      <c r="V298" s="33"/>
      <c r="W298" s="33"/>
      <c r="X298" s="33"/>
      <c r="Y298" s="33"/>
      <c r="Z298" s="33"/>
    </row>
    <row r="299" spans="1:26" ht="13.5" customHeight="1" x14ac:dyDescent="0.35">
      <c r="A299" s="33"/>
      <c r="B299" s="33"/>
      <c r="C299" s="33"/>
      <c r="D299" s="33"/>
      <c r="E299" s="33"/>
      <c r="F299" s="33"/>
      <c r="G299" s="33"/>
      <c r="H299" s="33"/>
      <c r="I299" s="33"/>
      <c r="J299" s="33"/>
      <c r="K299" s="33"/>
      <c r="L299" s="33"/>
      <c r="M299" s="33"/>
      <c r="N299" s="33"/>
      <c r="O299" s="33"/>
      <c r="P299" s="33"/>
      <c r="Q299" s="33"/>
      <c r="R299" s="33"/>
      <c r="S299" s="33"/>
      <c r="T299" s="33"/>
      <c r="U299" s="33"/>
      <c r="V299" s="33"/>
      <c r="W299" s="33"/>
      <c r="X299" s="33"/>
      <c r="Y299" s="33"/>
      <c r="Z299" s="33"/>
    </row>
    <row r="300" spans="1:26" ht="13.5" customHeight="1" x14ac:dyDescent="0.35">
      <c r="A300" s="33"/>
      <c r="B300" s="33"/>
      <c r="C300" s="33"/>
      <c r="D300" s="33"/>
      <c r="E300" s="33"/>
      <c r="F300" s="33"/>
      <c r="G300" s="33"/>
      <c r="H300" s="33"/>
      <c r="I300" s="33"/>
      <c r="J300" s="33"/>
      <c r="K300" s="33"/>
      <c r="L300" s="33"/>
      <c r="M300" s="33"/>
      <c r="N300" s="33"/>
      <c r="O300" s="33"/>
      <c r="P300" s="33"/>
      <c r="Q300" s="33"/>
      <c r="R300" s="33"/>
      <c r="S300" s="33"/>
      <c r="T300" s="33"/>
      <c r="U300" s="33"/>
      <c r="V300" s="33"/>
      <c r="W300" s="33"/>
      <c r="X300" s="33"/>
      <c r="Y300" s="33"/>
      <c r="Z300" s="33"/>
    </row>
    <row r="301" spans="1:26" ht="13.5" customHeight="1" x14ac:dyDescent="0.35">
      <c r="A301" s="33"/>
      <c r="B301" s="33"/>
      <c r="C301" s="33"/>
      <c r="D301" s="33"/>
      <c r="E301" s="33"/>
      <c r="F301" s="33"/>
      <c r="G301" s="33"/>
      <c r="H301" s="33"/>
      <c r="I301" s="33"/>
      <c r="J301" s="33"/>
      <c r="K301" s="33"/>
      <c r="L301" s="33"/>
      <c r="M301" s="33"/>
      <c r="N301" s="33"/>
      <c r="O301" s="33"/>
      <c r="P301" s="33"/>
      <c r="Q301" s="33"/>
      <c r="R301" s="33"/>
      <c r="S301" s="33"/>
      <c r="T301" s="33"/>
      <c r="U301" s="33"/>
      <c r="V301" s="33"/>
      <c r="W301" s="33"/>
      <c r="X301" s="33"/>
      <c r="Y301" s="33"/>
      <c r="Z301" s="33"/>
    </row>
    <row r="302" spans="1:26" ht="13.5" customHeight="1" x14ac:dyDescent="0.35">
      <c r="A302" s="33"/>
      <c r="B302" s="33"/>
      <c r="C302" s="33"/>
      <c r="D302" s="33"/>
      <c r="E302" s="33"/>
      <c r="F302" s="33"/>
      <c r="G302" s="33"/>
      <c r="H302" s="33"/>
      <c r="I302" s="33"/>
      <c r="J302" s="33"/>
      <c r="K302" s="33"/>
      <c r="L302" s="33"/>
      <c r="M302" s="33"/>
      <c r="N302" s="33"/>
      <c r="O302" s="33"/>
      <c r="P302" s="33"/>
      <c r="Q302" s="33"/>
      <c r="R302" s="33"/>
      <c r="S302" s="33"/>
      <c r="T302" s="33"/>
      <c r="U302" s="33"/>
      <c r="V302" s="33"/>
      <c r="W302" s="33"/>
      <c r="X302" s="33"/>
      <c r="Y302" s="33"/>
      <c r="Z302" s="33"/>
    </row>
    <row r="303" spans="1:26" ht="13.5" customHeight="1" x14ac:dyDescent="0.35">
      <c r="A303" s="33"/>
      <c r="B303" s="33"/>
      <c r="C303" s="33"/>
      <c r="D303" s="33"/>
      <c r="E303" s="33"/>
      <c r="F303" s="33"/>
      <c r="G303" s="33"/>
      <c r="H303" s="33"/>
      <c r="I303" s="33"/>
      <c r="J303" s="33"/>
      <c r="K303" s="33"/>
      <c r="L303" s="33"/>
      <c r="M303" s="33"/>
      <c r="N303" s="33"/>
      <c r="O303" s="33"/>
      <c r="P303" s="33"/>
      <c r="Q303" s="33"/>
      <c r="R303" s="33"/>
      <c r="S303" s="33"/>
      <c r="T303" s="33"/>
      <c r="U303" s="33"/>
      <c r="V303" s="33"/>
      <c r="W303" s="33"/>
      <c r="X303" s="33"/>
      <c r="Y303" s="33"/>
      <c r="Z303" s="33"/>
    </row>
    <row r="304" spans="1:26" ht="13.5" customHeight="1" x14ac:dyDescent="0.35">
      <c r="A304" s="33"/>
      <c r="B304" s="33"/>
      <c r="C304" s="33"/>
      <c r="D304" s="33"/>
      <c r="E304" s="33"/>
      <c r="F304" s="33"/>
      <c r="G304" s="33"/>
      <c r="H304" s="33"/>
      <c r="I304" s="33"/>
      <c r="J304" s="33"/>
      <c r="K304" s="33"/>
      <c r="L304" s="33"/>
      <c r="M304" s="33"/>
      <c r="N304" s="33"/>
      <c r="O304" s="33"/>
      <c r="P304" s="33"/>
      <c r="Q304" s="33"/>
      <c r="R304" s="33"/>
      <c r="S304" s="33"/>
      <c r="T304" s="33"/>
      <c r="U304" s="33"/>
      <c r="V304" s="33"/>
      <c r="W304" s="33"/>
      <c r="X304" s="33"/>
      <c r="Y304" s="33"/>
      <c r="Z304" s="33"/>
    </row>
    <row r="305" spans="1:26" ht="13.5" customHeight="1" x14ac:dyDescent="0.35">
      <c r="A305" s="33"/>
      <c r="B305" s="33"/>
      <c r="C305" s="33"/>
      <c r="D305" s="33"/>
      <c r="E305" s="33"/>
      <c r="F305" s="33"/>
      <c r="G305" s="33"/>
      <c r="H305" s="33"/>
      <c r="I305" s="33"/>
      <c r="J305" s="33"/>
      <c r="K305" s="33"/>
      <c r="L305" s="33"/>
      <c r="M305" s="33"/>
      <c r="N305" s="33"/>
      <c r="O305" s="33"/>
      <c r="P305" s="33"/>
      <c r="Q305" s="33"/>
      <c r="R305" s="33"/>
      <c r="S305" s="33"/>
      <c r="T305" s="33"/>
      <c r="U305" s="33"/>
      <c r="V305" s="33"/>
      <c r="W305" s="33"/>
      <c r="X305" s="33"/>
      <c r="Y305" s="33"/>
      <c r="Z305" s="33"/>
    </row>
    <row r="306" spans="1:26" ht="13.5" customHeight="1" x14ac:dyDescent="0.35">
      <c r="A306" s="33"/>
      <c r="B306" s="33"/>
      <c r="C306" s="33"/>
      <c r="D306" s="33"/>
      <c r="E306" s="33"/>
      <c r="F306" s="33"/>
      <c r="G306" s="33"/>
      <c r="H306" s="33"/>
      <c r="I306" s="33"/>
      <c r="J306" s="33"/>
      <c r="K306" s="33"/>
      <c r="L306" s="33"/>
      <c r="M306" s="33"/>
      <c r="N306" s="33"/>
      <c r="O306" s="33"/>
      <c r="P306" s="33"/>
      <c r="Q306" s="33"/>
      <c r="R306" s="33"/>
      <c r="S306" s="33"/>
      <c r="T306" s="33"/>
      <c r="U306" s="33"/>
      <c r="V306" s="33"/>
      <c r="W306" s="33"/>
      <c r="X306" s="33"/>
      <c r="Y306" s="33"/>
      <c r="Z306" s="33"/>
    </row>
    <row r="307" spans="1:26" ht="13.5" customHeight="1" x14ac:dyDescent="0.35">
      <c r="A307" s="33"/>
      <c r="B307" s="33"/>
      <c r="C307" s="33"/>
      <c r="D307" s="33"/>
      <c r="E307" s="33"/>
      <c r="F307" s="33"/>
      <c r="G307" s="33"/>
      <c r="H307" s="33"/>
      <c r="I307" s="33"/>
      <c r="J307" s="33"/>
      <c r="K307" s="33"/>
      <c r="L307" s="33"/>
      <c r="M307" s="33"/>
      <c r="N307" s="33"/>
      <c r="O307" s="33"/>
      <c r="P307" s="33"/>
      <c r="Q307" s="33"/>
      <c r="R307" s="33"/>
      <c r="S307" s="33"/>
      <c r="T307" s="33"/>
      <c r="U307" s="33"/>
      <c r="V307" s="33"/>
      <c r="W307" s="33"/>
      <c r="X307" s="33"/>
      <c r="Y307" s="33"/>
      <c r="Z307" s="33"/>
    </row>
    <row r="308" spans="1:26" ht="13.5" customHeight="1" x14ac:dyDescent="0.35">
      <c r="A308" s="33"/>
      <c r="B308" s="33"/>
      <c r="C308" s="33"/>
      <c r="D308" s="33"/>
      <c r="E308" s="33"/>
      <c r="F308" s="33"/>
      <c r="G308" s="33"/>
      <c r="H308" s="33"/>
      <c r="I308" s="33"/>
      <c r="J308" s="33"/>
      <c r="K308" s="33"/>
      <c r="L308" s="33"/>
      <c r="M308" s="33"/>
      <c r="N308" s="33"/>
      <c r="O308" s="33"/>
      <c r="P308" s="33"/>
      <c r="Q308" s="33"/>
      <c r="R308" s="33"/>
      <c r="S308" s="33"/>
      <c r="T308" s="33"/>
      <c r="U308" s="33"/>
      <c r="V308" s="33"/>
      <c r="W308" s="33"/>
      <c r="X308" s="33"/>
      <c r="Y308" s="33"/>
      <c r="Z308" s="33"/>
    </row>
    <row r="309" spans="1:26" ht="13.5" customHeight="1" x14ac:dyDescent="0.35">
      <c r="A309" s="33"/>
      <c r="B309" s="33"/>
      <c r="C309" s="33"/>
      <c r="D309" s="33"/>
      <c r="E309" s="33"/>
      <c r="F309" s="33"/>
      <c r="G309" s="33"/>
      <c r="H309" s="33"/>
      <c r="I309" s="33"/>
      <c r="J309" s="33"/>
      <c r="K309" s="33"/>
      <c r="L309" s="33"/>
      <c r="M309" s="33"/>
      <c r="N309" s="33"/>
      <c r="O309" s="33"/>
      <c r="P309" s="33"/>
      <c r="Q309" s="33"/>
      <c r="R309" s="33"/>
      <c r="S309" s="33"/>
      <c r="T309" s="33"/>
      <c r="U309" s="33"/>
      <c r="V309" s="33"/>
      <c r="W309" s="33"/>
      <c r="X309" s="33"/>
      <c r="Y309" s="33"/>
      <c r="Z309" s="33"/>
    </row>
    <row r="310" spans="1:26" ht="13.5" customHeight="1" x14ac:dyDescent="0.35">
      <c r="A310" s="33"/>
      <c r="B310" s="33"/>
      <c r="C310" s="33"/>
      <c r="D310" s="33"/>
      <c r="E310" s="33"/>
      <c r="F310" s="33"/>
      <c r="G310" s="33"/>
      <c r="H310" s="33"/>
      <c r="I310" s="33"/>
      <c r="J310" s="33"/>
      <c r="K310" s="33"/>
      <c r="L310" s="33"/>
      <c r="M310" s="33"/>
      <c r="N310" s="33"/>
      <c r="O310" s="33"/>
      <c r="P310" s="33"/>
      <c r="Q310" s="33"/>
      <c r="R310" s="33"/>
      <c r="S310" s="33"/>
      <c r="T310" s="33"/>
      <c r="U310" s="33"/>
      <c r="V310" s="33"/>
      <c r="W310" s="33"/>
      <c r="X310" s="33"/>
      <c r="Y310" s="33"/>
      <c r="Z310" s="33"/>
    </row>
    <row r="311" spans="1:26" ht="13.5" customHeight="1" x14ac:dyDescent="0.35">
      <c r="A311" s="33"/>
      <c r="B311" s="33"/>
      <c r="C311" s="33"/>
      <c r="D311" s="33"/>
      <c r="E311" s="33"/>
      <c r="F311" s="33"/>
      <c r="G311" s="33"/>
      <c r="H311" s="33"/>
      <c r="I311" s="33"/>
      <c r="J311" s="33"/>
      <c r="K311" s="33"/>
      <c r="L311" s="33"/>
      <c r="M311" s="33"/>
      <c r="N311" s="33"/>
      <c r="O311" s="33"/>
      <c r="P311" s="33"/>
      <c r="Q311" s="33"/>
      <c r="R311" s="33"/>
      <c r="S311" s="33"/>
      <c r="T311" s="33"/>
      <c r="U311" s="33"/>
      <c r="V311" s="33"/>
      <c r="W311" s="33"/>
      <c r="X311" s="33"/>
      <c r="Y311" s="33"/>
      <c r="Z311" s="33"/>
    </row>
    <row r="312" spans="1:26" ht="13.5" customHeight="1" x14ac:dyDescent="0.35">
      <c r="A312" s="33"/>
      <c r="B312" s="33"/>
      <c r="C312" s="33"/>
      <c r="D312" s="33"/>
      <c r="E312" s="33"/>
      <c r="F312" s="33"/>
      <c r="G312" s="33"/>
      <c r="H312" s="33"/>
      <c r="I312" s="33"/>
      <c r="J312" s="33"/>
      <c r="K312" s="33"/>
      <c r="L312" s="33"/>
      <c r="M312" s="33"/>
      <c r="N312" s="33"/>
      <c r="O312" s="33"/>
      <c r="P312" s="33"/>
      <c r="Q312" s="33"/>
      <c r="R312" s="33"/>
      <c r="S312" s="33"/>
      <c r="T312" s="33"/>
      <c r="U312" s="33"/>
      <c r="V312" s="33"/>
      <c r="W312" s="33"/>
      <c r="X312" s="33"/>
      <c r="Y312" s="33"/>
      <c r="Z312" s="33"/>
    </row>
    <row r="313" spans="1:26" ht="13.5" customHeight="1" x14ac:dyDescent="0.35">
      <c r="A313" s="33"/>
      <c r="B313" s="33"/>
      <c r="C313" s="33"/>
      <c r="D313" s="33"/>
      <c r="E313" s="33"/>
      <c r="F313" s="33"/>
      <c r="G313" s="33"/>
      <c r="H313" s="33"/>
      <c r="I313" s="33"/>
      <c r="J313" s="33"/>
      <c r="K313" s="33"/>
      <c r="L313" s="33"/>
      <c r="M313" s="33"/>
      <c r="N313" s="33"/>
      <c r="O313" s="33"/>
      <c r="P313" s="33"/>
      <c r="Q313" s="33"/>
      <c r="R313" s="33"/>
      <c r="S313" s="33"/>
      <c r="T313" s="33"/>
      <c r="U313" s="33"/>
      <c r="V313" s="33"/>
      <c r="W313" s="33"/>
      <c r="X313" s="33"/>
      <c r="Y313" s="33"/>
      <c r="Z313" s="33"/>
    </row>
    <row r="314" spans="1:26" ht="13.5" customHeight="1" x14ac:dyDescent="0.35">
      <c r="A314" s="33"/>
      <c r="B314" s="33"/>
      <c r="C314" s="33"/>
      <c r="D314" s="33"/>
      <c r="E314" s="33"/>
      <c r="F314" s="33"/>
      <c r="G314" s="33"/>
      <c r="H314" s="33"/>
      <c r="I314" s="33"/>
      <c r="J314" s="33"/>
      <c r="K314" s="33"/>
      <c r="L314" s="33"/>
      <c r="M314" s="33"/>
      <c r="N314" s="33"/>
      <c r="O314" s="33"/>
      <c r="P314" s="33"/>
      <c r="Q314" s="33"/>
      <c r="R314" s="33"/>
      <c r="S314" s="33"/>
      <c r="T314" s="33"/>
      <c r="U314" s="33"/>
      <c r="V314" s="33"/>
      <c r="W314" s="33"/>
      <c r="X314" s="33"/>
      <c r="Y314" s="33"/>
      <c r="Z314" s="33"/>
    </row>
    <row r="315" spans="1:26" ht="13.5" customHeight="1" x14ac:dyDescent="0.35">
      <c r="A315" s="33"/>
      <c r="B315" s="33"/>
      <c r="C315" s="33"/>
      <c r="D315" s="33"/>
      <c r="E315" s="33"/>
      <c r="F315" s="33"/>
      <c r="G315" s="33"/>
      <c r="H315" s="33"/>
      <c r="I315" s="33"/>
      <c r="J315" s="33"/>
      <c r="K315" s="33"/>
      <c r="L315" s="33"/>
      <c r="M315" s="33"/>
      <c r="N315" s="33"/>
      <c r="O315" s="33"/>
      <c r="P315" s="33"/>
      <c r="Q315" s="33"/>
      <c r="R315" s="33"/>
      <c r="S315" s="33"/>
      <c r="T315" s="33"/>
      <c r="U315" s="33"/>
      <c r="V315" s="33"/>
      <c r="W315" s="33"/>
      <c r="X315" s="33"/>
      <c r="Y315" s="33"/>
      <c r="Z315" s="33"/>
    </row>
    <row r="316" spans="1:26" ht="13.5" customHeight="1" x14ac:dyDescent="0.35">
      <c r="A316" s="33"/>
      <c r="B316" s="33"/>
      <c r="C316" s="33"/>
      <c r="D316" s="33"/>
      <c r="E316" s="33"/>
      <c r="F316" s="33"/>
      <c r="G316" s="33"/>
      <c r="H316" s="33"/>
      <c r="I316" s="33"/>
      <c r="J316" s="33"/>
      <c r="K316" s="33"/>
      <c r="L316" s="33"/>
      <c r="M316" s="33"/>
      <c r="N316" s="33"/>
      <c r="O316" s="33"/>
      <c r="P316" s="33"/>
      <c r="Q316" s="33"/>
      <c r="R316" s="33"/>
      <c r="S316" s="33"/>
      <c r="T316" s="33"/>
      <c r="U316" s="33"/>
      <c r="V316" s="33"/>
      <c r="W316" s="33"/>
      <c r="X316" s="33"/>
      <c r="Y316" s="33"/>
      <c r="Z316" s="33"/>
    </row>
    <row r="317" spans="1:26" ht="13.5" customHeight="1" x14ac:dyDescent="0.35">
      <c r="A317" s="33"/>
      <c r="B317" s="33"/>
      <c r="C317" s="33"/>
      <c r="D317" s="33"/>
      <c r="E317" s="33"/>
      <c r="F317" s="33"/>
      <c r="G317" s="33"/>
      <c r="H317" s="33"/>
      <c r="I317" s="33"/>
      <c r="J317" s="33"/>
      <c r="K317" s="33"/>
      <c r="L317" s="33"/>
      <c r="M317" s="33"/>
      <c r="N317" s="33"/>
      <c r="O317" s="33"/>
      <c r="P317" s="33"/>
      <c r="Q317" s="33"/>
      <c r="R317" s="33"/>
      <c r="S317" s="33"/>
      <c r="T317" s="33"/>
      <c r="U317" s="33"/>
      <c r="V317" s="33"/>
      <c r="W317" s="33"/>
      <c r="X317" s="33"/>
      <c r="Y317" s="33"/>
      <c r="Z317" s="33"/>
    </row>
    <row r="318" spans="1:26" ht="13.5" customHeight="1" x14ac:dyDescent="0.35">
      <c r="A318" s="33"/>
      <c r="B318" s="33"/>
      <c r="C318" s="33"/>
      <c r="D318" s="33"/>
      <c r="E318" s="33"/>
      <c r="F318" s="33"/>
      <c r="G318" s="33"/>
      <c r="H318" s="33"/>
      <c r="I318" s="33"/>
      <c r="J318" s="33"/>
      <c r="K318" s="33"/>
      <c r="L318" s="33"/>
      <c r="M318" s="33"/>
      <c r="N318" s="33"/>
      <c r="O318" s="33"/>
      <c r="P318" s="33"/>
      <c r="Q318" s="33"/>
      <c r="R318" s="33"/>
      <c r="S318" s="33"/>
      <c r="T318" s="33"/>
      <c r="U318" s="33"/>
      <c r="V318" s="33"/>
      <c r="W318" s="33"/>
      <c r="X318" s="33"/>
      <c r="Y318" s="33"/>
      <c r="Z318" s="33"/>
    </row>
    <row r="319" spans="1:26" ht="13.5" customHeight="1" x14ac:dyDescent="0.35">
      <c r="A319" s="33"/>
      <c r="B319" s="33"/>
      <c r="C319" s="33"/>
      <c r="D319" s="33"/>
      <c r="E319" s="33"/>
      <c r="F319" s="33"/>
      <c r="G319" s="33"/>
      <c r="H319" s="33"/>
      <c r="I319" s="33"/>
      <c r="J319" s="33"/>
      <c r="K319" s="33"/>
      <c r="L319" s="33"/>
      <c r="M319" s="33"/>
      <c r="N319" s="33"/>
      <c r="O319" s="33"/>
      <c r="P319" s="33"/>
      <c r="Q319" s="33"/>
      <c r="R319" s="33"/>
      <c r="S319" s="33"/>
      <c r="T319" s="33"/>
      <c r="U319" s="33"/>
      <c r="V319" s="33"/>
      <c r="W319" s="33"/>
      <c r="X319" s="33"/>
      <c r="Y319" s="33"/>
      <c r="Z319" s="33"/>
    </row>
    <row r="320" spans="1:26" ht="13.5" customHeight="1" x14ac:dyDescent="0.35">
      <c r="A320" s="33"/>
      <c r="B320" s="33"/>
      <c r="C320" s="33"/>
      <c r="D320" s="33"/>
      <c r="E320" s="33"/>
      <c r="F320" s="33"/>
      <c r="G320" s="33"/>
      <c r="H320" s="33"/>
      <c r="I320" s="33"/>
      <c r="J320" s="33"/>
      <c r="K320" s="33"/>
      <c r="L320" s="33"/>
      <c r="M320" s="33"/>
      <c r="N320" s="33"/>
      <c r="O320" s="33"/>
      <c r="P320" s="33"/>
      <c r="Q320" s="33"/>
      <c r="R320" s="33"/>
      <c r="S320" s="33"/>
      <c r="T320" s="33"/>
      <c r="U320" s="33"/>
      <c r="V320" s="33"/>
      <c r="W320" s="33"/>
      <c r="X320" s="33"/>
      <c r="Y320" s="33"/>
      <c r="Z320" s="33"/>
    </row>
    <row r="321" spans="1:26" ht="13.5" customHeight="1" x14ac:dyDescent="0.35">
      <c r="A321" s="33"/>
      <c r="B321" s="33"/>
      <c r="C321" s="33"/>
      <c r="D321" s="33"/>
      <c r="E321" s="33"/>
      <c r="F321" s="33"/>
      <c r="G321" s="33"/>
      <c r="H321" s="33"/>
      <c r="I321" s="33"/>
      <c r="J321" s="33"/>
      <c r="K321" s="33"/>
      <c r="L321" s="33"/>
      <c r="M321" s="33"/>
      <c r="N321" s="33"/>
      <c r="O321" s="33"/>
      <c r="P321" s="33"/>
      <c r="Q321" s="33"/>
      <c r="R321" s="33"/>
      <c r="S321" s="33"/>
      <c r="T321" s="33"/>
      <c r="U321" s="33"/>
      <c r="V321" s="33"/>
      <c r="W321" s="33"/>
      <c r="X321" s="33"/>
      <c r="Y321" s="33"/>
      <c r="Z321" s="33"/>
    </row>
    <row r="322" spans="1:26" ht="13.5" customHeight="1" x14ac:dyDescent="0.35">
      <c r="A322" s="33"/>
      <c r="B322" s="33"/>
      <c r="C322" s="33"/>
      <c r="D322" s="33"/>
      <c r="E322" s="33"/>
      <c r="F322" s="33"/>
      <c r="G322" s="33"/>
      <c r="H322" s="33"/>
      <c r="I322" s="33"/>
      <c r="J322" s="33"/>
      <c r="K322" s="33"/>
      <c r="L322" s="33"/>
      <c r="M322" s="33"/>
      <c r="N322" s="33"/>
      <c r="O322" s="33"/>
      <c r="P322" s="33"/>
      <c r="Q322" s="33"/>
      <c r="R322" s="33"/>
      <c r="S322" s="33"/>
      <c r="T322" s="33"/>
      <c r="U322" s="33"/>
      <c r="V322" s="33"/>
      <c r="W322" s="33"/>
      <c r="X322" s="33"/>
      <c r="Y322" s="33"/>
      <c r="Z322" s="33"/>
    </row>
    <row r="323" spans="1:26" ht="13.5" customHeight="1" x14ac:dyDescent="0.35">
      <c r="A323" s="33"/>
      <c r="B323" s="33"/>
      <c r="C323" s="33"/>
      <c r="D323" s="33"/>
      <c r="E323" s="33"/>
      <c r="F323" s="33"/>
      <c r="G323" s="33"/>
      <c r="H323" s="33"/>
      <c r="I323" s="33"/>
      <c r="J323" s="33"/>
      <c r="K323" s="33"/>
      <c r="L323" s="33"/>
      <c r="M323" s="33"/>
      <c r="N323" s="33"/>
      <c r="O323" s="33"/>
      <c r="P323" s="33"/>
      <c r="Q323" s="33"/>
      <c r="R323" s="33"/>
      <c r="S323" s="33"/>
      <c r="T323" s="33"/>
      <c r="U323" s="33"/>
      <c r="V323" s="33"/>
      <c r="W323" s="33"/>
      <c r="X323" s="33"/>
      <c r="Y323" s="33"/>
      <c r="Z323" s="33"/>
    </row>
    <row r="324" spans="1:26" ht="13.5" customHeight="1" x14ac:dyDescent="0.35">
      <c r="A324" s="33"/>
      <c r="B324" s="33"/>
      <c r="C324" s="33"/>
      <c r="D324" s="33"/>
      <c r="E324" s="33"/>
      <c r="F324" s="33"/>
      <c r="G324" s="33"/>
      <c r="H324" s="33"/>
      <c r="I324" s="33"/>
      <c r="J324" s="33"/>
      <c r="K324" s="33"/>
      <c r="L324" s="33"/>
      <c r="M324" s="33"/>
      <c r="N324" s="33"/>
      <c r="O324" s="33"/>
      <c r="P324" s="33"/>
      <c r="Q324" s="33"/>
      <c r="R324" s="33"/>
      <c r="S324" s="33"/>
      <c r="T324" s="33"/>
      <c r="U324" s="33"/>
      <c r="V324" s="33"/>
      <c r="W324" s="33"/>
      <c r="X324" s="33"/>
      <c r="Y324" s="33"/>
      <c r="Z324" s="33"/>
    </row>
    <row r="325" spans="1:26" ht="13.5" customHeight="1" x14ac:dyDescent="0.35">
      <c r="A325" s="33"/>
      <c r="B325" s="33"/>
      <c r="C325" s="33"/>
      <c r="D325" s="33"/>
      <c r="E325" s="33"/>
      <c r="F325" s="33"/>
      <c r="G325" s="33"/>
      <c r="H325" s="33"/>
      <c r="I325" s="33"/>
      <c r="J325" s="33"/>
      <c r="K325" s="33"/>
      <c r="L325" s="33"/>
      <c r="M325" s="33"/>
      <c r="N325" s="33"/>
      <c r="O325" s="33"/>
      <c r="P325" s="33"/>
      <c r="Q325" s="33"/>
      <c r="R325" s="33"/>
      <c r="S325" s="33"/>
      <c r="T325" s="33"/>
      <c r="U325" s="33"/>
      <c r="V325" s="33"/>
      <c r="W325" s="33"/>
      <c r="X325" s="33"/>
      <c r="Y325" s="33"/>
      <c r="Z325" s="33"/>
    </row>
    <row r="326" spans="1:26" ht="13.5" customHeight="1" x14ac:dyDescent="0.35">
      <c r="A326" s="33"/>
      <c r="B326" s="33"/>
      <c r="C326" s="33"/>
      <c r="D326" s="33"/>
      <c r="E326" s="33"/>
      <c r="F326" s="33"/>
      <c r="G326" s="33"/>
      <c r="H326" s="33"/>
      <c r="I326" s="33"/>
      <c r="J326" s="33"/>
      <c r="K326" s="33"/>
      <c r="L326" s="33"/>
      <c r="M326" s="33"/>
      <c r="N326" s="33"/>
      <c r="O326" s="33"/>
      <c r="P326" s="33"/>
      <c r="Q326" s="33"/>
      <c r="R326" s="33"/>
      <c r="S326" s="33"/>
      <c r="T326" s="33"/>
      <c r="U326" s="33"/>
      <c r="V326" s="33"/>
      <c r="W326" s="33"/>
      <c r="X326" s="33"/>
      <c r="Y326" s="33"/>
      <c r="Z326" s="33"/>
    </row>
    <row r="327" spans="1:26" ht="13.5" customHeight="1" x14ac:dyDescent="0.35">
      <c r="A327" s="33"/>
      <c r="B327" s="33"/>
      <c r="C327" s="33"/>
      <c r="D327" s="33"/>
      <c r="E327" s="33"/>
      <c r="F327" s="33"/>
      <c r="G327" s="33"/>
      <c r="H327" s="33"/>
      <c r="I327" s="33"/>
      <c r="J327" s="33"/>
      <c r="K327" s="33"/>
      <c r="L327" s="33"/>
      <c r="M327" s="33"/>
      <c r="N327" s="33"/>
      <c r="O327" s="33"/>
      <c r="P327" s="33"/>
      <c r="Q327" s="33"/>
      <c r="R327" s="33"/>
      <c r="S327" s="33"/>
      <c r="T327" s="33"/>
      <c r="U327" s="33"/>
      <c r="V327" s="33"/>
      <c r="W327" s="33"/>
      <c r="X327" s="33"/>
      <c r="Y327" s="33"/>
      <c r="Z327" s="33"/>
    </row>
    <row r="328" spans="1:26" ht="13.5" customHeight="1" x14ac:dyDescent="0.35">
      <c r="A328" s="33"/>
      <c r="B328" s="33"/>
      <c r="C328" s="33"/>
      <c r="D328" s="33"/>
      <c r="E328" s="33"/>
      <c r="F328" s="33"/>
      <c r="G328" s="33"/>
      <c r="H328" s="33"/>
      <c r="I328" s="33"/>
      <c r="J328" s="33"/>
      <c r="K328" s="33"/>
      <c r="L328" s="33"/>
      <c r="M328" s="33"/>
      <c r="N328" s="33"/>
      <c r="O328" s="33"/>
      <c r="P328" s="33"/>
      <c r="Q328" s="33"/>
      <c r="R328" s="33"/>
      <c r="S328" s="33"/>
      <c r="T328" s="33"/>
      <c r="U328" s="33"/>
      <c r="V328" s="33"/>
      <c r="W328" s="33"/>
      <c r="X328" s="33"/>
      <c r="Y328" s="33"/>
      <c r="Z328" s="33"/>
    </row>
    <row r="329" spans="1:26" ht="13.5" customHeight="1" x14ac:dyDescent="0.35">
      <c r="A329" s="33"/>
      <c r="B329" s="33"/>
      <c r="C329" s="33"/>
      <c r="D329" s="33"/>
      <c r="E329" s="33"/>
      <c r="F329" s="33"/>
      <c r="G329" s="33"/>
      <c r="H329" s="33"/>
      <c r="I329" s="33"/>
      <c r="J329" s="33"/>
      <c r="K329" s="33"/>
      <c r="L329" s="33"/>
      <c r="M329" s="33"/>
      <c r="N329" s="33"/>
      <c r="O329" s="33"/>
      <c r="P329" s="33"/>
      <c r="Q329" s="33"/>
      <c r="R329" s="33"/>
      <c r="S329" s="33"/>
      <c r="T329" s="33"/>
      <c r="U329" s="33"/>
      <c r="V329" s="33"/>
      <c r="W329" s="33"/>
      <c r="X329" s="33"/>
      <c r="Y329" s="33"/>
      <c r="Z329" s="33"/>
    </row>
    <row r="330" spans="1:26" ht="13.5" customHeight="1" x14ac:dyDescent="0.35">
      <c r="A330" s="33"/>
      <c r="B330" s="33"/>
      <c r="C330" s="33"/>
      <c r="D330" s="33"/>
      <c r="E330" s="33"/>
      <c r="F330" s="33"/>
      <c r="G330" s="33"/>
      <c r="H330" s="33"/>
      <c r="I330" s="33"/>
      <c r="J330" s="33"/>
      <c r="K330" s="33"/>
      <c r="L330" s="33"/>
      <c r="M330" s="33"/>
      <c r="N330" s="33"/>
      <c r="O330" s="33"/>
      <c r="P330" s="33"/>
      <c r="Q330" s="33"/>
      <c r="R330" s="33"/>
      <c r="S330" s="33"/>
      <c r="T330" s="33"/>
      <c r="U330" s="33"/>
      <c r="V330" s="33"/>
      <c r="W330" s="33"/>
      <c r="X330" s="33"/>
      <c r="Y330" s="33"/>
      <c r="Z330" s="33"/>
    </row>
    <row r="331" spans="1:26" ht="13.5" customHeight="1" x14ac:dyDescent="0.35">
      <c r="A331" s="33"/>
      <c r="B331" s="33"/>
      <c r="C331" s="33"/>
      <c r="D331" s="33"/>
      <c r="E331" s="33"/>
      <c r="F331" s="33"/>
      <c r="G331" s="33"/>
      <c r="H331" s="33"/>
      <c r="I331" s="33"/>
      <c r="J331" s="33"/>
      <c r="K331" s="33"/>
      <c r="L331" s="33"/>
      <c r="M331" s="33"/>
      <c r="N331" s="33"/>
      <c r="O331" s="33"/>
      <c r="P331" s="33"/>
      <c r="Q331" s="33"/>
      <c r="R331" s="33"/>
      <c r="S331" s="33"/>
      <c r="T331" s="33"/>
      <c r="U331" s="33"/>
      <c r="V331" s="33"/>
      <c r="W331" s="33"/>
      <c r="X331" s="33"/>
      <c r="Y331" s="33"/>
      <c r="Z331" s="33"/>
    </row>
    <row r="332" spans="1:26" ht="13.5" customHeight="1" x14ac:dyDescent="0.35">
      <c r="A332" s="33"/>
      <c r="B332" s="33"/>
      <c r="C332" s="33"/>
      <c r="D332" s="33"/>
      <c r="E332" s="33"/>
      <c r="F332" s="33"/>
      <c r="G332" s="33"/>
      <c r="H332" s="33"/>
      <c r="I332" s="33"/>
      <c r="J332" s="33"/>
      <c r="K332" s="33"/>
      <c r="L332" s="33"/>
      <c r="M332" s="33"/>
      <c r="N332" s="33"/>
      <c r="O332" s="33"/>
      <c r="P332" s="33"/>
      <c r="Q332" s="33"/>
      <c r="R332" s="33"/>
      <c r="S332" s="33"/>
      <c r="T332" s="33"/>
      <c r="U332" s="33"/>
      <c r="V332" s="33"/>
      <c r="W332" s="33"/>
      <c r="X332" s="33"/>
      <c r="Y332" s="33"/>
      <c r="Z332" s="33"/>
    </row>
    <row r="333" spans="1:26" ht="13.5" customHeight="1" x14ac:dyDescent="0.35">
      <c r="A333" s="33"/>
      <c r="B333" s="33"/>
      <c r="C333" s="33"/>
      <c r="D333" s="33"/>
      <c r="E333" s="33"/>
      <c r="F333" s="33"/>
      <c r="G333" s="33"/>
      <c r="H333" s="33"/>
      <c r="I333" s="33"/>
      <c r="J333" s="33"/>
      <c r="K333" s="33"/>
      <c r="L333" s="33"/>
      <c r="M333" s="33"/>
      <c r="N333" s="33"/>
      <c r="O333" s="33"/>
      <c r="P333" s="33"/>
      <c r="Q333" s="33"/>
      <c r="R333" s="33"/>
      <c r="S333" s="33"/>
      <c r="T333" s="33"/>
      <c r="U333" s="33"/>
      <c r="V333" s="33"/>
      <c r="W333" s="33"/>
      <c r="X333" s="33"/>
      <c r="Y333" s="33"/>
      <c r="Z333" s="33"/>
    </row>
    <row r="334" spans="1:26" ht="13.5" customHeight="1" x14ac:dyDescent="0.35">
      <c r="A334" s="33"/>
      <c r="B334" s="33"/>
      <c r="C334" s="33"/>
      <c r="D334" s="33"/>
      <c r="E334" s="33"/>
      <c r="F334" s="33"/>
      <c r="G334" s="33"/>
      <c r="H334" s="33"/>
      <c r="I334" s="33"/>
      <c r="J334" s="33"/>
      <c r="K334" s="33"/>
      <c r="L334" s="33"/>
      <c r="M334" s="33"/>
      <c r="N334" s="33"/>
      <c r="O334" s="33"/>
      <c r="P334" s="33"/>
      <c r="Q334" s="33"/>
      <c r="R334" s="33"/>
      <c r="S334" s="33"/>
      <c r="T334" s="33"/>
      <c r="U334" s="33"/>
      <c r="V334" s="33"/>
      <c r="W334" s="33"/>
      <c r="X334" s="33"/>
      <c r="Y334" s="33"/>
      <c r="Z334" s="33"/>
    </row>
    <row r="335" spans="1:26" ht="13.5" customHeight="1" x14ac:dyDescent="0.35">
      <c r="A335" s="33"/>
      <c r="B335" s="33"/>
      <c r="C335" s="33"/>
      <c r="D335" s="33"/>
      <c r="E335" s="33"/>
      <c r="F335" s="33"/>
      <c r="G335" s="33"/>
      <c r="H335" s="33"/>
      <c r="I335" s="33"/>
      <c r="J335" s="33"/>
      <c r="K335" s="33"/>
      <c r="L335" s="33"/>
      <c r="M335" s="33"/>
      <c r="N335" s="33"/>
      <c r="O335" s="33"/>
      <c r="P335" s="33"/>
      <c r="Q335" s="33"/>
      <c r="R335" s="33"/>
      <c r="S335" s="33"/>
      <c r="T335" s="33"/>
      <c r="U335" s="33"/>
      <c r="V335" s="33"/>
      <c r="W335" s="33"/>
      <c r="X335" s="33"/>
      <c r="Y335" s="33"/>
      <c r="Z335" s="33"/>
    </row>
    <row r="336" spans="1:26" ht="13.5" customHeight="1" x14ac:dyDescent="0.35">
      <c r="A336" s="33"/>
      <c r="B336" s="33"/>
      <c r="C336" s="33"/>
      <c r="D336" s="33"/>
      <c r="E336" s="33"/>
      <c r="F336" s="33"/>
      <c r="G336" s="33"/>
      <c r="H336" s="33"/>
      <c r="I336" s="33"/>
      <c r="J336" s="33"/>
      <c r="K336" s="33"/>
      <c r="L336" s="33"/>
      <c r="M336" s="33"/>
      <c r="N336" s="33"/>
      <c r="O336" s="33"/>
      <c r="P336" s="33"/>
      <c r="Q336" s="33"/>
      <c r="R336" s="33"/>
      <c r="S336" s="33"/>
      <c r="T336" s="33"/>
      <c r="U336" s="33"/>
      <c r="V336" s="33"/>
      <c r="W336" s="33"/>
      <c r="X336" s="33"/>
      <c r="Y336" s="33"/>
      <c r="Z336" s="33"/>
    </row>
    <row r="337" spans="1:26" ht="13.5" customHeight="1" x14ac:dyDescent="0.35">
      <c r="A337" s="33"/>
      <c r="B337" s="33"/>
      <c r="C337" s="33"/>
      <c r="D337" s="33"/>
      <c r="E337" s="33"/>
      <c r="F337" s="33"/>
      <c r="G337" s="33"/>
      <c r="H337" s="33"/>
      <c r="I337" s="33"/>
      <c r="J337" s="33"/>
      <c r="K337" s="33"/>
      <c r="L337" s="33"/>
      <c r="M337" s="33"/>
      <c r="N337" s="33"/>
      <c r="O337" s="33"/>
      <c r="P337" s="33"/>
      <c r="Q337" s="33"/>
      <c r="R337" s="33"/>
      <c r="S337" s="33"/>
      <c r="T337" s="33"/>
      <c r="U337" s="33"/>
      <c r="V337" s="33"/>
      <c r="W337" s="33"/>
      <c r="X337" s="33"/>
      <c r="Y337" s="33"/>
      <c r="Z337" s="33"/>
    </row>
    <row r="338" spans="1:26" ht="13.5" customHeight="1" x14ac:dyDescent="0.35">
      <c r="A338" s="33"/>
      <c r="B338" s="33"/>
      <c r="C338" s="33"/>
      <c r="D338" s="33"/>
      <c r="E338" s="33"/>
      <c r="F338" s="33"/>
      <c r="G338" s="33"/>
      <c r="H338" s="33"/>
      <c r="I338" s="33"/>
      <c r="J338" s="33"/>
      <c r="K338" s="33"/>
      <c r="L338" s="33"/>
      <c r="M338" s="33"/>
      <c r="N338" s="33"/>
      <c r="O338" s="33"/>
      <c r="P338" s="33"/>
      <c r="Q338" s="33"/>
      <c r="R338" s="33"/>
      <c r="S338" s="33"/>
      <c r="T338" s="33"/>
      <c r="U338" s="33"/>
      <c r="V338" s="33"/>
      <c r="W338" s="33"/>
      <c r="X338" s="33"/>
      <c r="Y338" s="33"/>
      <c r="Z338" s="33"/>
    </row>
    <row r="339" spans="1:26" ht="13.5" customHeight="1" x14ac:dyDescent="0.35">
      <c r="A339" s="33"/>
      <c r="B339" s="33"/>
      <c r="C339" s="33"/>
      <c r="D339" s="33"/>
      <c r="E339" s="33"/>
      <c r="F339" s="33"/>
      <c r="G339" s="33"/>
      <c r="H339" s="33"/>
      <c r="I339" s="33"/>
      <c r="J339" s="33"/>
      <c r="K339" s="33"/>
      <c r="L339" s="33"/>
      <c r="M339" s="33"/>
      <c r="N339" s="33"/>
      <c r="O339" s="33"/>
      <c r="P339" s="33"/>
      <c r="Q339" s="33"/>
      <c r="R339" s="33"/>
      <c r="S339" s="33"/>
      <c r="T339" s="33"/>
      <c r="U339" s="33"/>
      <c r="V339" s="33"/>
      <c r="W339" s="33"/>
      <c r="X339" s="33"/>
      <c r="Y339" s="33"/>
      <c r="Z339" s="33"/>
    </row>
    <row r="340" spans="1:26" ht="13.5" customHeight="1" x14ac:dyDescent="0.35">
      <c r="A340" s="33"/>
      <c r="B340" s="33"/>
      <c r="C340" s="33"/>
      <c r="D340" s="33"/>
      <c r="E340" s="33"/>
      <c r="F340" s="33"/>
      <c r="G340" s="33"/>
      <c r="H340" s="33"/>
      <c r="I340" s="33"/>
      <c r="J340" s="33"/>
      <c r="K340" s="33"/>
      <c r="L340" s="33"/>
      <c r="M340" s="33"/>
      <c r="N340" s="33"/>
      <c r="O340" s="33"/>
      <c r="P340" s="33"/>
      <c r="Q340" s="33"/>
      <c r="R340" s="33"/>
      <c r="S340" s="33"/>
      <c r="T340" s="33"/>
      <c r="U340" s="33"/>
      <c r="V340" s="33"/>
      <c r="W340" s="33"/>
      <c r="X340" s="33"/>
      <c r="Y340" s="33"/>
      <c r="Z340" s="33"/>
    </row>
    <row r="341" spans="1:26" ht="13.5" customHeight="1" x14ac:dyDescent="0.35">
      <c r="A341" s="33"/>
      <c r="B341" s="33"/>
      <c r="C341" s="33"/>
      <c r="D341" s="33"/>
      <c r="E341" s="33"/>
      <c r="F341" s="33"/>
      <c r="G341" s="33"/>
      <c r="H341" s="33"/>
      <c r="I341" s="33"/>
      <c r="J341" s="33"/>
      <c r="K341" s="33"/>
      <c r="L341" s="33"/>
      <c r="M341" s="33"/>
      <c r="N341" s="33"/>
      <c r="O341" s="33"/>
      <c r="P341" s="33"/>
      <c r="Q341" s="33"/>
      <c r="R341" s="33"/>
      <c r="S341" s="33"/>
      <c r="T341" s="33"/>
      <c r="U341" s="33"/>
      <c r="V341" s="33"/>
      <c r="W341" s="33"/>
      <c r="X341" s="33"/>
      <c r="Y341" s="33"/>
      <c r="Z341" s="33"/>
    </row>
    <row r="342" spans="1:26" ht="13.5" customHeight="1" x14ac:dyDescent="0.35">
      <c r="A342" s="33"/>
      <c r="B342" s="33"/>
      <c r="C342" s="33"/>
      <c r="D342" s="33"/>
      <c r="E342" s="33"/>
      <c r="F342" s="33"/>
      <c r="G342" s="33"/>
      <c r="H342" s="33"/>
      <c r="I342" s="33"/>
      <c r="J342" s="33"/>
      <c r="K342" s="33"/>
      <c r="L342" s="33"/>
      <c r="M342" s="33"/>
      <c r="N342" s="33"/>
      <c r="O342" s="33"/>
      <c r="P342" s="33"/>
      <c r="Q342" s="33"/>
      <c r="R342" s="33"/>
      <c r="S342" s="33"/>
      <c r="T342" s="33"/>
      <c r="U342" s="33"/>
      <c r="V342" s="33"/>
      <c r="W342" s="33"/>
      <c r="X342" s="33"/>
      <c r="Y342" s="33"/>
      <c r="Z342" s="33"/>
    </row>
    <row r="343" spans="1:26" ht="13.5" customHeight="1" x14ac:dyDescent="0.35">
      <c r="A343" s="33"/>
      <c r="B343" s="33"/>
      <c r="C343" s="33"/>
      <c r="D343" s="33"/>
      <c r="E343" s="33"/>
      <c r="F343" s="33"/>
      <c r="G343" s="33"/>
      <c r="H343" s="33"/>
      <c r="I343" s="33"/>
      <c r="J343" s="33"/>
      <c r="K343" s="33"/>
      <c r="L343" s="33"/>
      <c r="M343" s="33"/>
      <c r="N343" s="33"/>
      <c r="O343" s="33"/>
      <c r="P343" s="33"/>
      <c r="Q343" s="33"/>
      <c r="R343" s="33"/>
      <c r="S343" s="33"/>
      <c r="T343" s="33"/>
      <c r="U343" s="33"/>
      <c r="V343" s="33"/>
      <c r="W343" s="33"/>
      <c r="X343" s="33"/>
      <c r="Y343" s="33"/>
      <c r="Z343" s="33"/>
    </row>
    <row r="344" spans="1:26" ht="13.5" customHeight="1" x14ac:dyDescent="0.35">
      <c r="A344" s="33"/>
      <c r="B344" s="33"/>
      <c r="C344" s="33"/>
      <c r="D344" s="33"/>
      <c r="E344" s="33"/>
      <c r="F344" s="33"/>
      <c r="G344" s="33"/>
      <c r="H344" s="33"/>
      <c r="I344" s="33"/>
      <c r="J344" s="33"/>
      <c r="K344" s="33"/>
      <c r="L344" s="33"/>
      <c r="M344" s="33"/>
      <c r="N344" s="33"/>
      <c r="O344" s="33"/>
      <c r="P344" s="33"/>
      <c r="Q344" s="33"/>
      <c r="R344" s="33"/>
      <c r="S344" s="33"/>
      <c r="T344" s="33"/>
      <c r="U344" s="33"/>
      <c r="V344" s="33"/>
      <c r="W344" s="33"/>
      <c r="X344" s="33"/>
      <c r="Y344" s="33"/>
      <c r="Z344" s="33"/>
    </row>
    <row r="345" spans="1:26" ht="13.5" customHeight="1" x14ac:dyDescent="0.35">
      <c r="A345" s="33"/>
      <c r="B345" s="33"/>
      <c r="C345" s="33"/>
      <c r="D345" s="33"/>
      <c r="E345" s="33"/>
      <c r="F345" s="33"/>
      <c r="G345" s="33"/>
      <c r="H345" s="33"/>
      <c r="I345" s="33"/>
      <c r="J345" s="33"/>
      <c r="K345" s="33"/>
      <c r="L345" s="33"/>
      <c r="M345" s="33"/>
      <c r="N345" s="33"/>
      <c r="O345" s="33"/>
      <c r="P345" s="33"/>
      <c r="Q345" s="33"/>
      <c r="R345" s="33"/>
      <c r="S345" s="33"/>
      <c r="T345" s="33"/>
      <c r="U345" s="33"/>
      <c r="V345" s="33"/>
      <c r="W345" s="33"/>
      <c r="X345" s="33"/>
      <c r="Y345" s="33"/>
      <c r="Z345" s="33"/>
    </row>
    <row r="346" spans="1:26" ht="13.5" customHeight="1" x14ac:dyDescent="0.35">
      <c r="A346" s="33"/>
      <c r="B346" s="33"/>
      <c r="C346" s="33"/>
      <c r="D346" s="33"/>
      <c r="E346" s="33"/>
      <c r="F346" s="33"/>
      <c r="G346" s="33"/>
      <c r="H346" s="33"/>
      <c r="I346" s="33"/>
      <c r="J346" s="33"/>
      <c r="K346" s="33"/>
      <c r="L346" s="33"/>
      <c r="M346" s="33"/>
      <c r="N346" s="33"/>
      <c r="O346" s="33"/>
      <c r="P346" s="33"/>
      <c r="Q346" s="33"/>
      <c r="R346" s="33"/>
      <c r="S346" s="33"/>
      <c r="T346" s="33"/>
      <c r="U346" s="33"/>
      <c r="V346" s="33"/>
      <c r="W346" s="33"/>
      <c r="X346" s="33"/>
      <c r="Y346" s="33"/>
      <c r="Z346" s="33"/>
    </row>
    <row r="347" spans="1:26" ht="13.5" customHeight="1" x14ac:dyDescent="0.35">
      <c r="A347" s="33"/>
      <c r="B347" s="33"/>
      <c r="C347" s="33"/>
      <c r="D347" s="33"/>
      <c r="E347" s="33"/>
      <c r="F347" s="33"/>
      <c r="G347" s="33"/>
      <c r="H347" s="33"/>
      <c r="I347" s="33"/>
      <c r="J347" s="33"/>
      <c r="K347" s="33"/>
      <c r="L347" s="33"/>
      <c r="M347" s="33"/>
      <c r="N347" s="33"/>
      <c r="O347" s="33"/>
      <c r="P347" s="33"/>
      <c r="Q347" s="33"/>
      <c r="R347" s="33"/>
      <c r="S347" s="33"/>
      <c r="T347" s="33"/>
      <c r="U347" s="33"/>
      <c r="V347" s="33"/>
      <c r="W347" s="33"/>
      <c r="X347" s="33"/>
      <c r="Y347" s="33"/>
      <c r="Z347" s="33"/>
    </row>
    <row r="348" spans="1:26" ht="13.5" customHeight="1" x14ac:dyDescent="0.35">
      <c r="A348" s="33"/>
      <c r="B348" s="33"/>
      <c r="C348" s="33"/>
      <c r="D348" s="33"/>
      <c r="E348" s="33"/>
      <c r="F348" s="33"/>
      <c r="G348" s="33"/>
      <c r="H348" s="33"/>
      <c r="I348" s="33"/>
      <c r="J348" s="33"/>
      <c r="K348" s="33"/>
      <c r="L348" s="33"/>
      <c r="M348" s="33"/>
      <c r="N348" s="33"/>
      <c r="O348" s="33"/>
      <c r="P348" s="33"/>
      <c r="Q348" s="33"/>
      <c r="R348" s="33"/>
      <c r="S348" s="33"/>
      <c r="T348" s="33"/>
      <c r="U348" s="33"/>
      <c r="V348" s="33"/>
      <c r="W348" s="33"/>
      <c r="X348" s="33"/>
      <c r="Y348" s="33"/>
      <c r="Z348" s="33"/>
    </row>
    <row r="349" spans="1:26" ht="13.5" customHeight="1" x14ac:dyDescent="0.35">
      <c r="A349" s="33"/>
      <c r="B349" s="33"/>
      <c r="C349" s="33"/>
      <c r="D349" s="33"/>
      <c r="E349" s="33"/>
      <c r="F349" s="33"/>
      <c r="G349" s="33"/>
      <c r="H349" s="33"/>
      <c r="I349" s="33"/>
      <c r="J349" s="33"/>
      <c r="K349" s="33"/>
      <c r="L349" s="33"/>
      <c r="M349" s="33"/>
      <c r="N349" s="33"/>
      <c r="O349" s="33"/>
      <c r="P349" s="33"/>
      <c r="Q349" s="33"/>
      <c r="R349" s="33"/>
      <c r="S349" s="33"/>
      <c r="T349" s="33"/>
      <c r="U349" s="33"/>
      <c r="V349" s="33"/>
      <c r="W349" s="33"/>
      <c r="X349" s="33"/>
      <c r="Y349" s="33"/>
      <c r="Z349" s="33"/>
    </row>
    <row r="350" spans="1:26" ht="13.5" customHeight="1" x14ac:dyDescent="0.35">
      <c r="A350" s="33"/>
      <c r="B350" s="33"/>
      <c r="C350" s="33"/>
      <c r="D350" s="33"/>
      <c r="E350" s="33"/>
      <c r="F350" s="33"/>
      <c r="G350" s="33"/>
      <c r="H350" s="33"/>
      <c r="I350" s="33"/>
      <c r="J350" s="33"/>
      <c r="K350" s="33"/>
      <c r="L350" s="33"/>
      <c r="M350" s="33"/>
      <c r="N350" s="33"/>
      <c r="O350" s="33"/>
      <c r="P350" s="33"/>
      <c r="Q350" s="33"/>
      <c r="R350" s="33"/>
      <c r="S350" s="33"/>
      <c r="T350" s="33"/>
      <c r="U350" s="33"/>
      <c r="V350" s="33"/>
      <c r="W350" s="33"/>
      <c r="X350" s="33"/>
      <c r="Y350" s="33"/>
      <c r="Z350" s="33"/>
    </row>
    <row r="351" spans="1:26" ht="13.5" customHeight="1" x14ac:dyDescent="0.35">
      <c r="A351" s="33"/>
      <c r="B351" s="33"/>
      <c r="C351" s="33"/>
      <c r="D351" s="33"/>
      <c r="E351" s="33"/>
      <c r="F351" s="33"/>
      <c r="G351" s="33"/>
      <c r="H351" s="33"/>
      <c r="I351" s="33"/>
      <c r="J351" s="33"/>
      <c r="K351" s="33"/>
      <c r="L351" s="33"/>
      <c r="M351" s="33"/>
      <c r="N351" s="33"/>
      <c r="O351" s="33"/>
      <c r="P351" s="33"/>
      <c r="Q351" s="33"/>
      <c r="R351" s="33"/>
      <c r="S351" s="33"/>
      <c r="T351" s="33"/>
      <c r="U351" s="33"/>
      <c r="V351" s="33"/>
      <c r="W351" s="33"/>
      <c r="X351" s="33"/>
      <c r="Y351" s="33"/>
      <c r="Z351" s="33"/>
    </row>
    <row r="352" spans="1:26" ht="13.5" customHeight="1" x14ac:dyDescent="0.35">
      <c r="A352" s="33"/>
      <c r="B352" s="33"/>
      <c r="C352" s="33"/>
      <c r="D352" s="33"/>
      <c r="E352" s="33"/>
      <c r="F352" s="33"/>
      <c r="G352" s="33"/>
      <c r="H352" s="33"/>
      <c r="I352" s="33"/>
      <c r="J352" s="33"/>
      <c r="K352" s="33"/>
      <c r="L352" s="33"/>
      <c r="M352" s="33"/>
      <c r="N352" s="33"/>
      <c r="O352" s="33"/>
      <c r="P352" s="33"/>
      <c r="Q352" s="33"/>
      <c r="R352" s="33"/>
      <c r="S352" s="33"/>
      <c r="T352" s="33"/>
      <c r="U352" s="33"/>
      <c r="V352" s="33"/>
      <c r="W352" s="33"/>
      <c r="X352" s="33"/>
      <c r="Y352" s="33"/>
      <c r="Z352" s="33"/>
    </row>
    <row r="353" spans="1:26" ht="13.5" customHeight="1" x14ac:dyDescent="0.35">
      <c r="A353" s="33"/>
      <c r="B353" s="33"/>
      <c r="C353" s="33"/>
      <c r="D353" s="33"/>
      <c r="E353" s="33"/>
      <c r="F353" s="33"/>
      <c r="G353" s="33"/>
      <c r="H353" s="33"/>
      <c r="I353" s="33"/>
      <c r="J353" s="33"/>
      <c r="K353" s="33"/>
      <c r="L353" s="33"/>
      <c r="M353" s="33"/>
      <c r="N353" s="33"/>
      <c r="O353" s="33"/>
      <c r="P353" s="33"/>
      <c r="Q353" s="33"/>
      <c r="R353" s="33"/>
      <c r="S353" s="33"/>
      <c r="T353" s="33"/>
      <c r="U353" s="33"/>
      <c r="V353" s="33"/>
      <c r="W353" s="33"/>
      <c r="X353" s="33"/>
      <c r="Y353" s="33"/>
      <c r="Z353" s="33"/>
    </row>
    <row r="354" spans="1:26" ht="13.5" customHeight="1" x14ac:dyDescent="0.35">
      <c r="A354" s="33"/>
      <c r="B354" s="33"/>
      <c r="C354" s="33"/>
      <c r="D354" s="33"/>
      <c r="E354" s="33"/>
      <c r="F354" s="33"/>
      <c r="G354" s="33"/>
      <c r="H354" s="33"/>
      <c r="I354" s="33"/>
      <c r="J354" s="33"/>
      <c r="K354" s="33"/>
      <c r="L354" s="33"/>
      <c r="M354" s="33"/>
      <c r="N354" s="33"/>
      <c r="O354" s="33"/>
      <c r="P354" s="33"/>
      <c r="Q354" s="33"/>
      <c r="R354" s="33"/>
      <c r="S354" s="33"/>
      <c r="T354" s="33"/>
      <c r="U354" s="33"/>
      <c r="V354" s="33"/>
      <c r="W354" s="33"/>
      <c r="X354" s="33"/>
      <c r="Y354" s="33"/>
      <c r="Z354" s="33"/>
    </row>
    <row r="355" spans="1:26" ht="13.5" customHeight="1" x14ac:dyDescent="0.35">
      <c r="A355" s="33"/>
      <c r="B355" s="33"/>
      <c r="C355" s="33"/>
      <c r="D355" s="33"/>
      <c r="E355" s="33"/>
      <c r="F355" s="33"/>
      <c r="G355" s="33"/>
      <c r="H355" s="33"/>
      <c r="I355" s="33"/>
      <c r="J355" s="33"/>
      <c r="K355" s="33"/>
      <c r="L355" s="33"/>
      <c r="M355" s="33"/>
      <c r="N355" s="33"/>
      <c r="O355" s="33"/>
      <c r="P355" s="33"/>
      <c r="Q355" s="33"/>
      <c r="R355" s="33"/>
      <c r="S355" s="33"/>
      <c r="T355" s="33"/>
      <c r="U355" s="33"/>
      <c r="V355" s="33"/>
      <c r="W355" s="33"/>
      <c r="X355" s="33"/>
      <c r="Y355" s="33"/>
      <c r="Z355" s="33"/>
    </row>
    <row r="356" spans="1:26" ht="13.5" customHeight="1" x14ac:dyDescent="0.35">
      <c r="A356" s="33"/>
      <c r="B356" s="33"/>
      <c r="C356" s="33"/>
      <c r="D356" s="33"/>
      <c r="E356" s="33"/>
      <c r="F356" s="33"/>
      <c r="G356" s="33"/>
      <c r="H356" s="33"/>
      <c r="I356" s="33"/>
      <c r="J356" s="33"/>
      <c r="K356" s="33"/>
      <c r="L356" s="33"/>
      <c r="M356" s="33"/>
      <c r="N356" s="33"/>
      <c r="O356" s="33"/>
      <c r="P356" s="33"/>
      <c r="Q356" s="33"/>
      <c r="R356" s="33"/>
      <c r="S356" s="33"/>
      <c r="T356" s="33"/>
      <c r="U356" s="33"/>
      <c r="V356" s="33"/>
      <c r="W356" s="33"/>
      <c r="X356" s="33"/>
      <c r="Y356" s="33"/>
      <c r="Z356" s="33"/>
    </row>
    <row r="357" spans="1:26" ht="13.5" customHeight="1" x14ac:dyDescent="0.35">
      <c r="A357" s="33"/>
      <c r="B357" s="33"/>
      <c r="C357" s="33"/>
      <c r="D357" s="33"/>
      <c r="E357" s="33"/>
      <c r="F357" s="33"/>
      <c r="G357" s="33"/>
      <c r="H357" s="33"/>
      <c r="I357" s="33"/>
      <c r="J357" s="33"/>
      <c r="K357" s="33"/>
      <c r="L357" s="33"/>
      <c r="M357" s="33"/>
      <c r="N357" s="33"/>
      <c r="O357" s="33"/>
      <c r="P357" s="33"/>
      <c r="Q357" s="33"/>
      <c r="R357" s="33"/>
      <c r="S357" s="33"/>
      <c r="T357" s="33"/>
      <c r="U357" s="33"/>
      <c r="V357" s="33"/>
      <c r="W357" s="33"/>
      <c r="X357" s="33"/>
      <c r="Y357" s="33"/>
      <c r="Z357" s="33"/>
    </row>
    <row r="358" spans="1:26" ht="13.5" customHeight="1" x14ac:dyDescent="0.35">
      <c r="A358" s="33"/>
      <c r="B358" s="33"/>
      <c r="C358" s="33"/>
      <c r="D358" s="33"/>
      <c r="E358" s="33"/>
      <c r="F358" s="33"/>
      <c r="G358" s="33"/>
      <c r="H358" s="33"/>
      <c r="I358" s="33"/>
      <c r="J358" s="33"/>
      <c r="K358" s="33"/>
      <c r="L358" s="33"/>
      <c r="M358" s="33"/>
      <c r="N358" s="33"/>
      <c r="O358" s="33"/>
      <c r="P358" s="33"/>
      <c r="Q358" s="33"/>
      <c r="R358" s="33"/>
      <c r="S358" s="33"/>
      <c r="T358" s="33"/>
      <c r="U358" s="33"/>
      <c r="V358" s="33"/>
      <c r="W358" s="33"/>
      <c r="X358" s="33"/>
      <c r="Y358" s="33"/>
      <c r="Z358" s="33"/>
    </row>
    <row r="359" spans="1:26" ht="13.5" customHeight="1" x14ac:dyDescent="0.35">
      <c r="A359" s="33"/>
      <c r="B359" s="33"/>
      <c r="C359" s="33"/>
      <c r="D359" s="33"/>
      <c r="E359" s="33"/>
      <c r="F359" s="33"/>
      <c r="G359" s="33"/>
      <c r="H359" s="33"/>
      <c r="I359" s="33"/>
      <c r="J359" s="33"/>
      <c r="K359" s="33"/>
      <c r="L359" s="33"/>
      <c r="M359" s="33"/>
      <c r="N359" s="33"/>
      <c r="O359" s="33"/>
      <c r="P359" s="33"/>
      <c r="Q359" s="33"/>
      <c r="R359" s="33"/>
      <c r="S359" s="33"/>
      <c r="T359" s="33"/>
      <c r="U359" s="33"/>
      <c r="V359" s="33"/>
      <c r="W359" s="33"/>
      <c r="X359" s="33"/>
      <c r="Y359" s="33"/>
      <c r="Z359" s="33"/>
    </row>
    <row r="360" spans="1:26" ht="13.5" customHeight="1" x14ac:dyDescent="0.35">
      <c r="A360" s="33"/>
      <c r="B360" s="33"/>
      <c r="C360" s="33"/>
      <c r="D360" s="33"/>
      <c r="E360" s="33"/>
      <c r="F360" s="33"/>
      <c r="G360" s="33"/>
      <c r="H360" s="33"/>
      <c r="I360" s="33"/>
      <c r="J360" s="33"/>
      <c r="K360" s="33"/>
      <c r="L360" s="33"/>
      <c r="M360" s="33"/>
      <c r="N360" s="33"/>
      <c r="O360" s="33"/>
      <c r="P360" s="33"/>
      <c r="Q360" s="33"/>
      <c r="R360" s="33"/>
      <c r="S360" s="33"/>
      <c r="T360" s="33"/>
      <c r="U360" s="33"/>
      <c r="V360" s="33"/>
      <c r="W360" s="33"/>
      <c r="X360" s="33"/>
      <c r="Y360" s="33"/>
      <c r="Z360" s="33"/>
    </row>
    <row r="361" spans="1:26" ht="13.5" customHeight="1" x14ac:dyDescent="0.35">
      <c r="A361" s="33"/>
      <c r="B361" s="33"/>
      <c r="C361" s="33"/>
      <c r="D361" s="33"/>
      <c r="E361" s="33"/>
      <c r="F361" s="33"/>
      <c r="G361" s="33"/>
      <c r="H361" s="33"/>
      <c r="I361" s="33"/>
      <c r="J361" s="33"/>
      <c r="K361" s="33"/>
      <c r="L361" s="33"/>
      <c r="M361" s="33"/>
      <c r="N361" s="33"/>
      <c r="O361" s="33"/>
      <c r="P361" s="33"/>
      <c r="Q361" s="33"/>
      <c r="R361" s="33"/>
      <c r="S361" s="33"/>
      <c r="T361" s="33"/>
      <c r="U361" s="33"/>
      <c r="V361" s="33"/>
      <c r="W361" s="33"/>
      <c r="X361" s="33"/>
      <c r="Y361" s="33"/>
      <c r="Z361" s="33"/>
    </row>
    <row r="362" spans="1:26" ht="13.5" customHeight="1" x14ac:dyDescent="0.35">
      <c r="A362" s="33"/>
      <c r="B362" s="33"/>
      <c r="C362" s="33"/>
      <c r="D362" s="33"/>
      <c r="E362" s="33"/>
      <c r="F362" s="33"/>
      <c r="G362" s="33"/>
      <c r="H362" s="33"/>
      <c r="I362" s="33"/>
      <c r="J362" s="33"/>
      <c r="K362" s="33"/>
      <c r="L362" s="33"/>
      <c r="M362" s="33"/>
      <c r="N362" s="33"/>
      <c r="O362" s="33"/>
      <c r="P362" s="33"/>
      <c r="Q362" s="33"/>
      <c r="R362" s="33"/>
      <c r="S362" s="33"/>
      <c r="T362" s="33"/>
      <c r="U362" s="33"/>
      <c r="V362" s="33"/>
      <c r="W362" s="33"/>
      <c r="X362" s="33"/>
      <c r="Y362" s="33"/>
      <c r="Z362" s="33"/>
    </row>
    <row r="363" spans="1:26" ht="13.5" customHeight="1" x14ac:dyDescent="0.35">
      <c r="A363" s="33"/>
      <c r="B363" s="33"/>
      <c r="C363" s="33"/>
      <c r="D363" s="33"/>
      <c r="E363" s="33"/>
      <c r="F363" s="33"/>
      <c r="G363" s="33"/>
      <c r="H363" s="33"/>
      <c r="I363" s="33"/>
      <c r="J363" s="33"/>
      <c r="K363" s="33"/>
      <c r="L363" s="33"/>
      <c r="M363" s="33"/>
      <c r="N363" s="33"/>
      <c r="O363" s="33"/>
      <c r="P363" s="33"/>
      <c r="Q363" s="33"/>
      <c r="R363" s="33"/>
      <c r="S363" s="33"/>
      <c r="T363" s="33"/>
      <c r="U363" s="33"/>
      <c r="V363" s="33"/>
      <c r="W363" s="33"/>
      <c r="X363" s="33"/>
      <c r="Y363" s="33"/>
      <c r="Z363" s="33"/>
    </row>
    <row r="364" spans="1:26" ht="13.5" customHeight="1" x14ac:dyDescent="0.35">
      <c r="A364" s="33"/>
      <c r="B364" s="33"/>
      <c r="C364" s="33"/>
      <c r="D364" s="33"/>
      <c r="E364" s="33"/>
      <c r="F364" s="33"/>
      <c r="G364" s="33"/>
      <c r="H364" s="33"/>
      <c r="I364" s="33"/>
      <c r="J364" s="33"/>
      <c r="K364" s="33"/>
      <c r="L364" s="33"/>
      <c r="M364" s="33"/>
      <c r="N364" s="33"/>
      <c r="O364" s="33"/>
      <c r="P364" s="33"/>
      <c r="Q364" s="33"/>
      <c r="R364" s="33"/>
      <c r="S364" s="33"/>
      <c r="T364" s="33"/>
      <c r="U364" s="33"/>
      <c r="V364" s="33"/>
      <c r="W364" s="33"/>
      <c r="X364" s="33"/>
      <c r="Y364" s="33"/>
      <c r="Z364" s="33"/>
    </row>
    <row r="365" spans="1:26" ht="13.5" customHeight="1" x14ac:dyDescent="0.35">
      <c r="A365" s="33"/>
      <c r="B365" s="33"/>
      <c r="C365" s="33"/>
      <c r="D365" s="33"/>
      <c r="E365" s="33"/>
      <c r="F365" s="33"/>
      <c r="G365" s="33"/>
      <c r="H365" s="33"/>
      <c r="I365" s="33"/>
      <c r="J365" s="33"/>
      <c r="K365" s="33"/>
      <c r="L365" s="33"/>
      <c r="M365" s="33"/>
      <c r="N365" s="33"/>
      <c r="O365" s="33"/>
      <c r="P365" s="33"/>
      <c r="Q365" s="33"/>
      <c r="R365" s="33"/>
      <c r="S365" s="33"/>
      <c r="T365" s="33"/>
      <c r="U365" s="33"/>
      <c r="V365" s="33"/>
      <c r="W365" s="33"/>
      <c r="X365" s="33"/>
      <c r="Y365" s="33"/>
      <c r="Z365" s="33"/>
    </row>
    <row r="366" spans="1:26" ht="13.5" customHeight="1" x14ac:dyDescent="0.35">
      <c r="A366" s="33"/>
      <c r="B366" s="33"/>
      <c r="C366" s="33"/>
      <c r="D366" s="33"/>
      <c r="E366" s="33"/>
      <c r="F366" s="33"/>
      <c r="G366" s="33"/>
      <c r="H366" s="33"/>
      <c r="I366" s="33"/>
      <c r="J366" s="33"/>
      <c r="K366" s="33"/>
      <c r="L366" s="33"/>
      <c r="M366" s="33"/>
      <c r="N366" s="33"/>
      <c r="O366" s="33"/>
      <c r="P366" s="33"/>
      <c r="Q366" s="33"/>
      <c r="R366" s="33"/>
      <c r="S366" s="33"/>
      <c r="T366" s="33"/>
      <c r="U366" s="33"/>
      <c r="V366" s="33"/>
      <c r="W366" s="33"/>
      <c r="X366" s="33"/>
      <c r="Y366" s="33"/>
      <c r="Z366" s="33"/>
    </row>
    <row r="367" spans="1:26" ht="13.5" customHeight="1" x14ac:dyDescent="0.35">
      <c r="A367" s="33"/>
      <c r="B367" s="33"/>
      <c r="C367" s="33"/>
      <c r="D367" s="33"/>
      <c r="E367" s="33"/>
      <c r="F367" s="33"/>
      <c r="G367" s="33"/>
      <c r="H367" s="33"/>
      <c r="I367" s="33"/>
      <c r="J367" s="33"/>
      <c r="K367" s="33"/>
      <c r="L367" s="33"/>
      <c r="M367" s="33"/>
      <c r="N367" s="33"/>
      <c r="O367" s="33"/>
      <c r="P367" s="33"/>
      <c r="Q367" s="33"/>
      <c r="R367" s="33"/>
      <c r="S367" s="33"/>
      <c r="T367" s="33"/>
      <c r="U367" s="33"/>
      <c r="V367" s="33"/>
      <c r="W367" s="33"/>
      <c r="X367" s="33"/>
      <c r="Y367" s="33"/>
      <c r="Z367" s="33"/>
    </row>
    <row r="368" spans="1:26" ht="13.5" customHeight="1" x14ac:dyDescent="0.35">
      <c r="A368" s="33"/>
      <c r="B368" s="33"/>
      <c r="C368" s="33"/>
      <c r="D368" s="33"/>
      <c r="E368" s="33"/>
      <c r="F368" s="33"/>
      <c r="G368" s="33"/>
      <c r="H368" s="33"/>
      <c r="I368" s="33"/>
      <c r="J368" s="33"/>
      <c r="K368" s="33"/>
      <c r="L368" s="33"/>
      <c r="M368" s="33"/>
      <c r="N368" s="33"/>
      <c r="O368" s="33"/>
      <c r="P368" s="33"/>
      <c r="Q368" s="33"/>
      <c r="R368" s="33"/>
      <c r="S368" s="33"/>
      <c r="T368" s="33"/>
      <c r="U368" s="33"/>
      <c r="V368" s="33"/>
      <c r="W368" s="33"/>
      <c r="X368" s="33"/>
      <c r="Y368" s="33"/>
      <c r="Z368" s="33"/>
    </row>
    <row r="369" spans="1:26" ht="13.5" customHeight="1" x14ac:dyDescent="0.35">
      <c r="A369" s="33"/>
      <c r="B369" s="33"/>
      <c r="C369" s="33"/>
      <c r="D369" s="33"/>
      <c r="E369" s="33"/>
      <c r="F369" s="33"/>
      <c r="G369" s="33"/>
      <c r="H369" s="33"/>
      <c r="I369" s="33"/>
      <c r="J369" s="33"/>
      <c r="K369" s="33"/>
      <c r="L369" s="33"/>
      <c r="M369" s="33"/>
      <c r="N369" s="33"/>
      <c r="O369" s="33"/>
      <c r="P369" s="33"/>
      <c r="Q369" s="33"/>
      <c r="R369" s="33"/>
      <c r="S369" s="33"/>
      <c r="T369" s="33"/>
      <c r="U369" s="33"/>
      <c r="V369" s="33"/>
      <c r="W369" s="33"/>
      <c r="X369" s="33"/>
      <c r="Y369" s="33"/>
      <c r="Z369" s="33"/>
    </row>
    <row r="370" spans="1:26" ht="13.5" customHeight="1" x14ac:dyDescent="0.35">
      <c r="A370" s="33"/>
      <c r="B370" s="33"/>
      <c r="C370" s="33"/>
      <c r="D370" s="33"/>
      <c r="E370" s="33"/>
      <c r="F370" s="33"/>
      <c r="G370" s="33"/>
      <c r="H370" s="33"/>
      <c r="I370" s="33"/>
      <c r="J370" s="33"/>
      <c r="K370" s="33"/>
      <c r="L370" s="33"/>
      <c r="M370" s="33"/>
      <c r="N370" s="33"/>
      <c r="O370" s="33"/>
      <c r="P370" s="33"/>
      <c r="Q370" s="33"/>
      <c r="R370" s="33"/>
      <c r="S370" s="33"/>
      <c r="T370" s="33"/>
      <c r="U370" s="33"/>
      <c r="V370" s="33"/>
      <c r="W370" s="33"/>
      <c r="X370" s="33"/>
      <c r="Y370" s="33"/>
      <c r="Z370" s="33"/>
    </row>
    <row r="371" spans="1:26" ht="13.5" customHeight="1" x14ac:dyDescent="0.35">
      <c r="A371" s="33"/>
      <c r="B371" s="33"/>
      <c r="C371" s="33"/>
      <c r="D371" s="33"/>
      <c r="E371" s="33"/>
      <c r="F371" s="33"/>
      <c r="G371" s="33"/>
      <c r="H371" s="33"/>
      <c r="I371" s="33"/>
      <c r="J371" s="33"/>
      <c r="K371" s="33"/>
      <c r="L371" s="33"/>
      <c r="M371" s="33"/>
      <c r="N371" s="33"/>
      <c r="O371" s="33"/>
      <c r="P371" s="33"/>
      <c r="Q371" s="33"/>
      <c r="R371" s="33"/>
      <c r="S371" s="33"/>
      <c r="T371" s="33"/>
      <c r="U371" s="33"/>
      <c r="V371" s="33"/>
      <c r="W371" s="33"/>
      <c r="X371" s="33"/>
      <c r="Y371" s="33"/>
      <c r="Z371" s="33"/>
    </row>
    <row r="372" spans="1:26" ht="13.5" customHeight="1" x14ac:dyDescent="0.35">
      <c r="A372" s="33"/>
      <c r="B372" s="33"/>
      <c r="C372" s="33"/>
      <c r="D372" s="33"/>
      <c r="E372" s="33"/>
      <c r="F372" s="33"/>
      <c r="G372" s="33"/>
      <c r="H372" s="33"/>
      <c r="I372" s="33"/>
      <c r="J372" s="33"/>
      <c r="K372" s="33"/>
      <c r="L372" s="33"/>
      <c r="M372" s="33"/>
      <c r="N372" s="33"/>
      <c r="O372" s="33"/>
      <c r="P372" s="33"/>
      <c r="Q372" s="33"/>
      <c r="R372" s="33"/>
      <c r="S372" s="33"/>
      <c r="T372" s="33"/>
      <c r="U372" s="33"/>
      <c r="V372" s="33"/>
      <c r="W372" s="33"/>
      <c r="X372" s="33"/>
      <c r="Y372" s="33"/>
      <c r="Z372" s="33"/>
    </row>
    <row r="373" spans="1:26" ht="13.5" customHeight="1" x14ac:dyDescent="0.35">
      <c r="A373" s="33"/>
      <c r="B373" s="33"/>
      <c r="C373" s="33"/>
      <c r="D373" s="33"/>
      <c r="E373" s="33"/>
      <c r="F373" s="33"/>
      <c r="G373" s="33"/>
      <c r="H373" s="33"/>
      <c r="I373" s="33"/>
      <c r="J373" s="33"/>
      <c r="K373" s="33"/>
      <c r="L373" s="33"/>
      <c r="M373" s="33"/>
      <c r="N373" s="33"/>
      <c r="O373" s="33"/>
      <c r="P373" s="33"/>
      <c r="Q373" s="33"/>
      <c r="R373" s="33"/>
      <c r="S373" s="33"/>
      <c r="T373" s="33"/>
      <c r="U373" s="33"/>
      <c r="V373" s="33"/>
      <c r="W373" s="33"/>
      <c r="X373" s="33"/>
      <c r="Y373" s="33"/>
      <c r="Z373" s="33"/>
    </row>
    <row r="374" spans="1:26" ht="13.5" customHeight="1" x14ac:dyDescent="0.35">
      <c r="A374" s="33"/>
      <c r="B374" s="33"/>
      <c r="C374" s="33"/>
      <c r="D374" s="33"/>
      <c r="E374" s="33"/>
      <c r="F374" s="33"/>
      <c r="G374" s="33"/>
      <c r="H374" s="33"/>
      <c r="I374" s="33"/>
      <c r="J374" s="33"/>
      <c r="K374" s="33"/>
      <c r="L374" s="33"/>
      <c r="M374" s="33"/>
      <c r="N374" s="33"/>
      <c r="O374" s="33"/>
      <c r="P374" s="33"/>
      <c r="Q374" s="33"/>
      <c r="R374" s="33"/>
      <c r="S374" s="33"/>
      <c r="T374" s="33"/>
      <c r="U374" s="33"/>
      <c r="V374" s="33"/>
      <c r="W374" s="33"/>
      <c r="X374" s="33"/>
      <c r="Y374" s="33"/>
      <c r="Z374" s="33"/>
    </row>
    <row r="375" spans="1:26" ht="13.5" customHeight="1" x14ac:dyDescent="0.35">
      <c r="A375" s="33"/>
      <c r="B375" s="33"/>
      <c r="C375" s="33"/>
      <c r="D375" s="33"/>
      <c r="E375" s="33"/>
      <c r="F375" s="33"/>
      <c r="G375" s="33"/>
      <c r="H375" s="33"/>
      <c r="I375" s="33"/>
      <c r="J375" s="33"/>
      <c r="K375" s="33"/>
      <c r="L375" s="33"/>
      <c r="M375" s="33"/>
      <c r="N375" s="33"/>
      <c r="O375" s="33"/>
      <c r="P375" s="33"/>
      <c r="Q375" s="33"/>
      <c r="R375" s="33"/>
      <c r="S375" s="33"/>
      <c r="T375" s="33"/>
      <c r="U375" s="33"/>
      <c r="V375" s="33"/>
      <c r="W375" s="33"/>
      <c r="X375" s="33"/>
      <c r="Y375" s="33"/>
      <c r="Z375" s="33"/>
    </row>
    <row r="376" spans="1:26" ht="13.5" customHeight="1" x14ac:dyDescent="0.35">
      <c r="A376" s="33"/>
      <c r="B376" s="33"/>
      <c r="C376" s="33"/>
      <c r="D376" s="33"/>
      <c r="E376" s="33"/>
      <c r="F376" s="33"/>
      <c r="G376" s="33"/>
      <c r="H376" s="33"/>
      <c r="I376" s="33"/>
      <c r="J376" s="33"/>
      <c r="K376" s="33"/>
      <c r="L376" s="33"/>
      <c r="M376" s="33"/>
      <c r="N376" s="33"/>
      <c r="O376" s="33"/>
      <c r="P376" s="33"/>
      <c r="Q376" s="33"/>
      <c r="R376" s="33"/>
      <c r="S376" s="33"/>
      <c r="T376" s="33"/>
      <c r="U376" s="33"/>
      <c r="V376" s="33"/>
      <c r="W376" s="33"/>
      <c r="X376" s="33"/>
      <c r="Y376" s="33"/>
      <c r="Z376" s="33"/>
    </row>
    <row r="377" spans="1:26" ht="13.5" customHeight="1" x14ac:dyDescent="0.35">
      <c r="A377" s="33"/>
      <c r="B377" s="33"/>
      <c r="C377" s="33"/>
      <c r="D377" s="33"/>
      <c r="E377" s="33"/>
      <c r="F377" s="33"/>
      <c r="G377" s="33"/>
      <c r="H377" s="33"/>
      <c r="I377" s="33"/>
      <c r="J377" s="33"/>
      <c r="K377" s="33"/>
      <c r="L377" s="33"/>
      <c r="M377" s="33"/>
      <c r="N377" s="33"/>
      <c r="O377" s="33"/>
      <c r="P377" s="33"/>
      <c r="Q377" s="33"/>
      <c r="R377" s="33"/>
      <c r="S377" s="33"/>
      <c r="T377" s="33"/>
      <c r="U377" s="33"/>
      <c r="V377" s="33"/>
      <c r="W377" s="33"/>
      <c r="X377" s="33"/>
      <c r="Y377" s="33"/>
      <c r="Z377" s="33"/>
    </row>
    <row r="378" spans="1:26" ht="13.5" customHeight="1" x14ac:dyDescent="0.35">
      <c r="A378" s="33"/>
      <c r="B378" s="33"/>
      <c r="C378" s="33"/>
      <c r="D378" s="33"/>
      <c r="E378" s="33"/>
      <c r="F378" s="33"/>
      <c r="G378" s="33"/>
      <c r="H378" s="33"/>
      <c r="I378" s="33"/>
      <c r="J378" s="33"/>
      <c r="K378" s="33"/>
      <c r="L378" s="33"/>
      <c r="M378" s="33"/>
      <c r="N378" s="33"/>
      <c r="O378" s="33"/>
      <c r="P378" s="33"/>
      <c r="Q378" s="33"/>
      <c r="R378" s="33"/>
      <c r="S378" s="33"/>
      <c r="T378" s="33"/>
      <c r="U378" s="33"/>
      <c r="V378" s="33"/>
      <c r="W378" s="33"/>
      <c r="X378" s="33"/>
      <c r="Y378" s="33"/>
      <c r="Z378" s="33"/>
    </row>
    <row r="379" spans="1:26" ht="13.5" customHeight="1" x14ac:dyDescent="0.35">
      <c r="A379" s="33"/>
      <c r="B379" s="33"/>
      <c r="C379" s="33"/>
      <c r="D379" s="33"/>
      <c r="E379" s="33"/>
      <c r="F379" s="33"/>
      <c r="G379" s="33"/>
      <c r="H379" s="33"/>
      <c r="I379" s="33"/>
      <c r="J379" s="33"/>
      <c r="K379" s="33"/>
      <c r="L379" s="33"/>
      <c r="M379" s="33"/>
      <c r="N379" s="33"/>
      <c r="O379" s="33"/>
      <c r="P379" s="33"/>
      <c r="Q379" s="33"/>
      <c r="R379" s="33"/>
      <c r="S379" s="33"/>
      <c r="T379" s="33"/>
      <c r="U379" s="33"/>
      <c r="V379" s="33"/>
      <c r="W379" s="33"/>
      <c r="X379" s="33"/>
      <c r="Y379" s="33"/>
      <c r="Z379" s="33"/>
    </row>
    <row r="380" spans="1:26" ht="13.5" customHeight="1" x14ac:dyDescent="0.35">
      <c r="A380" s="33"/>
      <c r="B380" s="33"/>
      <c r="C380" s="33"/>
      <c r="D380" s="33"/>
      <c r="E380" s="33"/>
      <c r="F380" s="33"/>
      <c r="G380" s="33"/>
      <c r="H380" s="33"/>
      <c r="I380" s="33"/>
      <c r="J380" s="33"/>
      <c r="K380" s="33"/>
      <c r="L380" s="33"/>
      <c r="M380" s="33"/>
      <c r="N380" s="33"/>
      <c r="O380" s="33"/>
      <c r="P380" s="33"/>
      <c r="Q380" s="33"/>
      <c r="R380" s="33"/>
      <c r="S380" s="33"/>
      <c r="T380" s="33"/>
      <c r="U380" s="33"/>
      <c r="V380" s="33"/>
      <c r="W380" s="33"/>
      <c r="X380" s="33"/>
      <c r="Y380" s="33"/>
      <c r="Z380" s="33"/>
    </row>
    <row r="381" spans="1:26" ht="13.5" customHeight="1" x14ac:dyDescent="0.35">
      <c r="A381" s="33"/>
      <c r="B381" s="33"/>
      <c r="C381" s="33"/>
      <c r="D381" s="33"/>
      <c r="E381" s="33"/>
      <c r="F381" s="33"/>
      <c r="G381" s="33"/>
      <c r="H381" s="33"/>
      <c r="I381" s="33"/>
      <c r="J381" s="33"/>
      <c r="K381" s="33"/>
      <c r="L381" s="33"/>
      <c r="M381" s="33"/>
      <c r="N381" s="33"/>
      <c r="O381" s="33"/>
      <c r="P381" s="33"/>
      <c r="Q381" s="33"/>
      <c r="R381" s="33"/>
      <c r="S381" s="33"/>
      <c r="T381" s="33"/>
      <c r="U381" s="33"/>
      <c r="V381" s="33"/>
      <c r="W381" s="33"/>
      <c r="X381" s="33"/>
      <c r="Y381" s="33"/>
      <c r="Z381" s="33"/>
    </row>
    <row r="382" spans="1:26" ht="13.5" customHeight="1" x14ac:dyDescent="0.35">
      <c r="A382" s="33"/>
      <c r="B382" s="33"/>
      <c r="C382" s="33"/>
      <c r="D382" s="33"/>
      <c r="E382" s="33"/>
      <c r="F382" s="33"/>
      <c r="G382" s="33"/>
      <c r="H382" s="33"/>
      <c r="I382" s="33"/>
      <c r="J382" s="33"/>
      <c r="K382" s="33"/>
      <c r="L382" s="33"/>
      <c r="M382" s="33"/>
      <c r="N382" s="33"/>
      <c r="O382" s="33"/>
      <c r="P382" s="33"/>
      <c r="Q382" s="33"/>
      <c r="R382" s="33"/>
      <c r="S382" s="33"/>
      <c r="T382" s="33"/>
      <c r="U382" s="33"/>
      <c r="V382" s="33"/>
      <c r="W382" s="33"/>
      <c r="X382" s="33"/>
      <c r="Y382" s="33"/>
      <c r="Z382" s="33"/>
    </row>
    <row r="383" spans="1:26" ht="13.5" customHeight="1" x14ac:dyDescent="0.35">
      <c r="A383" s="33"/>
      <c r="B383" s="33"/>
      <c r="C383" s="33"/>
      <c r="D383" s="33"/>
      <c r="E383" s="33"/>
      <c r="F383" s="33"/>
      <c r="G383" s="33"/>
      <c r="H383" s="33"/>
      <c r="I383" s="33"/>
      <c r="J383" s="33"/>
      <c r="K383" s="33"/>
      <c r="L383" s="33"/>
      <c r="M383" s="33"/>
      <c r="N383" s="33"/>
      <c r="O383" s="33"/>
      <c r="P383" s="33"/>
      <c r="Q383" s="33"/>
      <c r="R383" s="33"/>
      <c r="S383" s="33"/>
      <c r="T383" s="33"/>
      <c r="U383" s="33"/>
      <c r="V383" s="33"/>
      <c r="W383" s="33"/>
      <c r="X383" s="33"/>
      <c r="Y383" s="33"/>
      <c r="Z383" s="33"/>
    </row>
    <row r="384" spans="1:26" ht="13.5" customHeight="1" x14ac:dyDescent="0.35">
      <c r="A384" s="33"/>
      <c r="B384" s="33"/>
      <c r="C384" s="33"/>
      <c r="D384" s="33"/>
      <c r="E384" s="33"/>
      <c r="F384" s="33"/>
      <c r="G384" s="33"/>
      <c r="H384" s="33"/>
      <c r="I384" s="33"/>
      <c r="J384" s="33"/>
      <c r="K384" s="33"/>
      <c r="L384" s="33"/>
      <c r="M384" s="33"/>
      <c r="N384" s="33"/>
      <c r="O384" s="33"/>
      <c r="P384" s="33"/>
      <c r="Q384" s="33"/>
      <c r="R384" s="33"/>
      <c r="S384" s="33"/>
      <c r="T384" s="33"/>
      <c r="U384" s="33"/>
      <c r="V384" s="33"/>
      <c r="W384" s="33"/>
      <c r="X384" s="33"/>
      <c r="Y384" s="33"/>
      <c r="Z384" s="33"/>
    </row>
    <row r="385" spans="1:26" ht="13.5" customHeight="1" x14ac:dyDescent="0.35">
      <c r="A385" s="33"/>
      <c r="B385" s="33"/>
      <c r="C385" s="33"/>
      <c r="D385" s="33"/>
      <c r="E385" s="33"/>
      <c r="F385" s="33"/>
      <c r="G385" s="33"/>
      <c r="H385" s="33"/>
      <c r="I385" s="33"/>
      <c r="J385" s="33"/>
      <c r="K385" s="33"/>
      <c r="L385" s="33"/>
      <c r="M385" s="33"/>
      <c r="N385" s="33"/>
      <c r="O385" s="33"/>
      <c r="P385" s="33"/>
      <c r="Q385" s="33"/>
      <c r="R385" s="33"/>
      <c r="S385" s="33"/>
      <c r="T385" s="33"/>
      <c r="U385" s="33"/>
      <c r="V385" s="33"/>
      <c r="W385" s="33"/>
      <c r="X385" s="33"/>
      <c r="Y385" s="33"/>
      <c r="Z385" s="33"/>
    </row>
    <row r="386" spans="1:26" ht="13.5" customHeight="1" x14ac:dyDescent="0.35">
      <c r="A386" s="33"/>
      <c r="B386" s="33"/>
      <c r="C386" s="33"/>
      <c r="D386" s="33"/>
      <c r="E386" s="33"/>
      <c r="F386" s="33"/>
      <c r="G386" s="33"/>
      <c r="H386" s="33"/>
      <c r="I386" s="33"/>
      <c r="J386" s="33"/>
      <c r="K386" s="33"/>
      <c r="L386" s="33"/>
      <c r="M386" s="33"/>
      <c r="N386" s="33"/>
      <c r="O386" s="33"/>
      <c r="P386" s="33"/>
      <c r="Q386" s="33"/>
      <c r="R386" s="33"/>
      <c r="S386" s="33"/>
      <c r="T386" s="33"/>
      <c r="U386" s="33"/>
      <c r="V386" s="33"/>
      <c r="W386" s="33"/>
      <c r="X386" s="33"/>
      <c r="Y386" s="33"/>
      <c r="Z386" s="33"/>
    </row>
    <row r="387" spans="1:26" ht="13.5" customHeight="1" x14ac:dyDescent="0.35">
      <c r="A387" s="33"/>
      <c r="B387" s="33"/>
      <c r="C387" s="33"/>
      <c r="D387" s="33"/>
      <c r="E387" s="33"/>
      <c r="F387" s="33"/>
      <c r="G387" s="33"/>
      <c r="H387" s="33"/>
      <c r="I387" s="33"/>
      <c r="J387" s="33"/>
      <c r="K387" s="33"/>
      <c r="L387" s="33"/>
      <c r="M387" s="33"/>
      <c r="N387" s="33"/>
      <c r="O387" s="33"/>
      <c r="P387" s="33"/>
      <c r="Q387" s="33"/>
      <c r="R387" s="33"/>
      <c r="S387" s="33"/>
      <c r="T387" s="33"/>
      <c r="U387" s="33"/>
      <c r="V387" s="33"/>
      <c r="W387" s="33"/>
      <c r="X387" s="33"/>
      <c r="Y387" s="33"/>
      <c r="Z387" s="33"/>
    </row>
    <row r="388" spans="1:26" ht="13.5" customHeight="1" x14ac:dyDescent="0.35">
      <c r="A388" s="33"/>
      <c r="B388" s="33"/>
      <c r="C388" s="33"/>
      <c r="D388" s="33"/>
      <c r="E388" s="33"/>
      <c r="F388" s="33"/>
      <c r="G388" s="33"/>
      <c r="H388" s="33"/>
      <c r="I388" s="33"/>
      <c r="J388" s="33"/>
      <c r="K388" s="33"/>
      <c r="L388" s="33"/>
      <c r="M388" s="33"/>
      <c r="N388" s="33"/>
      <c r="O388" s="33"/>
      <c r="P388" s="33"/>
      <c r="Q388" s="33"/>
      <c r="R388" s="33"/>
      <c r="S388" s="33"/>
      <c r="T388" s="33"/>
      <c r="U388" s="33"/>
      <c r="V388" s="33"/>
      <c r="W388" s="33"/>
      <c r="X388" s="33"/>
      <c r="Y388" s="33"/>
      <c r="Z388" s="33"/>
    </row>
    <row r="389" spans="1:26" ht="13.5" customHeight="1" x14ac:dyDescent="0.35">
      <c r="A389" s="33"/>
      <c r="B389" s="33"/>
      <c r="C389" s="33"/>
      <c r="D389" s="33"/>
      <c r="E389" s="33"/>
      <c r="F389" s="33"/>
      <c r="G389" s="33"/>
      <c r="H389" s="33"/>
      <c r="I389" s="33"/>
      <c r="J389" s="33"/>
      <c r="K389" s="33"/>
      <c r="L389" s="33"/>
      <c r="M389" s="33"/>
      <c r="N389" s="33"/>
      <c r="O389" s="33"/>
      <c r="P389" s="33"/>
      <c r="Q389" s="33"/>
      <c r="R389" s="33"/>
      <c r="S389" s="33"/>
      <c r="T389" s="33"/>
      <c r="U389" s="33"/>
      <c r="V389" s="33"/>
      <c r="W389" s="33"/>
      <c r="X389" s="33"/>
      <c r="Y389" s="33"/>
      <c r="Z389" s="33"/>
    </row>
    <row r="390" spans="1:26" ht="13.5" customHeight="1" x14ac:dyDescent="0.35">
      <c r="A390" s="33"/>
      <c r="B390" s="33"/>
      <c r="C390" s="33"/>
      <c r="D390" s="33"/>
      <c r="E390" s="33"/>
      <c r="F390" s="33"/>
      <c r="G390" s="33"/>
      <c r="H390" s="33"/>
      <c r="I390" s="33"/>
      <c r="J390" s="33"/>
      <c r="K390" s="33"/>
      <c r="L390" s="33"/>
      <c r="M390" s="33"/>
      <c r="N390" s="33"/>
      <c r="O390" s="33"/>
      <c r="P390" s="33"/>
      <c r="Q390" s="33"/>
      <c r="R390" s="33"/>
      <c r="S390" s="33"/>
      <c r="T390" s="33"/>
      <c r="U390" s="33"/>
      <c r="V390" s="33"/>
      <c r="W390" s="33"/>
      <c r="X390" s="33"/>
      <c r="Y390" s="33"/>
      <c r="Z390" s="33"/>
    </row>
    <row r="391" spans="1:26" ht="13.5" customHeight="1" x14ac:dyDescent="0.35">
      <c r="A391" s="33"/>
      <c r="B391" s="33"/>
      <c r="C391" s="33"/>
      <c r="D391" s="33"/>
      <c r="E391" s="33"/>
      <c r="F391" s="33"/>
      <c r="G391" s="33"/>
      <c r="H391" s="33"/>
      <c r="I391" s="33"/>
      <c r="J391" s="33"/>
      <c r="K391" s="33"/>
      <c r="L391" s="33"/>
      <c r="M391" s="33"/>
      <c r="N391" s="33"/>
      <c r="O391" s="33"/>
      <c r="P391" s="33"/>
      <c r="Q391" s="33"/>
      <c r="R391" s="33"/>
      <c r="S391" s="33"/>
      <c r="T391" s="33"/>
      <c r="U391" s="33"/>
      <c r="V391" s="33"/>
      <c r="W391" s="33"/>
      <c r="X391" s="33"/>
      <c r="Y391" s="33"/>
      <c r="Z391" s="33"/>
    </row>
    <row r="392" spans="1:26" ht="13.5" customHeight="1" x14ac:dyDescent="0.35">
      <c r="A392" s="33"/>
      <c r="B392" s="33"/>
      <c r="C392" s="33"/>
      <c r="D392" s="33"/>
      <c r="E392" s="33"/>
      <c r="F392" s="33"/>
      <c r="G392" s="33"/>
      <c r="H392" s="33"/>
      <c r="I392" s="33"/>
      <c r="J392" s="33"/>
      <c r="K392" s="33"/>
      <c r="L392" s="33"/>
      <c r="M392" s="33"/>
      <c r="N392" s="33"/>
      <c r="O392" s="33"/>
      <c r="P392" s="33"/>
      <c r="Q392" s="33"/>
      <c r="R392" s="33"/>
      <c r="S392" s="33"/>
      <c r="T392" s="33"/>
      <c r="U392" s="33"/>
      <c r="V392" s="33"/>
      <c r="W392" s="33"/>
      <c r="X392" s="33"/>
      <c r="Y392" s="33"/>
      <c r="Z392" s="33"/>
    </row>
    <row r="393" spans="1:26" ht="13.5" customHeight="1" x14ac:dyDescent="0.35">
      <c r="A393" s="33"/>
      <c r="B393" s="33"/>
      <c r="C393" s="33"/>
      <c r="D393" s="33"/>
      <c r="E393" s="33"/>
      <c r="F393" s="33"/>
      <c r="G393" s="33"/>
      <c r="H393" s="33"/>
      <c r="I393" s="33"/>
      <c r="J393" s="33"/>
      <c r="K393" s="33"/>
      <c r="L393" s="33"/>
      <c r="M393" s="33"/>
      <c r="N393" s="33"/>
      <c r="O393" s="33"/>
      <c r="P393" s="33"/>
      <c r="Q393" s="33"/>
      <c r="R393" s="33"/>
      <c r="S393" s="33"/>
      <c r="T393" s="33"/>
      <c r="U393" s="33"/>
      <c r="V393" s="33"/>
      <c r="W393" s="33"/>
      <c r="X393" s="33"/>
      <c r="Y393" s="33"/>
      <c r="Z393" s="33"/>
    </row>
    <row r="394" spans="1:26" ht="13.5" customHeight="1" x14ac:dyDescent="0.35">
      <c r="A394" s="33"/>
      <c r="B394" s="33"/>
      <c r="C394" s="33"/>
      <c r="D394" s="33"/>
      <c r="E394" s="33"/>
      <c r="F394" s="33"/>
      <c r="G394" s="33"/>
      <c r="H394" s="33"/>
      <c r="I394" s="33"/>
      <c r="J394" s="33"/>
      <c r="K394" s="33"/>
      <c r="L394" s="33"/>
      <c r="M394" s="33"/>
      <c r="N394" s="33"/>
      <c r="O394" s="33"/>
      <c r="P394" s="33"/>
      <c r="Q394" s="33"/>
      <c r="R394" s="33"/>
      <c r="S394" s="33"/>
      <c r="T394" s="33"/>
      <c r="U394" s="33"/>
      <c r="V394" s="33"/>
      <c r="W394" s="33"/>
      <c r="X394" s="33"/>
      <c r="Y394" s="33"/>
      <c r="Z394" s="33"/>
    </row>
    <row r="395" spans="1:26" ht="13.5" customHeight="1" x14ac:dyDescent="0.35">
      <c r="A395" s="33"/>
      <c r="B395" s="33"/>
      <c r="C395" s="33"/>
      <c r="D395" s="33"/>
      <c r="E395" s="33"/>
      <c r="F395" s="33"/>
      <c r="G395" s="33"/>
      <c r="H395" s="33"/>
      <c r="I395" s="33"/>
      <c r="J395" s="33"/>
      <c r="K395" s="33"/>
      <c r="L395" s="33"/>
      <c r="M395" s="33"/>
      <c r="N395" s="33"/>
      <c r="O395" s="33"/>
      <c r="P395" s="33"/>
      <c r="Q395" s="33"/>
      <c r="R395" s="33"/>
      <c r="S395" s="33"/>
      <c r="T395" s="33"/>
      <c r="U395" s="33"/>
      <c r="V395" s="33"/>
      <c r="W395" s="33"/>
      <c r="X395" s="33"/>
      <c r="Y395" s="33"/>
      <c r="Z395" s="33"/>
    </row>
    <row r="396" spans="1:26" ht="13.5" customHeight="1" x14ac:dyDescent="0.35">
      <c r="A396" s="33"/>
      <c r="B396" s="33"/>
      <c r="C396" s="33"/>
      <c r="D396" s="33"/>
      <c r="E396" s="33"/>
      <c r="F396" s="33"/>
      <c r="G396" s="33"/>
      <c r="H396" s="33"/>
      <c r="I396" s="33"/>
      <c r="J396" s="33"/>
      <c r="K396" s="33"/>
      <c r="L396" s="33"/>
      <c r="M396" s="33"/>
      <c r="N396" s="33"/>
      <c r="O396" s="33"/>
      <c r="P396" s="33"/>
      <c r="Q396" s="33"/>
      <c r="R396" s="33"/>
      <c r="S396" s="33"/>
      <c r="T396" s="33"/>
      <c r="U396" s="33"/>
      <c r="V396" s="33"/>
      <c r="W396" s="33"/>
      <c r="X396" s="33"/>
      <c r="Y396" s="33"/>
      <c r="Z396" s="33"/>
    </row>
    <row r="397" spans="1:26" ht="13.5" customHeight="1" x14ac:dyDescent="0.35">
      <c r="A397" s="33"/>
      <c r="B397" s="33"/>
      <c r="C397" s="33"/>
      <c r="D397" s="33"/>
      <c r="E397" s="33"/>
      <c r="F397" s="33"/>
      <c r="G397" s="33"/>
      <c r="H397" s="33"/>
      <c r="I397" s="33"/>
      <c r="J397" s="33"/>
      <c r="K397" s="33"/>
      <c r="L397" s="33"/>
      <c r="M397" s="33"/>
      <c r="N397" s="33"/>
      <c r="O397" s="33"/>
      <c r="P397" s="33"/>
      <c r="Q397" s="33"/>
      <c r="R397" s="33"/>
      <c r="S397" s="33"/>
      <c r="T397" s="33"/>
      <c r="U397" s="33"/>
      <c r="V397" s="33"/>
      <c r="W397" s="33"/>
      <c r="X397" s="33"/>
      <c r="Y397" s="33"/>
      <c r="Z397" s="33"/>
    </row>
    <row r="398" spans="1:26" ht="13.5" customHeight="1" x14ac:dyDescent="0.35">
      <c r="A398" s="33"/>
      <c r="B398" s="33"/>
      <c r="C398" s="33"/>
      <c r="D398" s="33"/>
      <c r="E398" s="33"/>
      <c r="F398" s="33"/>
      <c r="G398" s="33"/>
      <c r="H398" s="33"/>
      <c r="I398" s="33"/>
      <c r="J398" s="33"/>
      <c r="K398" s="33"/>
      <c r="L398" s="33"/>
      <c r="M398" s="33"/>
      <c r="N398" s="33"/>
      <c r="O398" s="33"/>
      <c r="P398" s="33"/>
      <c r="Q398" s="33"/>
      <c r="R398" s="33"/>
      <c r="S398" s="33"/>
      <c r="T398" s="33"/>
      <c r="U398" s="33"/>
      <c r="V398" s="33"/>
      <c r="W398" s="33"/>
      <c r="X398" s="33"/>
      <c r="Y398" s="33"/>
      <c r="Z398" s="33"/>
    </row>
    <row r="399" spans="1:26" ht="13.5" customHeight="1" x14ac:dyDescent="0.35">
      <c r="A399" s="33"/>
      <c r="B399" s="33"/>
      <c r="C399" s="33"/>
      <c r="D399" s="33"/>
      <c r="E399" s="33"/>
      <c r="F399" s="33"/>
      <c r="G399" s="33"/>
      <c r="H399" s="33"/>
      <c r="I399" s="33"/>
      <c r="J399" s="33"/>
      <c r="K399" s="33"/>
      <c r="L399" s="33"/>
      <c r="M399" s="33"/>
      <c r="N399" s="33"/>
      <c r="O399" s="33"/>
      <c r="P399" s="33"/>
      <c r="Q399" s="33"/>
      <c r="R399" s="33"/>
      <c r="S399" s="33"/>
      <c r="T399" s="33"/>
      <c r="U399" s="33"/>
      <c r="V399" s="33"/>
      <c r="W399" s="33"/>
      <c r="X399" s="33"/>
      <c r="Y399" s="33"/>
      <c r="Z399" s="33"/>
    </row>
    <row r="400" spans="1:26" ht="13.5" customHeight="1" x14ac:dyDescent="0.35">
      <c r="A400" s="33"/>
      <c r="B400" s="33"/>
      <c r="C400" s="33"/>
      <c r="D400" s="33"/>
      <c r="E400" s="33"/>
      <c r="F400" s="33"/>
      <c r="G400" s="33"/>
      <c r="H400" s="33"/>
      <c r="I400" s="33"/>
      <c r="J400" s="33"/>
      <c r="K400" s="33"/>
      <c r="L400" s="33"/>
      <c r="M400" s="33"/>
      <c r="N400" s="33"/>
      <c r="O400" s="33"/>
      <c r="P400" s="33"/>
      <c r="Q400" s="33"/>
      <c r="R400" s="33"/>
      <c r="S400" s="33"/>
      <c r="T400" s="33"/>
      <c r="U400" s="33"/>
      <c r="V400" s="33"/>
      <c r="W400" s="33"/>
      <c r="X400" s="33"/>
      <c r="Y400" s="33"/>
      <c r="Z400" s="33"/>
    </row>
    <row r="401" spans="1:26" ht="13.5" customHeight="1" x14ac:dyDescent="0.35">
      <c r="A401" s="33"/>
      <c r="B401" s="33"/>
      <c r="C401" s="33"/>
      <c r="D401" s="33"/>
      <c r="E401" s="33"/>
      <c r="F401" s="33"/>
      <c r="G401" s="33"/>
      <c r="H401" s="33"/>
      <c r="I401" s="33"/>
      <c r="J401" s="33"/>
      <c r="K401" s="33"/>
      <c r="L401" s="33"/>
      <c r="M401" s="33"/>
      <c r="N401" s="33"/>
      <c r="O401" s="33"/>
      <c r="P401" s="33"/>
      <c r="Q401" s="33"/>
      <c r="R401" s="33"/>
      <c r="S401" s="33"/>
      <c r="T401" s="33"/>
      <c r="U401" s="33"/>
      <c r="V401" s="33"/>
      <c r="W401" s="33"/>
      <c r="X401" s="33"/>
      <c r="Y401" s="33"/>
      <c r="Z401" s="33"/>
    </row>
    <row r="402" spans="1:26" ht="13.5" customHeight="1" x14ac:dyDescent="0.35">
      <c r="A402" s="33"/>
      <c r="B402" s="33"/>
      <c r="C402" s="33"/>
      <c r="D402" s="33"/>
      <c r="E402" s="33"/>
      <c r="F402" s="33"/>
      <c r="G402" s="33"/>
      <c r="H402" s="33"/>
      <c r="I402" s="33"/>
      <c r="J402" s="33"/>
      <c r="K402" s="33"/>
      <c r="L402" s="33"/>
      <c r="M402" s="33"/>
      <c r="N402" s="33"/>
      <c r="O402" s="33"/>
      <c r="P402" s="33"/>
      <c r="Q402" s="33"/>
      <c r="R402" s="33"/>
      <c r="S402" s="33"/>
      <c r="T402" s="33"/>
      <c r="U402" s="33"/>
      <c r="V402" s="33"/>
      <c r="W402" s="33"/>
      <c r="X402" s="33"/>
      <c r="Y402" s="33"/>
      <c r="Z402" s="33"/>
    </row>
    <row r="403" spans="1:26" ht="13.5" customHeight="1" x14ac:dyDescent="0.35">
      <c r="A403" s="33"/>
      <c r="B403" s="33"/>
      <c r="C403" s="33"/>
      <c r="D403" s="33"/>
      <c r="E403" s="33"/>
      <c r="F403" s="33"/>
      <c r="G403" s="33"/>
      <c r="H403" s="33"/>
      <c r="I403" s="33"/>
      <c r="J403" s="33"/>
      <c r="K403" s="33"/>
      <c r="L403" s="33"/>
      <c r="M403" s="33"/>
      <c r="N403" s="33"/>
      <c r="O403" s="33"/>
      <c r="P403" s="33"/>
      <c r="Q403" s="33"/>
      <c r="R403" s="33"/>
      <c r="S403" s="33"/>
      <c r="T403" s="33"/>
      <c r="U403" s="33"/>
      <c r="V403" s="33"/>
      <c r="W403" s="33"/>
      <c r="X403" s="33"/>
      <c r="Y403" s="33"/>
      <c r="Z403" s="33"/>
    </row>
    <row r="404" spans="1:26" ht="13.5" customHeight="1" x14ac:dyDescent="0.35">
      <c r="A404" s="33"/>
      <c r="B404" s="33"/>
      <c r="C404" s="33"/>
      <c r="D404" s="33"/>
      <c r="E404" s="33"/>
      <c r="F404" s="33"/>
      <c r="G404" s="33"/>
      <c r="H404" s="33"/>
      <c r="I404" s="33"/>
      <c r="J404" s="33"/>
      <c r="K404" s="33"/>
      <c r="L404" s="33"/>
      <c r="M404" s="33"/>
      <c r="N404" s="33"/>
      <c r="O404" s="33"/>
      <c r="P404" s="33"/>
      <c r="Q404" s="33"/>
      <c r="R404" s="33"/>
      <c r="S404" s="33"/>
      <c r="T404" s="33"/>
      <c r="U404" s="33"/>
      <c r="V404" s="33"/>
      <c r="W404" s="33"/>
      <c r="X404" s="33"/>
      <c r="Y404" s="33"/>
      <c r="Z404" s="33"/>
    </row>
    <row r="405" spans="1:26" ht="13.5" customHeight="1" x14ac:dyDescent="0.35">
      <c r="A405" s="33"/>
      <c r="B405" s="33"/>
      <c r="C405" s="33"/>
      <c r="D405" s="33"/>
      <c r="E405" s="33"/>
      <c r="F405" s="33"/>
      <c r="G405" s="33"/>
      <c r="H405" s="33"/>
      <c r="I405" s="33"/>
      <c r="J405" s="33"/>
      <c r="K405" s="33"/>
      <c r="L405" s="33"/>
      <c r="M405" s="33"/>
      <c r="N405" s="33"/>
      <c r="O405" s="33"/>
      <c r="P405" s="33"/>
      <c r="Q405" s="33"/>
      <c r="R405" s="33"/>
      <c r="S405" s="33"/>
      <c r="T405" s="33"/>
      <c r="U405" s="33"/>
      <c r="V405" s="33"/>
      <c r="W405" s="33"/>
      <c r="X405" s="33"/>
      <c r="Y405" s="33"/>
      <c r="Z405" s="33"/>
    </row>
    <row r="406" spans="1:26" ht="13.5" customHeight="1" x14ac:dyDescent="0.35">
      <c r="A406" s="33"/>
      <c r="B406" s="33"/>
      <c r="C406" s="33"/>
      <c r="D406" s="33"/>
      <c r="E406" s="33"/>
      <c r="F406" s="33"/>
      <c r="G406" s="33"/>
      <c r="H406" s="33"/>
      <c r="I406" s="33"/>
      <c r="J406" s="33"/>
      <c r="K406" s="33"/>
      <c r="L406" s="33"/>
      <c r="M406" s="33"/>
      <c r="N406" s="33"/>
      <c r="O406" s="33"/>
      <c r="P406" s="33"/>
      <c r="Q406" s="33"/>
      <c r="R406" s="33"/>
      <c r="S406" s="33"/>
      <c r="T406" s="33"/>
      <c r="U406" s="33"/>
      <c r="V406" s="33"/>
      <c r="W406" s="33"/>
      <c r="X406" s="33"/>
      <c r="Y406" s="33"/>
      <c r="Z406" s="33"/>
    </row>
    <row r="407" spans="1:26" ht="13.5" customHeight="1" x14ac:dyDescent="0.35">
      <c r="A407" s="33"/>
      <c r="B407" s="33"/>
      <c r="C407" s="33"/>
      <c r="D407" s="33"/>
      <c r="E407" s="33"/>
      <c r="F407" s="33"/>
      <c r="G407" s="33"/>
      <c r="H407" s="33"/>
      <c r="I407" s="33"/>
      <c r="J407" s="33"/>
      <c r="K407" s="33"/>
      <c r="L407" s="33"/>
      <c r="M407" s="33"/>
      <c r="N407" s="33"/>
      <c r="O407" s="33"/>
      <c r="P407" s="33"/>
      <c r="Q407" s="33"/>
      <c r="R407" s="33"/>
      <c r="S407" s="33"/>
      <c r="T407" s="33"/>
      <c r="U407" s="33"/>
      <c r="V407" s="33"/>
      <c r="W407" s="33"/>
      <c r="X407" s="33"/>
      <c r="Y407" s="33"/>
      <c r="Z407" s="33"/>
    </row>
    <row r="408" spans="1:26" ht="13.5" customHeight="1" x14ac:dyDescent="0.35">
      <c r="A408" s="33"/>
      <c r="B408" s="33"/>
      <c r="C408" s="33"/>
      <c r="D408" s="33"/>
      <c r="E408" s="33"/>
      <c r="F408" s="33"/>
      <c r="G408" s="33"/>
      <c r="H408" s="33"/>
      <c r="I408" s="33"/>
      <c r="J408" s="33"/>
      <c r="K408" s="33"/>
      <c r="L408" s="33"/>
      <c r="M408" s="33"/>
      <c r="N408" s="33"/>
      <c r="O408" s="33"/>
      <c r="P408" s="33"/>
      <c r="Q408" s="33"/>
      <c r="R408" s="33"/>
      <c r="S408" s="33"/>
      <c r="T408" s="33"/>
      <c r="U408" s="33"/>
      <c r="V408" s="33"/>
      <c r="W408" s="33"/>
      <c r="X408" s="33"/>
      <c r="Y408" s="33"/>
      <c r="Z408" s="33"/>
    </row>
    <row r="409" spans="1:26" ht="13.5" customHeight="1" x14ac:dyDescent="0.35">
      <c r="A409" s="33"/>
      <c r="B409" s="33"/>
      <c r="C409" s="33"/>
      <c r="D409" s="33"/>
      <c r="E409" s="33"/>
      <c r="F409" s="33"/>
      <c r="G409" s="33"/>
      <c r="H409" s="33"/>
      <c r="I409" s="33"/>
      <c r="J409" s="33"/>
      <c r="K409" s="33"/>
      <c r="L409" s="33"/>
      <c r="M409" s="33"/>
      <c r="N409" s="33"/>
      <c r="O409" s="33"/>
      <c r="P409" s="33"/>
      <c r="Q409" s="33"/>
      <c r="R409" s="33"/>
      <c r="S409" s="33"/>
      <c r="T409" s="33"/>
      <c r="U409" s="33"/>
      <c r="V409" s="33"/>
      <c r="W409" s="33"/>
      <c r="X409" s="33"/>
      <c r="Y409" s="33"/>
      <c r="Z409" s="33"/>
    </row>
    <row r="410" spans="1:26" ht="13.5" customHeight="1" x14ac:dyDescent="0.35">
      <c r="A410" s="33"/>
      <c r="B410" s="33"/>
      <c r="C410" s="33"/>
      <c r="D410" s="33"/>
      <c r="E410" s="33"/>
      <c r="F410" s="33"/>
      <c r="G410" s="33"/>
      <c r="H410" s="33"/>
      <c r="I410" s="33"/>
      <c r="J410" s="33"/>
      <c r="K410" s="33"/>
      <c r="L410" s="33"/>
      <c r="M410" s="33"/>
      <c r="N410" s="33"/>
      <c r="O410" s="33"/>
      <c r="P410" s="33"/>
      <c r="Q410" s="33"/>
      <c r="R410" s="33"/>
      <c r="S410" s="33"/>
      <c r="T410" s="33"/>
      <c r="U410" s="33"/>
      <c r="V410" s="33"/>
      <c r="W410" s="33"/>
      <c r="X410" s="33"/>
      <c r="Y410" s="33"/>
      <c r="Z410" s="33"/>
    </row>
    <row r="411" spans="1:26" ht="13.5" customHeight="1" x14ac:dyDescent="0.35">
      <c r="A411" s="33"/>
      <c r="B411" s="33"/>
      <c r="C411" s="33"/>
      <c r="D411" s="33"/>
      <c r="E411" s="33"/>
      <c r="F411" s="33"/>
      <c r="G411" s="33"/>
      <c r="H411" s="33"/>
      <c r="I411" s="33"/>
      <c r="J411" s="33"/>
      <c r="K411" s="33"/>
      <c r="L411" s="33"/>
      <c r="M411" s="33"/>
      <c r="N411" s="33"/>
      <c r="O411" s="33"/>
      <c r="P411" s="33"/>
      <c r="Q411" s="33"/>
      <c r="R411" s="33"/>
      <c r="S411" s="33"/>
      <c r="T411" s="33"/>
      <c r="U411" s="33"/>
      <c r="V411" s="33"/>
      <c r="W411" s="33"/>
      <c r="X411" s="33"/>
      <c r="Y411" s="33"/>
      <c r="Z411" s="33"/>
    </row>
    <row r="412" spans="1:26" ht="13.5" customHeight="1" x14ac:dyDescent="0.35">
      <c r="A412" s="33"/>
      <c r="B412" s="33"/>
      <c r="C412" s="33"/>
      <c r="D412" s="33"/>
      <c r="E412" s="33"/>
      <c r="F412" s="33"/>
      <c r="G412" s="33"/>
      <c r="H412" s="33"/>
      <c r="I412" s="33"/>
      <c r="J412" s="33"/>
      <c r="K412" s="33"/>
      <c r="L412" s="33"/>
      <c r="M412" s="33"/>
      <c r="N412" s="33"/>
      <c r="O412" s="33"/>
      <c r="P412" s="33"/>
      <c r="Q412" s="33"/>
      <c r="R412" s="33"/>
      <c r="S412" s="33"/>
      <c r="T412" s="33"/>
      <c r="U412" s="33"/>
      <c r="V412" s="33"/>
      <c r="W412" s="33"/>
      <c r="X412" s="33"/>
      <c r="Y412" s="33"/>
      <c r="Z412" s="33"/>
    </row>
    <row r="413" spans="1:26" ht="13.5" customHeight="1" x14ac:dyDescent="0.35">
      <c r="A413" s="33"/>
      <c r="B413" s="33"/>
      <c r="C413" s="33"/>
      <c r="D413" s="33"/>
      <c r="E413" s="33"/>
      <c r="F413" s="33"/>
      <c r="G413" s="33"/>
      <c r="H413" s="33"/>
      <c r="I413" s="33"/>
      <c r="J413" s="33"/>
      <c r="K413" s="33"/>
      <c r="L413" s="33"/>
      <c r="M413" s="33"/>
      <c r="N413" s="33"/>
      <c r="O413" s="33"/>
      <c r="P413" s="33"/>
      <c r="Q413" s="33"/>
      <c r="R413" s="33"/>
      <c r="S413" s="33"/>
      <c r="T413" s="33"/>
      <c r="U413" s="33"/>
      <c r="V413" s="33"/>
      <c r="W413" s="33"/>
      <c r="X413" s="33"/>
      <c r="Y413" s="33"/>
      <c r="Z413" s="33"/>
    </row>
    <row r="414" spans="1:26" ht="13.5" customHeight="1" x14ac:dyDescent="0.35">
      <c r="A414" s="33"/>
      <c r="B414" s="33"/>
      <c r="C414" s="33"/>
      <c r="D414" s="33"/>
      <c r="E414" s="33"/>
      <c r="F414" s="33"/>
      <c r="G414" s="33"/>
      <c r="H414" s="33"/>
      <c r="I414" s="33"/>
      <c r="J414" s="33"/>
      <c r="K414" s="33"/>
      <c r="L414" s="33"/>
      <c r="M414" s="33"/>
      <c r="N414" s="33"/>
      <c r="O414" s="33"/>
      <c r="P414" s="33"/>
      <c r="Q414" s="33"/>
      <c r="R414" s="33"/>
      <c r="S414" s="33"/>
      <c r="T414" s="33"/>
      <c r="U414" s="33"/>
      <c r="V414" s="33"/>
      <c r="W414" s="33"/>
      <c r="X414" s="33"/>
      <c r="Y414" s="33"/>
      <c r="Z414" s="33"/>
    </row>
    <row r="415" spans="1:26" ht="13.5" customHeight="1" x14ac:dyDescent="0.35">
      <c r="A415" s="33"/>
      <c r="B415" s="33"/>
      <c r="C415" s="33"/>
      <c r="D415" s="33"/>
      <c r="E415" s="33"/>
      <c r="F415" s="33"/>
      <c r="G415" s="33"/>
      <c r="H415" s="33"/>
      <c r="I415" s="33"/>
      <c r="J415" s="33"/>
      <c r="K415" s="33"/>
      <c r="L415" s="33"/>
      <c r="M415" s="33"/>
      <c r="N415" s="33"/>
      <c r="O415" s="33"/>
      <c r="P415" s="33"/>
      <c r="Q415" s="33"/>
      <c r="R415" s="33"/>
      <c r="S415" s="33"/>
      <c r="T415" s="33"/>
      <c r="U415" s="33"/>
      <c r="V415" s="33"/>
      <c r="W415" s="33"/>
      <c r="X415" s="33"/>
      <c r="Y415" s="33"/>
      <c r="Z415" s="33"/>
    </row>
    <row r="416" spans="1:26" ht="13.5" customHeight="1" x14ac:dyDescent="0.35">
      <c r="A416" s="33"/>
      <c r="B416" s="33"/>
      <c r="C416" s="33"/>
      <c r="D416" s="33"/>
      <c r="E416" s="33"/>
      <c r="F416" s="33"/>
      <c r="G416" s="33"/>
      <c r="H416" s="33"/>
      <c r="I416" s="33"/>
      <c r="J416" s="33"/>
      <c r="K416" s="33"/>
      <c r="L416" s="33"/>
      <c r="M416" s="33"/>
      <c r="N416" s="33"/>
      <c r="O416" s="33"/>
      <c r="P416" s="33"/>
      <c r="Q416" s="33"/>
      <c r="R416" s="33"/>
      <c r="S416" s="33"/>
      <c r="T416" s="33"/>
      <c r="U416" s="33"/>
      <c r="V416" s="33"/>
      <c r="W416" s="33"/>
      <c r="X416" s="33"/>
      <c r="Y416" s="33"/>
      <c r="Z416" s="33"/>
    </row>
    <row r="417" spans="1:26" ht="13.5" customHeight="1" x14ac:dyDescent="0.35">
      <c r="A417" s="33"/>
      <c r="B417" s="33"/>
      <c r="C417" s="33"/>
      <c r="D417" s="33"/>
      <c r="E417" s="33"/>
      <c r="F417" s="33"/>
      <c r="G417" s="33"/>
      <c r="H417" s="33"/>
      <c r="I417" s="33"/>
      <c r="J417" s="33"/>
      <c r="K417" s="33"/>
      <c r="L417" s="33"/>
      <c r="M417" s="33"/>
      <c r="N417" s="33"/>
      <c r="O417" s="33"/>
      <c r="P417" s="33"/>
      <c r="Q417" s="33"/>
      <c r="R417" s="33"/>
      <c r="S417" s="33"/>
      <c r="T417" s="33"/>
      <c r="U417" s="33"/>
      <c r="V417" s="33"/>
      <c r="W417" s="33"/>
      <c r="X417" s="33"/>
      <c r="Y417" s="33"/>
      <c r="Z417" s="33"/>
    </row>
    <row r="418" spans="1:26" ht="13.5" customHeight="1" x14ac:dyDescent="0.35">
      <c r="A418" s="33"/>
      <c r="B418" s="33"/>
      <c r="C418" s="33"/>
      <c r="D418" s="33"/>
      <c r="E418" s="33"/>
      <c r="F418" s="33"/>
      <c r="G418" s="33"/>
      <c r="H418" s="33"/>
      <c r="I418" s="33"/>
      <c r="J418" s="33"/>
      <c r="K418" s="33"/>
      <c r="L418" s="33"/>
      <c r="M418" s="33"/>
      <c r="N418" s="33"/>
      <c r="O418" s="33"/>
      <c r="P418" s="33"/>
      <c r="Q418" s="33"/>
      <c r="R418" s="33"/>
      <c r="S418" s="33"/>
      <c r="T418" s="33"/>
      <c r="U418" s="33"/>
      <c r="V418" s="33"/>
      <c r="W418" s="33"/>
      <c r="X418" s="33"/>
      <c r="Y418" s="33"/>
      <c r="Z418" s="33"/>
    </row>
    <row r="419" spans="1:26" ht="13.5" customHeight="1" x14ac:dyDescent="0.35">
      <c r="A419" s="33"/>
      <c r="B419" s="33"/>
      <c r="C419" s="33"/>
      <c r="D419" s="33"/>
      <c r="E419" s="33"/>
      <c r="F419" s="33"/>
      <c r="G419" s="33"/>
      <c r="H419" s="33"/>
      <c r="I419" s="33"/>
      <c r="J419" s="33"/>
      <c r="K419" s="33"/>
      <c r="L419" s="33"/>
      <c r="M419" s="33"/>
      <c r="N419" s="33"/>
      <c r="O419" s="33"/>
      <c r="P419" s="33"/>
      <c r="Q419" s="33"/>
      <c r="R419" s="33"/>
      <c r="S419" s="33"/>
      <c r="T419" s="33"/>
      <c r="U419" s="33"/>
      <c r="V419" s="33"/>
      <c r="W419" s="33"/>
      <c r="X419" s="33"/>
      <c r="Y419" s="33"/>
      <c r="Z419" s="33"/>
    </row>
    <row r="420" spans="1:26" ht="13.5" customHeight="1" x14ac:dyDescent="0.35">
      <c r="A420" s="33"/>
      <c r="B420" s="33"/>
      <c r="C420" s="33"/>
      <c r="D420" s="33"/>
      <c r="E420" s="33"/>
      <c r="F420" s="33"/>
      <c r="G420" s="33"/>
      <c r="H420" s="33"/>
      <c r="I420" s="33"/>
      <c r="J420" s="33"/>
      <c r="K420" s="33"/>
      <c r="L420" s="33"/>
      <c r="M420" s="33"/>
      <c r="N420" s="33"/>
      <c r="O420" s="33"/>
      <c r="P420" s="33"/>
      <c r="Q420" s="33"/>
      <c r="R420" s="33"/>
      <c r="S420" s="33"/>
      <c r="T420" s="33"/>
      <c r="U420" s="33"/>
      <c r="V420" s="33"/>
      <c r="W420" s="33"/>
      <c r="X420" s="33"/>
      <c r="Y420" s="33"/>
      <c r="Z420" s="33"/>
    </row>
    <row r="421" spans="1:26" ht="13.5" customHeight="1" x14ac:dyDescent="0.35">
      <c r="A421" s="33"/>
      <c r="B421" s="33"/>
      <c r="C421" s="33"/>
      <c r="D421" s="33"/>
      <c r="E421" s="33"/>
      <c r="F421" s="33"/>
      <c r="G421" s="33"/>
      <c r="H421" s="33"/>
      <c r="I421" s="33"/>
      <c r="J421" s="33"/>
      <c r="K421" s="33"/>
      <c r="L421" s="33"/>
      <c r="M421" s="33"/>
      <c r="N421" s="33"/>
      <c r="O421" s="33"/>
      <c r="P421" s="33"/>
      <c r="Q421" s="33"/>
      <c r="R421" s="33"/>
      <c r="S421" s="33"/>
      <c r="T421" s="33"/>
      <c r="U421" s="33"/>
      <c r="V421" s="33"/>
      <c r="W421" s="33"/>
      <c r="X421" s="33"/>
      <c r="Y421" s="33"/>
      <c r="Z421" s="33"/>
    </row>
    <row r="422" spans="1:26" ht="13.5" customHeight="1" x14ac:dyDescent="0.35">
      <c r="A422" s="33"/>
      <c r="B422" s="33"/>
      <c r="C422" s="33"/>
      <c r="D422" s="33"/>
      <c r="E422" s="33"/>
      <c r="F422" s="33"/>
      <c r="G422" s="33"/>
      <c r="H422" s="33"/>
      <c r="I422" s="33"/>
      <c r="J422" s="33"/>
      <c r="K422" s="33"/>
      <c r="L422" s="33"/>
      <c r="M422" s="33"/>
      <c r="N422" s="33"/>
      <c r="O422" s="33"/>
      <c r="P422" s="33"/>
      <c r="Q422" s="33"/>
      <c r="R422" s="33"/>
      <c r="S422" s="33"/>
      <c r="T422" s="33"/>
      <c r="U422" s="33"/>
      <c r="V422" s="33"/>
      <c r="W422" s="33"/>
      <c r="X422" s="33"/>
      <c r="Y422" s="33"/>
      <c r="Z422" s="33"/>
    </row>
    <row r="423" spans="1:26" ht="13.5" customHeight="1" x14ac:dyDescent="0.35">
      <c r="A423" s="33"/>
      <c r="B423" s="33"/>
      <c r="C423" s="33"/>
      <c r="D423" s="33"/>
      <c r="E423" s="33"/>
      <c r="F423" s="33"/>
      <c r="G423" s="33"/>
      <c r="H423" s="33"/>
      <c r="I423" s="33"/>
      <c r="J423" s="33"/>
      <c r="K423" s="33"/>
      <c r="L423" s="33"/>
      <c r="M423" s="33"/>
      <c r="N423" s="33"/>
      <c r="O423" s="33"/>
      <c r="P423" s="33"/>
      <c r="Q423" s="33"/>
      <c r="R423" s="33"/>
      <c r="S423" s="33"/>
      <c r="T423" s="33"/>
      <c r="U423" s="33"/>
      <c r="V423" s="33"/>
      <c r="W423" s="33"/>
      <c r="X423" s="33"/>
      <c r="Y423" s="33"/>
      <c r="Z423" s="33"/>
    </row>
    <row r="424" spans="1:26" ht="13.5" customHeight="1" x14ac:dyDescent="0.35">
      <c r="A424" s="33"/>
      <c r="B424" s="33"/>
      <c r="C424" s="33"/>
      <c r="D424" s="33"/>
      <c r="E424" s="33"/>
      <c r="F424" s="33"/>
      <c r="G424" s="33"/>
      <c r="H424" s="33"/>
      <c r="I424" s="33"/>
      <c r="J424" s="33"/>
      <c r="K424" s="33"/>
      <c r="L424" s="33"/>
      <c r="M424" s="33"/>
      <c r="N424" s="33"/>
      <c r="O424" s="33"/>
      <c r="P424" s="33"/>
      <c r="Q424" s="33"/>
      <c r="R424" s="33"/>
      <c r="S424" s="33"/>
      <c r="T424" s="33"/>
      <c r="U424" s="33"/>
      <c r="V424" s="33"/>
      <c r="W424" s="33"/>
      <c r="X424" s="33"/>
      <c r="Y424" s="33"/>
      <c r="Z424" s="33"/>
    </row>
    <row r="425" spans="1:26" ht="13.5" customHeight="1" x14ac:dyDescent="0.35">
      <c r="A425" s="33"/>
      <c r="B425" s="33"/>
      <c r="C425" s="33"/>
      <c r="D425" s="33"/>
      <c r="E425" s="33"/>
      <c r="F425" s="33"/>
      <c r="G425" s="33"/>
      <c r="H425" s="33"/>
      <c r="I425" s="33"/>
      <c r="J425" s="33"/>
      <c r="K425" s="33"/>
      <c r="L425" s="33"/>
      <c r="M425" s="33"/>
      <c r="N425" s="33"/>
      <c r="O425" s="33"/>
      <c r="P425" s="33"/>
      <c r="Q425" s="33"/>
      <c r="R425" s="33"/>
      <c r="S425" s="33"/>
      <c r="T425" s="33"/>
      <c r="U425" s="33"/>
      <c r="V425" s="33"/>
      <c r="W425" s="33"/>
      <c r="X425" s="33"/>
      <c r="Y425" s="33"/>
      <c r="Z425" s="33"/>
    </row>
    <row r="426" spans="1:26" ht="13.5" customHeight="1" x14ac:dyDescent="0.35">
      <c r="A426" s="33"/>
      <c r="B426" s="33"/>
      <c r="C426" s="33"/>
      <c r="D426" s="33"/>
      <c r="E426" s="33"/>
      <c r="F426" s="33"/>
      <c r="G426" s="33"/>
      <c r="H426" s="33"/>
      <c r="I426" s="33"/>
      <c r="J426" s="33"/>
      <c r="K426" s="33"/>
      <c r="L426" s="33"/>
      <c r="M426" s="33"/>
      <c r="N426" s="33"/>
      <c r="O426" s="33"/>
      <c r="P426" s="33"/>
      <c r="Q426" s="33"/>
      <c r="R426" s="33"/>
      <c r="S426" s="33"/>
      <c r="T426" s="33"/>
      <c r="U426" s="33"/>
      <c r="V426" s="33"/>
      <c r="W426" s="33"/>
      <c r="X426" s="33"/>
      <c r="Y426" s="33"/>
      <c r="Z426" s="33"/>
    </row>
    <row r="427" spans="1:26" ht="13.5" customHeight="1" x14ac:dyDescent="0.35">
      <c r="A427" s="33"/>
      <c r="B427" s="33"/>
      <c r="C427" s="33"/>
      <c r="D427" s="33"/>
      <c r="E427" s="33"/>
      <c r="F427" s="33"/>
      <c r="G427" s="33"/>
      <c r="H427" s="33"/>
      <c r="I427" s="33"/>
      <c r="J427" s="33"/>
      <c r="K427" s="33"/>
      <c r="L427" s="33"/>
      <c r="M427" s="33"/>
      <c r="N427" s="33"/>
      <c r="O427" s="33"/>
      <c r="P427" s="33"/>
      <c r="Q427" s="33"/>
      <c r="R427" s="33"/>
      <c r="S427" s="33"/>
      <c r="T427" s="33"/>
      <c r="U427" s="33"/>
      <c r="V427" s="33"/>
      <c r="W427" s="33"/>
      <c r="X427" s="33"/>
      <c r="Y427" s="33"/>
      <c r="Z427" s="33"/>
    </row>
    <row r="428" spans="1:26" ht="13.5" customHeight="1" x14ac:dyDescent="0.35">
      <c r="A428" s="33"/>
      <c r="B428" s="33"/>
      <c r="C428" s="33"/>
      <c r="D428" s="33"/>
      <c r="E428" s="33"/>
      <c r="F428" s="33"/>
      <c r="G428" s="33"/>
      <c r="H428" s="33"/>
      <c r="I428" s="33"/>
      <c r="J428" s="33"/>
      <c r="K428" s="33"/>
      <c r="L428" s="33"/>
      <c r="M428" s="33"/>
      <c r="N428" s="33"/>
      <c r="O428" s="33"/>
      <c r="P428" s="33"/>
      <c r="Q428" s="33"/>
      <c r="R428" s="33"/>
      <c r="S428" s="33"/>
      <c r="T428" s="33"/>
      <c r="U428" s="33"/>
      <c r="V428" s="33"/>
      <c r="W428" s="33"/>
      <c r="X428" s="33"/>
      <c r="Y428" s="33"/>
      <c r="Z428" s="33"/>
    </row>
    <row r="429" spans="1:26" ht="13.5" customHeight="1" x14ac:dyDescent="0.35">
      <c r="A429" s="33"/>
      <c r="B429" s="33"/>
      <c r="C429" s="33"/>
      <c r="D429" s="33"/>
      <c r="E429" s="33"/>
      <c r="F429" s="33"/>
      <c r="G429" s="33"/>
      <c r="H429" s="33"/>
      <c r="I429" s="33"/>
      <c r="J429" s="33"/>
      <c r="K429" s="33"/>
      <c r="L429" s="33"/>
      <c r="M429" s="33"/>
      <c r="N429" s="33"/>
      <c r="O429" s="33"/>
      <c r="P429" s="33"/>
      <c r="Q429" s="33"/>
      <c r="R429" s="33"/>
      <c r="S429" s="33"/>
      <c r="T429" s="33"/>
      <c r="U429" s="33"/>
      <c r="V429" s="33"/>
      <c r="W429" s="33"/>
      <c r="X429" s="33"/>
      <c r="Y429" s="33"/>
      <c r="Z429" s="33"/>
    </row>
    <row r="430" spans="1:26" ht="13.5" customHeight="1" x14ac:dyDescent="0.35">
      <c r="A430" s="33"/>
      <c r="B430" s="33"/>
      <c r="C430" s="33"/>
      <c r="D430" s="33"/>
      <c r="E430" s="33"/>
      <c r="F430" s="33"/>
      <c r="G430" s="33"/>
      <c r="H430" s="33"/>
      <c r="I430" s="33"/>
      <c r="J430" s="33"/>
      <c r="K430" s="33"/>
      <c r="L430" s="33"/>
      <c r="M430" s="33"/>
      <c r="N430" s="33"/>
      <c r="O430" s="33"/>
      <c r="P430" s="33"/>
      <c r="Q430" s="33"/>
      <c r="R430" s="33"/>
      <c r="S430" s="33"/>
      <c r="T430" s="33"/>
      <c r="U430" s="33"/>
      <c r="V430" s="33"/>
      <c r="W430" s="33"/>
      <c r="X430" s="33"/>
      <c r="Y430" s="33"/>
      <c r="Z430" s="33"/>
    </row>
    <row r="431" spans="1:26" ht="13.5" customHeight="1" x14ac:dyDescent="0.35">
      <c r="A431" s="33"/>
      <c r="B431" s="33"/>
      <c r="C431" s="33"/>
      <c r="D431" s="33"/>
      <c r="E431" s="33"/>
      <c r="F431" s="33"/>
      <c r="G431" s="33"/>
      <c r="H431" s="33"/>
      <c r="I431" s="33"/>
      <c r="J431" s="33"/>
      <c r="K431" s="33"/>
      <c r="L431" s="33"/>
      <c r="M431" s="33"/>
      <c r="N431" s="33"/>
      <c r="O431" s="33"/>
      <c r="P431" s="33"/>
      <c r="Q431" s="33"/>
      <c r="R431" s="33"/>
      <c r="S431" s="33"/>
      <c r="T431" s="33"/>
      <c r="U431" s="33"/>
      <c r="V431" s="33"/>
      <c r="W431" s="33"/>
      <c r="X431" s="33"/>
      <c r="Y431" s="33"/>
      <c r="Z431" s="33"/>
    </row>
    <row r="432" spans="1:26" ht="13.5" customHeight="1" x14ac:dyDescent="0.35">
      <c r="A432" s="33"/>
      <c r="B432" s="33"/>
      <c r="C432" s="33"/>
      <c r="D432" s="33"/>
      <c r="E432" s="33"/>
      <c r="F432" s="33"/>
      <c r="G432" s="33"/>
      <c r="H432" s="33"/>
      <c r="I432" s="33"/>
      <c r="J432" s="33"/>
      <c r="K432" s="33"/>
      <c r="L432" s="33"/>
      <c r="M432" s="33"/>
      <c r="N432" s="33"/>
      <c r="O432" s="33"/>
      <c r="P432" s="33"/>
      <c r="Q432" s="33"/>
      <c r="R432" s="33"/>
      <c r="S432" s="33"/>
      <c r="T432" s="33"/>
      <c r="U432" s="33"/>
      <c r="V432" s="33"/>
      <c r="W432" s="33"/>
      <c r="X432" s="33"/>
      <c r="Y432" s="33"/>
      <c r="Z432" s="33"/>
    </row>
    <row r="433" spans="1:26" ht="13.5" customHeight="1" x14ac:dyDescent="0.35">
      <c r="A433" s="33"/>
      <c r="B433" s="33"/>
      <c r="C433" s="33"/>
      <c r="D433" s="33"/>
      <c r="E433" s="33"/>
      <c r="F433" s="33"/>
      <c r="G433" s="33"/>
      <c r="H433" s="33"/>
      <c r="I433" s="33"/>
      <c r="J433" s="33"/>
      <c r="K433" s="33"/>
      <c r="L433" s="33"/>
      <c r="M433" s="33"/>
      <c r="N433" s="33"/>
      <c r="O433" s="33"/>
      <c r="P433" s="33"/>
      <c r="Q433" s="33"/>
      <c r="R433" s="33"/>
      <c r="S433" s="33"/>
      <c r="T433" s="33"/>
      <c r="U433" s="33"/>
      <c r="V433" s="33"/>
      <c r="W433" s="33"/>
      <c r="X433" s="33"/>
      <c r="Y433" s="33"/>
      <c r="Z433" s="33"/>
    </row>
    <row r="434" spans="1:26" ht="13.5" customHeight="1" x14ac:dyDescent="0.35">
      <c r="A434" s="33"/>
      <c r="B434" s="33"/>
      <c r="C434" s="33"/>
      <c r="D434" s="33"/>
      <c r="E434" s="33"/>
      <c r="F434" s="33"/>
      <c r="G434" s="33"/>
      <c r="H434" s="33"/>
      <c r="I434" s="33"/>
      <c r="J434" s="33"/>
      <c r="K434" s="33"/>
      <c r="L434" s="33"/>
      <c r="M434" s="33"/>
      <c r="N434" s="33"/>
      <c r="O434" s="33"/>
      <c r="P434" s="33"/>
      <c r="Q434" s="33"/>
      <c r="R434" s="33"/>
      <c r="S434" s="33"/>
      <c r="T434" s="33"/>
      <c r="U434" s="33"/>
      <c r="V434" s="33"/>
      <c r="W434" s="33"/>
      <c r="X434" s="33"/>
      <c r="Y434" s="33"/>
      <c r="Z434" s="33"/>
    </row>
    <row r="435" spans="1:26" ht="13.5" customHeight="1" x14ac:dyDescent="0.35">
      <c r="A435" s="33"/>
      <c r="B435" s="33"/>
      <c r="C435" s="33"/>
      <c r="D435" s="33"/>
      <c r="E435" s="33"/>
      <c r="F435" s="33"/>
      <c r="G435" s="33"/>
      <c r="H435" s="33"/>
      <c r="I435" s="33"/>
      <c r="J435" s="33"/>
      <c r="K435" s="33"/>
      <c r="L435" s="33"/>
      <c r="M435" s="33"/>
      <c r="N435" s="33"/>
      <c r="O435" s="33"/>
      <c r="P435" s="33"/>
      <c r="Q435" s="33"/>
      <c r="R435" s="33"/>
      <c r="S435" s="33"/>
      <c r="T435" s="33"/>
      <c r="U435" s="33"/>
      <c r="V435" s="33"/>
      <c r="W435" s="33"/>
      <c r="X435" s="33"/>
      <c r="Y435" s="33"/>
      <c r="Z435" s="33"/>
    </row>
    <row r="436" spans="1:26" ht="13.5" customHeight="1" x14ac:dyDescent="0.35">
      <c r="A436" s="33"/>
      <c r="B436" s="33"/>
      <c r="C436" s="33"/>
      <c r="D436" s="33"/>
      <c r="E436" s="33"/>
      <c r="F436" s="33"/>
      <c r="G436" s="33"/>
      <c r="H436" s="33"/>
      <c r="I436" s="33"/>
      <c r="J436" s="33"/>
      <c r="K436" s="33"/>
      <c r="L436" s="33"/>
      <c r="M436" s="33"/>
      <c r="N436" s="33"/>
      <c r="O436" s="33"/>
      <c r="P436" s="33"/>
      <c r="Q436" s="33"/>
      <c r="R436" s="33"/>
      <c r="S436" s="33"/>
      <c r="T436" s="33"/>
      <c r="U436" s="33"/>
      <c r="V436" s="33"/>
      <c r="W436" s="33"/>
      <c r="X436" s="33"/>
      <c r="Y436" s="33"/>
      <c r="Z436" s="33"/>
    </row>
    <row r="437" spans="1:26" ht="13.5" customHeight="1" x14ac:dyDescent="0.35">
      <c r="A437" s="33"/>
      <c r="B437" s="33"/>
      <c r="C437" s="33"/>
      <c r="D437" s="33"/>
      <c r="E437" s="33"/>
      <c r="F437" s="33"/>
      <c r="G437" s="33"/>
      <c r="H437" s="33"/>
      <c r="I437" s="33"/>
      <c r="J437" s="33"/>
      <c r="K437" s="33"/>
      <c r="L437" s="33"/>
      <c r="M437" s="33"/>
      <c r="N437" s="33"/>
      <c r="O437" s="33"/>
      <c r="P437" s="33"/>
      <c r="Q437" s="33"/>
      <c r="R437" s="33"/>
      <c r="S437" s="33"/>
      <c r="T437" s="33"/>
      <c r="U437" s="33"/>
      <c r="V437" s="33"/>
      <c r="W437" s="33"/>
      <c r="X437" s="33"/>
      <c r="Y437" s="33"/>
      <c r="Z437" s="33"/>
    </row>
    <row r="438" spans="1:26" ht="13.5" customHeight="1" x14ac:dyDescent="0.35">
      <c r="A438" s="33"/>
      <c r="B438" s="33"/>
      <c r="C438" s="33"/>
      <c r="D438" s="33"/>
      <c r="E438" s="33"/>
      <c r="F438" s="33"/>
      <c r="G438" s="33"/>
      <c r="H438" s="33"/>
      <c r="I438" s="33"/>
      <c r="J438" s="33"/>
      <c r="K438" s="33"/>
      <c r="L438" s="33"/>
      <c r="M438" s="33"/>
      <c r="N438" s="33"/>
      <c r="O438" s="33"/>
      <c r="P438" s="33"/>
      <c r="Q438" s="33"/>
      <c r="R438" s="33"/>
      <c r="S438" s="33"/>
      <c r="T438" s="33"/>
      <c r="U438" s="33"/>
      <c r="V438" s="33"/>
      <c r="W438" s="33"/>
      <c r="X438" s="33"/>
      <c r="Y438" s="33"/>
      <c r="Z438" s="33"/>
    </row>
    <row r="439" spans="1:26" ht="13.5" customHeight="1" x14ac:dyDescent="0.35">
      <c r="A439" s="33"/>
      <c r="B439" s="33"/>
      <c r="C439" s="33"/>
      <c r="D439" s="33"/>
      <c r="E439" s="33"/>
      <c r="F439" s="33"/>
      <c r="G439" s="33"/>
      <c r="H439" s="33"/>
      <c r="I439" s="33"/>
      <c r="J439" s="33"/>
      <c r="K439" s="33"/>
      <c r="L439" s="33"/>
      <c r="M439" s="33"/>
      <c r="N439" s="33"/>
      <c r="O439" s="33"/>
      <c r="P439" s="33"/>
      <c r="Q439" s="33"/>
      <c r="R439" s="33"/>
      <c r="S439" s="33"/>
      <c r="T439" s="33"/>
      <c r="U439" s="33"/>
      <c r="V439" s="33"/>
      <c r="W439" s="33"/>
      <c r="X439" s="33"/>
      <c r="Y439" s="33"/>
      <c r="Z439" s="33"/>
    </row>
    <row r="440" spans="1:26" ht="13.5" customHeight="1" x14ac:dyDescent="0.35">
      <c r="A440" s="33"/>
      <c r="B440" s="33"/>
      <c r="C440" s="33"/>
      <c r="D440" s="33"/>
      <c r="E440" s="33"/>
      <c r="F440" s="33"/>
      <c r="G440" s="33"/>
      <c r="H440" s="33"/>
      <c r="I440" s="33"/>
      <c r="J440" s="33"/>
      <c r="K440" s="33"/>
      <c r="L440" s="33"/>
      <c r="M440" s="33"/>
      <c r="N440" s="33"/>
      <c r="O440" s="33"/>
      <c r="P440" s="33"/>
      <c r="Q440" s="33"/>
      <c r="R440" s="33"/>
      <c r="S440" s="33"/>
      <c r="T440" s="33"/>
      <c r="U440" s="33"/>
      <c r="V440" s="33"/>
      <c r="W440" s="33"/>
      <c r="X440" s="33"/>
      <c r="Y440" s="33"/>
      <c r="Z440" s="33"/>
    </row>
    <row r="441" spans="1:26" ht="13.5" customHeight="1" x14ac:dyDescent="0.35">
      <c r="A441" s="33"/>
      <c r="B441" s="33"/>
      <c r="C441" s="33"/>
      <c r="D441" s="33"/>
      <c r="E441" s="33"/>
      <c r="F441" s="33"/>
      <c r="G441" s="33"/>
      <c r="H441" s="33"/>
      <c r="I441" s="33"/>
      <c r="J441" s="33"/>
      <c r="K441" s="33"/>
      <c r="L441" s="33"/>
      <c r="M441" s="33"/>
      <c r="N441" s="33"/>
      <c r="O441" s="33"/>
      <c r="P441" s="33"/>
      <c r="Q441" s="33"/>
      <c r="R441" s="33"/>
      <c r="S441" s="33"/>
      <c r="T441" s="33"/>
      <c r="U441" s="33"/>
      <c r="V441" s="33"/>
      <c r="W441" s="33"/>
      <c r="X441" s="33"/>
      <c r="Y441" s="33"/>
      <c r="Z441" s="33"/>
    </row>
    <row r="442" spans="1:26" ht="13.5" customHeight="1" x14ac:dyDescent="0.35">
      <c r="A442" s="33"/>
      <c r="B442" s="33"/>
      <c r="C442" s="33"/>
      <c r="D442" s="33"/>
      <c r="E442" s="33"/>
      <c r="F442" s="33"/>
      <c r="G442" s="33"/>
      <c r="H442" s="33"/>
      <c r="I442" s="33"/>
      <c r="J442" s="33"/>
      <c r="K442" s="33"/>
      <c r="L442" s="33"/>
      <c r="M442" s="33"/>
      <c r="N442" s="33"/>
      <c r="O442" s="33"/>
      <c r="P442" s="33"/>
      <c r="Q442" s="33"/>
      <c r="R442" s="33"/>
      <c r="S442" s="33"/>
      <c r="T442" s="33"/>
      <c r="U442" s="33"/>
      <c r="V442" s="33"/>
      <c r="W442" s="33"/>
      <c r="X442" s="33"/>
      <c r="Y442" s="33"/>
      <c r="Z442" s="33"/>
    </row>
    <row r="443" spans="1:26" ht="13.5" customHeight="1" x14ac:dyDescent="0.35">
      <c r="A443" s="33"/>
      <c r="B443" s="33"/>
      <c r="C443" s="33"/>
      <c r="D443" s="33"/>
      <c r="E443" s="33"/>
      <c r="F443" s="33"/>
      <c r="G443" s="33"/>
      <c r="H443" s="33"/>
      <c r="I443" s="33"/>
      <c r="J443" s="33"/>
      <c r="K443" s="33"/>
      <c r="L443" s="33"/>
      <c r="M443" s="33"/>
      <c r="N443" s="33"/>
      <c r="O443" s="33"/>
      <c r="P443" s="33"/>
      <c r="Q443" s="33"/>
      <c r="R443" s="33"/>
      <c r="S443" s="33"/>
      <c r="T443" s="33"/>
      <c r="U443" s="33"/>
      <c r="V443" s="33"/>
      <c r="W443" s="33"/>
      <c r="X443" s="33"/>
      <c r="Y443" s="33"/>
      <c r="Z443" s="33"/>
    </row>
    <row r="444" spans="1:26" ht="13.5" customHeight="1" x14ac:dyDescent="0.35">
      <c r="A444" s="33"/>
      <c r="B444" s="33"/>
      <c r="C444" s="33"/>
      <c r="D444" s="33"/>
      <c r="E444" s="33"/>
      <c r="F444" s="33"/>
      <c r="G444" s="33"/>
      <c r="H444" s="33"/>
      <c r="I444" s="33"/>
      <c r="J444" s="33"/>
      <c r="K444" s="33"/>
      <c r="L444" s="33"/>
      <c r="M444" s="33"/>
      <c r="N444" s="33"/>
      <c r="O444" s="33"/>
      <c r="P444" s="33"/>
      <c r="Q444" s="33"/>
      <c r="R444" s="33"/>
      <c r="S444" s="33"/>
      <c r="T444" s="33"/>
      <c r="U444" s="33"/>
      <c r="V444" s="33"/>
      <c r="W444" s="33"/>
      <c r="X444" s="33"/>
      <c r="Y444" s="33"/>
      <c r="Z444" s="33"/>
    </row>
    <row r="445" spans="1:26" ht="13.5" customHeight="1" x14ac:dyDescent="0.35">
      <c r="A445" s="33"/>
      <c r="B445" s="33"/>
      <c r="C445" s="33"/>
      <c r="D445" s="33"/>
      <c r="E445" s="33"/>
      <c r="F445" s="33"/>
      <c r="G445" s="33"/>
      <c r="H445" s="33"/>
      <c r="I445" s="33"/>
      <c r="J445" s="33"/>
      <c r="K445" s="33"/>
      <c r="L445" s="33"/>
      <c r="M445" s="33"/>
      <c r="N445" s="33"/>
      <c r="O445" s="33"/>
      <c r="P445" s="33"/>
      <c r="Q445" s="33"/>
      <c r="R445" s="33"/>
      <c r="S445" s="33"/>
      <c r="T445" s="33"/>
      <c r="U445" s="33"/>
      <c r="V445" s="33"/>
      <c r="W445" s="33"/>
      <c r="X445" s="33"/>
      <c r="Y445" s="33"/>
      <c r="Z445" s="33"/>
    </row>
    <row r="446" spans="1:26" ht="13.5" customHeight="1" x14ac:dyDescent="0.35">
      <c r="A446" s="33"/>
      <c r="B446" s="33"/>
      <c r="C446" s="33"/>
      <c r="D446" s="33"/>
      <c r="E446" s="33"/>
      <c r="F446" s="33"/>
      <c r="G446" s="33"/>
      <c r="H446" s="33"/>
      <c r="I446" s="33"/>
      <c r="J446" s="33"/>
      <c r="K446" s="33"/>
      <c r="L446" s="33"/>
      <c r="M446" s="33"/>
      <c r="N446" s="33"/>
      <c r="O446" s="33"/>
      <c r="P446" s="33"/>
      <c r="Q446" s="33"/>
      <c r="R446" s="33"/>
      <c r="S446" s="33"/>
      <c r="T446" s="33"/>
      <c r="U446" s="33"/>
      <c r="V446" s="33"/>
      <c r="W446" s="33"/>
      <c r="X446" s="33"/>
      <c r="Y446" s="33"/>
      <c r="Z446" s="33"/>
    </row>
    <row r="447" spans="1:26" ht="13.5" customHeight="1" x14ac:dyDescent="0.35">
      <c r="A447" s="33"/>
      <c r="B447" s="33"/>
      <c r="C447" s="33"/>
      <c r="D447" s="33"/>
      <c r="E447" s="33"/>
      <c r="F447" s="33"/>
      <c r="G447" s="33"/>
      <c r="H447" s="33"/>
      <c r="I447" s="33"/>
      <c r="J447" s="33"/>
      <c r="K447" s="33"/>
      <c r="L447" s="33"/>
      <c r="M447" s="33"/>
      <c r="N447" s="33"/>
      <c r="O447" s="33"/>
      <c r="P447" s="33"/>
      <c r="Q447" s="33"/>
      <c r="R447" s="33"/>
      <c r="S447" s="33"/>
      <c r="T447" s="33"/>
      <c r="U447" s="33"/>
      <c r="V447" s="33"/>
      <c r="W447" s="33"/>
      <c r="X447" s="33"/>
      <c r="Y447" s="33"/>
      <c r="Z447" s="33"/>
    </row>
    <row r="448" spans="1:26" ht="13.5" customHeight="1" x14ac:dyDescent="0.35">
      <c r="A448" s="33"/>
      <c r="B448" s="33"/>
      <c r="C448" s="33"/>
      <c r="D448" s="33"/>
      <c r="E448" s="33"/>
      <c r="F448" s="33"/>
      <c r="G448" s="33"/>
      <c r="H448" s="33"/>
      <c r="I448" s="33"/>
      <c r="J448" s="33"/>
      <c r="K448" s="33"/>
      <c r="L448" s="33"/>
      <c r="M448" s="33"/>
      <c r="N448" s="33"/>
      <c r="O448" s="33"/>
      <c r="P448" s="33"/>
      <c r="Q448" s="33"/>
      <c r="R448" s="33"/>
      <c r="S448" s="33"/>
      <c r="T448" s="33"/>
      <c r="U448" s="33"/>
      <c r="V448" s="33"/>
      <c r="W448" s="33"/>
      <c r="X448" s="33"/>
      <c r="Y448" s="33"/>
      <c r="Z448" s="33"/>
    </row>
    <row r="449" spans="1:26" ht="13.5" customHeight="1" x14ac:dyDescent="0.35">
      <c r="A449" s="33"/>
      <c r="B449" s="33"/>
      <c r="C449" s="33"/>
      <c r="D449" s="33"/>
      <c r="E449" s="33"/>
      <c r="F449" s="33"/>
      <c r="G449" s="33"/>
      <c r="H449" s="33"/>
      <c r="I449" s="33"/>
      <c r="J449" s="33"/>
      <c r="K449" s="33"/>
      <c r="L449" s="33"/>
      <c r="M449" s="33"/>
      <c r="N449" s="33"/>
      <c r="O449" s="33"/>
      <c r="P449" s="33"/>
      <c r="Q449" s="33"/>
      <c r="R449" s="33"/>
      <c r="S449" s="33"/>
      <c r="T449" s="33"/>
      <c r="U449" s="33"/>
      <c r="V449" s="33"/>
      <c r="W449" s="33"/>
      <c r="X449" s="33"/>
      <c r="Y449" s="33"/>
      <c r="Z449" s="33"/>
    </row>
    <row r="450" spans="1:26" ht="13.5" customHeight="1" x14ac:dyDescent="0.35">
      <c r="A450" s="33"/>
      <c r="B450" s="33"/>
      <c r="C450" s="33"/>
      <c r="D450" s="33"/>
      <c r="E450" s="33"/>
      <c r="F450" s="33"/>
      <c r="G450" s="33"/>
      <c r="H450" s="33"/>
      <c r="I450" s="33"/>
      <c r="J450" s="33"/>
      <c r="K450" s="33"/>
      <c r="L450" s="33"/>
      <c r="M450" s="33"/>
      <c r="N450" s="33"/>
      <c r="O450" s="33"/>
      <c r="P450" s="33"/>
      <c r="Q450" s="33"/>
      <c r="R450" s="33"/>
      <c r="S450" s="33"/>
      <c r="T450" s="33"/>
      <c r="U450" s="33"/>
      <c r="V450" s="33"/>
      <c r="W450" s="33"/>
      <c r="X450" s="33"/>
      <c r="Y450" s="33"/>
      <c r="Z450" s="33"/>
    </row>
    <row r="451" spans="1:26" ht="13.5" customHeight="1" x14ac:dyDescent="0.35">
      <c r="A451" s="33"/>
      <c r="B451" s="33"/>
      <c r="C451" s="33"/>
      <c r="D451" s="33"/>
      <c r="E451" s="33"/>
      <c r="F451" s="33"/>
      <c r="G451" s="33"/>
      <c r="H451" s="33"/>
      <c r="I451" s="33"/>
      <c r="J451" s="33"/>
      <c r="K451" s="33"/>
      <c r="L451" s="33"/>
      <c r="M451" s="33"/>
      <c r="N451" s="33"/>
      <c r="O451" s="33"/>
      <c r="P451" s="33"/>
      <c r="Q451" s="33"/>
      <c r="R451" s="33"/>
      <c r="S451" s="33"/>
      <c r="T451" s="33"/>
      <c r="U451" s="33"/>
      <c r="V451" s="33"/>
      <c r="W451" s="33"/>
      <c r="X451" s="33"/>
      <c r="Y451" s="33"/>
      <c r="Z451" s="33"/>
    </row>
    <row r="452" spans="1:26" ht="13.5" customHeight="1" x14ac:dyDescent="0.35">
      <c r="A452" s="33"/>
      <c r="B452" s="33"/>
      <c r="C452" s="33"/>
      <c r="D452" s="33"/>
      <c r="E452" s="33"/>
      <c r="F452" s="33"/>
      <c r="G452" s="33"/>
      <c r="H452" s="33"/>
      <c r="I452" s="33"/>
      <c r="J452" s="33"/>
      <c r="K452" s="33"/>
      <c r="L452" s="33"/>
      <c r="M452" s="33"/>
      <c r="N452" s="33"/>
      <c r="O452" s="33"/>
      <c r="P452" s="33"/>
      <c r="Q452" s="33"/>
      <c r="R452" s="33"/>
      <c r="S452" s="33"/>
      <c r="T452" s="33"/>
      <c r="U452" s="33"/>
      <c r="V452" s="33"/>
      <c r="W452" s="33"/>
      <c r="X452" s="33"/>
      <c r="Y452" s="33"/>
      <c r="Z452" s="33"/>
    </row>
    <row r="453" spans="1:26" ht="13.5" customHeight="1" x14ac:dyDescent="0.35">
      <c r="A453" s="33"/>
      <c r="B453" s="33"/>
      <c r="C453" s="33"/>
      <c r="D453" s="33"/>
      <c r="E453" s="33"/>
      <c r="F453" s="33"/>
      <c r="G453" s="33"/>
      <c r="H453" s="33"/>
      <c r="I453" s="33"/>
      <c r="J453" s="33"/>
      <c r="K453" s="33"/>
      <c r="L453" s="33"/>
      <c r="M453" s="33"/>
      <c r="N453" s="33"/>
      <c r="O453" s="33"/>
      <c r="P453" s="33"/>
      <c r="Q453" s="33"/>
      <c r="R453" s="33"/>
      <c r="S453" s="33"/>
      <c r="T453" s="33"/>
      <c r="U453" s="33"/>
      <c r="V453" s="33"/>
      <c r="W453" s="33"/>
      <c r="X453" s="33"/>
      <c r="Y453" s="33"/>
      <c r="Z453" s="33"/>
    </row>
    <row r="454" spans="1:26" ht="13.5" customHeight="1" x14ac:dyDescent="0.35">
      <c r="A454" s="33"/>
      <c r="B454" s="33"/>
      <c r="C454" s="33"/>
      <c r="D454" s="33"/>
      <c r="E454" s="33"/>
      <c r="F454" s="33"/>
      <c r="G454" s="33"/>
      <c r="H454" s="33"/>
      <c r="I454" s="33"/>
      <c r="J454" s="33"/>
      <c r="K454" s="33"/>
      <c r="L454" s="33"/>
      <c r="M454" s="33"/>
      <c r="N454" s="33"/>
      <c r="O454" s="33"/>
      <c r="P454" s="33"/>
      <c r="Q454" s="33"/>
      <c r="R454" s="33"/>
      <c r="S454" s="33"/>
      <c r="T454" s="33"/>
      <c r="U454" s="33"/>
      <c r="V454" s="33"/>
      <c r="W454" s="33"/>
      <c r="X454" s="33"/>
      <c r="Y454" s="33"/>
      <c r="Z454" s="33"/>
    </row>
    <row r="455" spans="1:26" ht="13.5" customHeight="1" x14ac:dyDescent="0.35">
      <c r="A455" s="33"/>
      <c r="B455" s="33"/>
      <c r="C455" s="33"/>
      <c r="D455" s="33"/>
      <c r="E455" s="33"/>
      <c r="F455" s="33"/>
      <c r="G455" s="33"/>
      <c r="H455" s="33"/>
      <c r="I455" s="33"/>
      <c r="J455" s="33"/>
      <c r="K455" s="33"/>
      <c r="L455" s="33"/>
      <c r="M455" s="33"/>
      <c r="N455" s="33"/>
      <c r="O455" s="33"/>
      <c r="P455" s="33"/>
      <c r="Q455" s="33"/>
      <c r="R455" s="33"/>
      <c r="S455" s="33"/>
      <c r="T455" s="33"/>
      <c r="U455" s="33"/>
      <c r="V455" s="33"/>
      <c r="W455" s="33"/>
      <c r="X455" s="33"/>
      <c r="Y455" s="33"/>
      <c r="Z455" s="33"/>
    </row>
    <row r="456" spans="1:26" ht="13.5" customHeight="1" x14ac:dyDescent="0.35">
      <c r="A456" s="33"/>
      <c r="B456" s="33"/>
      <c r="C456" s="33"/>
      <c r="D456" s="33"/>
      <c r="E456" s="33"/>
      <c r="F456" s="33"/>
      <c r="G456" s="33"/>
      <c r="H456" s="33"/>
      <c r="I456" s="33"/>
      <c r="J456" s="33"/>
      <c r="K456" s="33"/>
      <c r="L456" s="33"/>
      <c r="M456" s="33"/>
      <c r="N456" s="33"/>
      <c r="O456" s="33"/>
      <c r="P456" s="33"/>
      <c r="Q456" s="33"/>
      <c r="R456" s="33"/>
      <c r="S456" s="33"/>
      <c r="T456" s="33"/>
      <c r="U456" s="33"/>
      <c r="V456" s="33"/>
      <c r="W456" s="33"/>
      <c r="X456" s="33"/>
      <c r="Y456" s="33"/>
      <c r="Z456" s="33"/>
    </row>
    <row r="457" spans="1:26" ht="13.5" customHeight="1" x14ac:dyDescent="0.35">
      <c r="A457" s="33"/>
      <c r="B457" s="33"/>
      <c r="C457" s="33"/>
      <c r="D457" s="33"/>
      <c r="E457" s="33"/>
      <c r="F457" s="33"/>
      <c r="G457" s="33"/>
      <c r="H457" s="33"/>
      <c r="I457" s="33"/>
      <c r="J457" s="33"/>
      <c r="K457" s="33"/>
      <c r="L457" s="33"/>
      <c r="M457" s="33"/>
      <c r="N457" s="33"/>
      <c r="O457" s="33"/>
      <c r="P457" s="33"/>
      <c r="Q457" s="33"/>
      <c r="R457" s="33"/>
      <c r="S457" s="33"/>
      <c r="T457" s="33"/>
      <c r="U457" s="33"/>
      <c r="V457" s="33"/>
      <c r="W457" s="33"/>
      <c r="X457" s="33"/>
      <c r="Y457" s="33"/>
      <c r="Z457" s="33"/>
    </row>
    <row r="458" spans="1:26" ht="13.5" customHeight="1" x14ac:dyDescent="0.35">
      <c r="A458" s="33"/>
      <c r="B458" s="33"/>
      <c r="C458" s="33"/>
      <c r="D458" s="33"/>
      <c r="E458" s="33"/>
      <c r="F458" s="33"/>
      <c r="G458" s="33"/>
      <c r="H458" s="33"/>
      <c r="I458" s="33"/>
      <c r="J458" s="33"/>
      <c r="K458" s="33"/>
      <c r="L458" s="33"/>
      <c r="M458" s="33"/>
      <c r="N458" s="33"/>
      <c r="O458" s="33"/>
      <c r="P458" s="33"/>
      <c r="Q458" s="33"/>
      <c r="R458" s="33"/>
      <c r="S458" s="33"/>
      <c r="T458" s="33"/>
      <c r="U458" s="33"/>
      <c r="V458" s="33"/>
      <c r="W458" s="33"/>
      <c r="X458" s="33"/>
      <c r="Y458" s="33"/>
      <c r="Z458" s="33"/>
    </row>
    <row r="459" spans="1:26" ht="13.5" customHeight="1" x14ac:dyDescent="0.35">
      <c r="A459" s="33"/>
      <c r="B459" s="33"/>
      <c r="C459" s="33"/>
      <c r="D459" s="33"/>
      <c r="E459" s="33"/>
      <c r="F459" s="33"/>
      <c r="G459" s="33"/>
      <c r="H459" s="33"/>
      <c r="I459" s="33"/>
      <c r="J459" s="33"/>
      <c r="K459" s="33"/>
      <c r="L459" s="33"/>
      <c r="M459" s="33"/>
      <c r="N459" s="33"/>
      <c r="O459" s="33"/>
      <c r="P459" s="33"/>
      <c r="Q459" s="33"/>
      <c r="R459" s="33"/>
      <c r="S459" s="33"/>
      <c r="T459" s="33"/>
      <c r="U459" s="33"/>
      <c r="V459" s="33"/>
      <c r="W459" s="33"/>
      <c r="X459" s="33"/>
      <c r="Y459" s="33"/>
      <c r="Z459" s="33"/>
    </row>
    <row r="460" spans="1:26" ht="13.5" customHeight="1" x14ac:dyDescent="0.35">
      <c r="A460" s="33"/>
      <c r="B460" s="33"/>
      <c r="C460" s="33"/>
      <c r="D460" s="33"/>
      <c r="E460" s="33"/>
      <c r="F460" s="33"/>
      <c r="G460" s="33"/>
      <c r="H460" s="33"/>
      <c r="I460" s="33"/>
      <c r="J460" s="33"/>
      <c r="K460" s="33"/>
      <c r="L460" s="33"/>
      <c r="M460" s="33"/>
      <c r="N460" s="33"/>
      <c r="O460" s="33"/>
      <c r="P460" s="33"/>
      <c r="Q460" s="33"/>
      <c r="R460" s="33"/>
      <c r="S460" s="33"/>
      <c r="T460" s="33"/>
      <c r="U460" s="33"/>
      <c r="V460" s="33"/>
      <c r="W460" s="33"/>
      <c r="X460" s="33"/>
      <c r="Y460" s="33"/>
      <c r="Z460" s="33"/>
    </row>
    <row r="461" spans="1:26" ht="13.5" customHeight="1" x14ac:dyDescent="0.35">
      <c r="A461" s="33"/>
      <c r="B461" s="33"/>
      <c r="C461" s="33"/>
      <c r="D461" s="33"/>
      <c r="E461" s="33"/>
      <c r="F461" s="33"/>
      <c r="G461" s="33"/>
      <c r="H461" s="33"/>
      <c r="I461" s="33"/>
      <c r="J461" s="33"/>
      <c r="K461" s="33"/>
      <c r="L461" s="33"/>
      <c r="M461" s="33"/>
      <c r="N461" s="33"/>
      <c r="O461" s="33"/>
      <c r="P461" s="33"/>
      <c r="Q461" s="33"/>
      <c r="R461" s="33"/>
      <c r="S461" s="33"/>
      <c r="T461" s="33"/>
      <c r="U461" s="33"/>
      <c r="V461" s="33"/>
      <c r="W461" s="33"/>
      <c r="X461" s="33"/>
      <c r="Y461" s="33"/>
      <c r="Z461" s="33"/>
    </row>
    <row r="462" spans="1:26" ht="13.5" customHeight="1" x14ac:dyDescent="0.35">
      <c r="A462" s="33"/>
      <c r="B462" s="33"/>
      <c r="C462" s="33"/>
      <c r="D462" s="33"/>
      <c r="E462" s="33"/>
      <c r="F462" s="33"/>
      <c r="G462" s="33"/>
      <c r="H462" s="33"/>
      <c r="I462" s="33"/>
      <c r="J462" s="33"/>
      <c r="K462" s="33"/>
      <c r="L462" s="33"/>
      <c r="M462" s="33"/>
      <c r="N462" s="33"/>
      <c r="O462" s="33"/>
      <c r="P462" s="33"/>
      <c r="Q462" s="33"/>
      <c r="R462" s="33"/>
      <c r="S462" s="33"/>
      <c r="T462" s="33"/>
      <c r="U462" s="33"/>
      <c r="V462" s="33"/>
      <c r="W462" s="33"/>
      <c r="X462" s="33"/>
      <c r="Y462" s="33"/>
      <c r="Z462" s="33"/>
    </row>
    <row r="463" spans="1:26" ht="13.5" customHeight="1" x14ac:dyDescent="0.35">
      <c r="A463" s="33"/>
      <c r="B463" s="33"/>
      <c r="C463" s="33"/>
      <c r="D463" s="33"/>
      <c r="E463" s="33"/>
      <c r="F463" s="33"/>
      <c r="G463" s="33"/>
      <c r="H463" s="33"/>
      <c r="I463" s="33"/>
      <c r="J463" s="33"/>
      <c r="K463" s="33"/>
      <c r="L463" s="33"/>
      <c r="M463" s="33"/>
      <c r="N463" s="33"/>
      <c r="O463" s="33"/>
      <c r="P463" s="33"/>
      <c r="Q463" s="33"/>
      <c r="R463" s="33"/>
      <c r="S463" s="33"/>
      <c r="T463" s="33"/>
      <c r="U463" s="33"/>
      <c r="V463" s="33"/>
      <c r="W463" s="33"/>
      <c r="X463" s="33"/>
      <c r="Y463" s="33"/>
      <c r="Z463" s="33"/>
    </row>
    <row r="464" spans="1:26" ht="13.5" customHeight="1" x14ac:dyDescent="0.35">
      <c r="A464" s="33"/>
      <c r="B464" s="33"/>
      <c r="C464" s="33"/>
      <c r="D464" s="33"/>
      <c r="E464" s="33"/>
      <c r="F464" s="33"/>
      <c r="G464" s="33"/>
      <c r="H464" s="33"/>
      <c r="I464" s="33"/>
      <c r="J464" s="33"/>
      <c r="K464" s="33"/>
      <c r="L464" s="33"/>
      <c r="M464" s="33"/>
      <c r="N464" s="33"/>
      <c r="O464" s="33"/>
      <c r="P464" s="33"/>
      <c r="Q464" s="33"/>
      <c r="R464" s="33"/>
      <c r="S464" s="33"/>
      <c r="T464" s="33"/>
      <c r="U464" s="33"/>
      <c r="V464" s="33"/>
      <c r="W464" s="33"/>
      <c r="X464" s="33"/>
      <c r="Y464" s="33"/>
      <c r="Z464" s="33"/>
    </row>
    <row r="465" spans="1:26" ht="13.5" customHeight="1" x14ac:dyDescent="0.35">
      <c r="A465" s="33"/>
      <c r="B465" s="33"/>
      <c r="C465" s="33"/>
      <c r="D465" s="33"/>
      <c r="E465" s="33"/>
      <c r="F465" s="33"/>
      <c r="G465" s="33"/>
      <c r="H465" s="33"/>
      <c r="I465" s="33"/>
      <c r="J465" s="33"/>
      <c r="K465" s="33"/>
      <c r="L465" s="33"/>
      <c r="M465" s="33"/>
      <c r="N465" s="33"/>
      <c r="O465" s="33"/>
      <c r="P465" s="33"/>
      <c r="Q465" s="33"/>
      <c r="R465" s="33"/>
      <c r="S465" s="33"/>
      <c r="T465" s="33"/>
      <c r="U465" s="33"/>
      <c r="V465" s="33"/>
      <c r="W465" s="33"/>
      <c r="X465" s="33"/>
      <c r="Y465" s="33"/>
      <c r="Z465" s="33"/>
    </row>
    <row r="466" spans="1:26" ht="13.5" customHeight="1" x14ac:dyDescent="0.35">
      <c r="A466" s="33"/>
      <c r="B466" s="33"/>
      <c r="C466" s="33"/>
      <c r="D466" s="33"/>
      <c r="E466" s="33"/>
      <c r="F466" s="33"/>
      <c r="G466" s="33"/>
      <c r="H466" s="33"/>
      <c r="I466" s="33"/>
      <c r="J466" s="33"/>
      <c r="K466" s="33"/>
      <c r="L466" s="33"/>
      <c r="M466" s="33"/>
      <c r="N466" s="33"/>
      <c r="O466" s="33"/>
      <c r="P466" s="33"/>
      <c r="Q466" s="33"/>
      <c r="R466" s="33"/>
      <c r="S466" s="33"/>
      <c r="T466" s="33"/>
      <c r="U466" s="33"/>
      <c r="V466" s="33"/>
      <c r="W466" s="33"/>
      <c r="X466" s="33"/>
      <c r="Y466" s="33"/>
      <c r="Z466" s="33"/>
    </row>
    <row r="467" spans="1:26" ht="13.5" customHeight="1" x14ac:dyDescent="0.35">
      <c r="A467" s="33"/>
      <c r="B467" s="33"/>
      <c r="C467" s="33"/>
      <c r="D467" s="33"/>
      <c r="E467" s="33"/>
      <c r="F467" s="33"/>
      <c r="G467" s="33"/>
      <c r="H467" s="33"/>
      <c r="I467" s="33"/>
      <c r="J467" s="33"/>
      <c r="K467" s="33"/>
      <c r="L467" s="33"/>
      <c r="M467" s="33"/>
      <c r="N467" s="33"/>
      <c r="O467" s="33"/>
      <c r="P467" s="33"/>
      <c r="Q467" s="33"/>
      <c r="R467" s="33"/>
      <c r="S467" s="33"/>
      <c r="T467" s="33"/>
      <c r="U467" s="33"/>
      <c r="V467" s="33"/>
      <c r="W467" s="33"/>
      <c r="X467" s="33"/>
      <c r="Y467" s="33"/>
      <c r="Z467" s="33"/>
    </row>
    <row r="468" spans="1:26" ht="13.5" customHeight="1" x14ac:dyDescent="0.35">
      <c r="A468" s="33"/>
      <c r="B468" s="33"/>
      <c r="C468" s="33"/>
      <c r="D468" s="33"/>
      <c r="E468" s="33"/>
      <c r="F468" s="33"/>
      <c r="G468" s="33"/>
      <c r="H468" s="33"/>
      <c r="I468" s="33"/>
      <c r="J468" s="33"/>
      <c r="K468" s="33"/>
      <c r="L468" s="33"/>
      <c r="M468" s="33"/>
      <c r="N468" s="33"/>
      <c r="O468" s="33"/>
      <c r="P468" s="33"/>
      <c r="Q468" s="33"/>
      <c r="R468" s="33"/>
      <c r="S468" s="33"/>
      <c r="T468" s="33"/>
      <c r="U468" s="33"/>
      <c r="V468" s="33"/>
      <c r="W468" s="33"/>
      <c r="X468" s="33"/>
      <c r="Y468" s="33"/>
      <c r="Z468" s="33"/>
    </row>
    <row r="469" spans="1:26" ht="13.5" customHeight="1" x14ac:dyDescent="0.35">
      <c r="A469" s="33"/>
      <c r="B469" s="33"/>
      <c r="C469" s="33"/>
      <c r="D469" s="33"/>
      <c r="E469" s="33"/>
      <c r="F469" s="33"/>
      <c r="G469" s="33"/>
      <c r="H469" s="33"/>
      <c r="I469" s="33"/>
      <c r="J469" s="33"/>
      <c r="K469" s="33"/>
      <c r="L469" s="33"/>
      <c r="M469" s="33"/>
      <c r="N469" s="33"/>
      <c r="O469" s="33"/>
      <c r="P469" s="33"/>
      <c r="Q469" s="33"/>
      <c r="R469" s="33"/>
      <c r="S469" s="33"/>
      <c r="T469" s="33"/>
      <c r="U469" s="33"/>
      <c r="V469" s="33"/>
      <c r="W469" s="33"/>
      <c r="X469" s="33"/>
      <c r="Y469" s="33"/>
      <c r="Z469" s="33"/>
    </row>
    <row r="470" spans="1:26" ht="13.5" customHeight="1" x14ac:dyDescent="0.35">
      <c r="A470" s="33"/>
      <c r="B470" s="33"/>
      <c r="C470" s="33"/>
      <c r="D470" s="33"/>
      <c r="E470" s="33"/>
      <c r="F470" s="33"/>
      <c r="G470" s="33"/>
      <c r="H470" s="33"/>
      <c r="I470" s="33"/>
      <c r="J470" s="33"/>
      <c r="K470" s="33"/>
      <c r="L470" s="33"/>
      <c r="M470" s="33"/>
      <c r="N470" s="33"/>
      <c r="O470" s="33"/>
      <c r="P470" s="33"/>
      <c r="Q470" s="33"/>
      <c r="R470" s="33"/>
      <c r="S470" s="33"/>
      <c r="T470" s="33"/>
      <c r="U470" s="33"/>
      <c r="V470" s="33"/>
      <c r="W470" s="33"/>
      <c r="X470" s="33"/>
      <c r="Y470" s="33"/>
      <c r="Z470" s="33"/>
    </row>
    <row r="471" spans="1:26" ht="13.5" customHeight="1" x14ac:dyDescent="0.35">
      <c r="A471" s="33"/>
      <c r="B471" s="33"/>
      <c r="C471" s="33"/>
      <c r="D471" s="33"/>
      <c r="E471" s="33"/>
      <c r="F471" s="33"/>
      <c r="G471" s="33"/>
      <c r="H471" s="33"/>
      <c r="I471" s="33"/>
      <c r="J471" s="33"/>
      <c r="K471" s="33"/>
      <c r="L471" s="33"/>
      <c r="M471" s="33"/>
      <c r="N471" s="33"/>
      <c r="O471" s="33"/>
      <c r="P471" s="33"/>
      <c r="Q471" s="33"/>
      <c r="R471" s="33"/>
      <c r="S471" s="33"/>
      <c r="T471" s="33"/>
      <c r="U471" s="33"/>
      <c r="V471" s="33"/>
      <c r="W471" s="33"/>
      <c r="X471" s="33"/>
      <c r="Y471" s="33"/>
      <c r="Z471" s="33"/>
    </row>
    <row r="472" spans="1:26" ht="13.5" customHeight="1" x14ac:dyDescent="0.35">
      <c r="A472" s="33"/>
      <c r="B472" s="33"/>
      <c r="C472" s="33"/>
      <c r="D472" s="33"/>
      <c r="E472" s="33"/>
      <c r="F472" s="33"/>
      <c r="G472" s="33"/>
      <c r="H472" s="33"/>
      <c r="I472" s="33"/>
      <c r="J472" s="33"/>
      <c r="K472" s="33"/>
      <c r="L472" s="33"/>
      <c r="M472" s="33"/>
      <c r="N472" s="33"/>
      <c r="O472" s="33"/>
      <c r="P472" s="33"/>
      <c r="Q472" s="33"/>
      <c r="R472" s="33"/>
      <c r="S472" s="33"/>
      <c r="T472" s="33"/>
      <c r="U472" s="33"/>
      <c r="V472" s="33"/>
      <c r="W472" s="33"/>
      <c r="X472" s="33"/>
      <c r="Y472" s="33"/>
      <c r="Z472" s="33"/>
    </row>
    <row r="473" spans="1:26" ht="13.5" customHeight="1" x14ac:dyDescent="0.35">
      <c r="A473" s="33"/>
      <c r="B473" s="33"/>
      <c r="C473" s="33"/>
      <c r="D473" s="33"/>
      <c r="E473" s="33"/>
      <c r="F473" s="33"/>
      <c r="G473" s="33"/>
      <c r="H473" s="33"/>
      <c r="I473" s="33"/>
      <c r="J473" s="33"/>
      <c r="K473" s="33"/>
      <c r="L473" s="33"/>
      <c r="M473" s="33"/>
      <c r="N473" s="33"/>
      <c r="O473" s="33"/>
      <c r="P473" s="33"/>
      <c r="Q473" s="33"/>
      <c r="R473" s="33"/>
      <c r="S473" s="33"/>
      <c r="T473" s="33"/>
      <c r="U473" s="33"/>
      <c r="V473" s="33"/>
      <c r="W473" s="33"/>
      <c r="X473" s="33"/>
      <c r="Y473" s="33"/>
      <c r="Z473" s="33"/>
    </row>
    <row r="474" spans="1:26" ht="13.5" customHeight="1" x14ac:dyDescent="0.35">
      <c r="A474" s="33"/>
      <c r="B474" s="33"/>
      <c r="C474" s="33"/>
      <c r="D474" s="33"/>
      <c r="E474" s="33"/>
      <c r="F474" s="33"/>
      <c r="G474" s="33"/>
      <c r="H474" s="33"/>
      <c r="I474" s="33"/>
      <c r="J474" s="33"/>
      <c r="K474" s="33"/>
      <c r="L474" s="33"/>
      <c r="M474" s="33"/>
      <c r="N474" s="33"/>
      <c r="O474" s="33"/>
      <c r="P474" s="33"/>
      <c r="Q474" s="33"/>
      <c r="R474" s="33"/>
      <c r="S474" s="33"/>
      <c r="T474" s="33"/>
      <c r="U474" s="33"/>
      <c r="V474" s="33"/>
      <c r="W474" s="33"/>
      <c r="X474" s="33"/>
      <c r="Y474" s="33"/>
      <c r="Z474" s="33"/>
    </row>
    <row r="475" spans="1:26" ht="13.5" customHeight="1" x14ac:dyDescent="0.35">
      <c r="A475" s="33"/>
      <c r="B475" s="33"/>
      <c r="C475" s="33"/>
      <c r="D475" s="33"/>
      <c r="E475" s="33"/>
      <c r="F475" s="33"/>
      <c r="G475" s="33"/>
      <c r="H475" s="33"/>
      <c r="I475" s="33"/>
      <c r="J475" s="33"/>
      <c r="K475" s="33"/>
      <c r="L475" s="33"/>
      <c r="M475" s="33"/>
      <c r="N475" s="33"/>
      <c r="O475" s="33"/>
      <c r="P475" s="33"/>
      <c r="Q475" s="33"/>
      <c r="R475" s="33"/>
      <c r="S475" s="33"/>
      <c r="T475" s="33"/>
      <c r="U475" s="33"/>
      <c r="V475" s="33"/>
      <c r="W475" s="33"/>
      <c r="X475" s="33"/>
      <c r="Y475" s="33"/>
      <c r="Z475" s="33"/>
    </row>
    <row r="476" spans="1:26" ht="13.5" customHeight="1" x14ac:dyDescent="0.35">
      <c r="A476" s="33"/>
      <c r="B476" s="33"/>
      <c r="C476" s="33"/>
      <c r="D476" s="33"/>
      <c r="E476" s="33"/>
      <c r="F476" s="33"/>
      <c r="G476" s="33"/>
      <c r="H476" s="33"/>
      <c r="I476" s="33"/>
      <c r="J476" s="33"/>
      <c r="K476" s="33"/>
      <c r="L476" s="33"/>
      <c r="M476" s="33"/>
      <c r="N476" s="33"/>
      <c r="O476" s="33"/>
      <c r="P476" s="33"/>
      <c r="Q476" s="33"/>
      <c r="R476" s="33"/>
      <c r="S476" s="33"/>
      <c r="T476" s="33"/>
      <c r="U476" s="33"/>
      <c r="V476" s="33"/>
      <c r="W476" s="33"/>
      <c r="X476" s="33"/>
      <c r="Y476" s="33"/>
      <c r="Z476" s="33"/>
    </row>
    <row r="477" spans="1:26" ht="13.5" customHeight="1" x14ac:dyDescent="0.35">
      <c r="A477" s="33"/>
      <c r="B477" s="33"/>
      <c r="C477" s="33"/>
      <c r="D477" s="33"/>
      <c r="E477" s="33"/>
      <c r="F477" s="33"/>
      <c r="G477" s="33"/>
      <c r="H477" s="33"/>
      <c r="I477" s="33"/>
      <c r="J477" s="33"/>
      <c r="K477" s="33"/>
      <c r="L477" s="33"/>
      <c r="M477" s="33"/>
      <c r="N477" s="33"/>
      <c r="O477" s="33"/>
      <c r="P477" s="33"/>
      <c r="Q477" s="33"/>
      <c r="R477" s="33"/>
      <c r="S477" s="33"/>
      <c r="T477" s="33"/>
      <c r="U477" s="33"/>
      <c r="V477" s="33"/>
      <c r="W477" s="33"/>
      <c r="X477" s="33"/>
      <c r="Y477" s="33"/>
      <c r="Z477" s="33"/>
    </row>
    <row r="478" spans="1:26" ht="13.5" customHeight="1" x14ac:dyDescent="0.35">
      <c r="A478" s="33"/>
      <c r="B478" s="33"/>
      <c r="C478" s="33"/>
      <c r="D478" s="33"/>
      <c r="E478" s="33"/>
      <c r="F478" s="33"/>
      <c r="G478" s="33"/>
      <c r="H478" s="33"/>
      <c r="I478" s="33"/>
      <c r="J478" s="33"/>
      <c r="K478" s="33"/>
      <c r="L478" s="33"/>
      <c r="M478" s="33"/>
      <c r="N478" s="33"/>
      <c r="O478" s="33"/>
      <c r="P478" s="33"/>
      <c r="Q478" s="33"/>
      <c r="R478" s="33"/>
      <c r="S478" s="33"/>
      <c r="T478" s="33"/>
      <c r="U478" s="33"/>
      <c r="V478" s="33"/>
      <c r="W478" s="33"/>
      <c r="X478" s="33"/>
      <c r="Y478" s="33"/>
      <c r="Z478" s="33"/>
    </row>
    <row r="479" spans="1:26" ht="13.5" customHeight="1" x14ac:dyDescent="0.35">
      <c r="A479" s="33"/>
      <c r="B479" s="33"/>
      <c r="C479" s="33"/>
      <c r="D479" s="33"/>
      <c r="E479" s="33"/>
      <c r="F479" s="33"/>
      <c r="G479" s="33"/>
      <c r="H479" s="33"/>
      <c r="I479" s="33"/>
      <c r="J479" s="33"/>
      <c r="K479" s="33"/>
      <c r="L479" s="33"/>
      <c r="M479" s="33"/>
      <c r="N479" s="33"/>
      <c r="O479" s="33"/>
      <c r="P479" s="33"/>
      <c r="Q479" s="33"/>
      <c r="R479" s="33"/>
      <c r="S479" s="33"/>
      <c r="T479" s="33"/>
      <c r="U479" s="33"/>
      <c r="V479" s="33"/>
      <c r="W479" s="33"/>
      <c r="X479" s="33"/>
      <c r="Y479" s="33"/>
      <c r="Z479" s="33"/>
    </row>
    <row r="480" spans="1:26" ht="13.5" customHeight="1" x14ac:dyDescent="0.35">
      <c r="A480" s="33"/>
      <c r="B480" s="33"/>
      <c r="C480" s="33"/>
      <c r="D480" s="33"/>
      <c r="E480" s="33"/>
      <c r="F480" s="33"/>
      <c r="G480" s="33"/>
      <c r="H480" s="33"/>
      <c r="I480" s="33"/>
      <c r="J480" s="33"/>
      <c r="K480" s="33"/>
      <c r="L480" s="33"/>
      <c r="M480" s="33"/>
      <c r="N480" s="33"/>
      <c r="O480" s="33"/>
      <c r="P480" s="33"/>
      <c r="Q480" s="33"/>
      <c r="R480" s="33"/>
      <c r="S480" s="33"/>
      <c r="T480" s="33"/>
      <c r="U480" s="33"/>
      <c r="V480" s="33"/>
      <c r="W480" s="33"/>
      <c r="X480" s="33"/>
      <c r="Y480" s="33"/>
      <c r="Z480" s="33"/>
    </row>
    <row r="481" spans="1:26" ht="13.5" customHeight="1" x14ac:dyDescent="0.35">
      <c r="A481" s="33"/>
      <c r="B481" s="33"/>
      <c r="C481" s="33"/>
      <c r="D481" s="33"/>
      <c r="E481" s="33"/>
      <c r="F481" s="33"/>
      <c r="G481" s="33"/>
      <c r="H481" s="33"/>
      <c r="I481" s="33"/>
      <c r="J481" s="33"/>
      <c r="K481" s="33"/>
      <c r="L481" s="33"/>
      <c r="M481" s="33"/>
      <c r="N481" s="33"/>
      <c r="O481" s="33"/>
      <c r="P481" s="33"/>
      <c r="Q481" s="33"/>
      <c r="R481" s="33"/>
      <c r="S481" s="33"/>
      <c r="T481" s="33"/>
      <c r="U481" s="33"/>
      <c r="V481" s="33"/>
      <c r="W481" s="33"/>
      <c r="X481" s="33"/>
      <c r="Y481" s="33"/>
      <c r="Z481" s="33"/>
    </row>
    <row r="482" spans="1:26" ht="13.5" customHeight="1" x14ac:dyDescent="0.35">
      <c r="A482" s="33"/>
      <c r="B482" s="33"/>
      <c r="C482" s="33"/>
      <c r="D482" s="33"/>
      <c r="E482" s="33"/>
      <c r="F482" s="33"/>
      <c r="G482" s="33"/>
      <c r="H482" s="33"/>
      <c r="I482" s="33"/>
      <c r="J482" s="33"/>
      <c r="K482" s="33"/>
      <c r="L482" s="33"/>
      <c r="M482" s="33"/>
      <c r="N482" s="33"/>
      <c r="O482" s="33"/>
      <c r="P482" s="33"/>
      <c r="Q482" s="33"/>
      <c r="R482" s="33"/>
      <c r="S482" s="33"/>
      <c r="T482" s="33"/>
      <c r="U482" s="33"/>
      <c r="V482" s="33"/>
      <c r="W482" s="33"/>
      <c r="X482" s="33"/>
      <c r="Y482" s="33"/>
      <c r="Z482" s="33"/>
    </row>
    <row r="483" spans="1:26" ht="13.5" customHeight="1" x14ac:dyDescent="0.35">
      <c r="A483" s="33"/>
      <c r="B483" s="33"/>
      <c r="C483" s="33"/>
      <c r="D483" s="33"/>
      <c r="E483" s="33"/>
      <c r="F483" s="33"/>
      <c r="G483" s="33"/>
      <c r="H483" s="33"/>
      <c r="I483" s="33"/>
      <c r="J483" s="33"/>
      <c r="K483" s="33"/>
      <c r="L483" s="33"/>
      <c r="M483" s="33"/>
      <c r="N483" s="33"/>
      <c r="O483" s="33"/>
      <c r="P483" s="33"/>
      <c r="Q483" s="33"/>
      <c r="R483" s="33"/>
      <c r="S483" s="33"/>
      <c r="T483" s="33"/>
      <c r="U483" s="33"/>
      <c r="V483" s="33"/>
      <c r="W483" s="33"/>
      <c r="X483" s="33"/>
      <c r="Y483" s="33"/>
      <c r="Z483" s="33"/>
    </row>
    <row r="484" spans="1:26" ht="13.5" customHeight="1" x14ac:dyDescent="0.35">
      <c r="A484" s="33"/>
      <c r="B484" s="33"/>
      <c r="C484" s="33"/>
      <c r="D484" s="33"/>
      <c r="E484" s="33"/>
      <c r="F484" s="33"/>
      <c r="G484" s="33"/>
      <c r="H484" s="33"/>
      <c r="I484" s="33"/>
      <c r="J484" s="33"/>
      <c r="K484" s="33"/>
      <c r="L484" s="33"/>
      <c r="M484" s="33"/>
      <c r="N484" s="33"/>
      <c r="O484" s="33"/>
      <c r="P484" s="33"/>
      <c r="Q484" s="33"/>
      <c r="R484" s="33"/>
      <c r="S484" s="33"/>
      <c r="T484" s="33"/>
      <c r="U484" s="33"/>
      <c r="V484" s="33"/>
      <c r="W484" s="33"/>
      <c r="X484" s="33"/>
      <c r="Y484" s="33"/>
      <c r="Z484" s="33"/>
    </row>
    <row r="485" spans="1:26" ht="13.5" customHeight="1" x14ac:dyDescent="0.35">
      <c r="A485" s="33"/>
      <c r="B485" s="33"/>
      <c r="C485" s="33"/>
      <c r="D485" s="33"/>
      <c r="E485" s="33"/>
      <c r="F485" s="33"/>
      <c r="G485" s="33"/>
      <c r="H485" s="33"/>
      <c r="I485" s="33"/>
      <c r="J485" s="33"/>
      <c r="K485" s="33"/>
      <c r="L485" s="33"/>
      <c r="M485" s="33"/>
      <c r="N485" s="33"/>
      <c r="O485" s="33"/>
      <c r="P485" s="33"/>
      <c r="Q485" s="33"/>
      <c r="R485" s="33"/>
      <c r="S485" s="33"/>
      <c r="T485" s="33"/>
      <c r="U485" s="33"/>
      <c r="V485" s="33"/>
      <c r="W485" s="33"/>
      <c r="X485" s="33"/>
      <c r="Y485" s="33"/>
      <c r="Z485" s="33"/>
    </row>
    <row r="486" spans="1:26" ht="13.5" customHeight="1" x14ac:dyDescent="0.35">
      <c r="A486" s="33"/>
      <c r="B486" s="33"/>
      <c r="C486" s="33"/>
      <c r="D486" s="33"/>
      <c r="E486" s="33"/>
      <c r="F486" s="33"/>
      <c r="G486" s="33"/>
      <c r="H486" s="33"/>
      <c r="I486" s="33"/>
      <c r="J486" s="33"/>
      <c r="K486" s="33"/>
      <c r="L486" s="33"/>
      <c r="M486" s="33"/>
      <c r="N486" s="33"/>
      <c r="O486" s="33"/>
      <c r="P486" s="33"/>
      <c r="Q486" s="33"/>
      <c r="R486" s="33"/>
      <c r="S486" s="33"/>
      <c r="T486" s="33"/>
      <c r="U486" s="33"/>
      <c r="V486" s="33"/>
      <c r="W486" s="33"/>
      <c r="X486" s="33"/>
      <c r="Y486" s="33"/>
      <c r="Z486" s="33"/>
    </row>
    <row r="487" spans="1:26" ht="13.5" customHeight="1" x14ac:dyDescent="0.35">
      <c r="A487" s="33"/>
      <c r="B487" s="33"/>
      <c r="C487" s="33"/>
      <c r="D487" s="33"/>
      <c r="E487" s="33"/>
      <c r="F487" s="33"/>
      <c r="G487" s="33"/>
      <c r="H487" s="33"/>
      <c r="I487" s="33"/>
      <c r="J487" s="33"/>
      <c r="K487" s="33"/>
      <c r="L487" s="33"/>
      <c r="M487" s="33"/>
      <c r="N487" s="33"/>
      <c r="O487" s="33"/>
      <c r="P487" s="33"/>
      <c r="Q487" s="33"/>
      <c r="R487" s="33"/>
      <c r="S487" s="33"/>
      <c r="T487" s="33"/>
      <c r="U487" s="33"/>
      <c r="V487" s="33"/>
      <c r="W487" s="33"/>
      <c r="X487" s="33"/>
      <c r="Y487" s="33"/>
      <c r="Z487" s="33"/>
    </row>
    <row r="488" spans="1:26" ht="13.5" customHeight="1" x14ac:dyDescent="0.35">
      <c r="A488" s="33"/>
      <c r="B488" s="33"/>
      <c r="C488" s="33"/>
      <c r="D488" s="33"/>
      <c r="E488" s="33"/>
      <c r="F488" s="33"/>
      <c r="G488" s="33"/>
      <c r="H488" s="33"/>
      <c r="I488" s="33"/>
      <c r="J488" s="33"/>
      <c r="K488" s="33"/>
      <c r="L488" s="33"/>
      <c r="M488" s="33"/>
      <c r="N488" s="33"/>
      <c r="O488" s="33"/>
      <c r="P488" s="33"/>
      <c r="Q488" s="33"/>
      <c r="R488" s="33"/>
      <c r="S488" s="33"/>
      <c r="T488" s="33"/>
      <c r="U488" s="33"/>
      <c r="V488" s="33"/>
      <c r="W488" s="33"/>
      <c r="X488" s="33"/>
      <c r="Y488" s="33"/>
      <c r="Z488" s="33"/>
    </row>
    <row r="489" spans="1:26" ht="13.5" customHeight="1" x14ac:dyDescent="0.35">
      <c r="A489" s="33"/>
      <c r="B489" s="33"/>
      <c r="C489" s="33"/>
      <c r="D489" s="33"/>
      <c r="E489" s="33"/>
      <c r="F489" s="33"/>
      <c r="G489" s="33"/>
      <c r="H489" s="33"/>
      <c r="I489" s="33"/>
      <c r="J489" s="33"/>
      <c r="K489" s="33"/>
      <c r="L489" s="33"/>
      <c r="M489" s="33"/>
      <c r="N489" s="33"/>
      <c r="O489" s="33"/>
      <c r="P489" s="33"/>
      <c r="Q489" s="33"/>
      <c r="R489" s="33"/>
      <c r="S489" s="33"/>
      <c r="T489" s="33"/>
      <c r="U489" s="33"/>
      <c r="V489" s="33"/>
      <c r="W489" s="33"/>
      <c r="X489" s="33"/>
      <c r="Y489" s="33"/>
      <c r="Z489" s="33"/>
    </row>
    <row r="490" spans="1:26" ht="13.5" customHeight="1" x14ac:dyDescent="0.35">
      <c r="A490" s="33"/>
      <c r="B490" s="33"/>
      <c r="C490" s="33"/>
      <c r="D490" s="33"/>
      <c r="E490" s="33"/>
      <c r="F490" s="33"/>
      <c r="G490" s="33"/>
      <c r="H490" s="33"/>
      <c r="I490" s="33"/>
      <c r="J490" s="33"/>
      <c r="K490" s="33"/>
      <c r="L490" s="33"/>
      <c r="M490" s="33"/>
      <c r="N490" s="33"/>
      <c r="O490" s="33"/>
      <c r="P490" s="33"/>
      <c r="Q490" s="33"/>
      <c r="R490" s="33"/>
      <c r="S490" s="33"/>
      <c r="T490" s="33"/>
      <c r="U490" s="33"/>
      <c r="V490" s="33"/>
      <c r="W490" s="33"/>
      <c r="X490" s="33"/>
      <c r="Y490" s="33"/>
      <c r="Z490" s="33"/>
    </row>
    <row r="491" spans="1:26" ht="13.5" customHeight="1" x14ac:dyDescent="0.35">
      <c r="A491" s="33"/>
      <c r="B491" s="33"/>
      <c r="C491" s="33"/>
      <c r="D491" s="33"/>
      <c r="E491" s="33"/>
      <c r="F491" s="33"/>
      <c r="G491" s="33"/>
      <c r="H491" s="33"/>
      <c r="I491" s="33"/>
      <c r="J491" s="33"/>
      <c r="K491" s="33"/>
      <c r="L491" s="33"/>
      <c r="M491" s="33"/>
      <c r="N491" s="33"/>
      <c r="O491" s="33"/>
      <c r="P491" s="33"/>
      <c r="Q491" s="33"/>
      <c r="R491" s="33"/>
      <c r="S491" s="33"/>
      <c r="T491" s="33"/>
      <c r="U491" s="33"/>
      <c r="V491" s="33"/>
      <c r="W491" s="33"/>
      <c r="X491" s="33"/>
      <c r="Y491" s="33"/>
      <c r="Z491" s="33"/>
    </row>
    <row r="492" spans="1:26" ht="13.5" customHeight="1" x14ac:dyDescent="0.35">
      <c r="A492" s="33"/>
      <c r="B492" s="33"/>
      <c r="C492" s="33"/>
      <c r="D492" s="33"/>
      <c r="E492" s="33"/>
      <c r="F492" s="33"/>
      <c r="G492" s="33"/>
      <c r="H492" s="33"/>
      <c r="I492" s="33"/>
      <c r="J492" s="33"/>
      <c r="K492" s="33"/>
      <c r="L492" s="33"/>
      <c r="M492" s="33"/>
      <c r="N492" s="33"/>
      <c r="O492" s="33"/>
      <c r="P492" s="33"/>
      <c r="Q492" s="33"/>
      <c r="R492" s="33"/>
      <c r="S492" s="33"/>
      <c r="T492" s="33"/>
      <c r="U492" s="33"/>
      <c r="V492" s="33"/>
      <c r="W492" s="33"/>
      <c r="X492" s="33"/>
      <c r="Y492" s="33"/>
      <c r="Z492" s="33"/>
    </row>
    <row r="493" spans="1:26" ht="13.5" customHeight="1" x14ac:dyDescent="0.35">
      <c r="A493" s="33"/>
      <c r="B493" s="33"/>
      <c r="C493" s="33"/>
      <c r="D493" s="33"/>
      <c r="E493" s="33"/>
      <c r="F493" s="33"/>
      <c r="G493" s="33"/>
      <c r="H493" s="33"/>
      <c r="I493" s="33"/>
      <c r="J493" s="33"/>
      <c r="K493" s="33"/>
      <c r="L493" s="33"/>
      <c r="M493" s="33"/>
      <c r="N493" s="33"/>
      <c r="O493" s="33"/>
      <c r="P493" s="33"/>
      <c r="Q493" s="33"/>
      <c r="R493" s="33"/>
      <c r="S493" s="33"/>
      <c r="T493" s="33"/>
      <c r="U493" s="33"/>
      <c r="V493" s="33"/>
      <c r="W493" s="33"/>
      <c r="X493" s="33"/>
      <c r="Y493" s="33"/>
      <c r="Z493" s="33"/>
    </row>
    <row r="494" spans="1:26" ht="13.5" customHeight="1" x14ac:dyDescent="0.35">
      <c r="A494" s="33"/>
      <c r="B494" s="33"/>
      <c r="C494" s="33"/>
      <c r="D494" s="33"/>
      <c r="E494" s="33"/>
      <c r="F494" s="33"/>
      <c r="G494" s="33"/>
      <c r="H494" s="33"/>
      <c r="I494" s="33"/>
      <c r="J494" s="33"/>
      <c r="K494" s="33"/>
      <c r="L494" s="33"/>
      <c r="M494" s="33"/>
      <c r="N494" s="33"/>
      <c r="O494" s="33"/>
      <c r="P494" s="33"/>
      <c r="Q494" s="33"/>
      <c r="R494" s="33"/>
      <c r="S494" s="33"/>
      <c r="T494" s="33"/>
      <c r="U494" s="33"/>
      <c r="V494" s="33"/>
      <c r="W494" s="33"/>
      <c r="X494" s="33"/>
      <c r="Y494" s="33"/>
      <c r="Z494" s="33"/>
    </row>
    <row r="495" spans="1:26" ht="13.5" customHeight="1" x14ac:dyDescent="0.35">
      <c r="A495" s="33"/>
      <c r="B495" s="33"/>
      <c r="C495" s="33"/>
      <c r="D495" s="33"/>
      <c r="E495" s="33"/>
      <c r="F495" s="33"/>
      <c r="G495" s="33"/>
      <c r="H495" s="33"/>
      <c r="I495" s="33"/>
      <c r="J495" s="33"/>
      <c r="K495" s="33"/>
      <c r="L495" s="33"/>
      <c r="M495" s="33"/>
      <c r="N495" s="33"/>
      <c r="O495" s="33"/>
      <c r="P495" s="33"/>
      <c r="Q495" s="33"/>
      <c r="R495" s="33"/>
      <c r="S495" s="33"/>
      <c r="T495" s="33"/>
      <c r="U495" s="33"/>
      <c r="V495" s="33"/>
      <c r="W495" s="33"/>
      <c r="X495" s="33"/>
      <c r="Y495" s="33"/>
      <c r="Z495" s="33"/>
    </row>
    <row r="496" spans="1:26" ht="13.5" customHeight="1" x14ac:dyDescent="0.35">
      <c r="A496" s="33"/>
      <c r="B496" s="33"/>
      <c r="C496" s="33"/>
      <c r="D496" s="33"/>
      <c r="E496" s="33"/>
      <c r="F496" s="33"/>
      <c r="G496" s="33"/>
      <c r="H496" s="33"/>
      <c r="I496" s="33"/>
      <c r="J496" s="33"/>
      <c r="K496" s="33"/>
      <c r="L496" s="33"/>
      <c r="M496" s="33"/>
      <c r="N496" s="33"/>
      <c r="O496" s="33"/>
      <c r="P496" s="33"/>
      <c r="Q496" s="33"/>
      <c r="R496" s="33"/>
      <c r="S496" s="33"/>
      <c r="T496" s="33"/>
      <c r="U496" s="33"/>
      <c r="V496" s="33"/>
      <c r="W496" s="33"/>
      <c r="X496" s="33"/>
      <c r="Y496" s="33"/>
      <c r="Z496" s="33"/>
    </row>
    <row r="497" spans="1:26" ht="13.5" customHeight="1" x14ac:dyDescent="0.35">
      <c r="A497" s="33"/>
      <c r="B497" s="33"/>
      <c r="C497" s="33"/>
      <c r="D497" s="33"/>
      <c r="E497" s="33"/>
      <c r="F497" s="33"/>
      <c r="G497" s="33"/>
      <c r="H497" s="33"/>
      <c r="I497" s="33"/>
      <c r="J497" s="33"/>
      <c r="K497" s="33"/>
      <c r="L497" s="33"/>
      <c r="M497" s="33"/>
      <c r="N497" s="33"/>
      <c r="O497" s="33"/>
      <c r="P497" s="33"/>
      <c r="Q497" s="33"/>
      <c r="R497" s="33"/>
      <c r="S497" s="33"/>
      <c r="T497" s="33"/>
      <c r="U497" s="33"/>
      <c r="V497" s="33"/>
      <c r="W497" s="33"/>
      <c r="X497" s="33"/>
      <c r="Y497" s="33"/>
      <c r="Z497" s="33"/>
    </row>
    <row r="498" spans="1:26" ht="13.5" customHeight="1" x14ac:dyDescent="0.35">
      <c r="A498" s="33"/>
      <c r="B498" s="33"/>
      <c r="C498" s="33"/>
      <c r="D498" s="33"/>
      <c r="E498" s="33"/>
      <c r="F498" s="33"/>
      <c r="G498" s="33"/>
      <c r="H498" s="33"/>
      <c r="I498" s="33"/>
      <c r="J498" s="33"/>
      <c r="K498" s="33"/>
      <c r="L498" s="33"/>
      <c r="M498" s="33"/>
      <c r="N498" s="33"/>
      <c r="O498" s="33"/>
      <c r="P498" s="33"/>
      <c r="Q498" s="33"/>
      <c r="R498" s="33"/>
      <c r="S498" s="33"/>
      <c r="T498" s="33"/>
      <c r="U498" s="33"/>
      <c r="V498" s="33"/>
      <c r="W498" s="33"/>
      <c r="X498" s="33"/>
      <c r="Y498" s="33"/>
      <c r="Z498" s="33"/>
    </row>
    <row r="499" spans="1:26" ht="13.5" customHeight="1" x14ac:dyDescent="0.35">
      <c r="A499" s="33"/>
      <c r="B499" s="33"/>
      <c r="C499" s="33"/>
      <c r="D499" s="33"/>
      <c r="E499" s="33"/>
      <c r="F499" s="33"/>
      <c r="G499" s="33"/>
      <c r="H499" s="33"/>
      <c r="I499" s="33"/>
      <c r="J499" s="33"/>
      <c r="K499" s="33"/>
      <c r="L499" s="33"/>
      <c r="M499" s="33"/>
      <c r="N499" s="33"/>
      <c r="O499" s="33"/>
      <c r="P499" s="33"/>
      <c r="Q499" s="33"/>
      <c r="R499" s="33"/>
      <c r="S499" s="33"/>
      <c r="T499" s="33"/>
      <c r="U499" s="33"/>
      <c r="V499" s="33"/>
      <c r="W499" s="33"/>
      <c r="X499" s="33"/>
      <c r="Y499" s="33"/>
      <c r="Z499" s="33"/>
    </row>
    <row r="500" spans="1:26" ht="13.5" customHeight="1" x14ac:dyDescent="0.35">
      <c r="A500" s="33"/>
      <c r="B500" s="33"/>
      <c r="C500" s="33"/>
      <c r="D500" s="33"/>
      <c r="E500" s="33"/>
      <c r="F500" s="33"/>
      <c r="G500" s="33"/>
      <c r="H500" s="33"/>
      <c r="I500" s="33"/>
      <c r="J500" s="33"/>
      <c r="K500" s="33"/>
      <c r="L500" s="33"/>
      <c r="M500" s="33"/>
      <c r="N500" s="33"/>
      <c r="O500" s="33"/>
      <c r="P500" s="33"/>
      <c r="Q500" s="33"/>
      <c r="R500" s="33"/>
      <c r="S500" s="33"/>
      <c r="T500" s="33"/>
      <c r="U500" s="33"/>
      <c r="V500" s="33"/>
      <c r="W500" s="33"/>
      <c r="X500" s="33"/>
      <c r="Y500" s="33"/>
      <c r="Z500" s="33"/>
    </row>
    <row r="501" spans="1:26" ht="13.5" customHeight="1" x14ac:dyDescent="0.35">
      <c r="A501" s="33"/>
      <c r="B501" s="33"/>
      <c r="C501" s="33"/>
      <c r="D501" s="33"/>
      <c r="E501" s="33"/>
      <c r="F501" s="33"/>
      <c r="G501" s="33"/>
      <c r="H501" s="33"/>
      <c r="I501" s="33"/>
      <c r="J501" s="33"/>
      <c r="K501" s="33"/>
      <c r="L501" s="33"/>
      <c r="M501" s="33"/>
      <c r="N501" s="33"/>
      <c r="O501" s="33"/>
      <c r="P501" s="33"/>
      <c r="Q501" s="33"/>
      <c r="R501" s="33"/>
      <c r="S501" s="33"/>
      <c r="T501" s="33"/>
      <c r="U501" s="33"/>
      <c r="V501" s="33"/>
      <c r="W501" s="33"/>
      <c r="X501" s="33"/>
      <c r="Y501" s="33"/>
      <c r="Z501" s="33"/>
    </row>
    <row r="502" spans="1:26" ht="13.5" customHeight="1" x14ac:dyDescent="0.35">
      <c r="A502" s="33"/>
      <c r="B502" s="33"/>
      <c r="C502" s="33"/>
      <c r="D502" s="33"/>
      <c r="E502" s="33"/>
      <c r="F502" s="33"/>
      <c r="G502" s="33"/>
      <c r="H502" s="33"/>
      <c r="I502" s="33"/>
      <c r="J502" s="33"/>
      <c r="K502" s="33"/>
      <c r="L502" s="33"/>
      <c r="M502" s="33"/>
      <c r="N502" s="33"/>
      <c r="O502" s="33"/>
      <c r="P502" s="33"/>
      <c r="Q502" s="33"/>
      <c r="R502" s="33"/>
      <c r="S502" s="33"/>
      <c r="T502" s="33"/>
      <c r="U502" s="33"/>
      <c r="V502" s="33"/>
      <c r="W502" s="33"/>
      <c r="X502" s="33"/>
      <c r="Y502" s="33"/>
      <c r="Z502" s="33"/>
    </row>
    <row r="503" spans="1:26" ht="13.5" customHeight="1" x14ac:dyDescent="0.35">
      <c r="A503" s="33"/>
      <c r="B503" s="33"/>
      <c r="C503" s="33"/>
      <c r="D503" s="33"/>
      <c r="E503" s="33"/>
      <c r="F503" s="33"/>
      <c r="G503" s="33"/>
      <c r="H503" s="33"/>
      <c r="I503" s="33"/>
      <c r="J503" s="33"/>
      <c r="K503" s="33"/>
      <c r="L503" s="33"/>
      <c r="M503" s="33"/>
      <c r="N503" s="33"/>
      <c r="O503" s="33"/>
      <c r="P503" s="33"/>
      <c r="Q503" s="33"/>
      <c r="R503" s="33"/>
      <c r="S503" s="33"/>
      <c r="T503" s="33"/>
      <c r="U503" s="33"/>
      <c r="V503" s="33"/>
      <c r="W503" s="33"/>
      <c r="X503" s="33"/>
      <c r="Y503" s="33"/>
      <c r="Z503" s="33"/>
    </row>
    <row r="504" spans="1:26" ht="13.5" customHeight="1" x14ac:dyDescent="0.35">
      <c r="A504" s="33"/>
      <c r="B504" s="33"/>
      <c r="C504" s="33"/>
      <c r="D504" s="33"/>
      <c r="E504" s="33"/>
      <c r="F504" s="33"/>
      <c r="G504" s="33"/>
      <c r="H504" s="33"/>
      <c r="I504" s="33"/>
      <c r="J504" s="33"/>
      <c r="K504" s="33"/>
      <c r="L504" s="33"/>
      <c r="M504" s="33"/>
      <c r="N504" s="33"/>
      <c r="O504" s="33"/>
      <c r="P504" s="33"/>
      <c r="Q504" s="33"/>
      <c r="R504" s="33"/>
      <c r="S504" s="33"/>
      <c r="T504" s="33"/>
      <c r="U504" s="33"/>
      <c r="V504" s="33"/>
      <c r="W504" s="33"/>
      <c r="X504" s="33"/>
      <c r="Y504" s="33"/>
      <c r="Z504" s="33"/>
    </row>
    <row r="505" spans="1:26" ht="13.5" customHeight="1" x14ac:dyDescent="0.35">
      <c r="A505" s="33"/>
      <c r="B505" s="33"/>
      <c r="C505" s="33"/>
      <c r="D505" s="33"/>
      <c r="E505" s="33"/>
      <c r="F505" s="33"/>
      <c r="G505" s="33"/>
      <c r="H505" s="33"/>
      <c r="I505" s="33"/>
      <c r="J505" s="33"/>
      <c r="K505" s="33"/>
      <c r="L505" s="33"/>
      <c r="M505" s="33"/>
      <c r="N505" s="33"/>
      <c r="O505" s="33"/>
      <c r="P505" s="33"/>
      <c r="Q505" s="33"/>
      <c r="R505" s="33"/>
      <c r="S505" s="33"/>
      <c r="T505" s="33"/>
      <c r="U505" s="33"/>
      <c r="V505" s="33"/>
      <c r="W505" s="33"/>
      <c r="X505" s="33"/>
      <c r="Y505" s="33"/>
      <c r="Z505" s="33"/>
    </row>
    <row r="506" spans="1:26" ht="13.5" customHeight="1" x14ac:dyDescent="0.35">
      <c r="A506" s="33"/>
      <c r="B506" s="33"/>
      <c r="C506" s="33"/>
      <c r="D506" s="33"/>
      <c r="E506" s="33"/>
      <c r="F506" s="33"/>
      <c r="G506" s="33"/>
      <c r="H506" s="33"/>
      <c r="I506" s="33"/>
      <c r="J506" s="33"/>
      <c r="K506" s="33"/>
      <c r="L506" s="33"/>
      <c r="M506" s="33"/>
      <c r="N506" s="33"/>
      <c r="O506" s="33"/>
      <c r="P506" s="33"/>
      <c r="Q506" s="33"/>
      <c r="R506" s="33"/>
      <c r="S506" s="33"/>
      <c r="T506" s="33"/>
      <c r="U506" s="33"/>
      <c r="V506" s="33"/>
      <c r="W506" s="33"/>
      <c r="X506" s="33"/>
      <c r="Y506" s="33"/>
      <c r="Z506" s="33"/>
    </row>
    <row r="507" spans="1:26" ht="13.5" customHeight="1" x14ac:dyDescent="0.35">
      <c r="A507" s="33"/>
      <c r="B507" s="33"/>
      <c r="C507" s="33"/>
      <c r="D507" s="33"/>
      <c r="E507" s="33"/>
      <c r="F507" s="33"/>
      <c r="G507" s="33"/>
      <c r="H507" s="33"/>
      <c r="I507" s="33"/>
      <c r="J507" s="33"/>
      <c r="K507" s="33"/>
      <c r="L507" s="33"/>
      <c r="M507" s="33"/>
      <c r="N507" s="33"/>
      <c r="O507" s="33"/>
      <c r="P507" s="33"/>
      <c r="Q507" s="33"/>
      <c r="R507" s="33"/>
      <c r="S507" s="33"/>
      <c r="T507" s="33"/>
      <c r="U507" s="33"/>
      <c r="V507" s="33"/>
      <c r="W507" s="33"/>
      <c r="X507" s="33"/>
      <c r="Y507" s="33"/>
      <c r="Z507" s="33"/>
    </row>
    <row r="508" spans="1:26" ht="13.5" customHeight="1" x14ac:dyDescent="0.35">
      <c r="A508" s="33"/>
      <c r="B508" s="33"/>
      <c r="C508" s="33"/>
      <c r="D508" s="33"/>
      <c r="E508" s="33"/>
      <c r="F508" s="33"/>
      <c r="G508" s="33"/>
      <c r="H508" s="33"/>
      <c r="I508" s="33"/>
      <c r="J508" s="33"/>
      <c r="K508" s="33"/>
      <c r="L508" s="33"/>
      <c r="M508" s="33"/>
      <c r="N508" s="33"/>
      <c r="O508" s="33"/>
      <c r="P508" s="33"/>
      <c r="Q508" s="33"/>
      <c r="R508" s="33"/>
      <c r="S508" s="33"/>
      <c r="T508" s="33"/>
      <c r="U508" s="33"/>
      <c r="V508" s="33"/>
      <c r="W508" s="33"/>
      <c r="X508" s="33"/>
      <c r="Y508" s="33"/>
      <c r="Z508" s="33"/>
    </row>
    <row r="509" spans="1:26" ht="13.5" customHeight="1" x14ac:dyDescent="0.35">
      <c r="A509" s="33"/>
      <c r="B509" s="33"/>
      <c r="C509" s="33"/>
      <c r="D509" s="33"/>
      <c r="E509" s="33"/>
      <c r="F509" s="33"/>
      <c r="G509" s="33"/>
      <c r="H509" s="33"/>
      <c r="I509" s="33"/>
      <c r="J509" s="33"/>
      <c r="K509" s="33"/>
      <c r="L509" s="33"/>
      <c r="M509" s="33"/>
      <c r="N509" s="33"/>
      <c r="O509" s="33"/>
      <c r="P509" s="33"/>
      <c r="Q509" s="33"/>
      <c r="R509" s="33"/>
      <c r="S509" s="33"/>
      <c r="T509" s="33"/>
      <c r="U509" s="33"/>
      <c r="V509" s="33"/>
      <c r="W509" s="33"/>
      <c r="X509" s="33"/>
      <c r="Y509" s="33"/>
      <c r="Z509" s="33"/>
    </row>
    <row r="510" spans="1:26" ht="13.5" customHeight="1" x14ac:dyDescent="0.35">
      <c r="A510" s="33"/>
      <c r="B510" s="33"/>
      <c r="C510" s="33"/>
      <c r="D510" s="33"/>
      <c r="E510" s="33"/>
      <c r="F510" s="33"/>
      <c r="G510" s="33"/>
      <c r="H510" s="33"/>
      <c r="I510" s="33"/>
      <c r="J510" s="33"/>
      <c r="K510" s="33"/>
      <c r="L510" s="33"/>
      <c r="M510" s="33"/>
      <c r="N510" s="33"/>
      <c r="O510" s="33"/>
      <c r="P510" s="33"/>
      <c r="Q510" s="33"/>
      <c r="R510" s="33"/>
      <c r="S510" s="33"/>
      <c r="T510" s="33"/>
      <c r="U510" s="33"/>
      <c r="V510" s="33"/>
      <c r="W510" s="33"/>
      <c r="X510" s="33"/>
      <c r="Y510" s="33"/>
      <c r="Z510" s="33"/>
    </row>
    <row r="511" spans="1:26" ht="13.5" customHeight="1" x14ac:dyDescent="0.35">
      <c r="A511" s="33"/>
      <c r="B511" s="33"/>
      <c r="C511" s="33"/>
      <c r="D511" s="33"/>
      <c r="E511" s="33"/>
      <c r="F511" s="33"/>
      <c r="G511" s="33"/>
      <c r="H511" s="33"/>
      <c r="I511" s="33"/>
      <c r="J511" s="33"/>
      <c r="K511" s="33"/>
      <c r="L511" s="33"/>
      <c r="M511" s="33"/>
      <c r="N511" s="33"/>
      <c r="O511" s="33"/>
      <c r="P511" s="33"/>
      <c r="Q511" s="33"/>
      <c r="R511" s="33"/>
      <c r="S511" s="33"/>
      <c r="T511" s="33"/>
      <c r="U511" s="33"/>
      <c r="V511" s="33"/>
      <c r="W511" s="33"/>
      <c r="X511" s="33"/>
      <c r="Y511" s="33"/>
      <c r="Z511" s="33"/>
    </row>
    <row r="512" spans="1:26" ht="13.5" customHeight="1" x14ac:dyDescent="0.35">
      <c r="A512" s="33"/>
      <c r="B512" s="33"/>
      <c r="C512" s="33"/>
      <c r="D512" s="33"/>
      <c r="E512" s="33"/>
      <c r="F512" s="33"/>
      <c r="G512" s="33"/>
      <c r="H512" s="33"/>
      <c r="I512" s="33"/>
      <c r="J512" s="33"/>
      <c r="K512" s="33"/>
      <c r="L512" s="33"/>
      <c r="M512" s="33"/>
      <c r="N512" s="33"/>
      <c r="O512" s="33"/>
      <c r="P512" s="33"/>
      <c r="Q512" s="33"/>
      <c r="R512" s="33"/>
      <c r="S512" s="33"/>
      <c r="T512" s="33"/>
      <c r="U512" s="33"/>
      <c r="V512" s="33"/>
      <c r="W512" s="33"/>
      <c r="X512" s="33"/>
      <c r="Y512" s="33"/>
      <c r="Z512" s="33"/>
    </row>
    <row r="513" spans="1:26" ht="13.5" customHeight="1" x14ac:dyDescent="0.35">
      <c r="A513" s="33"/>
      <c r="B513" s="33"/>
      <c r="C513" s="33"/>
      <c r="D513" s="33"/>
      <c r="E513" s="33"/>
      <c r="F513" s="33"/>
      <c r="G513" s="33"/>
      <c r="H513" s="33"/>
      <c r="I513" s="33"/>
      <c r="J513" s="33"/>
      <c r="K513" s="33"/>
      <c r="L513" s="33"/>
      <c r="M513" s="33"/>
      <c r="N513" s="33"/>
      <c r="O513" s="33"/>
      <c r="P513" s="33"/>
      <c r="Q513" s="33"/>
      <c r="R513" s="33"/>
      <c r="S513" s="33"/>
      <c r="T513" s="33"/>
      <c r="U513" s="33"/>
      <c r="V513" s="33"/>
      <c r="W513" s="33"/>
      <c r="X513" s="33"/>
      <c r="Y513" s="33"/>
      <c r="Z513" s="33"/>
    </row>
    <row r="514" spans="1:26" ht="13.5" customHeight="1" x14ac:dyDescent="0.35">
      <c r="A514" s="33"/>
      <c r="B514" s="33"/>
      <c r="C514" s="33"/>
      <c r="D514" s="33"/>
      <c r="E514" s="33"/>
      <c r="F514" s="33"/>
      <c r="G514" s="33"/>
      <c r="H514" s="33"/>
      <c r="I514" s="33"/>
      <c r="J514" s="33"/>
      <c r="K514" s="33"/>
      <c r="L514" s="33"/>
      <c r="M514" s="33"/>
      <c r="N514" s="33"/>
      <c r="O514" s="33"/>
      <c r="P514" s="33"/>
      <c r="Q514" s="33"/>
      <c r="R514" s="33"/>
      <c r="S514" s="33"/>
      <c r="T514" s="33"/>
      <c r="U514" s="33"/>
      <c r="V514" s="33"/>
      <c r="W514" s="33"/>
      <c r="X514" s="33"/>
      <c r="Y514" s="33"/>
      <c r="Z514" s="33"/>
    </row>
    <row r="515" spans="1:26" ht="13.5" customHeight="1" x14ac:dyDescent="0.35">
      <c r="A515" s="33"/>
      <c r="B515" s="33"/>
      <c r="C515" s="33"/>
      <c r="D515" s="33"/>
      <c r="E515" s="33"/>
      <c r="F515" s="33"/>
      <c r="G515" s="33"/>
      <c r="H515" s="33"/>
      <c r="I515" s="33"/>
      <c r="J515" s="33"/>
      <c r="K515" s="33"/>
      <c r="L515" s="33"/>
      <c r="M515" s="33"/>
      <c r="N515" s="33"/>
      <c r="O515" s="33"/>
      <c r="P515" s="33"/>
      <c r="Q515" s="33"/>
      <c r="R515" s="33"/>
      <c r="S515" s="33"/>
      <c r="T515" s="33"/>
      <c r="U515" s="33"/>
      <c r="V515" s="33"/>
      <c r="W515" s="33"/>
      <c r="X515" s="33"/>
      <c r="Y515" s="33"/>
      <c r="Z515" s="33"/>
    </row>
    <row r="516" spans="1:26" ht="13.5" customHeight="1" x14ac:dyDescent="0.35">
      <c r="A516" s="33"/>
      <c r="B516" s="33"/>
      <c r="C516" s="33"/>
      <c r="D516" s="33"/>
      <c r="E516" s="33"/>
      <c r="F516" s="33"/>
      <c r="G516" s="33"/>
      <c r="H516" s="33"/>
      <c r="I516" s="33"/>
      <c r="J516" s="33"/>
      <c r="K516" s="33"/>
      <c r="L516" s="33"/>
      <c r="M516" s="33"/>
      <c r="N516" s="33"/>
      <c r="O516" s="33"/>
      <c r="P516" s="33"/>
      <c r="Q516" s="33"/>
      <c r="R516" s="33"/>
      <c r="S516" s="33"/>
      <c r="T516" s="33"/>
      <c r="U516" s="33"/>
      <c r="V516" s="33"/>
      <c r="W516" s="33"/>
      <c r="X516" s="33"/>
      <c r="Y516" s="33"/>
      <c r="Z516" s="33"/>
    </row>
    <row r="517" spans="1:26" ht="13.5" customHeight="1" x14ac:dyDescent="0.35">
      <c r="A517" s="33"/>
      <c r="B517" s="33"/>
      <c r="C517" s="33"/>
      <c r="D517" s="33"/>
      <c r="E517" s="33"/>
      <c r="F517" s="33"/>
      <c r="G517" s="33"/>
      <c r="H517" s="33"/>
      <c r="I517" s="33"/>
      <c r="J517" s="33"/>
      <c r="K517" s="33"/>
      <c r="L517" s="33"/>
      <c r="M517" s="33"/>
      <c r="N517" s="33"/>
      <c r="O517" s="33"/>
      <c r="P517" s="33"/>
      <c r="Q517" s="33"/>
      <c r="R517" s="33"/>
      <c r="S517" s="33"/>
      <c r="T517" s="33"/>
      <c r="U517" s="33"/>
      <c r="V517" s="33"/>
      <c r="W517" s="33"/>
      <c r="X517" s="33"/>
      <c r="Y517" s="33"/>
      <c r="Z517" s="33"/>
    </row>
    <row r="518" spans="1:26" ht="13.5" customHeight="1" x14ac:dyDescent="0.35">
      <c r="A518" s="33"/>
      <c r="B518" s="33"/>
      <c r="C518" s="33"/>
      <c r="D518" s="33"/>
      <c r="E518" s="33"/>
      <c r="F518" s="33"/>
      <c r="G518" s="33"/>
      <c r="H518" s="33"/>
      <c r="I518" s="33"/>
      <c r="J518" s="33"/>
      <c r="K518" s="33"/>
      <c r="L518" s="33"/>
      <c r="M518" s="33"/>
      <c r="N518" s="33"/>
      <c r="O518" s="33"/>
      <c r="P518" s="33"/>
      <c r="Q518" s="33"/>
      <c r="R518" s="33"/>
      <c r="S518" s="33"/>
      <c r="T518" s="33"/>
      <c r="U518" s="33"/>
      <c r="V518" s="33"/>
      <c r="W518" s="33"/>
      <c r="X518" s="33"/>
      <c r="Y518" s="33"/>
      <c r="Z518" s="33"/>
    </row>
    <row r="519" spans="1:26" ht="13.5" customHeight="1" x14ac:dyDescent="0.35">
      <c r="A519" s="33"/>
      <c r="B519" s="33"/>
      <c r="C519" s="33"/>
      <c r="D519" s="33"/>
      <c r="E519" s="33"/>
      <c r="F519" s="33"/>
      <c r="G519" s="33"/>
      <c r="H519" s="33"/>
      <c r="I519" s="33"/>
      <c r="J519" s="33"/>
      <c r="K519" s="33"/>
      <c r="L519" s="33"/>
      <c r="M519" s="33"/>
      <c r="N519" s="33"/>
      <c r="O519" s="33"/>
      <c r="P519" s="33"/>
      <c r="Q519" s="33"/>
      <c r="R519" s="33"/>
      <c r="S519" s="33"/>
      <c r="T519" s="33"/>
      <c r="U519" s="33"/>
      <c r="V519" s="33"/>
      <c r="W519" s="33"/>
      <c r="X519" s="33"/>
      <c r="Y519" s="33"/>
      <c r="Z519" s="33"/>
    </row>
    <row r="520" spans="1:26" ht="13.5" customHeight="1" x14ac:dyDescent="0.35">
      <c r="A520" s="33"/>
      <c r="B520" s="33"/>
      <c r="C520" s="33"/>
      <c r="D520" s="33"/>
      <c r="E520" s="33"/>
      <c r="F520" s="33"/>
      <c r="G520" s="33"/>
      <c r="H520" s="33"/>
      <c r="I520" s="33"/>
      <c r="J520" s="33"/>
      <c r="K520" s="33"/>
      <c r="L520" s="33"/>
      <c r="M520" s="33"/>
      <c r="N520" s="33"/>
      <c r="O520" s="33"/>
      <c r="P520" s="33"/>
      <c r="Q520" s="33"/>
      <c r="R520" s="33"/>
      <c r="S520" s="33"/>
      <c r="T520" s="33"/>
      <c r="U520" s="33"/>
      <c r="V520" s="33"/>
      <c r="W520" s="33"/>
      <c r="X520" s="33"/>
      <c r="Y520" s="33"/>
      <c r="Z520" s="33"/>
    </row>
    <row r="521" spans="1:26" ht="13.5" customHeight="1" x14ac:dyDescent="0.35">
      <c r="A521" s="33"/>
      <c r="B521" s="33"/>
      <c r="C521" s="33"/>
      <c r="D521" s="33"/>
      <c r="E521" s="33"/>
      <c r="F521" s="33"/>
      <c r="G521" s="33"/>
      <c r="H521" s="33"/>
      <c r="I521" s="33"/>
      <c r="J521" s="33"/>
      <c r="K521" s="33"/>
      <c r="L521" s="33"/>
      <c r="M521" s="33"/>
      <c r="N521" s="33"/>
      <c r="O521" s="33"/>
      <c r="P521" s="33"/>
      <c r="Q521" s="33"/>
      <c r="R521" s="33"/>
      <c r="S521" s="33"/>
      <c r="T521" s="33"/>
      <c r="U521" s="33"/>
      <c r="V521" s="33"/>
      <c r="W521" s="33"/>
      <c r="X521" s="33"/>
      <c r="Y521" s="33"/>
      <c r="Z521" s="33"/>
    </row>
    <row r="522" spans="1:26" ht="13.5" customHeight="1" x14ac:dyDescent="0.35">
      <c r="A522" s="33"/>
      <c r="B522" s="33"/>
      <c r="C522" s="33"/>
      <c r="D522" s="33"/>
      <c r="E522" s="33"/>
      <c r="F522" s="33"/>
      <c r="G522" s="33"/>
      <c r="H522" s="33"/>
      <c r="I522" s="33"/>
      <c r="J522" s="33"/>
      <c r="K522" s="33"/>
      <c r="L522" s="33"/>
      <c r="M522" s="33"/>
      <c r="N522" s="33"/>
      <c r="O522" s="33"/>
      <c r="P522" s="33"/>
      <c r="Q522" s="33"/>
      <c r="R522" s="33"/>
      <c r="S522" s="33"/>
      <c r="T522" s="33"/>
      <c r="U522" s="33"/>
      <c r="V522" s="33"/>
      <c r="W522" s="33"/>
      <c r="X522" s="33"/>
      <c r="Y522" s="33"/>
      <c r="Z522" s="33"/>
    </row>
    <row r="523" spans="1:26" ht="13.5" customHeight="1" x14ac:dyDescent="0.35">
      <c r="A523" s="33"/>
      <c r="B523" s="33"/>
      <c r="C523" s="33"/>
      <c r="D523" s="33"/>
      <c r="E523" s="33"/>
      <c r="F523" s="33"/>
      <c r="G523" s="33"/>
      <c r="H523" s="33"/>
      <c r="I523" s="33"/>
      <c r="J523" s="33"/>
      <c r="K523" s="33"/>
      <c r="L523" s="33"/>
      <c r="M523" s="33"/>
      <c r="N523" s="33"/>
      <c r="O523" s="33"/>
      <c r="P523" s="33"/>
      <c r="Q523" s="33"/>
      <c r="R523" s="33"/>
      <c r="S523" s="33"/>
      <c r="T523" s="33"/>
      <c r="U523" s="33"/>
      <c r="V523" s="33"/>
      <c r="W523" s="33"/>
      <c r="X523" s="33"/>
      <c r="Y523" s="33"/>
      <c r="Z523" s="33"/>
    </row>
    <row r="524" spans="1:26" ht="13.5" customHeight="1" x14ac:dyDescent="0.35">
      <c r="A524" s="33"/>
      <c r="B524" s="33"/>
      <c r="C524" s="33"/>
      <c r="D524" s="33"/>
      <c r="E524" s="33"/>
      <c r="F524" s="33"/>
      <c r="G524" s="33"/>
      <c r="H524" s="33"/>
      <c r="I524" s="33"/>
      <c r="J524" s="33"/>
      <c r="K524" s="33"/>
      <c r="L524" s="33"/>
      <c r="M524" s="33"/>
      <c r="N524" s="33"/>
      <c r="O524" s="33"/>
      <c r="P524" s="33"/>
      <c r="Q524" s="33"/>
      <c r="R524" s="33"/>
      <c r="S524" s="33"/>
      <c r="T524" s="33"/>
      <c r="U524" s="33"/>
      <c r="V524" s="33"/>
      <c r="W524" s="33"/>
      <c r="X524" s="33"/>
      <c r="Y524" s="33"/>
      <c r="Z524" s="33"/>
    </row>
    <row r="525" spans="1:26" ht="13.5" customHeight="1" x14ac:dyDescent="0.35">
      <c r="A525" s="33"/>
      <c r="B525" s="33"/>
      <c r="C525" s="33"/>
      <c r="D525" s="33"/>
      <c r="E525" s="33"/>
      <c r="F525" s="33"/>
      <c r="G525" s="33"/>
      <c r="H525" s="33"/>
      <c r="I525" s="33"/>
      <c r="J525" s="33"/>
      <c r="K525" s="33"/>
      <c r="L525" s="33"/>
      <c r="M525" s="33"/>
      <c r="N525" s="33"/>
      <c r="O525" s="33"/>
      <c r="P525" s="33"/>
      <c r="Q525" s="33"/>
      <c r="R525" s="33"/>
      <c r="S525" s="33"/>
      <c r="T525" s="33"/>
      <c r="U525" s="33"/>
      <c r="V525" s="33"/>
      <c r="W525" s="33"/>
      <c r="X525" s="33"/>
      <c r="Y525" s="33"/>
      <c r="Z525" s="33"/>
    </row>
    <row r="526" spans="1:26" ht="13.5" customHeight="1" x14ac:dyDescent="0.35">
      <c r="A526" s="33"/>
      <c r="B526" s="33"/>
      <c r="C526" s="33"/>
      <c r="D526" s="33"/>
      <c r="E526" s="33"/>
      <c r="F526" s="33"/>
      <c r="G526" s="33"/>
      <c r="H526" s="33"/>
      <c r="I526" s="33"/>
      <c r="J526" s="33"/>
      <c r="K526" s="33"/>
      <c r="L526" s="33"/>
      <c r="M526" s="33"/>
      <c r="N526" s="33"/>
      <c r="O526" s="33"/>
      <c r="P526" s="33"/>
      <c r="Q526" s="33"/>
      <c r="R526" s="33"/>
      <c r="S526" s="33"/>
      <c r="T526" s="33"/>
      <c r="U526" s="33"/>
      <c r="V526" s="33"/>
      <c r="W526" s="33"/>
      <c r="X526" s="33"/>
      <c r="Y526" s="33"/>
      <c r="Z526" s="33"/>
    </row>
    <row r="527" spans="1:26" ht="13.5" customHeight="1" x14ac:dyDescent="0.35">
      <c r="A527" s="33"/>
      <c r="B527" s="33"/>
      <c r="C527" s="33"/>
      <c r="D527" s="33"/>
      <c r="E527" s="33"/>
      <c r="F527" s="33"/>
      <c r="G527" s="33"/>
      <c r="H527" s="33"/>
      <c r="I527" s="33"/>
      <c r="J527" s="33"/>
      <c r="K527" s="33"/>
      <c r="L527" s="33"/>
      <c r="M527" s="33"/>
      <c r="N527" s="33"/>
      <c r="O527" s="33"/>
      <c r="P527" s="33"/>
      <c r="Q527" s="33"/>
      <c r="R527" s="33"/>
      <c r="S527" s="33"/>
      <c r="T527" s="33"/>
      <c r="U527" s="33"/>
      <c r="V527" s="33"/>
      <c r="W527" s="33"/>
      <c r="X527" s="33"/>
      <c r="Y527" s="33"/>
      <c r="Z527" s="33"/>
    </row>
    <row r="528" spans="1:26" ht="13.5" customHeight="1" x14ac:dyDescent="0.35">
      <c r="A528" s="33"/>
      <c r="B528" s="33"/>
      <c r="C528" s="33"/>
      <c r="D528" s="33"/>
      <c r="E528" s="33"/>
      <c r="F528" s="33"/>
      <c r="G528" s="33"/>
      <c r="H528" s="33"/>
      <c r="I528" s="33"/>
      <c r="J528" s="33"/>
      <c r="K528" s="33"/>
      <c r="L528" s="33"/>
      <c r="M528" s="33"/>
      <c r="N528" s="33"/>
      <c r="O528" s="33"/>
      <c r="P528" s="33"/>
      <c r="Q528" s="33"/>
      <c r="R528" s="33"/>
      <c r="S528" s="33"/>
      <c r="T528" s="33"/>
      <c r="U528" s="33"/>
      <c r="V528" s="33"/>
      <c r="W528" s="33"/>
      <c r="X528" s="33"/>
      <c r="Y528" s="33"/>
      <c r="Z528" s="33"/>
    </row>
    <row r="529" spans="1:26" ht="13.5" customHeight="1" x14ac:dyDescent="0.35">
      <c r="A529" s="33"/>
      <c r="B529" s="33"/>
      <c r="C529" s="33"/>
      <c r="D529" s="33"/>
      <c r="E529" s="33"/>
      <c r="F529" s="33"/>
      <c r="G529" s="33"/>
      <c r="H529" s="33"/>
      <c r="I529" s="33"/>
      <c r="J529" s="33"/>
      <c r="K529" s="33"/>
      <c r="L529" s="33"/>
      <c r="M529" s="33"/>
      <c r="N529" s="33"/>
      <c r="O529" s="33"/>
      <c r="P529" s="33"/>
      <c r="Q529" s="33"/>
      <c r="R529" s="33"/>
      <c r="S529" s="33"/>
      <c r="T529" s="33"/>
      <c r="U529" s="33"/>
      <c r="V529" s="33"/>
      <c r="W529" s="33"/>
      <c r="X529" s="33"/>
      <c r="Y529" s="33"/>
      <c r="Z529" s="33"/>
    </row>
    <row r="530" spans="1:26" ht="13.5" customHeight="1" x14ac:dyDescent="0.35">
      <c r="A530" s="33"/>
      <c r="B530" s="33"/>
      <c r="C530" s="33"/>
      <c r="D530" s="33"/>
      <c r="E530" s="33"/>
      <c r="F530" s="33"/>
      <c r="G530" s="33"/>
      <c r="H530" s="33"/>
      <c r="I530" s="33"/>
      <c r="J530" s="33"/>
      <c r="K530" s="33"/>
      <c r="L530" s="33"/>
      <c r="M530" s="33"/>
      <c r="N530" s="33"/>
      <c r="O530" s="33"/>
      <c r="P530" s="33"/>
      <c r="Q530" s="33"/>
      <c r="R530" s="33"/>
      <c r="S530" s="33"/>
      <c r="T530" s="33"/>
      <c r="U530" s="33"/>
      <c r="V530" s="33"/>
      <c r="W530" s="33"/>
      <c r="X530" s="33"/>
      <c r="Y530" s="33"/>
      <c r="Z530" s="33"/>
    </row>
    <row r="531" spans="1:26" ht="13.5" customHeight="1" x14ac:dyDescent="0.35">
      <c r="A531" s="33"/>
      <c r="B531" s="33"/>
      <c r="C531" s="33"/>
      <c r="D531" s="33"/>
      <c r="E531" s="33"/>
      <c r="F531" s="33"/>
      <c r="G531" s="33"/>
      <c r="H531" s="33"/>
      <c r="I531" s="33"/>
      <c r="J531" s="33"/>
      <c r="K531" s="33"/>
      <c r="L531" s="33"/>
      <c r="M531" s="33"/>
      <c r="N531" s="33"/>
      <c r="O531" s="33"/>
      <c r="P531" s="33"/>
      <c r="Q531" s="33"/>
      <c r="R531" s="33"/>
      <c r="S531" s="33"/>
      <c r="T531" s="33"/>
      <c r="U531" s="33"/>
      <c r="V531" s="33"/>
      <c r="W531" s="33"/>
      <c r="X531" s="33"/>
      <c r="Y531" s="33"/>
      <c r="Z531" s="33"/>
    </row>
    <row r="532" spans="1:26" ht="13.5" customHeight="1" x14ac:dyDescent="0.35">
      <c r="A532" s="33"/>
      <c r="B532" s="33"/>
      <c r="C532" s="33"/>
      <c r="D532" s="33"/>
      <c r="E532" s="33"/>
      <c r="F532" s="33"/>
      <c r="G532" s="33"/>
      <c r="H532" s="33"/>
      <c r="I532" s="33"/>
      <c r="J532" s="33"/>
      <c r="K532" s="33"/>
      <c r="L532" s="33"/>
      <c r="M532" s="33"/>
      <c r="N532" s="33"/>
      <c r="O532" s="33"/>
      <c r="P532" s="33"/>
      <c r="Q532" s="33"/>
      <c r="R532" s="33"/>
      <c r="S532" s="33"/>
      <c r="T532" s="33"/>
      <c r="U532" s="33"/>
      <c r="V532" s="33"/>
      <c r="W532" s="33"/>
      <c r="X532" s="33"/>
      <c r="Y532" s="33"/>
      <c r="Z532" s="33"/>
    </row>
    <row r="533" spans="1:26" ht="13.5" customHeight="1" x14ac:dyDescent="0.35">
      <c r="A533" s="33"/>
      <c r="B533" s="33"/>
      <c r="C533" s="33"/>
      <c r="D533" s="33"/>
      <c r="E533" s="33"/>
      <c r="F533" s="33"/>
      <c r="G533" s="33"/>
      <c r="H533" s="33"/>
      <c r="I533" s="33"/>
      <c r="J533" s="33"/>
      <c r="K533" s="33"/>
      <c r="L533" s="33"/>
      <c r="M533" s="33"/>
      <c r="N533" s="33"/>
      <c r="O533" s="33"/>
      <c r="P533" s="33"/>
      <c r="Q533" s="33"/>
      <c r="R533" s="33"/>
      <c r="S533" s="33"/>
      <c r="T533" s="33"/>
      <c r="U533" s="33"/>
      <c r="V533" s="33"/>
      <c r="W533" s="33"/>
      <c r="X533" s="33"/>
      <c r="Y533" s="33"/>
      <c r="Z533" s="33"/>
    </row>
    <row r="534" spans="1:26" ht="13.5" customHeight="1" x14ac:dyDescent="0.35">
      <c r="A534" s="33"/>
      <c r="B534" s="3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row>
    <row r="535" spans="1:26" ht="13.5" customHeight="1" x14ac:dyDescent="0.35">
      <c r="A535" s="33"/>
      <c r="B535" s="3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row>
    <row r="536" spans="1:26" ht="13.5" customHeight="1" x14ac:dyDescent="0.35">
      <c r="A536" s="33"/>
      <c r="B536" s="3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row>
    <row r="537" spans="1:26" ht="13.5" customHeight="1" x14ac:dyDescent="0.35">
      <c r="A537" s="33"/>
      <c r="B537" s="3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row>
    <row r="538" spans="1:26" ht="13.5" customHeight="1" x14ac:dyDescent="0.35">
      <c r="A538" s="33"/>
      <c r="B538" s="3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row>
    <row r="539" spans="1:26" ht="13.5" customHeight="1" x14ac:dyDescent="0.35">
      <c r="A539" s="33"/>
      <c r="B539" s="3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row>
    <row r="540" spans="1:26" ht="13.5" customHeight="1" x14ac:dyDescent="0.35">
      <c r="A540" s="33"/>
      <c r="B540" s="3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row>
    <row r="541" spans="1:26" ht="13.5" customHeight="1" x14ac:dyDescent="0.35">
      <c r="A541" s="33"/>
      <c r="B541" s="3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row>
    <row r="542" spans="1:26" ht="13.5" customHeight="1" x14ac:dyDescent="0.35">
      <c r="A542" s="33"/>
      <c r="B542" s="3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row>
    <row r="543" spans="1:26" ht="13.5" customHeight="1" x14ac:dyDescent="0.35">
      <c r="A543" s="33"/>
      <c r="B543" s="3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row>
    <row r="544" spans="1:26" ht="13.5" customHeight="1" x14ac:dyDescent="0.35">
      <c r="A544" s="33"/>
      <c r="B544" s="3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row>
    <row r="545" spans="1:26" ht="13.5" customHeight="1" x14ac:dyDescent="0.35">
      <c r="A545" s="33"/>
      <c r="B545" s="3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row>
    <row r="546" spans="1:26" ht="13.5" customHeight="1" x14ac:dyDescent="0.35">
      <c r="A546" s="33"/>
      <c r="B546" s="3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row>
    <row r="547" spans="1:26" ht="13.5" customHeight="1" x14ac:dyDescent="0.35">
      <c r="A547" s="33"/>
      <c r="B547" s="3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row>
    <row r="548" spans="1:26" ht="13.5" customHeight="1" x14ac:dyDescent="0.35">
      <c r="A548" s="33"/>
      <c r="B548" s="3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row>
    <row r="549" spans="1:26" ht="13.5" customHeight="1" x14ac:dyDescent="0.35">
      <c r="A549" s="33"/>
      <c r="B549" s="3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row>
    <row r="550" spans="1:26" ht="13.5" customHeight="1" x14ac:dyDescent="0.35">
      <c r="A550" s="33"/>
      <c r="B550" s="3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row>
    <row r="551" spans="1:26" ht="13.5" customHeight="1" x14ac:dyDescent="0.35">
      <c r="A551" s="33"/>
      <c r="B551" s="3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row>
    <row r="552" spans="1:26" ht="13.5" customHeight="1" x14ac:dyDescent="0.35">
      <c r="A552" s="33"/>
      <c r="B552" s="3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row>
    <row r="553" spans="1:26" ht="13.5" customHeight="1" x14ac:dyDescent="0.35">
      <c r="A553" s="33"/>
      <c r="B553" s="3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row>
    <row r="554" spans="1:26" ht="13.5" customHeight="1" x14ac:dyDescent="0.35">
      <c r="A554" s="33"/>
      <c r="B554" s="3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row>
    <row r="555" spans="1:26" ht="13.5" customHeight="1" x14ac:dyDescent="0.35">
      <c r="A555" s="33"/>
      <c r="B555" s="3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row>
    <row r="556" spans="1:26" ht="13.5" customHeight="1" x14ac:dyDescent="0.35">
      <c r="A556" s="33"/>
      <c r="B556" s="3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row>
    <row r="557" spans="1:26" ht="13.5" customHeight="1" x14ac:dyDescent="0.35">
      <c r="A557" s="33"/>
      <c r="B557" s="3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row>
    <row r="558" spans="1:26" ht="13.5" customHeight="1" x14ac:dyDescent="0.35">
      <c r="A558" s="33"/>
      <c r="B558" s="3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row>
    <row r="559" spans="1:26" ht="13.5" customHeight="1" x14ac:dyDescent="0.35">
      <c r="A559" s="33"/>
      <c r="B559" s="3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row>
    <row r="560" spans="1:26" ht="13.5" customHeight="1" x14ac:dyDescent="0.35">
      <c r="A560" s="33"/>
      <c r="B560" s="3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row>
    <row r="561" spans="1:26" ht="13.5" customHeight="1" x14ac:dyDescent="0.35">
      <c r="A561" s="33"/>
      <c r="B561" s="3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row>
    <row r="562" spans="1:26" ht="13.5" customHeight="1" x14ac:dyDescent="0.35">
      <c r="A562" s="33"/>
      <c r="B562" s="3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row>
    <row r="563" spans="1:26" ht="13.5" customHeight="1" x14ac:dyDescent="0.35">
      <c r="A563" s="33"/>
      <c r="B563" s="3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row>
    <row r="564" spans="1:26" ht="13.5" customHeight="1" x14ac:dyDescent="0.35">
      <c r="A564" s="33"/>
      <c r="B564" s="3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row>
    <row r="565" spans="1:26" ht="13.5" customHeight="1" x14ac:dyDescent="0.35">
      <c r="A565" s="33"/>
      <c r="B565" s="3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row>
    <row r="566" spans="1:26" ht="13.5" customHeight="1" x14ac:dyDescent="0.35">
      <c r="A566" s="33"/>
      <c r="B566" s="3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row>
    <row r="567" spans="1:26" ht="13.5" customHeight="1" x14ac:dyDescent="0.35">
      <c r="A567" s="33"/>
      <c r="B567" s="3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row>
    <row r="568" spans="1:26" ht="13.5" customHeight="1" x14ac:dyDescent="0.35">
      <c r="A568" s="33"/>
      <c r="B568" s="3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row>
    <row r="569" spans="1:26" ht="13.5" customHeight="1" x14ac:dyDescent="0.35">
      <c r="A569" s="33"/>
      <c r="B569" s="3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row>
    <row r="570" spans="1:26" ht="13.5" customHeight="1" x14ac:dyDescent="0.35">
      <c r="A570" s="33"/>
      <c r="B570" s="3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row>
    <row r="571" spans="1:26" ht="13.5" customHeight="1" x14ac:dyDescent="0.35">
      <c r="A571" s="33"/>
      <c r="B571" s="3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row>
    <row r="572" spans="1:26" ht="13.5" customHeight="1" x14ac:dyDescent="0.35">
      <c r="A572" s="33"/>
      <c r="B572" s="3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row>
    <row r="573" spans="1:26" ht="13.5" customHeight="1" x14ac:dyDescent="0.35">
      <c r="A573" s="33"/>
      <c r="B573" s="3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row>
    <row r="574" spans="1:26" ht="13.5" customHeight="1" x14ac:dyDescent="0.35">
      <c r="A574" s="33"/>
      <c r="B574" s="3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row>
    <row r="575" spans="1:26" ht="13.5" customHeight="1" x14ac:dyDescent="0.35">
      <c r="A575" s="33"/>
      <c r="B575" s="3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row>
    <row r="576" spans="1:26" ht="13.5" customHeight="1" x14ac:dyDescent="0.35">
      <c r="A576" s="33"/>
      <c r="B576" s="3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row>
    <row r="577" spans="1:26" ht="13.5" customHeight="1" x14ac:dyDescent="0.35">
      <c r="A577" s="33"/>
      <c r="B577" s="3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row>
    <row r="578" spans="1:26" ht="13.5" customHeight="1" x14ac:dyDescent="0.35">
      <c r="A578" s="33"/>
      <c r="B578" s="3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row>
    <row r="579" spans="1:26" ht="13.5" customHeight="1" x14ac:dyDescent="0.35">
      <c r="A579" s="33"/>
      <c r="B579" s="3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row>
    <row r="580" spans="1:26" ht="13.5" customHeight="1" x14ac:dyDescent="0.35">
      <c r="A580" s="33"/>
      <c r="B580" s="3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row>
    <row r="581" spans="1:26" ht="13.5" customHeight="1" x14ac:dyDescent="0.35">
      <c r="A581" s="33"/>
      <c r="B581" s="3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row>
    <row r="582" spans="1:26" ht="13.5" customHeight="1" x14ac:dyDescent="0.35">
      <c r="A582" s="33"/>
      <c r="B582" s="3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row>
    <row r="583" spans="1:26" ht="13.5" customHeight="1" x14ac:dyDescent="0.35">
      <c r="A583" s="33"/>
      <c r="B583" s="3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row>
    <row r="584" spans="1:26" ht="13.5" customHeight="1" x14ac:dyDescent="0.35">
      <c r="A584" s="33"/>
      <c r="B584" s="3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row>
    <row r="585" spans="1:26" ht="13.5" customHeight="1" x14ac:dyDescent="0.35">
      <c r="A585" s="33"/>
      <c r="B585" s="3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row>
    <row r="586" spans="1:26" ht="13.5" customHeight="1" x14ac:dyDescent="0.35">
      <c r="A586" s="33"/>
      <c r="B586" s="3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row>
    <row r="587" spans="1:26" ht="13.5" customHeight="1" x14ac:dyDescent="0.35">
      <c r="A587" s="33"/>
      <c r="B587" s="3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row>
    <row r="588" spans="1:26" ht="13.5" customHeight="1" x14ac:dyDescent="0.35">
      <c r="A588" s="33"/>
      <c r="B588" s="3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row>
    <row r="589" spans="1:26" ht="13.5" customHeight="1" x14ac:dyDescent="0.35">
      <c r="A589" s="33"/>
      <c r="B589" s="3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row>
    <row r="590" spans="1:26" ht="13.5" customHeight="1" x14ac:dyDescent="0.35">
      <c r="A590" s="33"/>
      <c r="B590" s="3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row>
    <row r="591" spans="1:26" ht="13.5" customHeight="1" x14ac:dyDescent="0.35">
      <c r="A591" s="33"/>
      <c r="B591" s="3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row>
    <row r="592" spans="1:26" ht="13.5" customHeight="1" x14ac:dyDescent="0.35">
      <c r="A592" s="33"/>
      <c r="B592" s="3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row>
    <row r="593" spans="1:26" ht="13.5" customHeight="1" x14ac:dyDescent="0.35">
      <c r="A593" s="33"/>
      <c r="B593" s="3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row>
    <row r="594" spans="1:26" ht="13.5" customHeight="1" x14ac:dyDescent="0.35">
      <c r="A594" s="33"/>
      <c r="B594" s="3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row>
    <row r="595" spans="1:26" ht="13.5" customHeight="1" x14ac:dyDescent="0.35">
      <c r="A595" s="33"/>
      <c r="B595" s="3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row>
    <row r="596" spans="1:26" ht="13.5" customHeight="1" x14ac:dyDescent="0.35">
      <c r="A596" s="33"/>
      <c r="B596" s="3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row>
    <row r="597" spans="1:26" ht="13.5" customHeight="1" x14ac:dyDescent="0.35">
      <c r="A597" s="33"/>
      <c r="B597" s="3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row>
    <row r="598" spans="1:26" ht="13.5" customHeight="1" x14ac:dyDescent="0.35">
      <c r="A598" s="33"/>
      <c r="B598" s="3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row>
    <row r="599" spans="1:26" ht="13.5" customHeight="1" x14ac:dyDescent="0.35">
      <c r="A599" s="33"/>
      <c r="B599" s="3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row>
    <row r="600" spans="1:26" ht="13.5" customHeight="1" x14ac:dyDescent="0.35">
      <c r="A600" s="33"/>
      <c r="B600" s="3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row>
    <row r="601" spans="1:26" ht="13.5" customHeight="1" x14ac:dyDescent="0.35">
      <c r="A601" s="33"/>
      <c r="B601" s="3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row>
    <row r="602" spans="1:26" ht="13.5" customHeight="1" x14ac:dyDescent="0.35">
      <c r="A602" s="33"/>
      <c r="B602" s="3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row>
    <row r="603" spans="1:26" ht="13.5" customHeight="1" x14ac:dyDescent="0.35">
      <c r="A603" s="33"/>
      <c r="B603" s="3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row>
    <row r="604" spans="1:26" ht="13.5" customHeight="1" x14ac:dyDescent="0.35">
      <c r="A604" s="33"/>
      <c r="B604" s="3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row>
    <row r="605" spans="1:26" ht="13.5" customHeight="1" x14ac:dyDescent="0.35">
      <c r="A605" s="33"/>
      <c r="B605" s="3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row>
    <row r="606" spans="1:26" ht="13.5" customHeight="1" x14ac:dyDescent="0.35">
      <c r="A606" s="33"/>
      <c r="B606" s="3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row>
    <row r="607" spans="1:26" ht="13.5" customHeight="1" x14ac:dyDescent="0.35">
      <c r="A607" s="33"/>
      <c r="B607" s="3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row>
    <row r="608" spans="1:26" ht="13.5" customHeight="1" x14ac:dyDescent="0.35">
      <c r="A608" s="33"/>
      <c r="B608" s="3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row>
    <row r="609" spans="1:26" ht="13.5" customHeight="1" x14ac:dyDescent="0.35">
      <c r="A609" s="33"/>
      <c r="B609" s="3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row>
    <row r="610" spans="1:26" ht="13.5" customHeight="1" x14ac:dyDescent="0.35">
      <c r="A610" s="33"/>
      <c r="B610" s="3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row>
    <row r="611" spans="1:26" ht="13.5" customHeight="1" x14ac:dyDescent="0.35">
      <c r="A611" s="33"/>
      <c r="B611" s="3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row>
    <row r="612" spans="1:26" ht="13.5" customHeight="1" x14ac:dyDescent="0.35">
      <c r="A612" s="33"/>
      <c r="B612" s="3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row>
    <row r="613" spans="1:26" ht="13.5" customHeight="1" x14ac:dyDescent="0.35">
      <c r="A613" s="33"/>
      <c r="B613" s="3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row>
    <row r="614" spans="1:26" ht="13.5" customHeight="1" x14ac:dyDescent="0.35">
      <c r="A614" s="33"/>
      <c r="B614" s="3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row>
    <row r="615" spans="1:26" ht="13.5" customHeight="1" x14ac:dyDescent="0.35">
      <c r="A615" s="33"/>
      <c r="B615" s="3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row>
    <row r="616" spans="1:26" ht="13.5" customHeight="1" x14ac:dyDescent="0.35">
      <c r="A616" s="33"/>
      <c r="B616" s="3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row>
    <row r="617" spans="1:26" ht="13.5" customHeight="1" x14ac:dyDescent="0.35">
      <c r="A617" s="33"/>
      <c r="B617" s="3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row>
    <row r="618" spans="1:26" ht="13.5" customHeight="1" x14ac:dyDescent="0.35">
      <c r="A618" s="33"/>
      <c r="B618" s="3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row>
    <row r="619" spans="1:26" ht="13.5" customHeight="1" x14ac:dyDescent="0.35">
      <c r="A619" s="33"/>
      <c r="B619" s="3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row>
    <row r="620" spans="1:26" ht="13.5" customHeight="1" x14ac:dyDescent="0.35">
      <c r="A620" s="33"/>
      <c r="B620" s="3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row>
    <row r="621" spans="1:26" ht="13.5" customHeight="1" x14ac:dyDescent="0.35">
      <c r="A621" s="33"/>
      <c r="B621" s="3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row>
    <row r="622" spans="1:26" ht="13.5" customHeight="1" x14ac:dyDescent="0.35">
      <c r="A622" s="33"/>
      <c r="B622" s="3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row>
    <row r="623" spans="1:26" ht="13.5" customHeight="1" x14ac:dyDescent="0.35">
      <c r="A623" s="33"/>
      <c r="B623" s="3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row>
    <row r="624" spans="1:26" ht="13.5" customHeight="1" x14ac:dyDescent="0.35">
      <c r="A624" s="33"/>
      <c r="B624" s="3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row>
    <row r="625" spans="1:26" ht="13.5" customHeight="1" x14ac:dyDescent="0.35">
      <c r="A625" s="33"/>
      <c r="B625" s="3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row>
    <row r="626" spans="1:26" ht="13.5" customHeight="1" x14ac:dyDescent="0.35">
      <c r="A626" s="33"/>
      <c r="B626" s="3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row>
    <row r="627" spans="1:26" ht="13.5" customHeight="1" x14ac:dyDescent="0.35">
      <c r="A627" s="33"/>
      <c r="B627" s="33"/>
      <c r="C627" s="33"/>
      <c r="D627" s="33"/>
      <c r="E627" s="33"/>
      <c r="F627" s="33"/>
      <c r="G627" s="33"/>
      <c r="H627" s="33"/>
      <c r="I627" s="33"/>
      <c r="J627" s="33"/>
      <c r="K627" s="33"/>
      <c r="L627" s="33"/>
      <c r="M627" s="33"/>
      <c r="N627" s="33"/>
      <c r="O627" s="33"/>
      <c r="P627" s="33"/>
      <c r="Q627" s="33"/>
      <c r="R627" s="33"/>
      <c r="S627" s="33"/>
      <c r="T627" s="33"/>
      <c r="U627" s="33"/>
      <c r="V627" s="33"/>
      <c r="W627" s="33"/>
      <c r="X627" s="33"/>
      <c r="Y627" s="33"/>
      <c r="Z627" s="33"/>
    </row>
    <row r="628" spans="1:26" ht="13.5" customHeight="1" x14ac:dyDescent="0.35">
      <c r="A628" s="33"/>
      <c r="B628" s="33"/>
      <c r="C628" s="33"/>
      <c r="D628" s="33"/>
      <c r="E628" s="33"/>
      <c r="F628" s="33"/>
      <c r="G628" s="33"/>
      <c r="H628" s="33"/>
      <c r="I628" s="33"/>
      <c r="J628" s="33"/>
      <c r="K628" s="33"/>
      <c r="L628" s="33"/>
      <c r="M628" s="33"/>
      <c r="N628" s="33"/>
      <c r="O628" s="33"/>
      <c r="P628" s="33"/>
      <c r="Q628" s="33"/>
      <c r="R628" s="33"/>
      <c r="S628" s="33"/>
      <c r="T628" s="33"/>
      <c r="U628" s="33"/>
      <c r="V628" s="33"/>
      <c r="W628" s="33"/>
      <c r="X628" s="33"/>
      <c r="Y628" s="33"/>
      <c r="Z628" s="33"/>
    </row>
    <row r="629" spans="1:26" ht="13.5" customHeight="1" x14ac:dyDescent="0.35">
      <c r="A629" s="33"/>
      <c r="B629" s="33"/>
      <c r="C629" s="33"/>
      <c r="D629" s="33"/>
      <c r="E629" s="33"/>
      <c r="F629" s="33"/>
      <c r="G629" s="33"/>
      <c r="H629" s="33"/>
      <c r="I629" s="33"/>
      <c r="J629" s="33"/>
      <c r="K629" s="33"/>
      <c r="L629" s="33"/>
      <c r="M629" s="33"/>
      <c r="N629" s="33"/>
      <c r="O629" s="33"/>
      <c r="P629" s="33"/>
      <c r="Q629" s="33"/>
      <c r="R629" s="33"/>
      <c r="S629" s="33"/>
      <c r="T629" s="33"/>
      <c r="U629" s="33"/>
      <c r="V629" s="33"/>
      <c r="W629" s="33"/>
      <c r="X629" s="33"/>
      <c r="Y629" s="33"/>
      <c r="Z629" s="33"/>
    </row>
    <row r="630" spans="1:26" ht="13.5" customHeight="1" x14ac:dyDescent="0.35">
      <c r="A630" s="33"/>
      <c r="B630" s="33"/>
      <c r="C630" s="33"/>
      <c r="D630" s="33"/>
      <c r="E630" s="33"/>
      <c r="F630" s="33"/>
      <c r="G630" s="33"/>
      <c r="H630" s="33"/>
      <c r="I630" s="33"/>
      <c r="J630" s="33"/>
      <c r="K630" s="33"/>
      <c r="L630" s="33"/>
      <c r="M630" s="33"/>
      <c r="N630" s="33"/>
      <c r="O630" s="33"/>
      <c r="P630" s="33"/>
      <c r="Q630" s="33"/>
      <c r="R630" s="33"/>
      <c r="S630" s="33"/>
      <c r="T630" s="33"/>
      <c r="U630" s="33"/>
      <c r="V630" s="33"/>
      <c r="W630" s="33"/>
      <c r="X630" s="33"/>
      <c r="Y630" s="33"/>
      <c r="Z630" s="33"/>
    </row>
    <row r="631" spans="1:26" ht="13.5" customHeight="1" x14ac:dyDescent="0.35">
      <c r="A631" s="33"/>
      <c r="B631" s="33"/>
      <c r="C631" s="33"/>
      <c r="D631" s="33"/>
      <c r="E631" s="33"/>
      <c r="F631" s="33"/>
      <c r="G631" s="33"/>
      <c r="H631" s="33"/>
      <c r="I631" s="33"/>
      <c r="J631" s="33"/>
      <c r="K631" s="33"/>
      <c r="L631" s="33"/>
      <c r="M631" s="33"/>
      <c r="N631" s="33"/>
      <c r="O631" s="33"/>
      <c r="P631" s="33"/>
      <c r="Q631" s="33"/>
      <c r="R631" s="33"/>
      <c r="S631" s="33"/>
      <c r="T631" s="33"/>
      <c r="U631" s="33"/>
      <c r="V631" s="33"/>
      <c r="W631" s="33"/>
      <c r="X631" s="33"/>
      <c r="Y631" s="33"/>
      <c r="Z631" s="33"/>
    </row>
    <row r="632" spans="1:26" ht="13.5" customHeight="1" x14ac:dyDescent="0.35">
      <c r="A632" s="33"/>
      <c r="B632" s="33"/>
      <c r="C632" s="33"/>
      <c r="D632" s="33"/>
      <c r="E632" s="33"/>
      <c r="F632" s="33"/>
      <c r="G632" s="33"/>
      <c r="H632" s="33"/>
      <c r="I632" s="33"/>
      <c r="J632" s="33"/>
      <c r="K632" s="33"/>
      <c r="L632" s="33"/>
      <c r="M632" s="33"/>
      <c r="N632" s="33"/>
      <c r="O632" s="33"/>
      <c r="P632" s="33"/>
      <c r="Q632" s="33"/>
      <c r="R632" s="33"/>
      <c r="S632" s="33"/>
      <c r="T632" s="33"/>
      <c r="U632" s="33"/>
      <c r="V632" s="33"/>
      <c r="W632" s="33"/>
      <c r="X632" s="33"/>
      <c r="Y632" s="33"/>
      <c r="Z632" s="33"/>
    </row>
    <row r="633" spans="1:26" ht="13.5" customHeight="1" x14ac:dyDescent="0.35">
      <c r="A633" s="33"/>
      <c r="B633" s="33"/>
      <c r="C633" s="33"/>
      <c r="D633" s="33"/>
      <c r="E633" s="33"/>
      <c r="F633" s="33"/>
      <c r="G633" s="33"/>
      <c r="H633" s="33"/>
      <c r="I633" s="33"/>
      <c r="J633" s="33"/>
      <c r="K633" s="33"/>
      <c r="L633" s="33"/>
      <c r="M633" s="33"/>
      <c r="N633" s="33"/>
      <c r="O633" s="33"/>
      <c r="P633" s="33"/>
      <c r="Q633" s="33"/>
      <c r="R633" s="33"/>
      <c r="S633" s="33"/>
      <c r="T633" s="33"/>
      <c r="U633" s="33"/>
      <c r="V633" s="33"/>
      <c r="W633" s="33"/>
      <c r="X633" s="33"/>
      <c r="Y633" s="33"/>
      <c r="Z633" s="33"/>
    </row>
    <row r="634" spans="1:26" ht="13.5" customHeight="1" x14ac:dyDescent="0.35">
      <c r="A634" s="33"/>
      <c r="B634" s="33"/>
      <c r="C634" s="33"/>
      <c r="D634" s="33"/>
      <c r="E634" s="33"/>
      <c r="F634" s="33"/>
      <c r="G634" s="33"/>
      <c r="H634" s="33"/>
      <c r="I634" s="33"/>
      <c r="J634" s="33"/>
      <c r="K634" s="33"/>
      <c r="L634" s="33"/>
      <c r="M634" s="33"/>
      <c r="N634" s="33"/>
      <c r="O634" s="33"/>
      <c r="P634" s="33"/>
      <c r="Q634" s="33"/>
      <c r="R634" s="33"/>
      <c r="S634" s="33"/>
      <c r="T634" s="33"/>
      <c r="U634" s="33"/>
      <c r="V634" s="33"/>
      <c r="W634" s="33"/>
      <c r="X634" s="33"/>
      <c r="Y634" s="33"/>
      <c r="Z634" s="33"/>
    </row>
    <row r="635" spans="1:26" ht="13.5" customHeight="1" x14ac:dyDescent="0.35">
      <c r="A635" s="33"/>
      <c r="B635" s="33"/>
      <c r="C635" s="33"/>
      <c r="D635" s="33"/>
      <c r="E635" s="33"/>
      <c r="F635" s="33"/>
      <c r="G635" s="33"/>
      <c r="H635" s="33"/>
      <c r="I635" s="33"/>
      <c r="J635" s="33"/>
      <c r="K635" s="33"/>
      <c r="L635" s="33"/>
      <c r="M635" s="33"/>
      <c r="N635" s="33"/>
      <c r="O635" s="33"/>
      <c r="P635" s="33"/>
      <c r="Q635" s="33"/>
      <c r="R635" s="33"/>
      <c r="S635" s="33"/>
      <c r="T635" s="33"/>
      <c r="U635" s="33"/>
      <c r="V635" s="33"/>
      <c r="W635" s="33"/>
      <c r="X635" s="33"/>
      <c r="Y635" s="33"/>
      <c r="Z635" s="33"/>
    </row>
    <row r="636" spans="1:26" ht="13.5" customHeight="1" x14ac:dyDescent="0.35">
      <c r="A636" s="33"/>
      <c r="B636" s="33"/>
      <c r="C636" s="33"/>
      <c r="D636" s="33"/>
      <c r="E636" s="33"/>
      <c r="F636" s="33"/>
      <c r="G636" s="33"/>
      <c r="H636" s="33"/>
      <c r="I636" s="33"/>
      <c r="J636" s="33"/>
      <c r="K636" s="33"/>
      <c r="L636" s="33"/>
      <c r="M636" s="33"/>
      <c r="N636" s="33"/>
      <c r="O636" s="33"/>
      <c r="P636" s="33"/>
      <c r="Q636" s="33"/>
      <c r="R636" s="33"/>
      <c r="S636" s="33"/>
      <c r="T636" s="33"/>
      <c r="U636" s="33"/>
      <c r="V636" s="33"/>
      <c r="W636" s="33"/>
      <c r="X636" s="33"/>
      <c r="Y636" s="33"/>
      <c r="Z636" s="33"/>
    </row>
    <row r="637" spans="1:26" ht="13.5" customHeight="1"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row>
    <row r="638" spans="1:26" ht="13.5" customHeight="1"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row>
    <row r="639" spans="1:26" ht="13.5" customHeight="1"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row>
    <row r="640" spans="1:26" ht="13.5" customHeight="1"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row>
    <row r="641" spans="1:26" ht="13.5" customHeight="1"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row>
    <row r="642" spans="1:26" ht="13.5" customHeight="1"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row>
    <row r="643" spans="1:26" ht="13.5" customHeight="1"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row>
    <row r="644" spans="1:26" ht="13.5" customHeight="1"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row>
    <row r="645" spans="1:26" ht="13.5" customHeight="1"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row>
    <row r="646" spans="1:26" ht="13.5" customHeight="1"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row>
    <row r="647" spans="1:26" ht="13.5" customHeight="1"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row>
    <row r="648" spans="1:26" ht="13.5" customHeight="1"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row>
    <row r="649" spans="1:26" ht="13.5" customHeight="1"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row>
    <row r="650" spans="1:26" ht="13.5" customHeight="1"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row>
    <row r="651" spans="1:26" ht="13.5" customHeight="1"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row>
    <row r="652" spans="1:26" ht="13.5" customHeight="1"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row>
    <row r="653" spans="1:26" ht="13.5" customHeight="1"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row>
    <row r="654" spans="1:26" ht="13.5" customHeight="1"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row>
    <row r="655" spans="1:26" ht="13.5" customHeight="1"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row>
    <row r="656" spans="1:26" ht="13.5" customHeight="1"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row>
    <row r="657" spans="1:26" ht="13.5" customHeight="1"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row>
    <row r="658" spans="1:26" ht="13.5" customHeight="1"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row>
    <row r="659" spans="1:26" ht="13.5" customHeight="1"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row>
    <row r="660" spans="1:26" ht="13.5" customHeight="1"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row>
    <row r="661" spans="1:26" ht="13.5" customHeight="1"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row>
    <row r="662" spans="1:26" ht="13.5" customHeight="1"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row>
    <row r="663" spans="1:26" ht="13.5" customHeight="1"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row>
    <row r="664" spans="1:26" ht="13.5" customHeight="1"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row>
    <row r="665" spans="1:26" ht="13.5" customHeight="1"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row>
    <row r="666" spans="1:26" ht="13.5" customHeight="1"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row>
    <row r="667" spans="1:26" ht="13.5" customHeight="1"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row>
    <row r="668" spans="1:26" ht="13.5" customHeight="1"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row>
    <row r="669" spans="1:26" ht="13.5" customHeight="1"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row>
    <row r="670" spans="1:26" ht="13.5" customHeight="1"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row>
    <row r="671" spans="1:26" ht="13.5" customHeight="1"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row>
    <row r="672" spans="1:26" ht="13.5" customHeight="1"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row>
    <row r="673" spans="1:26" ht="13.5" customHeight="1"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row>
    <row r="674" spans="1:26" ht="13.5" customHeight="1"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row>
    <row r="675" spans="1:26" ht="13.5" customHeight="1"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row>
    <row r="676" spans="1:26" ht="13.5" customHeight="1"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row>
    <row r="677" spans="1:26" ht="13.5" customHeight="1"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row>
    <row r="678" spans="1:26" ht="13.5" customHeight="1"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row>
    <row r="679" spans="1:26" ht="13.5" customHeight="1"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row>
    <row r="680" spans="1:26" ht="13.5" customHeight="1"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row>
    <row r="681" spans="1:26" ht="13.5" customHeight="1"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row>
    <row r="682" spans="1:26" ht="13.5" customHeight="1"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row>
    <row r="683" spans="1:26" ht="13.5" customHeight="1"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row>
    <row r="684" spans="1:26" ht="13.5" customHeight="1"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row>
    <row r="685" spans="1:26" ht="13.5" customHeight="1"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row>
    <row r="686" spans="1:26" ht="13.5" customHeight="1"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row>
    <row r="687" spans="1:26" ht="13.5" customHeight="1"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row>
    <row r="688" spans="1:26" ht="13.5" customHeight="1"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row>
    <row r="689" spans="1:26" ht="13.5" customHeight="1"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row>
    <row r="690" spans="1:26" ht="13.5" customHeight="1"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row>
    <row r="691" spans="1:26" ht="13.5" customHeight="1"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row>
    <row r="692" spans="1:26" ht="13.5" customHeight="1"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row>
    <row r="693" spans="1:26" ht="13.5" customHeight="1"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row>
    <row r="694" spans="1:26" ht="13.5" customHeight="1"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row>
    <row r="695" spans="1:26" ht="13.5" customHeight="1"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row>
    <row r="696" spans="1:26" ht="13.5" customHeight="1"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row>
    <row r="697" spans="1:26" ht="13.5" customHeight="1"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row>
    <row r="698" spans="1:26" ht="13.5" customHeight="1"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row>
    <row r="699" spans="1:26" ht="13.5" customHeight="1"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row>
    <row r="700" spans="1:26" ht="13.5" customHeight="1"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row>
    <row r="701" spans="1:26" ht="13.5" customHeight="1"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row>
    <row r="702" spans="1:26" ht="13.5" customHeight="1"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row>
    <row r="703" spans="1:26" ht="13.5" customHeight="1"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row>
    <row r="704" spans="1:26" ht="13.5" customHeight="1"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row>
    <row r="705" spans="1:26" ht="13.5" customHeight="1"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row>
    <row r="706" spans="1:26" ht="13.5" customHeight="1"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row>
    <row r="707" spans="1:26" ht="13.5" customHeight="1"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row>
    <row r="708" spans="1:26" ht="13.5" customHeight="1"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row>
    <row r="709" spans="1:26" ht="13.5" customHeight="1"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row>
    <row r="710" spans="1:26" ht="13.5" customHeight="1"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row>
    <row r="711" spans="1:26" ht="13.5" customHeight="1"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row>
    <row r="712" spans="1:26" ht="13.5" customHeight="1"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row>
    <row r="713" spans="1:26" ht="13.5" customHeight="1"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row>
    <row r="714" spans="1:26" ht="13.5" customHeight="1"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row>
    <row r="715" spans="1:26" ht="13.5" customHeight="1"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row>
    <row r="716" spans="1:26" ht="13.5" customHeight="1"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row>
    <row r="717" spans="1:26" ht="13.5" customHeight="1"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row>
    <row r="718" spans="1:26" ht="13.5" customHeight="1"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row>
    <row r="719" spans="1:26" ht="13.5" customHeight="1"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row>
    <row r="720" spans="1:26" ht="13.5" customHeight="1"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row>
    <row r="721" spans="1:26" ht="13.5" customHeight="1"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row>
    <row r="722" spans="1:26" ht="13.5" customHeight="1"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row>
    <row r="723" spans="1:26" ht="13.5" customHeight="1"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row>
    <row r="724" spans="1:26" ht="13.5" customHeight="1"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row>
    <row r="725" spans="1:26" ht="13.5" customHeight="1"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row>
    <row r="726" spans="1:26" ht="13.5" customHeight="1"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row>
    <row r="727" spans="1:26" ht="13.5" customHeight="1"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row>
    <row r="728" spans="1:26" ht="13.5" customHeight="1"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row>
    <row r="729" spans="1:26" ht="13.5" customHeight="1"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row>
    <row r="730" spans="1:26" ht="13.5" customHeight="1"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row>
    <row r="731" spans="1:26" ht="13.5" customHeight="1"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row>
    <row r="732" spans="1:26" ht="13.5" customHeight="1"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row>
    <row r="733" spans="1:26" ht="13.5" customHeight="1"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row>
    <row r="734" spans="1:26" ht="13.5" customHeight="1"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row>
    <row r="735" spans="1:26" ht="13.5" customHeight="1"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row>
    <row r="736" spans="1:26" ht="13.5" customHeight="1"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row>
    <row r="737" spans="1:26" ht="13.5" customHeight="1"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row>
    <row r="738" spans="1:26" ht="13.5" customHeight="1"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row>
    <row r="739" spans="1:26" ht="13.5" customHeight="1"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row>
    <row r="740" spans="1:26" ht="13.5" customHeight="1"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row>
    <row r="741" spans="1:26" ht="13.5" customHeight="1"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row>
    <row r="742" spans="1:26" ht="13.5" customHeight="1"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row>
    <row r="743" spans="1:26" ht="13.5" customHeight="1"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row>
    <row r="744" spans="1:26" ht="13.5" customHeight="1"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row>
    <row r="745" spans="1:26" ht="13.5" customHeight="1"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row>
    <row r="746" spans="1:26" ht="13.5" customHeight="1"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row>
    <row r="747" spans="1:26" ht="13.5" customHeight="1"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row>
    <row r="748" spans="1:26" ht="13.5" customHeight="1"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row>
    <row r="749" spans="1:26" ht="13.5" customHeight="1"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row>
    <row r="750" spans="1:26" ht="13.5" customHeight="1"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row>
    <row r="751" spans="1:26" ht="13.5" customHeight="1"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row>
    <row r="752" spans="1:26" ht="13.5" customHeight="1"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row>
    <row r="753" spans="1:26" ht="13.5" customHeight="1"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row>
    <row r="754" spans="1:26" ht="13.5" customHeight="1"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row>
    <row r="755" spans="1:26" ht="13.5" customHeight="1"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row>
    <row r="756" spans="1:26" ht="13.5" customHeight="1"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row>
    <row r="757" spans="1:26" ht="13.5" customHeight="1"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row>
    <row r="758" spans="1:26" ht="13.5" customHeight="1"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row>
    <row r="759" spans="1:26" ht="13.5" customHeight="1"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row>
    <row r="760" spans="1:26" ht="13.5" customHeight="1"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row>
    <row r="761" spans="1:26" ht="13.5" customHeight="1"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row>
    <row r="762" spans="1:26" ht="13.5" customHeight="1"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row>
    <row r="763" spans="1:26" ht="13.5" customHeight="1"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row>
    <row r="764" spans="1:26" ht="13.5" customHeight="1"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row>
    <row r="765" spans="1:26" ht="13.5" customHeight="1"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row>
    <row r="766" spans="1:26" ht="13.5" customHeight="1"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row>
    <row r="767" spans="1:26" ht="13.5" customHeight="1"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row>
    <row r="768" spans="1:26" ht="13.5" customHeight="1"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row>
    <row r="769" spans="1:26" ht="13.5" customHeight="1"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row>
    <row r="770" spans="1:26" ht="13.5" customHeight="1"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row>
    <row r="771" spans="1:26" ht="13.5" customHeight="1"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row>
    <row r="772" spans="1:26" ht="13.5" customHeight="1"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row>
    <row r="773" spans="1:26" ht="13.5" customHeight="1"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row>
    <row r="774" spans="1:26" ht="13.5" customHeight="1"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row>
    <row r="775" spans="1:26" ht="13.5" customHeight="1"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row>
    <row r="776" spans="1:26" ht="13.5" customHeight="1"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row>
    <row r="777" spans="1:26" ht="13.5" customHeight="1"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row>
    <row r="778" spans="1:26" ht="13.5" customHeight="1"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row>
    <row r="779" spans="1:26" ht="13.5" customHeight="1"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row>
    <row r="780" spans="1:26" ht="13.5" customHeight="1"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row>
    <row r="781" spans="1:26" ht="13.5" customHeight="1"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row>
    <row r="782" spans="1:26" ht="13.5" customHeight="1"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row>
    <row r="783" spans="1:26" ht="13.5" customHeight="1"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row>
    <row r="784" spans="1:26" ht="13.5" customHeight="1"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row>
    <row r="785" spans="1:26" ht="13.5" customHeight="1"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row>
    <row r="786" spans="1:26" ht="13.5" customHeight="1"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row>
    <row r="787" spans="1:26" ht="13.5" customHeight="1"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row>
    <row r="788" spans="1:26" ht="13.5" customHeight="1"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row>
    <row r="789" spans="1:26" ht="13.5" customHeight="1"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row>
    <row r="790" spans="1:26" ht="13.5" customHeight="1"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row>
    <row r="791" spans="1:26" ht="13.5" customHeight="1"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row>
    <row r="792" spans="1:26" ht="13.5" customHeight="1"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row>
    <row r="793" spans="1:26" ht="13.5" customHeight="1"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row>
    <row r="794" spans="1:26" ht="13.5" customHeight="1"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row>
    <row r="795" spans="1:26" ht="13.5" customHeight="1"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row>
    <row r="796" spans="1:26" ht="13.5" customHeight="1"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row>
    <row r="797" spans="1:26" ht="13.5" customHeight="1"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row>
    <row r="798" spans="1:26" ht="13.5" customHeight="1"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row>
    <row r="799" spans="1:26" ht="13.5" customHeight="1"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row>
    <row r="800" spans="1:26" ht="13.5" customHeight="1"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row>
    <row r="801" spans="1:26" ht="13.5" customHeight="1"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row>
    <row r="802" spans="1:26" ht="13.5" customHeight="1"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row>
    <row r="803" spans="1:26" ht="13.5" customHeight="1"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row>
    <row r="804" spans="1:26" ht="13.5" customHeight="1"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row>
    <row r="805" spans="1:26" ht="13.5" customHeight="1"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row>
    <row r="806" spans="1:26" ht="13.5" customHeight="1"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row>
    <row r="807" spans="1:26" ht="13.5" customHeight="1"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row>
    <row r="808" spans="1:26" ht="13.5" customHeight="1"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row>
    <row r="809" spans="1:26" ht="13.5" customHeight="1"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row>
    <row r="810" spans="1:26" ht="13.5" customHeight="1"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row>
    <row r="811" spans="1:26" ht="13.5" customHeight="1"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row>
    <row r="812" spans="1:26" ht="13.5" customHeight="1"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row>
    <row r="813" spans="1:26" ht="13.5" customHeight="1"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row>
    <row r="814" spans="1:26" ht="13.5" customHeight="1"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row>
    <row r="815" spans="1:26" ht="13.5" customHeight="1"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row>
    <row r="816" spans="1:26" ht="13.5" customHeight="1"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row>
    <row r="817" spans="1:26" ht="13.5" customHeight="1"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row>
    <row r="818" spans="1:26" ht="13.5" customHeight="1"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row>
    <row r="819" spans="1:26" ht="13.5" customHeight="1"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row>
    <row r="820" spans="1:26" ht="13.5" customHeight="1"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row>
    <row r="821" spans="1:26" ht="13.5" customHeight="1"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row>
    <row r="822" spans="1:26" ht="13.5" customHeight="1"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row>
    <row r="823" spans="1:26" ht="13.5" customHeight="1"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row>
    <row r="824" spans="1:26" ht="13.5" customHeight="1"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row>
    <row r="825" spans="1:26" ht="13.5" customHeight="1"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row>
    <row r="826" spans="1:26" ht="13.5" customHeight="1"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row>
    <row r="827" spans="1:26" ht="13.5" customHeight="1"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row>
    <row r="828" spans="1:26" ht="13.5" customHeight="1"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row>
    <row r="829" spans="1:26" ht="13.5" customHeight="1"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row>
    <row r="830" spans="1:26" ht="13.5" customHeight="1"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row>
    <row r="831" spans="1:26" ht="13.5" customHeight="1"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row>
    <row r="832" spans="1:26" ht="13.5" customHeight="1"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row>
    <row r="833" spans="1:26" ht="13.5" customHeight="1"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row>
    <row r="834" spans="1:26" ht="13.5" customHeight="1"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row>
    <row r="835" spans="1:26" ht="13.5" customHeight="1"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row>
    <row r="836" spans="1:26" ht="13.5" customHeight="1"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row>
    <row r="837" spans="1:26" ht="13.5" customHeight="1"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row>
    <row r="838" spans="1:26" ht="13.5" customHeight="1"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row>
    <row r="839" spans="1:26" ht="13.5" customHeight="1"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row>
    <row r="840" spans="1:26" ht="13.5" customHeight="1"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row>
    <row r="841" spans="1:26" ht="13.5" customHeight="1"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row>
    <row r="842" spans="1:26" ht="13.5" customHeight="1"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row>
    <row r="843" spans="1:26" ht="13.5" customHeight="1"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row>
    <row r="844" spans="1:26" ht="13.5" customHeight="1"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row>
    <row r="845" spans="1:26" ht="13.5" customHeight="1"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row>
    <row r="846" spans="1:26" ht="13.5" customHeight="1"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row>
    <row r="847" spans="1:26" ht="13.5" customHeight="1"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row>
    <row r="848" spans="1:26" ht="13.5" customHeight="1"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row>
    <row r="849" spans="1:26" ht="13.5" customHeight="1"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row>
    <row r="850" spans="1:26" ht="13.5" customHeight="1"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row>
    <row r="851" spans="1:26" ht="13.5" customHeight="1"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row>
    <row r="852" spans="1:26" ht="13.5" customHeight="1"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row>
    <row r="853" spans="1:26" ht="13.5" customHeight="1"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row>
    <row r="854" spans="1:26" ht="13.5" customHeight="1"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row>
    <row r="855" spans="1:26" ht="13.5" customHeight="1"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row>
    <row r="856" spans="1:26" ht="13.5" customHeight="1"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row>
    <row r="857" spans="1:26" ht="13.5" customHeight="1"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row>
    <row r="858" spans="1:26" ht="13.5" customHeight="1"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row>
    <row r="859" spans="1:26" ht="13.5" customHeight="1"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row>
    <row r="860" spans="1:26" ht="13.5" customHeight="1"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row>
    <row r="861" spans="1:26" ht="13.5" customHeight="1"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row>
    <row r="862" spans="1:26" ht="13.5" customHeight="1"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row>
    <row r="863" spans="1:26" ht="13.5" customHeight="1"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row>
    <row r="864" spans="1:26" ht="13.5" customHeight="1"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row>
    <row r="865" spans="1:26" ht="13.5" customHeight="1"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row>
    <row r="866" spans="1:26" ht="13.5" customHeight="1"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row>
    <row r="867" spans="1:26" ht="13.5" customHeight="1"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row>
    <row r="868" spans="1:26" ht="13.5" customHeight="1"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row>
    <row r="869" spans="1:26" ht="13.5" customHeight="1"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row>
    <row r="870" spans="1:26" ht="13.5" customHeight="1"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row>
    <row r="871" spans="1:26" ht="13.5" customHeight="1"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row>
    <row r="872" spans="1:26" ht="13.5" customHeight="1"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row>
    <row r="873" spans="1:26" ht="13.5" customHeight="1"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row>
    <row r="874" spans="1:26" ht="13.5" customHeight="1"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row>
    <row r="875" spans="1:26" ht="13.5" customHeight="1"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row>
    <row r="876" spans="1:26" ht="13.5" customHeight="1"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row>
    <row r="877" spans="1:26" ht="13.5" customHeight="1"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row>
    <row r="878" spans="1:26" ht="13.5" customHeight="1"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row>
    <row r="879" spans="1:26" ht="13.5" customHeight="1"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row>
    <row r="880" spans="1:26" ht="13.5" customHeight="1"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row>
    <row r="881" spans="1:26" ht="13.5" customHeight="1"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row>
    <row r="882" spans="1:26" ht="13.5" customHeight="1"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row>
    <row r="883" spans="1:26" ht="13.5" customHeight="1"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row>
    <row r="884" spans="1:26" ht="13.5" customHeight="1"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row>
    <row r="885" spans="1:26" ht="13.5" customHeight="1"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row>
    <row r="886" spans="1:26" ht="13.5" customHeight="1"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row>
    <row r="887" spans="1:26" ht="13.5" customHeight="1"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row>
    <row r="888" spans="1:26" ht="13.5" customHeight="1"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row>
    <row r="889" spans="1:26" ht="13.5" customHeight="1"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row>
    <row r="890" spans="1:26" ht="13.5" customHeight="1"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row>
    <row r="891" spans="1:26" ht="13.5" customHeight="1"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row>
    <row r="892" spans="1:26" ht="13.5" customHeight="1"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row>
    <row r="893" spans="1:26" ht="13.5" customHeight="1"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row>
    <row r="894" spans="1:26" ht="13.5" customHeight="1"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row>
    <row r="895" spans="1:26" ht="13.5" customHeight="1" x14ac:dyDescent="0.35">
      <c r="A895" s="33"/>
      <c r="B895" s="33"/>
      <c r="C895" s="33"/>
      <c r="D895" s="33"/>
      <c r="E895" s="33"/>
      <c r="F895" s="33"/>
      <c r="G895" s="33"/>
      <c r="H895" s="33"/>
      <c r="I895" s="33"/>
      <c r="J895" s="33"/>
      <c r="K895" s="33"/>
      <c r="L895" s="33"/>
      <c r="M895" s="33"/>
      <c r="N895" s="33"/>
      <c r="O895" s="33"/>
      <c r="P895" s="33"/>
      <c r="Q895" s="33"/>
      <c r="R895" s="33"/>
      <c r="S895" s="33"/>
      <c r="T895" s="33"/>
      <c r="U895" s="33"/>
      <c r="V895" s="33"/>
      <c r="W895" s="33"/>
      <c r="X895" s="33"/>
      <c r="Y895" s="33"/>
      <c r="Z895" s="33"/>
    </row>
    <row r="896" spans="1:26" ht="13.5" customHeight="1" x14ac:dyDescent="0.35">
      <c r="A896" s="33"/>
      <c r="B896" s="33"/>
      <c r="C896" s="33"/>
      <c r="D896" s="33"/>
      <c r="E896" s="33"/>
      <c r="F896" s="33"/>
      <c r="G896" s="33"/>
      <c r="H896" s="33"/>
      <c r="I896" s="33"/>
      <c r="J896" s="33"/>
      <c r="K896" s="33"/>
      <c r="L896" s="33"/>
      <c r="M896" s="33"/>
      <c r="N896" s="33"/>
      <c r="O896" s="33"/>
      <c r="P896" s="33"/>
      <c r="Q896" s="33"/>
      <c r="R896" s="33"/>
      <c r="S896" s="33"/>
      <c r="T896" s="33"/>
      <c r="U896" s="33"/>
      <c r="V896" s="33"/>
      <c r="W896" s="33"/>
      <c r="X896" s="33"/>
      <c r="Y896" s="33"/>
      <c r="Z896" s="33"/>
    </row>
    <row r="897" spans="1:26" ht="13.5" customHeight="1" x14ac:dyDescent="0.35">
      <c r="A897" s="33"/>
      <c r="B897" s="33"/>
      <c r="C897" s="33"/>
      <c r="D897" s="33"/>
      <c r="E897" s="33"/>
      <c r="F897" s="33"/>
      <c r="G897" s="33"/>
      <c r="H897" s="33"/>
      <c r="I897" s="33"/>
      <c r="J897" s="33"/>
      <c r="K897" s="33"/>
      <c r="L897" s="33"/>
      <c r="M897" s="33"/>
      <c r="N897" s="33"/>
      <c r="O897" s="33"/>
      <c r="P897" s="33"/>
      <c r="Q897" s="33"/>
      <c r="R897" s="33"/>
      <c r="S897" s="33"/>
      <c r="T897" s="33"/>
      <c r="U897" s="33"/>
      <c r="V897" s="33"/>
      <c r="W897" s="33"/>
      <c r="X897" s="33"/>
      <c r="Y897" s="33"/>
      <c r="Z897" s="33"/>
    </row>
    <row r="898" spans="1:26" ht="13.5" customHeight="1" x14ac:dyDescent="0.35">
      <c r="A898" s="33"/>
      <c r="B898" s="33"/>
      <c r="C898" s="33"/>
      <c r="D898" s="33"/>
      <c r="E898" s="33"/>
      <c r="F898" s="33"/>
      <c r="G898" s="33"/>
      <c r="H898" s="33"/>
      <c r="I898" s="33"/>
      <c r="J898" s="33"/>
      <c r="K898" s="33"/>
      <c r="L898" s="33"/>
      <c r="M898" s="33"/>
      <c r="N898" s="33"/>
      <c r="O898" s="33"/>
      <c r="P898" s="33"/>
      <c r="Q898" s="33"/>
      <c r="R898" s="33"/>
      <c r="S898" s="33"/>
      <c r="T898" s="33"/>
      <c r="U898" s="33"/>
      <c r="V898" s="33"/>
      <c r="W898" s="33"/>
      <c r="X898" s="33"/>
      <c r="Y898" s="33"/>
      <c r="Z898" s="33"/>
    </row>
    <row r="899" spans="1:26" ht="13.5" customHeight="1" x14ac:dyDescent="0.35">
      <c r="A899" s="33"/>
      <c r="B899" s="33"/>
      <c r="C899" s="33"/>
      <c r="D899" s="33"/>
      <c r="E899" s="33"/>
      <c r="F899" s="33"/>
      <c r="G899" s="33"/>
      <c r="H899" s="33"/>
      <c r="I899" s="33"/>
      <c r="J899" s="33"/>
      <c r="K899" s="33"/>
      <c r="L899" s="33"/>
      <c r="M899" s="33"/>
      <c r="N899" s="33"/>
      <c r="O899" s="33"/>
      <c r="P899" s="33"/>
      <c r="Q899" s="33"/>
      <c r="R899" s="33"/>
      <c r="S899" s="33"/>
      <c r="T899" s="33"/>
      <c r="U899" s="33"/>
      <c r="V899" s="33"/>
      <c r="W899" s="33"/>
      <c r="X899" s="33"/>
      <c r="Y899" s="33"/>
      <c r="Z899" s="33"/>
    </row>
    <row r="900" spans="1:26" ht="13.5" customHeight="1" x14ac:dyDescent="0.35">
      <c r="A900" s="33"/>
      <c r="B900" s="33"/>
      <c r="C900" s="33"/>
      <c r="D900" s="33"/>
      <c r="E900" s="33"/>
      <c r="F900" s="33"/>
      <c r="G900" s="33"/>
      <c r="H900" s="33"/>
      <c r="I900" s="33"/>
      <c r="J900" s="33"/>
      <c r="K900" s="33"/>
      <c r="L900" s="33"/>
      <c r="M900" s="33"/>
      <c r="N900" s="33"/>
      <c r="O900" s="33"/>
      <c r="P900" s="33"/>
      <c r="Q900" s="33"/>
      <c r="R900" s="33"/>
      <c r="S900" s="33"/>
      <c r="T900" s="33"/>
      <c r="U900" s="33"/>
      <c r="V900" s="33"/>
      <c r="W900" s="33"/>
      <c r="X900" s="33"/>
      <c r="Y900" s="33"/>
      <c r="Z900" s="33"/>
    </row>
    <row r="901" spans="1:26" ht="13.5" customHeight="1" x14ac:dyDescent="0.35">
      <c r="A901" s="33"/>
      <c r="B901" s="33"/>
      <c r="C901" s="33"/>
      <c r="D901" s="33"/>
      <c r="E901" s="33"/>
      <c r="F901" s="33"/>
      <c r="G901" s="33"/>
      <c r="H901" s="33"/>
      <c r="I901" s="33"/>
      <c r="J901" s="33"/>
      <c r="K901" s="33"/>
      <c r="L901" s="33"/>
      <c r="M901" s="33"/>
      <c r="N901" s="33"/>
      <c r="O901" s="33"/>
      <c r="P901" s="33"/>
      <c r="Q901" s="33"/>
      <c r="R901" s="33"/>
      <c r="S901" s="33"/>
      <c r="T901" s="33"/>
      <c r="U901" s="33"/>
      <c r="V901" s="33"/>
      <c r="W901" s="33"/>
      <c r="X901" s="33"/>
      <c r="Y901" s="33"/>
      <c r="Z901" s="33"/>
    </row>
    <row r="902" spans="1:26" ht="13.5" customHeight="1" x14ac:dyDescent="0.35">
      <c r="A902" s="33"/>
      <c r="B902" s="33"/>
      <c r="C902" s="33"/>
      <c r="D902" s="33"/>
      <c r="E902" s="33"/>
      <c r="F902" s="33"/>
      <c r="G902" s="33"/>
      <c r="H902" s="33"/>
      <c r="I902" s="33"/>
      <c r="J902" s="33"/>
      <c r="K902" s="33"/>
      <c r="L902" s="33"/>
      <c r="M902" s="33"/>
      <c r="N902" s="33"/>
      <c r="O902" s="33"/>
      <c r="P902" s="33"/>
      <c r="Q902" s="33"/>
      <c r="R902" s="33"/>
      <c r="S902" s="33"/>
      <c r="T902" s="33"/>
      <c r="U902" s="33"/>
      <c r="V902" s="33"/>
      <c r="W902" s="33"/>
      <c r="X902" s="33"/>
      <c r="Y902" s="33"/>
      <c r="Z902" s="33"/>
    </row>
    <row r="903" spans="1:26" ht="13.5" customHeight="1" x14ac:dyDescent="0.35">
      <c r="A903" s="33"/>
      <c r="B903" s="33"/>
      <c r="C903" s="33"/>
      <c r="D903" s="33"/>
      <c r="E903" s="33"/>
      <c r="F903" s="33"/>
      <c r="G903" s="33"/>
      <c r="H903" s="33"/>
      <c r="I903" s="33"/>
      <c r="J903" s="33"/>
      <c r="K903" s="33"/>
      <c r="L903" s="33"/>
      <c r="M903" s="33"/>
      <c r="N903" s="33"/>
      <c r="O903" s="33"/>
      <c r="P903" s="33"/>
      <c r="Q903" s="33"/>
      <c r="R903" s="33"/>
      <c r="S903" s="33"/>
      <c r="T903" s="33"/>
      <c r="U903" s="33"/>
      <c r="V903" s="33"/>
      <c r="W903" s="33"/>
      <c r="X903" s="33"/>
      <c r="Y903" s="33"/>
      <c r="Z903" s="33"/>
    </row>
    <row r="904" spans="1:26" ht="13.5" customHeight="1" x14ac:dyDescent="0.35">
      <c r="A904" s="33"/>
      <c r="B904" s="33"/>
      <c r="C904" s="33"/>
      <c r="D904" s="33"/>
      <c r="E904" s="33"/>
      <c r="F904" s="33"/>
      <c r="G904" s="33"/>
      <c r="H904" s="33"/>
      <c r="I904" s="33"/>
      <c r="J904" s="33"/>
      <c r="K904" s="33"/>
      <c r="L904" s="33"/>
      <c r="M904" s="33"/>
      <c r="N904" s="33"/>
      <c r="O904" s="33"/>
      <c r="P904" s="33"/>
      <c r="Q904" s="33"/>
      <c r="R904" s="33"/>
      <c r="S904" s="33"/>
      <c r="T904" s="33"/>
      <c r="U904" s="33"/>
      <c r="V904" s="33"/>
      <c r="W904" s="33"/>
      <c r="X904" s="33"/>
      <c r="Y904" s="33"/>
      <c r="Z904" s="33"/>
    </row>
    <row r="905" spans="1:26" ht="13.5" customHeight="1" x14ac:dyDescent="0.35">
      <c r="A905" s="33"/>
      <c r="B905" s="33"/>
      <c r="C905" s="33"/>
      <c r="D905" s="33"/>
      <c r="E905" s="33"/>
      <c r="F905" s="33"/>
      <c r="G905" s="33"/>
      <c r="H905" s="33"/>
      <c r="I905" s="33"/>
      <c r="J905" s="33"/>
      <c r="K905" s="33"/>
      <c r="L905" s="33"/>
      <c r="M905" s="33"/>
      <c r="N905" s="33"/>
      <c r="O905" s="33"/>
      <c r="P905" s="33"/>
      <c r="Q905" s="33"/>
      <c r="R905" s="33"/>
      <c r="S905" s="33"/>
      <c r="T905" s="33"/>
      <c r="U905" s="33"/>
      <c r="V905" s="33"/>
      <c r="W905" s="33"/>
      <c r="X905" s="33"/>
      <c r="Y905" s="33"/>
      <c r="Z905" s="33"/>
    </row>
    <row r="906" spans="1:26" ht="13.5" customHeight="1" x14ac:dyDescent="0.35">
      <c r="A906" s="33"/>
      <c r="B906" s="33"/>
      <c r="C906" s="33"/>
      <c r="D906" s="33"/>
      <c r="E906" s="33"/>
      <c r="F906" s="33"/>
      <c r="G906" s="33"/>
      <c r="H906" s="33"/>
      <c r="I906" s="33"/>
      <c r="J906" s="33"/>
      <c r="K906" s="33"/>
      <c r="L906" s="33"/>
      <c r="M906" s="33"/>
      <c r="N906" s="33"/>
      <c r="O906" s="33"/>
      <c r="P906" s="33"/>
      <c r="Q906" s="33"/>
      <c r="R906" s="33"/>
      <c r="S906" s="33"/>
      <c r="T906" s="33"/>
      <c r="U906" s="33"/>
      <c r="V906" s="33"/>
      <c r="W906" s="33"/>
      <c r="X906" s="33"/>
      <c r="Y906" s="33"/>
      <c r="Z906" s="33"/>
    </row>
    <row r="907" spans="1:26" ht="13.5" customHeight="1" x14ac:dyDescent="0.35">
      <c r="A907" s="33"/>
      <c r="B907" s="33"/>
      <c r="C907" s="33"/>
      <c r="D907" s="33"/>
      <c r="E907" s="33"/>
      <c r="F907" s="33"/>
      <c r="G907" s="33"/>
      <c r="H907" s="33"/>
      <c r="I907" s="33"/>
      <c r="J907" s="33"/>
      <c r="K907" s="33"/>
      <c r="L907" s="33"/>
      <c r="M907" s="33"/>
      <c r="N907" s="33"/>
      <c r="O907" s="33"/>
      <c r="P907" s="33"/>
      <c r="Q907" s="33"/>
      <c r="R907" s="33"/>
      <c r="S907" s="33"/>
      <c r="T907" s="33"/>
      <c r="U907" s="33"/>
      <c r="V907" s="33"/>
      <c r="W907" s="33"/>
      <c r="X907" s="33"/>
      <c r="Y907" s="33"/>
      <c r="Z907" s="33"/>
    </row>
    <row r="908" spans="1:26" ht="13.5" customHeight="1" x14ac:dyDescent="0.35">
      <c r="A908" s="33"/>
      <c r="B908" s="33"/>
      <c r="C908" s="33"/>
      <c r="D908" s="33"/>
      <c r="E908" s="33"/>
      <c r="F908" s="33"/>
      <c r="G908" s="33"/>
      <c r="H908" s="33"/>
      <c r="I908" s="33"/>
      <c r="J908" s="33"/>
      <c r="K908" s="33"/>
      <c r="L908" s="33"/>
      <c r="M908" s="33"/>
      <c r="N908" s="33"/>
      <c r="O908" s="33"/>
      <c r="P908" s="33"/>
      <c r="Q908" s="33"/>
      <c r="R908" s="33"/>
      <c r="S908" s="33"/>
      <c r="T908" s="33"/>
      <c r="U908" s="33"/>
      <c r="V908" s="33"/>
      <c r="W908" s="33"/>
      <c r="X908" s="33"/>
      <c r="Y908" s="33"/>
      <c r="Z908" s="33"/>
    </row>
    <row r="909" spans="1:26" ht="13.5" customHeight="1" x14ac:dyDescent="0.35">
      <c r="A909" s="33"/>
      <c r="B909" s="33"/>
      <c r="C909" s="33"/>
      <c r="D909" s="33"/>
      <c r="E909" s="33"/>
      <c r="F909" s="33"/>
      <c r="G909" s="33"/>
      <c r="H909" s="33"/>
      <c r="I909" s="33"/>
      <c r="J909" s="33"/>
      <c r="K909" s="33"/>
      <c r="L909" s="33"/>
      <c r="M909" s="33"/>
      <c r="N909" s="33"/>
      <c r="O909" s="33"/>
      <c r="P909" s="33"/>
      <c r="Q909" s="33"/>
      <c r="R909" s="33"/>
      <c r="S909" s="33"/>
      <c r="T909" s="33"/>
      <c r="U909" s="33"/>
      <c r="V909" s="33"/>
      <c r="W909" s="33"/>
      <c r="X909" s="33"/>
      <c r="Y909" s="33"/>
      <c r="Z909" s="33"/>
    </row>
    <row r="910" spans="1:26" ht="13.5" customHeight="1" x14ac:dyDescent="0.35">
      <c r="A910" s="33"/>
      <c r="B910" s="33"/>
      <c r="C910" s="33"/>
      <c r="D910" s="33"/>
      <c r="E910" s="33"/>
      <c r="F910" s="33"/>
      <c r="G910" s="33"/>
      <c r="H910" s="33"/>
      <c r="I910" s="33"/>
      <c r="J910" s="33"/>
      <c r="K910" s="33"/>
      <c r="L910" s="33"/>
      <c r="M910" s="33"/>
      <c r="N910" s="33"/>
      <c r="O910" s="33"/>
      <c r="P910" s="33"/>
      <c r="Q910" s="33"/>
      <c r="R910" s="33"/>
      <c r="S910" s="33"/>
      <c r="T910" s="33"/>
      <c r="U910" s="33"/>
      <c r="V910" s="33"/>
      <c r="W910" s="33"/>
      <c r="X910" s="33"/>
      <c r="Y910" s="33"/>
      <c r="Z910" s="33"/>
    </row>
    <row r="911" spans="1:26" ht="13.5" customHeight="1" x14ac:dyDescent="0.35">
      <c r="A911" s="33"/>
      <c r="B911" s="33"/>
      <c r="C911" s="33"/>
      <c r="D911" s="33"/>
      <c r="E911" s="33"/>
      <c r="F911" s="33"/>
      <c r="G911" s="33"/>
      <c r="H911" s="33"/>
      <c r="I911" s="33"/>
      <c r="J911" s="33"/>
      <c r="K911" s="33"/>
      <c r="L911" s="33"/>
      <c r="M911" s="33"/>
      <c r="N911" s="33"/>
      <c r="O911" s="33"/>
      <c r="P911" s="33"/>
      <c r="Q911" s="33"/>
      <c r="R911" s="33"/>
      <c r="S911" s="33"/>
      <c r="T911" s="33"/>
      <c r="U911" s="33"/>
      <c r="V911" s="33"/>
      <c r="W911" s="33"/>
      <c r="X911" s="33"/>
      <c r="Y911" s="33"/>
      <c r="Z911" s="33"/>
    </row>
    <row r="912" spans="1:26" ht="13.5" customHeight="1" x14ac:dyDescent="0.35">
      <c r="A912" s="33"/>
      <c r="B912" s="33"/>
      <c r="C912" s="33"/>
      <c r="D912" s="33"/>
      <c r="E912" s="33"/>
      <c r="F912" s="33"/>
      <c r="G912" s="33"/>
      <c r="H912" s="33"/>
      <c r="I912" s="33"/>
      <c r="J912" s="33"/>
      <c r="K912" s="33"/>
      <c r="L912" s="33"/>
      <c r="M912" s="33"/>
      <c r="N912" s="33"/>
      <c r="O912" s="33"/>
      <c r="P912" s="33"/>
      <c r="Q912" s="33"/>
      <c r="R912" s="33"/>
      <c r="S912" s="33"/>
      <c r="T912" s="33"/>
      <c r="U912" s="33"/>
      <c r="V912" s="33"/>
      <c r="W912" s="33"/>
      <c r="X912" s="33"/>
      <c r="Y912" s="33"/>
      <c r="Z912" s="33"/>
    </row>
    <row r="913" spans="1:26" ht="13.5" customHeight="1" x14ac:dyDescent="0.35">
      <c r="A913" s="33"/>
      <c r="B913" s="33"/>
      <c r="C913" s="33"/>
      <c r="D913" s="33"/>
      <c r="E913" s="33"/>
      <c r="F913" s="33"/>
      <c r="G913" s="33"/>
      <c r="H913" s="33"/>
      <c r="I913" s="33"/>
      <c r="J913" s="33"/>
      <c r="K913" s="33"/>
      <c r="L913" s="33"/>
      <c r="M913" s="33"/>
      <c r="N913" s="33"/>
      <c r="O913" s="33"/>
      <c r="P913" s="33"/>
      <c r="Q913" s="33"/>
      <c r="R913" s="33"/>
      <c r="S913" s="33"/>
      <c r="T913" s="33"/>
      <c r="U913" s="33"/>
      <c r="V913" s="33"/>
      <c r="W913" s="33"/>
      <c r="X913" s="33"/>
      <c r="Y913" s="33"/>
      <c r="Z913" s="33"/>
    </row>
    <row r="914" spans="1:26" ht="13.5" customHeight="1" x14ac:dyDescent="0.35">
      <c r="A914" s="33"/>
      <c r="B914" s="33"/>
      <c r="C914" s="33"/>
      <c r="D914" s="33"/>
      <c r="E914" s="33"/>
      <c r="F914" s="33"/>
      <c r="G914" s="33"/>
      <c r="H914" s="33"/>
      <c r="I914" s="33"/>
      <c r="J914" s="33"/>
      <c r="K914" s="33"/>
      <c r="L914" s="33"/>
      <c r="M914" s="33"/>
      <c r="N914" s="33"/>
      <c r="O914" s="33"/>
      <c r="P914" s="33"/>
      <c r="Q914" s="33"/>
      <c r="R914" s="33"/>
      <c r="S914" s="33"/>
      <c r="T914" s="33"/>
      <c r="U914" s="33"/>
      <c r="V914" s="33"/>
      <c r="W914" s="33"/>
      <c r="X914" s="33"/>
      <c r="Y914" s="33"/>
      <c r="Z914" s="33"/>
    </row>
    <row r="915" spans="1:26" ht="13.5" customHeight="1" x14ac:dyDescent="0.35">
      <c r="A915" s="33"/>
      <c r="B915" s="33"/>
      <c r="C915" s="33"/>
      <c r="D915" s="33"/>
      <c r="E915" s="33"/>
      <c r="F915" s="33"/>
      <c r="G915" s="33"/>
      <c r="H915" s="33"/>
      <c r="I915" s="33"/>
      <c r="J915" s="33"/>
      <c r="K915" s="33"/>
      <c r="L915" s="33"/>
      <c r="M915" s="33"/>
      <c r="N915" s="33"/>
      <c r="O915" s="33"/>
      <c r="P915" s="33"/>
      <c r="Q915" s="33"/>
      <c r="R915" s="33"/>
      <c r="S915" s="33"/>
      <c r="T915" s="33"/>
      <c r="U915" s="33"/>
      <c r="V915" s="33"/>
      <c r="W915" s="33"/>
      <c r="X915" s="33"/>
      <c r="Y915" s="33"/>
      <c r="Z915" s="33"/>
    </row>
    <row r="916" spans="1:26" ht="13.5" customHeight="1" x14ac:dyDescent="0.35">
      <c r="A916" s="33"/>
      <c r="B916" s="33"/>
      <c r="C916" s="33"/>
      <c r="D916" s="33"/>
      <c r="E916" s="33"/>
      <c r="F916" s="33"/>
      <c r="G916" s="33"/>
      <c r="H916" s="33"/>
      <c r="I916" s="33"/>
      <c r="J916" s="33"/>
      <c r="K916" s="33"/>
      <c r="L916" s="33"/>
      <c r="M916" s="33"/>
      <c r="N916" s="33"/>
      <c r="O916" s="33"/>
      <c r="P916" s="33"/>
      <c r="Q916" s="33"/>
      <c r="R916" s="33"/>
      <c r="S916" s="33"/>
      <c r="T916" s="33"/>
      <c r="U916" s="33"/>
      <c r="V916" s="33"/>
      <c r="W916" s="33"/>
      <c r="X916" s="33"/>
      <c r="Y916" s="33"/>
      <c r="Z916" s="33"/>
    </row>
    <row r="917" spans="1:26" ht="13.5" customHeight="1" x14ac:dyDescent="0.35">
      <c r="A917" s="33"/>
      <c r="B917" s="33"/>
      <c r="C917" s="33"/>
      <c r="D917" s="33"/>
      <c r="E917" s="33"/>
      <c r="F917" s="33"/>
      <c r="G917" s="33"/>
      <c r="H917" s="33"/>
      <c r="I917" s="33"/>
      <c r="J917" s="33"/>
      <c r="K917" s="33"/>
      <c r="L917" s="33"/>
      <c r="M917" s="33"/>
      <c r="N917" s="33"/>
      <c r="O917" s="33"/>
      <c r="P917" s="33"/>
      <c r="Q917" s="33"/>
      <c r="R917" s="33"/>
      <c r="S917" s="33"/>
      <c r="T917" s="33"/>
      <c r="U917" s="33"/>
      <c r="V917" s="33"/>
      <c r="W917" s="33"/>
      <c r="X917" s="33"/>
      <c r="Y917" s="33"/>
      <c r="Z917" s="33"/>
    </row>
    <row r="918" spans="1:26" ht="13.5" customHeight="1" x14ac:dyDescent="0.35">
      <c r="A918" s="33"/>
      <c r="B918" s="33"/>
      <c r="C918" s="33"/>
      <c r="D918" s="33"/>
      <c r="E918" s="33"/>
      <c r="F918" s="33"/>
      <c r="G918" s="33"/>
      <c r="H918" s="33"/>
      <c r="I918" s="33"/>
      <c r="J918" s="33"/>
      <c r="K918" s="33"/>
      <c r="L918" s="33"/>
      <c r="M918" s="33"/>
      <c r="N918" s="33"/>
      <c r="O918" s="33"/>
      <c r="P918" s="33"/>
      <c r="Q918" s="33"/>
      <c r="R918" s="33"/>
      <c r="S918" s="33"/>
      <c r="T918" s="33"/>
      <c r="U918" s="33"/>
      <c r="V918" s="33"/>
      <c r="W918" s="33"/>
      <c r="X918" s="33"/>
      <c r="Y918" s="33"/>
      <c r="Z918" s="33"/>
    </row>
    <row r="919" spans="1:26" ht="13.5" customHeight="1" x14ac:dyDescent="0.35">
      <c r="A919" s="33"/>
      <c r="B919" s="33"/>
      <c r="C919" s="33"/>
      <c r="D919" s="33"/>
      <c r="E919" s="33"/>
      <c r="F919" s="33"/>
      <c r="G919" s="33"/>
      <c r="H919" s="33"/>
      <c r="I919" s="33"/>
      <c r="J919" s="33"/>
      <c r="K919" s="33"/>
      <c r="L919" s="33"/>
      <c r="M919" s="33"/>
      <c r="N919" s="33"/>
      <c r="O919" s="33"/>
      <c r="P919" s="33"/>
      <c r="Q919" s="33"/>
      <c r="R919" s="33"/>
      <c r="S919" s="33"/>
      <c r="T919" s="33"/>
      <c r="U919" s="33"/>
      <c r="V919" s="33"/>
      <c r="W919" s="33"/>
      <c r="X919" s="33"/>
      <c r="Y919" s="33"/>
      <c r="Z919" s="33"/>
    </row>
    <row r="920" spans="1:26" ht="13.5" customHeight="1" x14ac:dyDescent="0.35">
      <c r="A920" s="33"/>
      <c r="B920" s="33"/>
      <c r="C920" s="33"/>
      <c r="D920" s="33"/>
      <c r="E920" s="33"/>
      <c r="F920" s="33"/>
      <c r="G920" s="33"/>
      <c r="H920" s="33"/>
      <c r="I920" s="33"/>
      <c r="J920" s="33"/>
      <c r="K920" s="33"/>
      <c r="L920" s="33"/>
      <c r="M920" s="33"/>
      <c r="N920" s="33"/>
      <c r="O920" s="33"/>
      <c r="P920" s="33"/>
      <c r="Q920" s="33"/>
      <c r="R920" s="33"/>
      <c r="S920" s="33"/>
      <c r="T920" s="33"/>
      <c r="U920" s="33"/>
      <c r="V920" s="33"/>
      <c r="W920" s="33"/>
      <c r="X920" s="33"/>
      <c r="Y920" s="33"/>
      <c r="Z920" s="33"/>
    </row>
    <row r="921" spans="1:26" ht="13.5" customHeight="1" x14ac:dyDescent="0.35">
      <c r="A921" s="33"/>
      <c r="B921" s="33"/>
      <c r="C921" s="33"/>
      <c r="D921" s="33"/>
      <c r="E921" s="33"/>
      <c r="F921" s="33"/>
      <c r="G921" s="33"/>
      <c r="H921" s="33"/>
      <c r="I921" s="33"/>
      <c r="J921" s="33"/>
      <c r="K921" s="33"/>
      <c r="L921" s="33"/>
      <c r="M921" s="33"/>
      <c r="N921" s="33"/>
      <c r="O921" s="33"/>
      <c r="P921" s="33"/>
      <c r="Q921" s="33"/>
      <c r="R921" s="33"/>
      <c r="S921" s="33"/>
      <c r="T921" s="33"/>
      <c r="U921" s="33"/>
      <c r="V921" s="33"/>
      <c r="W921" s="33"/>
      <c r="X921" s="33"/>
      <c r="Y921" s="33"/>
      <c r="Z921" s="33"/>
    </row>
    <row r="922" spans="1:26" ht="13.5" customHeight="1" x14ac:dyDescent="0.35">
      <c r="A922" s="33"/>
      <c r="B922" s="33"/>
      <c r="C922" s="33"/>
      <c r="D922" s="33"/>
      <c r="E922" s="33"/>
      <c r="F922" s="33"/>
      <c r="G922" s="33"/>
      <c r="H922" s="33"/>
      <c r="I922" s="33"/>
      <c r="J922" s="33"/>
      <c r="K922" s="33"/>
      <c r="L922" s="33"/>
      <c r="M922" s="33"/>
      <c r="N922" s="33"/>
      <c r="O922" s="33"/>
      <c r="P922" s="33"/>
      <c r="Q922" s="33"/>
      <c r="R922" s="33"/>
      <c r="S922" s="33"/>
      <c r="T922" s="33"/>
      <c r="U922" s="33"/>
      <c r="V922" s="33"/>
      <c r="W922" s="33"/>
      <c r="X922" s="33"/>
      <c r="Y922" s="33"/>
      <c r="Z922" s="33"/>
    </row>
    <row r="923" spans="1:26" ht="13.5" customHeight="1" x14ac:dyDescent="0.35">
      <c r="A923" s="33"/>
      <c r="B923" s="33"/>
      <c r="C923" s="33"/>
      <c r="D923" s="33"/>
      <c r="E923" s="33"/>
      <c r="F923" s="33"/>
      <c r="G923" s="33"/>
      <c r="H923" s="33"/>
      <c r="I923" s="33"/>
      <c r="J923" s="33"/>
      <c r="K923" s="33"/>
      <c r="L923" s="33"/>
      <c r="M923" s="33"/>
      <c r="N923" s="33"/>
      <c r="O923" s="33"/>
      <c r="P923" s="33"/>
      <c r="Q923" s="33"/>
      <c r="R923" s="33"/>
      <c r="S923" s="33"/>
      <c r="T923" s="33"/>
      <c r="U923" s="33"/>
      <c r="V923" s="33"/>
      <c r="W923" s="33"/>
      <c r="X923" s="33"/>
      <c r="Y923" s="33"/>
      <c r="Z923" s="33"/>
    </row>
    <row r="924" spans="1:26" ht="13.5" customHeight="1" x14ac:dyDescent="0.35">
      <c r="A924" s="33"/>
      <c r="B924" s="33"/>
      <c r="C924" s="33"/>
      <c r="D924" s="33"/>
      <c r="E924" s="33"/>
      <c r="F924" s="33"/>
      <c r="G924" s="33"/>
      <c r="H924" s="33"/>
      <c r="I924" s="33"/>
      <c r="J924" s="33"/>
      <c r="K924" s="33"/>
      <c r="L924" s="33"/>
      <c r="M924" s="33"/>
      <c r="N924" s="33"/>
      <c r="O924" s="33"/>
      <c r="P924" s="33"/>
      <c r="Q924" s="33"/>
      <c r="R924" s="33"/>
      <c r="S924" s="33"/>
      <c r="T924" s="33"/>
      <c r="U924" s="33"/>
      <c r="V924" s="33"/>
      <c r="W924" s="33"/>
      <c r="X924" s="33"/>
      <c r="Y924" s="33"/>
      <c r="Z924" s="33"/>
    </row>
    <row r="925" spans="1:26" ht="13.5" customHeight="1" x14ac:dyDescent="0.35">
      <c r="A925" s="33"/>
      <c r="B925" s="33"/>
      <c r="C925" s="33"/>
      <c r="D925" s="33"/>
      <c r="E925" s="33"/>
      <c r="F925" s="33"/>
      <c r="G925" s="33"/>
      <c r="H925" s="33"/>
      <c r="I925" s="33"/>
      <c r="J925" s="33"/>
      <c r="K925" s="33"/>
      <c r="L925" s="33"/>
      <c r="M925" s="33"/>
      <c r="N925" s="33"/>
      <c r="O925" s="33"/>
      <c r="P925" s="33"/>
      <c r="Q925" s="33"/>
      <c r="R925" s="33"/>
      <c r="S925" s="33"/>
      <c r="T925" s="33"/>
      <c r="U925" s="33"/>
      <c r="V925" s="33"/>
      <c r="W925" s="33"/>
      <c r="X925" s="33"/>
      <c r="Y925" s="33"/>
      <c r="Z925" s="33"/>
    </row>
    <row r="926" spans="1:26" ht="13.5" customHeight="1" x14ac:dyDescent="0.35">
      <c r="A926" s="33"/>
      <c r="B926" s="33"/>
      <c r="C926" s="33"/>
      <c r="D926" s="33"/>
      <c r="E926" s="33"/>
      <c r="F926" s="33"/>
      <c r="G926" s="33"/>
      <c r="H926" s="33"/>
      <c r="I926" s="33"/>
      <c r="J926" s="33"/>
      <c r="K926" s="33"/>
      <c r="L926" s="33"/>
      <c r="M926" s="33"/>
      <c r="N926" s="33"/>
      <c r="O926" s="33"/>
      <c r="P926" s="33"/>
      <c r="Q926" s="33"/>
      <c r="R926" s="33"/>
      <c r="S926" s="33"/>
      <c r="T926" s="33"/>
      <c r="U926" s="33"/>
      <c r="V926" s="33"/>
      <c r="W926" s="33"/>
      <c r="X926" s="33"/>
      <c r="Y926" s="33"/>
      <c r="Z926" s="33"/>
    </row>
    <row r="927" spans="1:26" ht="13.5" customHeight="1" x14ac:dyDescent="0.35">
      <c r="A927" s="33"/>
      <c r="B927" s="33"/>
      <c r="C927" s="33"/>
      <c r="D927" s="33"/>
      <c r="E927" s="33"/>
      <c r="F927" s="33"/>
      <c r="G927" s="33"/>
      <c r="H927" s="33"/>
      <c r="I927" s="33"/>
      <c r="J927" s="33"/>
      <c r="K927" s="33"/>
      <c r="L927" s="33"/>
      <c r="M927" s="33"/>
      <c r="N927" s="33"/>
      <c r="O927" s="33"/>
      <c r="P927" s="33"/>
      <c r="Q927" s="33"/>
      <c r="R927" s="33"/>
      <c r="S927" s="33"/>
      <c r="T927" s="33"/>
      <c r="U927" s="33"/>
      <c r="V927" s="33"/>
      <c r="W927" s="33"/>
      <c r="X927" s="33"/>
      <c r="Y927" s="33"/>
      <c r="Z927" s="33"/>
    </row>
    <row r="928" spans="1:26" ht="13.5" customHeight="1" x14ac:dyDescent="0.35">
      <c r="A928" s="33"/>
      <c r="B928" s="33"/>
      <c r="C928" s="33"/>
      <c r="D928" s="33"/>
      <c r="E928" s="33"/>
      <c r="F928" s="33"/>
      <c r="G928" s="33"/>
      <c r="H928" s="33"/>
      <c r="I928" s="33"/>
      <c r="J928" s="33"/>
      <c r="K928" s="33"/>
      <c r="L928" s="33"/>
      <c r="M928" s="33"/>
      <c r="N928" s="33"/>
      <c r="O928" s="33"/>
      <c r="P928" s="33"/>
      <c r="Q928" s="33"/>
      <c r="R928" s="33"/>
      <c r="S928" s="33"/>
      <c r="T928" s="33"/>
      <c r="U928" s="33"/>
      <c r="V928" s="33"/>
      <c r="W928" s="33"/>
      <c r="X928" s="33"/>
      <c r="Y928" s="33"/>
      <c r="Z928" s="33"/>
    </row>
    <row r="929" spans="1:26" ht="13.5" customHeight="1" x14ac:dyDescent="0.35">
      <c r="A929" s="33"/>
      <c r="B929" s="33"/>
      <c r="C929" s="33"/>
      <c r="D929" s="33"/>
      <c r="E929" s="33"/>
      <c r="F929" s="33"/>
      <c r="G929" s="33"/>
      <c r="H929" s="33"/>
      <c r="I929" s="33"/>
      <c r="J929" s="33"/>
      <c r="K929" s="33"/>
      <c r="L929" s="33"/>
      <c r="M929" s="33"/>
      <c r="N929" s="33"/>
      <c r="O929" s="33"/>
      <c r="P929" s="33"/>
      <c r="Q929" s="33"/>
      <c r="R929" s="33"/>
      <c r="S929" s="33"/>
      <c r="T929" s="33"/>
      <c r="U929" s="33"/>
      <c r="V929" s="33"/>
      <c r="W929" s="33"/>
      <c r="X929" s="33"/>
      <c r="Y929" s="33"/>
      <c r="Z929" s="33"/>
    </row>
    <row r="930" spans="1:26" ht="13.5" customHeight="1" x14ac:dyDescent="0.35">
      <c r="A930" s="33"/>
      <c r="B930" s="33"/>
      <c r="C930" s="33"/>
      <c r="D930" s="33"/>
      <c r="E930" s="33"/>
      <c r="F930" s="33"/>
      <c r="G930" s="33"/>
      <c r="H930" s="33"/>
      <c r="I930" s="33"/>
      <c r="J930" s="33"/>
      <c r="K930" s="33"/>
      <c r="L930" s="33"/>
      <c r="M930" s="33"/>
      <c r="N930" s="33"/>
      <c r="O930" s="33"/>
      <c r="P930" s="33"/>
      <c r="Q930" s="33"/>
      <c r="R930" s="33"/>
      <c r="S930" s="33"/>
      <c r="T930" s="33"/>
      <c r="U930" s="33"/>
      <c r="V930" s="33"/>
      <c r="W930" s="33"/>
      <c r="X930" s="33"/>
      <c r="Y930" s="33"/>
      <c r="Z930" s="33"/>
    </row>
    <row r="931" spans="1:26" ht="13.5" customHeight="1" x14ac:dyDescent="0.35">
      <c r="A931" s="33"/>
      <c r="B931" s="33"/>
      <c r="C931" s="33"/>
      <c r="D931" s="33"/>
      <c r="E931" s="33"/>
      <c r="F931" s="33"/>
      <c r="G931" s="33"/>
      <c r="H931" s="33"/>
      <c r="I931" s="33"/>
      <c r="J931" s="33"/>
      <c r="K931" s="33"/>
      <c r="L931" s="33"/>
      <c r="M931" s="33"/>
      <c r="N931" s="33"/>
      <c r="O931" s="33"/>
      <c r="P931" s="33"/>
      <c r="Q931" s="33"/>
      <c r="R931" s="33"/>
      <c r="S931" s="33"/>
      <c r="T931" s="33"/>
      <c r="U931" s="33"/>
      <c r="V931" s="33"/>
      <c r="W931" s="33"/>
      <c r="X931" s="33"/>
      <c r="Y931" s="33"/>
      <c r="Z931" s="33"/>
    </row>
    <row r="932" spans="1:26" ht="13.5" customHeight="1" x14ac:dyDescent="0.35">
      <c r="A932" s="33"/>
      <c r="B932" s="33"/>
      <c r="C932" s="33"/>
      <c r="D932" s="33"/>
      <c r="E932" s="33"/>
      <c r="F932" s="33"/>
      <c r="G932" s="33"/>
      <c r="H932" s="33"/>
      <c r="I932" s="33"/>
      <c r="J932" s="33"/>
      <c r="K932" s="33"/>
      <c r="L932" s="33"/>
      <c r="M932" s="33"/>
      <c r="N932" s="33"/>
      <c r="O932" s="33"/>
      <c r="P932" s="33"/>
      <c r="Q932" s="33"/>
      <c r="R932" s="33"/>
      <c r="S932" s="33"/>
      <c r="T932" s="33"/>
      <c r="U932" s="33"/>
      <c r="V932" s="33"/>
      <c r="W932" s="33"/>
      <c r="X932" s="33"/>
      <c r="Y932" s="33"/>
      <c r="Z932" s="33"/>
    </row>
    <row r="933" spans="1:26" ht="13.5" customHeight="1" x14ac:dyDescent="0.35">
      <c r="A933" s="33"/>
      <c r="B933" s="33"/>
      <c r="C933" s="33"/>
      <c r="D933" s="33"/>
      <c r="E933" s="33"/>
      <c r="F933" s="33"/>
      <c r="G933" s="33"/>
      <c r="H933" s="33"/>
      <c r="I933" s="33"/>
      <c r="J933" s="33"/>
      <c r="K933" s="33"/>
      <c r="L933" s="33"/>
      <c r="M933" s="33"/>
      <c r="N933" s="33"/>
      <c r="O933" s="33"/>
      <c r="P933" s="33"/>
      <c r="Q933" s="33"/>
      <c r="R933" s="33"/>
      <c r="S933" s="33"/>
      <c r="T933" s="33"/>
      <c r="U933" s="33"/>
      <c r="V933" s="33"/>
      <c r="W933" s="33"/>
      <c r="X933" s="33"/>
      <c r="Y933" s="33"/>
      <c r="Z933" s="33"/>
    </row>
    <row r="934" spans="1:26" ht="13.5" customHeight="1" x14ac:dyDescent="0.35">
      <c r="A934" s="33"/>
      <c r="B934" s="33"/>
      <c r="C934" s="33"/>
      <c r="D934" s="33"/>
      <c r="E934" s="33"/>
      <c r="F934" s="33"/>
      <c r="G934" s="33"/>
      <c r="H934" s="33"/>
      <c r="I934" s="33"/>
      <c r="J934" s="33"/>
      <c r="K934" s="33"/>
      <c r="L934" s="33"/>
      <c r="M934" s="33"/>
      <c r="N934" s="33"/>
      <c r="O934" s="33"/>
      <c r="P934" s="33"/>
      <c r="Q934" s="33"/>
      <c r="R934" s="33"/>
      <c r="S934" s="33"/>
      <c r="T934" s="33"/>
      <c r="U934" s="33"/>
      <c r="V934" s="33"/>
      <c r="W934" s="33"/>
      <c r="X934" s="33"/>
      <c r="Y934" s="33"/>
      <c r="Z934" s="33"/>
    </row>
    <row r="935" spans="1:26" ht="13.5" customHeight="1" x14ac:dyDescent="0.35">
      <c r="A935" s="33"/>
      <c r="B935" s="33"/>
      <c r="C935" s="33"/>
      <c r="D935" s="33"/>
      <c r="E935" s="33"/>
      <c r="F935" s="33"/>
      <c r="G935" s="33"/>
      <c r="H935" s="33"/>
      <c r="I935" s="33"/>
      <c r="J935" s="33"/>
      <c r="K935" s="33"/>
      <c r="L935" s="33"/>
      <c r="M935" s="33"/>
      <c r="N935" s="33"/>
      <c r="O935" s="33"/>
      <c r="P935" s="33"/>
      <c r="Q935" s="33"/>
      <c r="R935" s="33"/>
      <c r="S935" s="33"/>
      <c r="T935" s="33"/>
      <c r="U935" s="33"/>
      <c r="V935" s="33"/>
      <c r="W935" s="33"/>
      <c r="X935" s="33"/>
      <c r="Y935" s="33"/>
      <c r="Z935" s="33"/>
    </row>
    <row r="936" spans="1:26" ht="13.5" customHeight="1" x14ac:dyDescent="0.35">
      <c r="A936" s="33"/>
      <c r="B936" s="33"/>
      <c r="C936" s="33"/>
      <c r="D936" s="33"/>
      <c r="E936" s="33"/>
      <c r="F936" s="33"/>
      <c r="G936" s="33"/>
      <c r="H936" s="33"/>
      <c r="I936" s="33"/>
      <c r="J936" s="33"/>
      <c r="K936" s="33"/>
      <c r="L936" s="33"/>
      <c r="M936" s="33"/>
      <c r="N936" s="33"/>
      <c r="O936" s="33"/>
      <c r="P936" s="33"/>
      <c r="Q936" s="33"/>
      <c r="R936" s="33"/>
      <c r="S936" s="33"/>
      <c r="T936" s="33"/>
      <c r="U936" s="33"/>
      <c r="V936" s="33"/>
      <c r="W936" s="33"/>
      <c r="X936" s="33"/>
      <c r="Y936" s="33"/>
      <c r="Z936" s="33"/>
    </row>
    <row r="937" spans="1:26" ht="13.5" customHeight="1" x14ac:dyDescent="0.35">
      <c r="A937" s="33"/>
      <c r="B937" s="33"/>
      <c r="C937" s="33"/>
      <c r="D937" s="33"/>
      <c r="E937" s="33"/>
      <c r="F937" s="33"/>
      <c r="G937" s="33"/>
      <c r="H937" s="33"/>
      <c r="I937" s="33"/>
      <c r="J937" s="33"/>
      <c r="K937" s="33"/>
      <c r="L937" s="33"/>
      <c r="M937" s="33"/>
      <c r="N937" s="33"/>
      <c r="O937" s="33"/>
      <c r="P937" s="33"/>
      <c r="Q937" s="33"/>
      <c r="R937" s="33"/>
      <c r="S937" s="33"/>
      <c r="T937" s="33"/>
      <c r="U937" s="33"/>
      <c r="V937" s="33"/>
      <c r="W937" s="33"/>
      <c r="X937" s="33"/>
      <c r="Y937" s="33"/>
      <c r="Z937" s="33"/>
    </row>
    <row r="938" spans="1:26" ht="13.5" customHeight="1" x14ac:dyDescent="0.35">
      <c r="A938" s="33"/>
      <c r="B938" s="33"/>
      <c r="C938" s="33"/>
      <c r="D938" s="33"/>
      <c r="E938" s="33"/>
      <c r="F938" s="33"/>
      <c r="G938" s="33"/>
      <c r="H938" s="33"/>
      <c r="I938" s="33"/>
      <c r="J938" s="33"/>
      <c r="K938" s="33"/>
      <c r="L938" s="33"/>
      <c r="M938" s="33"/>
      <c r="N938" s="33"/>
      <c r="O938" s="33"/>
      <c r="P938" s="33"/>
      <c r="Q938" s="33"/>
      <c r="R938" s="33"/>
      <c r="S938" s="33"/>
      <c r="T938" s="33"/>
      <c r="U938" s="33"/>
      <c r="V938" s="33"/>
      <c r="W938" s="33"/>
      <c r="X938" s="33"/>
      <c r="Y938" s="33"/>
      <c r="Z938" s="33"/>
    </row>
    <row r="939" spans="1:26" ht="13.5" customHeight="1" x14ac:dyDescent="0.35">
      <c r="A939" s="33"/>
      <c r="B939" s="33"/>
      <c r="C939" s="33"/>
      <c r="D939" s="33"/>
      <c r="E939" s="33"/>
      <c r="F939" s="33"/>
      <c r="G939" s="33"/>
      <c r="H939" s="33"/>
      <c r="I939" s="33"/>
      <c r="J939" s="33"/>
      <c r="K939" s="33"/>
      <c r="L939" s="33"/>
      <c r="M939" s="33"/>
      <c r="N939" s="33"/>
      <c r="O939" s="33"/>
      <c r="P939" s="33"/>
      <c r="Q939" s="33"/>
      <c r="R939" s="33"/>
      <c r="S939" s="33"/>
      <c r="T939" s="33"/>
      <c r="U939" s="33"/>
      <c r="V939" s="33"/>
      <c r="W939" s="33"/>
      <c r="X939" s="33"/>
      <c r="Y939" s="33"/>
      <c r="Z939" s="33"/>
    </row>
    <row r="940" spans="1:26" ht="13.5" customHeight="1" x14ac:dyDescent="0.35">
      <c r="A940" s="33"/>
      <c r="B940" s="33"/>
      <c r="C940" s="33"/>
      <c r="D940" s="33"/>
      <c r="E940" s="33"/>
      <c r="F940" s="33"/>
      <c r="G940" s="33"/>
      <c r="H940" s="33"/>
      <c r="I940" s="33"/>
      <c r="J940" s="33"/>
      <c r="K940" s="33"/>
      <c r="L940" s="33"/>
      <c r="M940" s="33"/>
      <c r="N940" s="33"/>
      <c r="O940" s="33"/>
      <c r="P940" s="33"/>
      <c r="Q940" s="33"/>
      <c r="R940" s="33"/>
      <c r="S940" s="33"/>
      <c r="T940" s="33"/>
      <c r="U940" s="33"/>
      <c r="V940" s="33"/>
      <c r="W940" s="33"/>
      <c r="X940" s="33"/>
      <c r="Y940" s="33"/>
      <c r="Z940" s="33"/>
    </row>
    <row r="941" spans="1:26" ht="13.5" customHeight="1" x14ac:dyDescent="0.35">
      <c r="A941" s="33"/>
      <c r="B941" s="33"/>
      <c r="C941" s="33"/>
      <c r="D941" s="33"/>
      <c r="E941" s="33"/>
      <c r="F941" s="33"/>
      <c r="G941" s="33"/>
      <c r="H941" s="33"/>
      <c r="I941" s="33"/>
      <c r="J941" s="33"/>
      <c r="K941" s="33"/>
      <c r="L941" s="33"/>
      <c r="M941" s="33"/>
      <c r="N941" s="33"/>
      <c r="O941" s="33"/>
      <c r="P941" s="33"/>
      <c r="Q941" s="33"/>
      <c r="R941" s="33"/>
      <c r="S941" s="33"/>
      <c r="T941" s="33"/>
      <c r="U941" s="33"/>
      <c r="V941" s="33"/>
      <c r="W941" s="33"/>
      <c r="X941" s="33"/>
      <c r="Y941" s="33"/>
      <c r="Z941" s="33"/>
    </row>
    <row r="942" spans="1:26" ht="13.5" customHeight="1" x14ac:dyDescent="0.35">
      <c r="A942" s="33"/>
      <c r="B942" s="33"/>
      <c r="C942" s="33"/>
      <c r="D942" s="33"/>
      <c r="E942" s="33"/>
      <c r="F942" s="33"/>
      <c r="G942" s="33"/>
      <c r="H942" s="33"/>
      <c r="I942" s="33"/>
      <c r="J942" s="33"/>
      <c r="K942" s="33"/>
      <c r="L942" s="33"/>
      <c r="M942" s="33"/>
      <c r="N942" s="33"/>
      <c r="O942" s="33"/>
      <c r="P942" s="33"/>
      <c r="Q942" s="33"/>
      <c r="R942" s="33"/>
      <c r="S942" s="33"/>
      <c r="T942" s="33"/>
      <c r="U942" s="33"/>
      <c r="V942" s="33"/>
      <c r="W942" s="33"/>
      <c r="X942" s="33"/>
      <c r="Y942" s="33"/>
      <c r="Z942" s="33"/>
    </row>
    <row r="943" spans="1:26" ht="13.5" customHeight="1" x14ac:dyDescent="0.35">
      <c r="A943" s="33"/>
      <c r="B943" s="33"/>
      <c r="C943" s="33"/>
      <c r="D943" s="33"/>
      <c r="E943" s="33"/>
      <c r="F943" s="33"/>
      <c r="G943" s="33"/>
      <c r="H943" s="33"/>
      <c r="I943" s="33"/>
      <c r="J943" s="33"/>
      <c r="K943" s="33"/>
      <c r="L943" s="33"/>
      <c r="M943" s="33"/>
      <c r="N943" s="33"/>
      <c r="O943" s="33"/>
      <c r="P943" s="33"/>
      <c r="Q943" s="33"/>
      <c r="R943" s="33"/>
      <c r="S943" s="33"/>
      <c r="T943" s="33"/>
      <c r="U943" s="33"/>
      <c r="V943" s="33"/>
      <c r="W943" s="33"/>
      <c r="X943" s="33"/>
      <c r="Y943" s="33"/>
      <c r="Z943" s="33"/>
    </row>
    <row r="944" spans="1:26" ht="13.5" customHeight="1" x14ac:dyDescent="0.35">
      <c r="A944" s="33"/>
      <c r="B944" s="33"/>
      <c r="C944" s="33"/>
      <c r="D944" s="33"/>
      <c r="E944" s="33"/>
      <c r="F944" s="33"/>
      <c r="G944" s="33"/>
      <c r="H944" s="33"/>
      <c r="I944" s="33"/>
      <c r="J944" s="33"/>
      <c r="K944" s="33"/>
      <c r="L944" s="33"/>
      <c r="M944" s="33"/>
      <c r="N944" s="33"/>
      <c r="O944" s="33"/>
      <c r="P944" s="33"/>
      <c r="Q944" s="33"/>
      <c r="R944" s="33"/>
      <c r="S944" s="33"/>
      <c r="T944" s="33"/>
      <c r="U944" s="33"/>
      <c r="V944" s="33"/>
      <c r="W944" s="33"/>
      <c r="X944" s="33"/>
      <c r="Y944" s="33"/>
      <c r="Z944" s="33"/>
    </row>
    <row r="945" spans="1:26" ht="13.5" customHeight="1" x14ac:dyDescent="0.35">
      <c r="A945" s="33"/>
      <c r="B945" s="33"/>
      <c r="C945" s="33"/>
      <c r="D945" s="33"/>
      <c r="E945" s="33"/>
      <c r="F945" s="33"/>
      <c r="G945" s="33"/>
      <c r="H945" s="33"/>
      <c r="I945" s="33"/>
      <c r="J945" s="33"/>
      <c r="K945" s="33"/>
      <c r="L945" s="33"/>
      <c r="M945" s="33"/>
      <c r="N945" s="33"/>
      <c r="O945" s="33"/>
      <c r="P945" s="33"/>
      <c r="Q945" s="33"/>
      <c r="R945" s="33"/>
      <c r="S945" s="33"/>
      <c r="T945" s="33"/>
      <c r="U945" s="33"/>
      <c r="V945" s="33"/>
      <c r="W945" s="33"/>
      <c r="X945" s="33"/>
      <c r="Y945" s="33"/>
      <c r="Z945" s="33"/>
    </row>
    <row r="946" spans="1:26" ht="13.5" customHeight="1" x14ac:dyDescent="0.35">
      <c r="A946" s="33"/>
      <c r="B946" s="33"/>
      <c r="C946" s="33"/>
      <c r="D946" s="33"/>
      <c r="E946" s="33"/>
      <c r="F946" s="33"/>
      <c r="G946" s="33"/>
      <c r="H946" s="33"/>
      <c r="I946" s="33"/>
      <c r="J946" s="33"/>
      <c r="K946" s="33"/>
      <c r="L946" s="33"/>
      <c r="M946" s="33"/>
      <c r="N946" s="33"/>
      <c r="O946" s="33"/>
      <c r="P946" s="33"/>
      <c r="Q946" s="33"/>
      <c r="R946" s="33"/>
      <c r="S946" s="33"/>
      <c r="T946" s="33"/>
      <c r="U946" s="33"/>
      <c r="V946" s="33"/>
      <c r="W946" s="33"/>
      <c r="X946" s="33"/>
      <c r="Y946" s="33"/>
      <c r="Z946" s="33"/>
    </row>
    <row r="947" spans="1:26" ht="13.5" customHeight="1" x14ac:dyDescent="0.35">
      <c r="A947" s="33"/>
      <c r="B947" s="33"/>
      <c r="C947" s="33"/>
      <c r="D947" s="33"/>
      <c r="E947" s="33"/>
      <c r="F947" s="33"/>
      <c r="G947" s="33"/>
      <c r="H947" s="33"/>
      <c r="I947" s="33"/>
      <c r="J947" s="33"/>
      <c r="K947" s="33"/>
      <c r="L947" s="33"/>
      <c r="M947" s="33"/>
      <c r="N947" s="33"/>
      <c r="O947" s="33"/>
      <c r="P947" s="33"/>
      <c r="Q947" s="33"/>
      <c r="R947" s="33"/>
      <c r="S947" s="33"/>
      <c r="T947" s="33"/>
      <c r="U947" s="33"/>
      <c r="V947" s="33"/>
      <c r="W947" s="33"/>
      <c r="X947" s="33"/>
      <c r="Y947" s="33"/>
      <c r="Z947" s="33"/>
    </row>
    <row r="948" spans="1:26" ht="13.5" customHeight="1" x14ac:dyDescent="0.35">
      <c r="A948" s="33"/>
      <c r="B948" s="33"/>
      <c r="C948" s="33"/>
      <c r="D948" s="33"/>
      <c r="E948" s="33"/>
      <c r="F948" s="33"/>
      <c r="G948" s="33"/>
      <c r="H948" s="33"/>
      <c r="I948" s="33"/>
      <c r="J948" s="33"/>
      <c r="K948" s="33"/>
      <c r="L948" s="33"/>
      <c r="M948" s="33"/>
      <c r="N948" s="33"/>
      <c r="O948" s="33"/>
      <c r="P948" s="33"/>
      <c r="Q948" s="33"/>
      <c r="R948" s="33"/>
      <c r="S948" s="33"/>
      <c r="T948" s="33"/>
      <c r="U948" s="33"/>
      <c r="V948" s="33"/>
      <c r="W948" s="33"/>
      <c r="X948" s="33"/>
      <c r="Y948" s="33"/>
      <c r="Z948" s="33"/>
    </row>
    <row r="949" spans="1:26" ht="13.5" customHeight="1" x14ac:dyDescent="0.35">
      <c r="A949" s="33"/>
      <c r="B949" s="33"/>
      <c r="C949" s="33"/>
      <c r="D949" s="33"/>
      <c r="E949" s="33"/>
      <c r="F949" s="33"/>
      <c r="G949" s="33"/>
      <c r="H949" s="33"/>
      <c r="I949" s="33"/>
      <c r="J949" s="33"/>
      <c r="K949" s="33"/>
      <c r="L949" s="33"/>
      <c r="M949" s="33"/>
      <c r="N949" s="33"/>
      <c r="O949" s="33"/>
      <c r="P949" s="33"/>
      <c r="Q949" s="33"/>
      <c r="R949" s="33"/>
      <c r="S949" s="33"/>
      <c r="T949" s="33"/>
      <c r="U949" s="33"/>
      <c r="V949" s="33"/>
      <c r="W949" s="33"/>
      <c r="X949" s="33"/>
      <c r="Y949" s="33"/>
      <c r="Z949" s="33"/>
    </row>
    <row r="950" spans="1:26" ht="13.5" customHeight="1" x14ac:dyDescent="0.35">
      <c r="A950" s="33"/>
      <c r="B950" s="33"/>
      <c r="C950" s="33"/>
      <c r="D950" s="33"/>
      <c r="E950" s="33"/>
      <c r="F950" s="33"/>
      <c r="G950" s="33"/>
      <c r="H950" s="33"/>
      <c r="I950" s="33"/>
      <c r="J950" s="33"/>
      <c r="K950" s="33"/>
      <c r="L950" s="33"/>
      <c r="M950" s="33"/>
      <c r="N950" s="33"/>
      <c r="O950" s="33"/>
      <c r="P950" s="33"/>
      <c r="Q950" s="33"/>
      <c r="R950" s="33"/>
      <c r="S950" s="33"/>
      <c r="T950" s="33"/>
      <c r="U950" s="33"/>
      <c r="V950" s="33"/>
      <c r="W950" s="33"/>
      <c r="X950" s="33"/>
      <c r="Y950" s="33"/>
      <c r="Z950" s="33"/>
    </row>
    <row r="951" spans="1:26" ht="13.5" customHeight="1" x14ac:dyDescent="0.35">
      <c r="A951" s="33"/>
      <c r="B951" s="33"/>
      <c r="C951" s="33"/>
      <c r="D951" s="33"/>
      <c r="E951" s="33"/>
      <c r="F951" s="33"/>
      <c r="G951" s="33"/>
      <c r="H951" s="33"/>
      <c r="I951" s="33"/>
      <c r="J951" s="33"/>
      <c r="K951" s="33"/>
      <c r="L951" s="33"/>
      <c r="M951" s="33"/>
      <c r="N951" s="33"/>
      <c r="O951" s="33"/>
      <c r="P951" s="33"/>
      <c r="Q951" s="33"/>
      <c r="R951" s="33"/>
      <c r="S951" s="33"/>
      <c r="T951" s="33"/>
      <c r="U951" s="33"/>
      <c r="V951" s="33"/>
      <c r="W951" s="33"/>
      <c r="X951" s="33"/>
      <c r="Y951" s="33"/>
      <c r="Z951" s="33"/>
    </row>
    <row r="952" spans="1:26" ht="13.5" customHeight="1" x14ac:dyDescent="0.35">
      <c r="A952" s="33"/>
      <c r="B952" s="33"/>
      <c r="C952" s="33"/>
      <c r="D952" s="33"/>
      <c r="E952" s="33"/>
      <c r="F952" s="33"/>
      <c r="G952" s="33"/>
      <c r="H952" s="33"/>
      <c r="I952" s="33"/>
      <c r="J952" s="33"/>
      <c r="K952" s="33"/>
      <c r="L952" s="33"/>
      <c r="M952" s="33"/>
      <c r="N952" s="33"/>
      <c r="O952" s="33"/>
      <c r="P952" s="33"/>
      <c r="Q952" s="33"/>
      <c r="R952" s="33"/>
      <c r="S952" s="33"/>
      <c r="T952" s="33"/>
      <c r="U952" s="33"/>
      <c r="V952" s="33"/>
      <c r="W952" s="33"/>
      <c r="X952" s="33"/>
      <c r="Y952" s="33"/>
      <c r="Z952" s="33"/>
    </row>
    <row r="953" spans="1:26" ht="13.5" customHeight="1" x14ac:dyDescent="0.35">
      <c r="A953" s="33"/>
      <c r="B953" s="33"/>
      <c r="C953" s="33"/>
      <c r="D953" s="33"/>
      <c r="E953" s="33"/>
      <c r="F953" s="33"/>
      <c r="G953" s="33"/>
      <c r="H953" s="33"/>
      <c r="I953" s="33"/>
      <c r="J953" s="33"/>
      <c r="K953" s="33"/>
      <c r="L953" s="33"/>
      <c r="M953" s="33"/>
      <c r="N953" s="33"/>
      <c r="O953" s="33"/>
      <c r="P953" s="33"/>
      <c r="Q953" s="33"/>
      <c r="R953" s="33"/>
      <c r="S953" s="33"/>
      <c r="T953" s="33"/>
      <c r="U953" s="33"/>
      <c r="V953" s="33"/>
      <c r="W953" s="33"/>
      <c r="X953" s="33"/>
      <c r="Y953" s="33"/>
      <c r="Z953" s="33"/>
    </row>
    <row r="954" spans="1:26" ht="13.5" customHeight="1" x14ac:dyDescent="0.35">
      <c r="A954" s="33"/>
      <c r="B954" s="33"/>
      <c r="C954" s="33"/>
      <c r="D954" s="33"/>
      <c r="E954" s="33"/>
      <c r="F954" s="33"/>
      <c r="G954" s="33"/>
      <c r="H954" s="33"/>
      <c r="I954" s="33"/>
      <c r="J954" s="33"/>
      <c r="K954" s="33"/>
      <c r="L954" s="33"/>
      <c r="M954" s="33"/>
      <c r="N954" s="33"/>
      <c r="O954" s="33"/>
      <c r="P954" s="33"/>
      <c r="Q954" s="33"/>
      <c r="R954" s="33"/>
      <c r="S954" s="33"/>
      <c r="T954" s="33"/>
      <c r="U954" s="33"/>
      <c r="V954" s="33"/>
      <c r="W954" s="33"/>
      <c r="X954" s="33"/>
      <c r="Y954" s="33"/>
      <c r="Z954" s="33"/>
    </row>
    <row r="955" spans="1:26" ht="13.5" customHeight="1" x14ac:dyDescent="0.35">
      <c r="A955" s="33"/>
      <c r="B955" s="33"/>
      <c r="C955" s="33"/>
      <c r="D955" s="33"/>
      <c r="E955" s="33"/>
      <c r="F955" s="33"/>
      <c r="G955" s="33"/>
      <c r="H955" s="33"/>
      <c r="I955" s="33"/>
      <c r="J955" s="33"/>
      <c r="K955" s="33"/>
      <c r="L955" s="33"/>
      <c r="M955" s="33"/>
      <c r="N955" s="33"/>
      <c r="O955" s="33"/>
      <c r="P955" s="33"/>
      <c r="Q955" s="33"/>
      <c r="R955" s="33"/>
      <c r="S955" s="33"/>
      <c r="T955" s="33"/>
      <c r="U955" s="33"/>
      <c r="V955" s="33"/>
      <c r="W955" s="33"/>
      <c r="X955" s="33"/>
      <c r="Y955" s="33"/>
      <c r="Z955" s="33"/>
    </row>
    <row r="956" spans="1:26" ht="13.5" customHeight="1" x14ac:dyDescent="0.35">
      <c r="A956" s="33"/>
      <c r="B956" s="33"/>
      <c r="C956" s="33"/>
      <c r="D956" s="33"/>
      <c r="E956" s="33"/>
      <c r="F956" s="33"/>
      <c r="G956" s="33"/>
      <c r="H956" s="33"/>
      <c r="I956" s="33"/>
      <c r="J956" s="33"/>
      <c r="K956" s="33"/>
      <c r="L956" s="33"/>
      <c r="M956" s="33"/>
      <c r="N956" s="33"/>
      <c r="O956" s="33"/>
      <c r="P956" s="33"/>
      <c r="Q956" s="33"/>
      <c r="R956" s="33"/>
      <c r="S956" s="33"/>
      <c r="T956" s="33"/>
      <c r="U956" s="33"/>
      <c r="V956" s="33"/>
      <c r="W956" s="33"/>
      <c r="X956" s="33"/>
      <c r="Y956" s="33"/>
      <c r="Z956" s="33"/>
    </row>
    <row r="957" spans="1:26" ht="13.5" customHeight="1" x14ac:dyDescent="0.35">
      <c r="A957" s="33"/>
      <c r="B957" s="33"/>
      <c r="C957" s="33"/>
      <c r="D957" s="33"/>
      <c r="E957" s="33"/>
      <c r="F957" s="33"/>
      <c r="G957" s="33"/>
      <c r="H957" s="33"/>
      <c r="I957" s="33"/>
      <c r="J957" s="33"/>
      <c r="K957" s="33"/>
      <c r="L957" s="33"/>
      <c r="M957" s="33"/>
      <c r="N957" s="33"/>
      <c r="O957" s="33"/>
      <c r="P957" s="33"/>
      <c r="Q957" s="33"/>
      <c r="R957" s="33"/>
      <c r="S957" s="33"/>
      <c r="T957" s="33"/>
      <c r="U957" s="33"/>
      <c r="V957" s="33"/>
      <c r="W957" s="33"/>
      <c r="X957" s="33"/>
      <c r="Y957" s="33"/>
      <c r="Z957" s="33"/>
    </row>
    <row r="958" spans="1:26" ht="13.5" customHeight="1" x14ac:dyDescent="0.35">
      <c r="A958" s="33"/>
      <c r="B958" s="33"/>
      <c r="C958" s="33"/>
      <c r="D958" s="33"/>
      <c r="E958" s="33"/>
      <c r="F958" s="33"/>
      <c r="G958" s="33"/>
      <c r="H958" s="33"/>
      <c r="I958" s="33"/>
      <c r="J958" s="33"/>
      <c r="K958" s="33"/>
      <c r="L958" s="33"/>
      <c r="M958" s="33"/>
      <c r="N958" s="33"/>
      <c r="O958" s="33"/>
      <c r="P958" s="33"/>
      <c r="Q958" s="33"/>
      <c r="R958" s="33"/>
      <c r="S958" s="33"/>
      <c r="T958" s="33"/>
      <c r="U958" s="33"/>
      <c r="V958" s="33"/>
      <c r="W958" s="33"/>
      <c r="X958" s="33"/>
      <c r="Y958" s="33"/>
      <c r="Z958" s="33"/>
    </row>
    <row r="959" spans="1:26" ht="13.5" customHeight="1" x14ac:dyDescent="0.35">
      <c r="A959" s="33"/>
      <c r="B959" s="33"/>
      <c r="C959" s="33"/>
      <c r="D959" s="33"/>
      <c r="E959" s="33"/>
      <c r="F959" s="33"/>
      <c r="G959" s="33"/>
      <c r="H959" s="33"/>
      <c r="I959" s="33"/>
      <c r="J959" s="33"/>
      <c r="K959" s="33"/>
      <c r="L959" s="33"/>
      <c r="M959" s="33"/>
      <c r="N959" s="33"/>
      <c r="O959" s="33"/>
      <c r="P959" s="33"/>
      <c r="Q959" s="33"/>
      <c r="R959" s="33"/>
      <c r="S959" s="33"/>
      <c r="T959" s="33"/>
      <c r="U959" s="33"/>
      <c r="V959" s="33"/>
      <c r="W959" s="33"/>
      <c r="X959" s="33"/>
      <c r="Y959" s="33"/>
      <c r="Z959" s="33"/>
    </row>
    <row r="960" spans="1:26" ht="13.5" customHeight="1" x14ac:dyDescent="0.35">
      <c r="A960" s="33"/>
      <c r="B960" s="33"/>
      <c r="C960" s="33"/>
      <c r="D960" s="33"/>
      <c r="E960" s="33"/>
      <c r="F960" s="33"/>
      <c r="G960" s="33"/>
      <c r="H960" s="33"/>
      <c r="I960" s="33"/>
      <c r="J960" s="33"/>
      <c r="K960" s="33"/>
      <c r="L960" s="33"/>
      <c r="M960" s="33"/>
      <c r="N960" s="33"/>
      <c r="O960" s="33"/>
      <c r="P960" s="33"/>
      <c r="Q960" s="33"/>
      <c r="R960" s="33"/>
      <c r="S960" s="33"/>
      <c r="T960" s="33"/>
      <c r="U960" s="33"/>
      <c r="V960" s="33"/>
      <c r="W960" s="33"/>
      <c r="X960" s="33"/>
      <c r="Y960" s="33"/>
      <c r="Z960" s="33"/>
    </row>
    <row r="961" spans="1:26" ht="13.5" customHeight="1" x14ac:dyDescent="0.35">
      <c r="A961" s="33"/>
      <c r="B961" s="33"/>
      <c r="C961" s="33"/>
      <c r="D961" s="33"/>
      <c r="E961" s="33"/>
      <c r="F961" s="33"/>
      <c r="G961" s="33"/>
      <c r="H961" s="33"/>
      <c r="I961" s="33"/>
      <c r="J961" s="33"/>
      <c r="K961" s="33"/>
      <c r="L961" s="33"/>
      <c r="M961" s="33"/>
      <c r="N961" s="33"/>
      <c r="O961" s="33"/>
      <c r="P961" s="33"/>
      <c r="Q961" s="33"/>
      <c r="R961" s="33"/>
      <c r="S961" s="33"/>
      <c r="T961" s="33"/>
      <c r="U961" s="33"/>
      <c r="V961" s="33"/>
      <c r="W961" s="33"/>
      <c r="X961" s="33"/>
      <c r="Y961" s="33"/>
      <c r="Z961" s="33"/>
    </row>
    <row r="962" spans="1:26" ht="13.5" customHeight="1" x14ac:dyDescent="0.35">
      <c r="A962" s="33"/>
      <c r="B962" s="33"/>
      <c r="C962" s="33"/>
      <c r="D962" s="33"/>
      <c r="E962" s="33"/>
      <c r="F962" s="33"/>
      <c r="G962" s="33"/>
      <c r="H962" s="33"/>
      <c r="I962" s="33"/>
      <c r="J962" s="33"/>
      <c r="K962" s="33"/>
      <c r="L962" s="33"/>
      <c r="M962" s="33"/>
      <c r="N962" s="33"/>
      <c r="O962" s="33"/>
      <c r="P962" s="33"/>
      <c r="Q962" s="33"/>
      <c r="R962" s="33"/>
      <c r="S962" s="33"/>
      <c r="T962" s="33"/>
      <c r="U962" s="33"/>
      <c r="V962" s="33"/>
      <c r="W962" s="33"/>
      <c r="X962" s="33"/>
      <c r="Y962" s="33"/>
      <c r="Z962" s="33"/>
    </row>
    <row r="963" spans="1:26" ht="13.5" customHeight="1" x14ac:dyDescent="0.35">
      <c r="A963" s="33"/>
      <c r="B963" s="33"/>
      <c r="C963" s="33"/>
      <c r="D963" s="33"/>
      <c r="E963" s="33"/>
      <c r="F963" s="33"/>
      <c r="G963" s="33"/>
      <c r="H963" s="33"/>
      <c r="I963" s="33"/>
      <c r="J963" s="33"/>
      <c r="K963" s="33"/>
      <c r="L963" s="33"/>
      <c r="M963" s="33"/>
      <c r="N963" s="33"/>
      <c r="O963" s="33"/>
      <c r="P963" s="33"/>
      <c r="Q963" s="33"/>
      <c r="R963" s="33"/>
      <c r="S963" s="33"/>
      <c r="T963" s="33"/>
      <c r="U963" s="33"/>
      <c r="V963" s="33"/>
      <c r="W963" s="33"/>
      <c r="X963" s="33"/>
      <c r="Y963" s="33"/>
      <c r="Z963" s="33"/>
    </row>
    <row r="964" spans="1:26" ht="13.5" customHeight="1" x14ac:dyDescent="0.35">
      <c r="A964" s="33"/>
      <c r="B964" s="33"/>
      <c r="C964" s="33"/>
      <c r="D964" s="33"/>
      <c r="E964" s="33"/>
      <c r="F964" s="33"/>
      <c r="G964" s="33"/>
      <c r="H964" s="33"/>
      <c r="I964" s="33"/>
      <c r="J964" s="33"/>
      <c r="K964" s="33"/>
      <c r="L964" s="33"/>
      <c r="M964" s="33"/>
      <c r="N964" s="33"/>
      <c r="O964" s="33"/>
      <c r="P964" s="33"/>
      <c r="Q964" s="33"/>
      <c r="R964" s="33"/>
      <c r="S964" s="33"/>
      <c r="T964" s="33"/>
      <c r="U964" s="33"/>
      <c r="V964" s="33"/>
      <c r="W964" s="33"/>
      <c r="X964" s="33"/>
      <c r="Y964" s="33"/>
      <c r="Z964" s="33"/>
    </row>
    <row r="965" spans="1:26" ht="13.5" customHeight="1" x14ac:dyDescent="0.35">
      <c r="A965" s="33"/>
      <c r="B965" s="33"/>
      <c r="C965" s="33"/>
      <c r="D965" s="33"/>
      <c r="E965" s="33"/>
      <c r="F965" s="33"/>
      <c r="G965" s="33"/>
      <c r="H965" s="33"/>
      <c r="I965" s="33"/>
      <c r="J965" s="33"/>
      <c r="K965" s="33"/>
      <c r="L965" s="33"/>
      <c r="M965" s="33"/>
      <c r="N965" s="33"/>
      <c r="O965" s="33"/>
      <c r="P965" s="33"/>
      <c r="Q965" s="33"/>
      <c r="R965" s="33"/>
      <c r="S965" s="33"/>
      <c r="T965" s="33"/>
      <c r="U965" s="33"/>
      <c r="V965" s="33"/>
      <c r="W965" s="33"/>
      <c r="X965" s="33"/>
      <c r="Y965" s="33"/>
      <c r="Z965" s="33"/>
    </row>
    <row r="966" spans="1:26" ht="13.5" customHeight="1" x14ac:dyDescent="0.35">
      <c r="A966" s="33"/>
      <c r="B966" s="33"/>
      <c r="C966" s="33"/>
      <c r="D966" s="33"/>
      <c r="E966" s="33"/>
      <c r="F966" s="33"/>
      <c r="G966" s="33"/>
      <c r="H966" s="33"/>
      <c r="I966" s="33"/>
      <c r="J966" s="33"/>
      <c r="K966" s="33"/>
      <c r="L966" s="33"/>
      <c r="M966" s="33"/>
      <c r="N966" s="33"/>
      <c r="O966" s="33"/>
      <c r="P966" s="33"/>
      <c r="Q966" s="33"/>
      <c r="R966" s="33"/>
      <c r="S966" s="33"/>
      <c r="T966" s="33"/>
      <c r="U966" s="33"/>
      <c r="V966" s="33"/>
      <c r="W966" s="33"/>
      <c r="X966" s="33"/>
      <c r="Y966" s="33"/>
      <c r="Z966" s="33"/>
    </row>
    <row r="967" spans="1:26" ht="13.5" customHeight="1" x14ac:dyDescent="0.35">
      <c r="A967" s="33"/>
      <c r="B967" s="33"/>
      <c r="C967" s="33"/>
      <c r="D967" s="33"/>
      <c r="E967" s="33"/>
      <c r="F967" s="33"/>
      <c r="G967" s="33"/>
      <c r="H967" s="33"/>
      <c r="I967" s="33"/>
      <c r="J967" s="33"/>
      <c r="K967" s="33"/>
      <c r="L967" s="33"/>
      <c r="M967" s="33"/>
      <c r="N967" s="33"/>
      <c r="O967" s="33"/>
      <c r="P967" s="33"/>
      <c r="Q967" s="33"/>
      <c r="R967" s="33"/>
      <c r="S967" s="33"/>
      <c r="T967" s="33"/>
      <c r="U967" s="33"/>
      <c r="V967" s="33"/>
      <c r="W967" s="33"/>
      <c r="X967" s="33"/>
      <c r="Y967" s="33"/>
      <c r="Z967" s="33"/>
    </row>
    <row r="968" spans="1:26" ht="13.5" customHeight="1" x14ac:dyDescent="0.35">
      <c r="A968" s="33"/>
      <c r="B968" s="33"/>
      <c r="C968" s="33"/>
      <c r="D968" s="33"/>
      <c r="E968" s="33"/>
      <c r="F968" s="33"/>
      <c r="G968" s="33"/>
      <c r="H968" s="33"/>
      <c r="I968" s="33"/>
      <c r="J968" s="33"/>
      <c r="K968" s="33"/>
      <c r="L968" s="33"/>
      <c r="M968" s="33"/>
      <c r="N968" s="33"/>
      <c r="O968" s="33"/>
      <c r="P968" s="33"/>
      <c r="Q968" s="33"/>
      <c r="R968" s="33"/>
      <c r="S968" s="33"/>
      <c r="T968" s="33"/>
      <c r="U968" s="33"/>
      <c r="V968" s="33"/>
      <c r="W968" s="33"/>
      <c r="X968" s="33"/>
      <c r="Y968" s="33"/>
      <c r="Z968" s="33"/>
    </row>
    <row r="969" spans="1:26" ht="13.5" customHeight="1" x14ac:dyDescent="0.35">
      <c r="A969" s="33"/>
      <c r="B969" s="33"/>
      <c r="C969" s="33"/>
      <c r="D969" s="33"/>
      <c r="E969" s="33"/>
      <c r="F969" s="33"/>
      <c r="G969" s="33"/>
      <c r="H969" s="33"/>
      <c r="I969" s="33"/>
      <c r="J969" s="33"/>
      <c r="K969" s="33"/>
      <c r="L969" s="33"/>
      <c r="M969" s="33"/>
      <c r="N969" s="33"/>
      <c r="O969" s="33"/>
      <c r="P969" s="33"/>
      <c r="Q969" s="33"/>
      <c r="R969" s="33"/>
      <c r="S969" s="33"/>
      <c r="T969" s="33"/>
      <c r="U969" s="33"/>
      <c r="V969" s="33"/>
      <c r="W969" s="33"/>
      <c r="X969" s="33"/>
      <c r="Y969" s="33"/>
      <c r="Z969" s="33"/>
    </row>
    <row r="970" spans="1:26" ht="13.5" customHeight="1" x14ac:dyDescent="0.35">
      <c r="A970" s="33"/>
      <c r="B970" s="33"/>
      <c r="C970" s="33"/>
      <c r="D970" s="33"/>
      <c r="E970" s="33"/>
      <c r="F970" s="33"/>
      <c r="G970" s="33"/>
      <c r="H970" s="33"/>
      <c r="I970" s="33"/>
      <c r="J970" s="33"/>
      <c r="K970" s="33"/>
      <c r="L970" s="33"/>
      <c r="M970" s="33"/>
      <c r="N970" s="33"/>
      <c r="O970" s="33"/>
      <c r="P970" s="33"/>
      <c r="Q970" s="33"/>
      <c r="R970" s="33"/>
      <c r="S970" s="33"/>
      <c r="T970" s="33"/>
      <c r="U970" s="33"/>
      <c r="V970" s="33"/>
      <c r="W970" s="33"/>
      <c r="X970" s="33"/>
      <c r="Y970" s="33"/>
      <c r="Z970" s="33"/>
    </row>
    <row r="971" spans="1:26" ht="13.5" customHeight="1" x14ac:dyDescent="0.35">
      <c r="A971" s="33"/>
      <c r="B971" s="33"/>
      <c r="C971" s="33"/>
      <c r="D971" s="33"/>
      <c r="E971" s="33"/>
      <c r="F971" s="33"/>
      <c r="G971" s="33"/>
      <c r="H971" s="33"/>
      <c r="I971" s="33"/>
      <c r="J971" s="33"/>
      <c r="K971" s="33"/>
      <c r="L971" s="33"/>
      <c r="M971" s="33"/>
      <c r="N971" s="33"/>
      <c r="O971" s="33"/>
      <c r="P971" s="33"/>
      <c r="Q971" s="33"/>
      <c r="R971" s="33"/>
      <c r="S971" s="33"/>
      <c r="T971" s="33"/>
      <c r="U971" s="33"/>
      <c r="V971" s="33"/>
      <c r="W971" s="33"/>
      <c r="X971" s="33"/>
      <c r="Y971" s="33"/>
      <c r="Z971" s="33"/>
    </row>
    <row r="972" spans="1:26" ht="13.5" customHeight="1" x14ac:dyDescent="0.35">
      <c r="A972" s="33"/>
      <c r="B972" s="33"/>
      <c r="C972" s="33"/>
      <c r="D972" s="33"/>
      <c r="E972" s="33"/>
      <c r="F972" s="33"/>
      <c r="G972" s="33"/>
      <c r="H972" s="33"/>
      <c r="I972" s="33"/>
      <c r="J972" s="33"/>
      <c r="K972" s="33"/>
      <c r="L972" s="33"/>
      <c r="M972" s="33"/>
      <c r="N972" s="33"/>
      <c r="O972" s="33"/>
      <c r="P972" s="33"/>
      <c r="Q972" s="33"/>
      <c r="R972" s="33"/>
      <c r="S972" s="33"/>
      <c r="T972" s="33"/>
      <c r="U972" s="33"/>
      <c r="V972" s="33"/>
      <c r="W972" s="33"/>
      <c r="X972" s="33"/>
      <c r="Y972" s="33"/>
      <c r="Z972" s="33"/>
    </row>
    <row r="973" spans="1:26" ht="13.5" customHeight="1" x14ac:dyDescent="0.35">
      <c r="A973" s="33"/>
      <c r="B973" s="33"/>
      <c r="C973" s="33"/>
      <c r="D973" s="33"/>
      <c r="E973" s="33"/>
      <c r="F973" s="33"/>
      <c r="G973" s="33"/>
      <c r="H973" s="33"/>
      <c r="I973" s="33"/>
      <c r="J973" s="33"/>
      <c r="K973" s="33"/>
      <c r="L973" s="33"/>
      <c r="M973" s="33"/>
      <c r="N973" s="33"/>
      <c r="O973" s="33"/>
      <c r="P973" s="33"/>
      <c r="Q973" s="33"/>
      <c r="R973" s="33"/>
      <c r="S973" s="33"/>
      <c r="T973" s="33"/>
      <c r="U973" s="33"/>
      <c r="V973" s="33"/>
      <c r="W973" s="33"/>
      <c r="X973" s="33"/>
      <c r="Y973" s="33"/>
      <c r="Z973" s="33"/>
    </row>
    <row r="974" spans="1:26" ht="13.5" customHeight="1" x14ac:dyDescent="0.35">
      <c r="A974" s="33"/>
      <c r="B974" s="33"/>
      <c r="C974" s="33"/>
      <c r="D974" s="33"/>
      <c r="E974" s="33"/>
      <c r="F974" s="33"/>
      <c r="G974" s="33"/>
      <c r="H974" s="33"/>
      <c r="I974" s="33"/>
      <c r="J974" s="33"/>
      <c r="K974" s="33"/>
      <c r="L974" s="33"/>
      <c r="M974" s="33"/>
      <c r="N974" s="33"/>
      <c r="O974" s="33"/>
      <c r="P974" s="33"/>
      <c r="Q974" s="33"/>
      <c r="R974" s="33"/>
      <c r="S974" s="33"/>
      <c r="T974" s="33"/>
      <c r="U974" s="33"/>
      <c r="V974" s="33"/>
      <c r="W974" s="33"/>
      <c r="X974" s="33"/>
      <c r="Y974" s="33"/>
      <c r="Z974" s="33"/>
    </row>
    <row r="975" spans="1:26" ht="13.5" customHeight="1" x14ac:dyDescent="0.35">
      <c r="A975" s="33"/>
      <c r="B975" s="33"/>
      <c r="C975" s="33"/>
      <c r="D975" s="33"/>
      <c r="E975" s="33"/>
      <c r="F975" s="33"/>
      <c r="G975" s="33"/>
      <c r="H975" s="33"/>
      <c r="I975" s="33"/>
      <c r="J975" s="33"/>
      <c r="K975" s="33"/>
      <c r="L975" s="33"/>
      <c r="M975" s="33"/>
      <c r="N975" s="33"/>
      <c r="O975" s="33"/>
      <c r="P975" s="33"/>
      <c r="Q975" s="33"/>
      <c r="R975" s="33"/>
      <c r="S975" s="33"/>
      <c r="T975" s="33"/>
      <c r="U975" s="33"/>
      <c r="V975" s="33"/>
      <c r="W975" s="33"/>
      <c r="X975" s="33"/>
      <c r="Y975" s="33"/>
      <c r="Z975" s="33"/>
    </row>
    <row r="976" spans="1:26" ht="13.5" customHeight="1" x14ac:dyDescent="0.35">
      <c r="A976" s="33"/>
      <c r="B976" s="33"/>
      <c r="C976" s="33"/>
      <c r="D976" s="33"/>
      <c r="E976" s="33"/>
      <c r="F976" s="33"/>
      <c r="G976" s="33"/>
      <c r="H976" s="33"/>
      <c r="I976" s="33"/>
      <c r="J976" s="33"/>
      <c r="K976" s="33"/>
      <c r="L976" s="33"/>
      <c r="M976" s="33"/>
      <c r="N976" s="33"/>
      <c r="O976" s="33"/>
      <c r="P976" s="33"/>
      <c r="Q976" s="33"/>
      <c r="R976" s="33"/>
      <c r="S976" s="33"/>
      <c r="T976" s="33"/>
      <c r="U976" s="33"/>
      <c r="V976" s="33"/>
      <c r="W976" s="33"/>
      <c r="X976" s="33"/>
      <c r="Y976" s="33"/>
      <c r="Z976" s="33"/>
    </row>
    <row r="977" spans="1:26" ht="13.5" customHeight="1" x14ac:dyDescent="0.35">
      <c r="A977" s="33"/>
      <c r="B977" s="33"/>
      <c r="C977" s="33"/>
      <c r="D977" s="33"/>
      <c r="E977" s="33"/>
      <c r="F977" s="33"/>
      <c r="G977" s="33"/>
      <c r="H977" s="33"/>
      <c r="I977" s="33"/>
      <c r="J977" s="33"/>
      <c r="K977" s="33"/>
      <c r="L977" s="33"/>
      <c r="M977" s="33"/>
      <c r="N977" s="33"/>
      <c r="O977" s="33"/>
      <c r="P977" s="33"/>
      <c r="Q977" s="33"/>
      <c r="R977" s="33"/>
      <c r="S977" s="33"/>
      <c r="T977" s="33"/>
      <c r="U977" s="33"/>
      <c r="V977" s="33"/>
      <c r="W977" s="33"/>
      <c r="X977" s="33"/>
      <c r="Y977" s="33"/>
      <c r="Z977" s="33"/>
    </row>
    <row r="978" spans="1:26" ht="13.5" customHeight="1" x14ac:dyDescent="0.35">
      <c r="A978" s="33"/>
      <c r="B978" s="33"/>
      <c r="C978" s="33"/>
      <c r="D978" s="33"/>
      <c r="E978" s="33"/>
      <c r="F978" s="33"/>
      <c r="G978" s="33"/>
      <c r="H978" s="33"/>
      <c r="I978" s="33"/>
      <c r="J978" s="33"/>
      <c r="K978" s="33"/>
      <c r="L978" s="33"/>
      <c r="M978" s="33"/>
      <c r="N978" s="33"/>
      <c r="O978" s="33"/>
      <c r="P978" s="33"/>
      <c r="Q978" s="33"/>
      <c r="R978" s="33"/>
      <c r="S978" s="33"/>
      <c r="T978" s="33"/>
      <c r="U978" s="33"/>
      <c r="V978" s="33"/>
      <c r="W978" s="33"/>
      <c r="X978" s="33"/>
      <c r="Y978" s="33"/>
      <c r="Z978" s="33"/>
    </row>
    <row r="979" spans="1:26" ht="13.5" customHeight="1" x14ac:dyDescent="0.35">
      <c r="A979" s="33"/>
      <c r="B979" s="33"/>
      <c r="C979" s="33"/>
      <c r="D979" s="33"/>
      <c r="E979" s="33"/>
      <c r="F979" s="33"/>
      <c r="G979" s="33"/>
      <c r="H979" s="33"/>
      <c r="I979" s="33"/>
      <c r="J979" s="33"/>
      <c r="K979" s="33"/>
      <c r="L979" s="33"/>
      <c r="M979" s="33"/>
      <c r="N979" s="33"/>
      <c r="O979" s="33"/>
      <c r="P979" s="33"/>
      <c r="Q979" s="33"/>
      <c r="R979" s="33"/>
      <c r="S979" s="33"/>
      <c r="T979" s="33"/>
      <c r="U979" s="33"/>
      <c r="V979" s="33"/>
      <c r="W979" s="33"/>
      <c r="X979" s="33"/>
      <c r="Y979" s="33"/>
      <c r="Z979" s="33"/>
    </row>
    <row r="980" spans="1:26" ht="13.5" customHeight="1" x14ac:dyDescent="0.35">
      <c r="A980" s="33"/>
      <c r="B980" s="33"/>
      <c r="C980" s="33"/>
      <c r="D980" s="33"/>
      <c r="E980" s="33"/>
      <c r="F980" s="33"/>
      <c r="G980" s="33"/>
      <c r="H980" s="33"/>
      <c r="I980" s="33"/>
      <c r="J980" s="33"/>
      <c r="K980" s="33"/>
      <c r="L980" s="33"/>
      <c r="M980" s="33"/>
      <c r="N980" s="33"/>
      <c r="O980" s="33"/>
      <c r="P980" s="33"/>
      <c r="Q980" s="33"/>
      <c r="R980" s="33"/>
      <c r="S980" s="33"/>
      <c r="T980" s="33"/>
      <c r="U980" s="33"/>
      <c r="V980" s="33"/>
      <c r="W980" s="33"/>
      <c r="X980" s="33"/>
      <c r="Y980" s="33"/>
      <c r="Z980" s="33"/>
    </row>
    <row r="981" spans="1:26" ht="13.5" customHeight="1" x14ac:dyDescent="0.35">
      <c r="A981" s="33"/>
      <c r="B981" s="33"/>
      <c r="C981" s="33"/>
      <c r="D981" s="33"/>
      <c r="E981" s="33"/>
      <c r="F981" s="33"/>
      <c r="G981" s="33"/>
      <c r="H981" s="33"/>
      <c r="I981" s="33"/>
      <c r="J981" s="33"/>
      <c r="K981" s="33"/>
      <c r="L981" s="33"/>
      <c r="M981" s="33"/>
      <c r="N981" s="33"/>
      <c r="O981" s="33"/>
      <c r="P981" s="33"/>
      <c r="Q981" s="33"/>
      <c r="R981" s="33"/>
      <c r="S981" s="33"/>
      <c r="T981" s="33"/>
      <c r="U981" s="33"/>
      <c r="V981" s="33"/>
      <c r="W981" s="33"/>
      <c r="X981" s="33"/>
      <c r="Y981" s="33"/>
      <c r="Z981" s="33"/>
    </row>
    <row r="982" spans="1:26" ht="13.5" customHeight="1" x14ac:dyDescent="0.35">
      <c r="A982" s="33"/>
      <c r="B982" s="33"/>
      <c r="C982" s="33"/>
      <c r="D982" s="33"/>
      <c r="E982" s="33"/>
      <c r="F982" s="33"/>
      <c r="G982" s="33"/>
      <c r="H982" s="33"/>
      <c r="I982" s="33"/>
      <c r="J982" s="33"/>
      <c r="K982" s="33"/>
      <c r="L982" s="33"/>
      <c r="M982" s="33"/>
      <c r="N982" s="33"/>
      <c r="O982" s="33"/>
      <c r="P982" s="33"/>
      <c r="Q982" s="33"/>
      <c r="R982" s="33"/>
      <c r="S982" s="33"/>
      <c r="T982" s="33"/>
      <c r="U982" s="33"/>
      <c r="V982" s="33"/>
      <c r="W982" s="33"/>
      <c r="X982" s="33"/>
      <c r="Y982" s="33"/>
      <c r="Z982" s="33"/>
    </row>
    <row r="983" spans="1:26" ht="13.5" customHeight="1" x14ac:dyDescent="0.35">
      <c r="A983" s="33"/>
      <c r="B983" s="33"/>
      <c r="C983" s="33"/>
      <c r="D983" s="33"/>
      <c r="E983" s="33"/>
      <c r="F983" s="33"/>
      <c r="G983" s="33"/>
      <c r="H983" s="33"/>
      <c r="I983" s="33"/>
      <c r="J983" s="33"/>
      <c r="K983" s="33"/>
      <c r="L983" s="33"/>
      <c r="M983" s="33"/>
      <c r="N983" s="33"/>
      <c r="O983" s="33"/>
      <c r="P983" s="33"/>
      <c r="Q983" s="33"/>
      <c r="R983" s="33"/>
      <c r="S983" s="33"/>
      <c r="T983" s="33"/>
      <c r="U983" s="33"/>
      <c r="V983" s="33"/>
      <c r="W983" s="33"/>
      <c r="X983" s="33"/>
      <c r="Y983" s="33"/>
      <c r="Z983" s="33"/>
    </row>
    <row r="984" spans="1:26" ht="13.5" customHeight="1" x14ac:dyDescent="0.35">
      <c r="A984" s="33"/>
      <c r="B984" s="33"/>
      <c r="C984" s="33"/>
      <c r="D984" s="33"/>
      <c r="E984" s="33"/>
      <c r="F984" s="33"/>
      <c r="G984" s="33"/>
      <c r="H984" s="33"/>
      <c r="I984" s="33"/>
      <c r="J984" s="33"/>
      <c r="K984" s="33"/>
      <c r="L984" s="33"/>
      <c r="M984" s="33"/>
      <c r="N984" s="33"/>
      <c r="O984" s="33"/>
      <c r="P984" s="33"/>
      <c r="Q984" s="33"/>
      <c r="R984" s="33"/>
      <c r="S984" s="33"/>
      <c r="T984" s="33"/>
      <c r="U984" s="33"/>
      <c r="V984" s="33"/>
      <c r="W984" s="33"/>
      <c r="X984" s="33"/>
      <c r="Y984" s="33"/>
      <c r="Z984" s="33"/>
    </row>
    <row r="985" spans="1:26" ht="13.5" customHeight="1" x14ac:dyDescent="0.35">
      <c r="A985" s="33"/>
      <c r="B985" s="33"/>
      <c r="C985" s="33"/>
      <c r="D985" s="33"/>
      <c r="E985" s="33"/>
      <c r="F985" s="33"/>
      <c r="G985" s="33"/>
      <c r="H985" s="33"/>
      <c r="I985" s="33"/>
      <c r="J985" s="33"/>
      <c r="K985" s="33"/>
      <c r="L985" s="33"/>
      <c r="M985" s="33"/>
      <c r="N985" s="33"/>
      <c r="O985" s="33"/>
      <c r="P985" s="33"/>
      <c r="Q985" s="33"/>
      <c r="R985" s="33"/>
      <c r="S985" s="33"/>
      <c r="T985" s="33"/>
      <c r="U985" s="33"/>
      <c r="V985" s="33"/>
      <c r="W985" s="33"/>
      <c r="X985" s="33"/>
      <c r="Y985" s="33"/>
      <c r="Z985" s="33"/>
    </row>
    <row r="986" spans="1:26" ht="13.5" customHeight="1" x14ac:dyDescent="0.35">
      <c r="A986" s="33"/>
      <c r="B986" s="33"/>
      <c r="C986" s="33"/>
      <c r="D986" s="33"/>
      <c r="E986" s="33"/>
      <c r="F986" s="33"/>
      <c r="G986" s="33"/>
      <c r="H986" s="33"/>
      <c r="I986" s="33"/>
      <c r="J986" s="33"/>
      <c r="K986" s="33"/>
      <c r="L986" s="33"/>
      <c r="M986" s="33"/>
      <c r="N986" s="33"/>
      <c r="O986" s="33"/>
      <c r="P986" s="33"/>
      <c r="Q986" s="33"/>
      <c r="R986" s="33"/>
      <c r="S986" s="33"/>
      <c r="T986" s="33"/>
      <c r="U986" s="33"/>
      <c r="V986" s="33"/>
      <c r="W986" s="33"/>
      <c r="X986" s="33"/>
      <c r="Y986" s="33"/>
      <c r="Z986" s="33"/>
    </row>
    <row r="987" spans="1:26" ht="13.5" customHeight="1" x14ac:dyDescent="0.35">
      <c r="A987" s="33"/>
      <c r="B987" s="33"/>
      <c r="C987" s="33"/>
      <c r="D987" s="33"/>
      <c r="E987" s="33"/>
      <c r="F987" s="33"/>
      <c r="G987" s="33"/>
      <c r="H987" s="33"/>
      <c r="I987" s="33"/>
      <c r="J987" s="33"/>
      <c r="K987" s="33"/>
      <c r="L987" s="33"/>
      <c r="M987" s="33"/>
      <c r="N987" s="33"/>
      <c r="O987" s="33"/>
      <c r="P987" s="33"/>
      <c r="Q987" s="33"/>
      <c r="R987" s="33"/>
      <c r="S987" s="33"/>
      <c r="T987" s="33"/>
      <c r="U987" s="33"/>
      <c r="V987" s="33"/>
      <c r="W987" s="33"/>
      <c r="X987" s="33"/>
      <c r="Y987" s="33"/>
      <c r="Z987" s="33"/>
    </row>
    <row r="988" spans="1:26" ht="13.5" customHeight="1" x14ac:dyDescent="0.35">
      <c r="A988" s="33"/>
      <c r="B988" s="33"/>
      <c r="C988" s="33"/>
      <c r="D988" s="33"/>
      <c r="E988" s="33"/>
      <c r="F988" s="33"/>
      <c r="G988" s="33"/>
      <c r="H988" s="33"/>
      <c r="I988" s="33"/>
      <c r="J988" s="33"/>
      <c r="K988" s="33"/>
      <c r="L988" s="33"/>
      <c r="M988" s="33"/>
      <c r="N988" s="33"/>
      <c r="O988" s="33"/>
      <c r="P988" s="33"/>
      <c r="Q988" s="33"/>
      <c r="R988" s="33"/>
      <c r="S988" s="33"/>
      <c r="T988" s="33"/>
      <c r="U988" s="33"/>
      <c r="V988" s="33"/>
      <c r="W988" s="33"/>
      <c r="X988" s="33"/>
      <c r="Y988" s="33"/>
      <c r="Z988" s="33"/>
    </row>
    <row r="989" spans="1:26" ht="13.5" customHeight="1" x14ac:dyDescent="0.35">
      <c r="A989" s="33"/>
      <c r="B989" s="33"/>
      <c r="C989" s="33"/>
      <c r="D989" s="33"/>
      <c r="E989" s="33"/>
      <c r="F989" s="33"/>
      <c r="G989" s="33"/>
      <c r="H989" s="33"/>
      <c r="I989" s="33"/>
      <c r="J989" s="33"/>
      <c r="K989" s="33"/>
      <c r="L989" s="33"/>
      <c r="M989" s="33"/>
      <c r="N989" s="33"/>
      <c r="O989" s="33"/>
      <c r="P989" s="33"/>
      <c r="Q989" s="33"/>
      <c r="R989" s="33"/>
      <c r="S989" s="33"/>
      <c r="T989" s="33"/>
      <c r="U989" s="33"/>
      <c r="V989" s="33"/>
      <c r="W989" s="33"/>
      <c r="X989" s="33"/>
      <c r="Y989" s="33"/>
      <c r="Z989" s="33"/>
    </row>
    <row r="990" spans="1:26" ht="13.5" customHeight="1" x14ac:dyDescent="0.35">
      <c r="A990" s="33"/>
      <c r="B990" s="33"/>
      <c r="C990" s="33"/>
      <c r="D990" s="33"/>
      <c r="E990" s="33"/>
      <c r="F990" s="33"/>
      <c r="G990" s="33"/>
      <c r="H990" s="33"/>
      <c r="I990" s="33"/>
      <c r="J990" s="33"/>
      <c r="K990" s="33"/>
      <c r="L990" s="33"/>
      <c r="M990" s="33"/>
      <c r="N990" s="33"/>
      <c r="O990" s="33"/>
      <c r="P990" s="33"/>
      <c r="Q990" s="33"/>
      <c r="R990" s="33"/>
      <c r="S990" s="33"/>
      <c r="T990" s="33"/>
      <c r="U990" s="33"/>
      <c r="V990" s="33"/>
      <c r="W990" s="33"/>
      <c r="X990" s="33"/>
      <c r="Y990" s="33"/>
      <c r="Z990" s="33"/>
    </row>
    <row r="991" spans="1:26" ht="13.5" customHeight="1" x14ac:dyDescent="0.35">
      <c r="A991" s="33"/>
      <c r="B991" s="33"/>
      <c r="C991" s="33"/>
      <c r="D991" s="33"/>
      <c r="E991" s="33"/>
      <c r="F991" s="33"/>
      <c r="G991" s="33"/>
      <c r="H991" s="33"/>
      <c r="I991" s="33"/>
      <c r="J991" s="33"/>
      <c r="K991" s="33"/>
      <c r="L991" s="33"/>
      <c r="M991" s="33"/>
      <c r="N991" s="33"/>
      <c r="O991" s="33"/>
      <c r="P991" s="33"/>
      <c r="Q991" s="33"/>
      <c r="R991" s="33"/>
      <c r="S991" s="33"/>
      <c r="T991" s="33"/>
      <c r="U991" s="33"/>
      <c r="V991" s="33"/>
      <c r="W991" s="33"/>
      <c r="X991" s="33"/>
      <c r="Y991" s="33"/>
      <c r="Z991" s="33"/>
    </row>
    <row r="992" spans="1:26" ht="13.5" customHeight="1" x14ac:dyDescent="0.35">
      <c r="A992" s="33"/>
      <c r="B992" s="33"/>
      <c r="C992" s="33"/>
      <c r="D992" s="33"/>
      <c r="E992" s="33"/>
      <c r="F992" s="33"/>
      <c r="G992" s="33"/>
      <c r="H992" s="33"/>
      <c r="I992" s="33"/>
      <c r="J992" s="33"/>
      <c r="K992" s="33"/>
      <c r="L992" s="33"/>
      <c r="M992" s="33"/>
      <c r="N992" s="33"/>
      <c r="O992" s="33"/>
      <c r="P992" s="33"/>
      <c r="Q992" s="33"/>
      <c r="R992" s="33"/>
      <c r="S992" s="33"/>
      <c r="T992" s="33"/>
      <c r="U992" s="33"/>
      <c r="V992" s="33"/>
      <c r="W992" s="33"/>
      <c r="X992" s="33"/>
      <c r="Y992" s="33"/>
      <c r="Z992" s="33"/>
    </row>
    <row r="993" spans="1:26" ht="13.5" customHeight="1" x14ac:dyDescent="0.35">
      <c r="A993" s="33"/>
      <c r="B993" s="33"/>
      <c r="C993" s="33"/>
      <c r="D993" s="33"/>
      <c r="E993" s="33"/>
      <c r="F993" s="33"/>
      <c r="G993" s="33"/>
      <c r="H993" s="33"/>
      <c r="I993" s="33"/>
      <c r="J993" s="33"/>
      <c r="K993" s="33"/>
      <c r="L993" s="33"/>
      <c r="M993" s="33"/>
      <c r="N993" s="33"/>
      <c r="O993" s="33"/>
      <c r="P993" s="33"/>
      <c r="Q993" s="33"/>
      <c r="R993" s="33"/>
      <c r="S993" s="33"/>
      <c r="T993" s="33"/>
      <c r="U993" s="33"/>
      <c r="V993" s="33"/>
      <c r="W993" s="33"/>
      <c r="X993" s="33"/>
      <c r="Y993" s="33"/>
      <c r="Z993" s="33"/>
    </row>
    <row r="994" spans="1:26" ht="13.5" customHeight="1" x14ac:dyDescent="0.35">
      <c r="A994" s="33"/>
      <c r="B994" s="33"/>
      <c r="C994" s="33"/>
      <c r="D994" s="33"/>
      <c r="E994" s="33"/>
      <c r="F994" s="33"/>
      <c r="G994" s="33"/>
      <c r="H994" s="33"/>
      <c r="I994" s="33"/>
      <c r="J994" s="33"/>
      <c r="K994" s="33"/>
      <c r="L994" s="33"/>
      <c r="M994" s="33"/>
      <c r="N994" s="33"/>
      <c r="O994" s="33"/>
      <c r="P994" s="33"/>
      <c r="Q994" s="33"/>
      <c r="R994" s="33"/>
      <c r="S994" s="33"/>
      <c r="T994" s="33"/>
      <c r="U994" s="33"/>
      <c r="V994" s="33"/>
      <c r="W994" s="33"/>
      <c r="X994" s="33"/>
      <c r="Y994" s="33"/>
      <c r="Z994" s="33"/>
    </row>
    <row r="995" spans="1:26" ht="13.5" customHeight="1" x14ac:dyDescent="0.35">
      <c r="A995" s="33"/>
      <c r="B995" s="33"/>
      <c r="C995" s="33"/>
      <c r="D995" s="33"/>
      <c r="E995" s="33"/>
      <c r="F995" s="33"/>
      <c r="G995" s="33"/>
      <c r="H995" s="33"/>
      <c r="I995" s="33"/>
      <c r="J995" s="33"/>
      <c r="K995" s="33"/>
      <c r="L995" s="33"/>
      <c r="M995" s="33"/>
      <c r="N995" s="33"/>
      <c r="O995" s="33"/>
      <c r="P995" s="33"/>
      <c r="Q995" s="33"/>
      <c r="R995" s="33"/>
      <c r="S995" s="33"/>
      <c r="T995" s="33"/>
      <c r="U995" s="33"/>
      <c r="V995" s="33"/>
      <c r="W995" s="33"/>
      <c r="X995" s="33"/>
      <c r="Y995" s="33"/>
      <c r="Z995" s="33"/>
    </row>
    <row r="996" spans="1:26" ht="13.5" customHeight="1" x14ac:dyDescent="0.35">
      <c r="A996" s="33"/>
      <c r="B996" s="33"/>
      <c r="C996" s="33"/>
      <c r="D996" s="33"/>
      <c r="E996" s="33"/>
      <c r="F996" s="33"/>
      <c r="G996" s="33"/>
      <c r="H996" s="33"/>
      <c r="I996" s="33"/>
      <c r="J996" s="33"/>
      <c r="K996" s="33"/>
      <c r="L996" s="33"/>
      <c r="M996" s="33"/>
      <c r="N996" s="33"/>
      <c r="O996" s="33"/>
      <c r="P996" s="33"/>
      <c r="Q996" s="33"/>
      <c r="R996" s="33"/>
      <c r="S996" s="33"/>
      <c r="T996" s="33"/>
      <c r="U996" s="33"/>
      <c r="V996" s="33"/>
      <c r="W996" s="33"/>
      <c r="X996" s="33"/>
      <c r="Y996" s="33"/>
      <c r="Z996" s="33"/>
    </row>
    <row r="997" spans="1:26" ht="13.5" customHeight="1" x14ac:dyDescent="0.35">
      <c r="A997" s="33"/>
      <c r="B997" s="33"/>
      <c r="C997" s="33"/>
      <c r="D997" s="33"/>
      <c r="E997" s="33"/>
      <c r="F997" s="33"/>
      <c r="G997" s="33"/>
      <c r="H997" s="33"/>
      <c r="I997" s="33"/>
      <c r="J997" s="33"/>
      <c r="K997" s="33"/>
      <c r="L997" s="33"/>
      <c r="M997" s="33"/>
      <c r="N997" s="33"/>
      <c r="O997" s="33"/>
      <c r="P997" s="33"/>
      <c r="Q997" s="33"/>
      <c r="R997" s="33"/>
      <c r="S997" s="33"/>
      <c r="T997" s="33"/>
      <c r="U997" s="33"/>
      <c r="V997" s="33"/>
      <c r="W997" s="33"/>
      <c r="X997" s="33"/>
      <c r="Y997" s="33"/>
      <c r="Z997" s="33"/>
    </row>
    <row r="998" spans="1:26" ht="13.5" customHeight="1" x14ac:dyDescent="0.35">
      <c r="A998" s="33"/>
      <c r="B998" s="33"/>
      <c r="C998" s="33"/>
      <c r="D998" s="33"/>
      <c r="E998" s="33"/>
      <c r="F998" s="33"/>
      <c r="G998" s="33"/>
      <c r="H998" s="33"/>
      <c r="I998" s="33"/>
      <c r="J998" s="33"/>
      <c r="K998" s="33"/>
      <c r="L998" s="33"/>
      <c r="M998" s="33"/>
      <c r="N998" s="33"/>
      <c r="O998" s="33"/>
      <c r="P998" s="33"/>
      <c r="Q998" s="33"/>
      <c r="R998" s="33"/>
      <c r="S998" s="33"/>
      <c r="T998" s="33"/>
      <c r="U998" s="33"/>
      <c r="V998" s="33"/>
      <c r="W998" s="33"/>
      <c r="X998" s="33"/>
      <c r="Y998" s="33"/>
      <c r="Z998" s="33"/>
    </row>
    <row r="999" spans="1:26" ht="13.5" customHeight="1" x14ac:dyDescent="0.35">
      <c r="A999" s="33"/>
      <c r="B999" s="33"/>
      <c r="C999" s="33"/>
      <c r="D999" s="33"/>
      <c r="E999" s="33"/>
      <c r="F999" s="33"/>
      <c r="G999" s="33"/>
      <c r="H999" s="33"/>
      <c r="I999" s="33"/>
      <c r="J999" s="33"/>
      <c r="K999" s="33"/>
      <c r="L999" s="33"/>
      <c r="M999" s="33"/>
      <c r="N999" s="33"/>
      <c r="O999" s="33"/>
      <c r="P999" s="33"/>
      <c r="Q999" s="33"/>
      <c r="R999" s="33"/>
      <c r="S999" s="33"/>
      <c r="T999" s="33"/>
      <c r="U999" s="33"/>
      <c r="V999" s="33"/>
      <c r="W999" s="33"/>
      <c r="X999" s="33"/>
      <c r="Y999" s="33"/>
      <c r="Z999" s="33"/>
    </row>
    <row r="1000" spans="1:26" ht="13.5" customHeight="1" x14ac:dyDescent="0.35">
      <c r="A1000" s="33"/>
      <c r="B1000" s="33"/>
      <c r="C1000" s="33"/>
      <c r="D1000" s="33"/>
      <c r="E1000" s="33"/>
      <c r="F1000" s="33"/>
      <c r="G1000" s="33"/>
      <c r="H1000" s="33"/>
      <c r="I1000" s="33"/>
      <c r="J1000" s="33"/>
      <c r="K1000" s="33"/>
      <c r="L1000" s="33"/>
      <c r="M1000" s="33"/>
      <c r="N1000" s="33"/>
      <c r="O1000" s="33"/>
      <c r="P1000" s="33"/>
      <c r="Q1000" s="33"/>
      <c r="R1000" s="33"/>
      <c r="S1000" s="33"/>
      <c r="T1000" s="33"/>
      <c r="U1000" s="33"/>
      <c r="V1000" s="33"/>
      <c r="W1000" s="33"/>
      <c r="X1000" s="33"/>
      <c r="Y1000" s="33"/>
      <c r="Z1000" s="33"/>
    </row>
    <row r="1001" spans="1:26" ht="13.5" customHeight="1" x14ac:dyDescent="0.35">
      <c r="A1001" s="33"/>
      <c r="B1001" s="33"/>
      <c r="C1001" s="33"/>
      <c r="D1001" s="33"/>
      <c r="E1001" s="33"/>
      <c r="F1001" s="33"/>
      <c r="G1001" s="33"/>
      <c r="H1001" s="33"/>
      <c r="I1001" s="33"/>
      <c r="J1001" s="33"/>
      <c r="K1001" s="33"/>
      <c r="L1001" s="33"/>
      <c r="M1001" s="33"/>
      <c r="N1001" s="33"/>
      <c r="O1001" s="33"/>
      <c r="P1001" s="33"/>
      <c r="Q1001" s="33"/>
      <c r="R1001" s="33"/>
      <c r="S1001" s="33"/>
      <c r="T1001" s="33"/>
      <c r="U1001" s="33"/>
      <c r="V1001" s="33"/>
      <c r="W1001" s="33"/>
      <c r="X1001" s="33"/>
      <c r="Y1001" s="33"/>
      <c r="Z1001" s="33"/>
    </row>
    <row r="1002" spans="1:26" ht="13.5" customHeight="1" x14ac:dyDescent="0.35">
      <c r="A1002" s="33"/>
      <c r="B1002" s="33"/>
      <c r="C1002" s="33"/>
      <c r="D1002" s="33"/>
      <c r="E1002" s="33"/>
      <c r="F1002" s="33"/>
      <c r="G1002" s="33"/>
      <c r="H1002" s="33"/>
      <c r="I1002" s="33"/>
      <c r="J1002" s="33"/>
      <c r="K1002" s="33"/>
      <c r="L1002" s="33"/>
      <c r="M1002" s="33"/>
      <c r="N1002" s="33"/>
      <c r="O1002" s="33"/>
      <c r="P1002" s="33"/>
      <c r="Q1002" s="33"/>
      <c r="R1002" s="33"/>
      <c r="S1002" s="33"/>
      <c r="T1002" s="33"/>
      <c r="U1002" s="33"/>
      <c r="V1002" s="33"/>
      <c r="W1002" s="33"/>
      <c r="X1002" s="33"/>
      <c r="Y1002" s="33"/>
      <c r="Z1002" s="33"/>
    </row>
    <row r="1003" spans="1:26" ht="13.5" customHeight="1" x14ac:dyDescent="0.35">
      <c r="A1003" s="33"/>
      <c r="B1003" s="33"/>
      <c r="C1003" s="33"/>
      <c r="D1003" s="33"/>
      <c r="E1003" s="33"/>
      <c r="F1003" s="33"/>
      <c r="G1003" s="33"/>
      <c r="H1003" s="33"/>
      <c r="I1003" s="33"/>
      <c r="J1003" s="33"/>
      <c r="K1003" s="33"/>
      <c r="L1003" s="33"/>
      <c r="M1003" s="33"/>
      <c r="N1003" s="33"/>
      <c r="O1003" s="33"/>
      <c r="P1003" s="33"/>
      <c r="Q1003" s="33"/>
      <c r="R1003" s="33"/>
      <c r="S1003" s="33"/>
      <c r="T1003" s="33"/>
      <c r="U1003" s="33"/>
      <c r="V1003" s="33"/>
      <c r="W1003" s="33"/>
      <c r="X1003" s="33"/>
      <c r="Y1003" s="33"/>
      <c r="Z1003" s="33"/>
    </row>
    <row r="1004" spans="1:26" ht="13.5" customHeight="1" x14ac:dyDescent="0.35">
      <c r="A1004" s="33"/>
      <c r="B1004" s="33"/>
      <c r="C1004" s="33"/>
      <c r="D1004" s="33"/>
      <c r="E1004" s="33"/>
      <c r="F1004" s="33"/>
      <c r="G1004" s="33"/>
      <c r="H1004" s="33"/>
      <c r="I1004" s="33"/>
      <c r="J1004" s="33"/>
      <c r="K1004" s="33"/>
      <c r="L1004" s="33"/>
      <c r="M1004" s="33"/>
      <c r="N1004" s="33"/>
      <c r="O1004" s="33"/>
      <c r="P1004" s="33"/>
      <c r="Q1004" s="33"/>
      <c r="R1004" s="33"/>
      <c r="S1004" s="33"/>
      <c r="T1004" s="33"/>
      <c r="U1004" s="33"/>
      <c r="V1004" s="33"/>
      <c r="W1004" s="33"/>
      <c r="X1004" s="33"/>
      <c r="Y1004" s="33"/>
      <c r="Z1004" s="33"/>
    </row>
    <row r="1005" spans="1:26" ht="13.5" customHeight="1" x14ac:dyDescent="0.35">
      <c r="A1005" s="33"/>
      <c r="B1005" s="33"/>
      <c r="C1005" s="33"/>
      <c r="D1005" s="33"/>
      <c r="E1005" s="33"/>
      <c r="F1005" s="33"/>
      <c r="G1005" s="33"/>
      <c r="H1005" s="33"/>
      <c r="I1005" s="33"/>
      <c r="J1005" s="33"/>
      <c r="K1005" s="33"/>
      <c r="L1005" s="33"/>
      <c r="M1005" s="33"/>
      <c r="N1005" s="33"/>
      <c r="O1005" s="33"/>
      <c r="P1005" s="33"/>
      <c r="Q1005" s="33"/>
      <c r="R1005" s="33"/>
      <c r="S1005" s="33"/>
      <c r="T1005" s="33"/>
      <c r="U1005" s="33"/>
      <c r="V1005" s="33"/>
      <c r="W1005" s="33"/>
      <c r="X1005" s="33"/>
      <c r="Y1005" s="33"/>
      <c r="Z1005" s="33"/>
    </row>
    <row r="1006" spans="1:26" ht="13.5" customHeight="1" x14ac:dyDescent="0.35">
      <c r="A1006" s="33"/>
      <c r="B1006" s="33"/>
      <c r="C1006" s="33"/>
      <c r="D1006" s="33"/>
      <c r="E1006" s="33"/>
      <c r="F1006" s="33"/>
      <c r="G1006" s="33"/>
      <c r="H1006" s="33"/>
      <c r="I1006" s="33"/>
      <c r="J1006" s="33"/>
      <c r="K1006" s="33"/>
      <c r="L1006" s="33"/>
      <c r="M1006" s="33"/>
      <c r="N1006" s="33"/>
      <c r="O1006" s="33"/>
      <c r="P1006" s="33"/>
      <c r="Q1006" s="33"/>
      <c r="R1006" s="33"/>
      <c r="S1006" s="33"/>
      <c r="T1006" s="33"/>
      <c r="U1006" s="33"/>
      <c r="V1006" s="33"/>
      <c r="W1006" s="33"/>
      <c r="X1006" s="33"/>
      <c r="Y1006" s="33"/>
      <c r="Z1006" s="33"/>
    </row>
    <row r="1007" spans="1:26" ht="13.5" customHeight="1" x14ac:dyDescent="0.35">
      <c r="A1007" s="33"/>
      <c r="B1007" s="33"/>
      <c r="C1007" s="33"/>
      <c r="D1007" s="33"/>
      <c r="E1007" s="33"/>
      <c r="F1007" s="33"/>
      <c r="G1007" s="33"/>
      <c r="H1007" s="33"/>
      <c r="I1007" s="33"/>
      <c r="J1007" s="33"/>
      <c r="K1007" s="33"/>
      <c r="L1007" s="33"/>
      <c r="M1007" s="33"/>
      <c r="N1007" s="33"/>
      <c r="O1007" s="33"/>
      <c r="P1007" s="33"/>
      <c r="Q1007" s="33"/>
      <c r="R1007" s="33"/>
      <c r="S1007" s="33"/>
      <c r="T1007" s="33"/>
      <c r="U1007" s="33"/>
      <c r="V1007" s="33"/>
      <c r="W1007" s="33"/>
      <c r="X1007" s="33"/>
      <c r="Y1007" s="33"/>
      <c r="Z1007" s="33"/>
    </row>
    <row r="1008" spans="1:26" ht="13.5" customHeight="1" x14ac:dyDescent="0.35">
      <c r="A1008" s="33"/>
      <c r="B1008" s="33"/>
      <c r="C1008" s="33"/>
      <c r="D1008" s="33"/>
      <c r="E1008" s="33"/>
      <c r="F1008" s="33"/>
      <c r="G1008" s="33"/>
      <c r="H1008" s="33"/>
      <c r="I1008" s="33"/>
      <c r="J1008" s="33"/>
      <c r="K1008" s="33"/>
      <c r="L1008" s="33"/>
      <c r="M1008" s="33"/>
      <c r="N1008" s="33"/>
      <c r="O1008" s="33"/>
      <c r="P1008" s="33"/>
      <c r="Q1008" s="33"/>
      <c r="R1008" s="33"/>
      <c r="S1008" s="33"/>
      <c r="T1008" s="33"/>
      <c r="U1008" s="33"/>
      <c r="V1008" s="33"/>
      <c r="W1008" s="33"/>
      <c r="X1008" s="33"/>
      <c r="Y1008" s="33"/>
      <c r="Z1008" s="33"/>
    </row>
    <row r="1009" spans="1:26" ht="13.5" customHeight="1" x14ac:dyDescent="0.35">
      <c r="A1009" s="33"/>
      <c r="B1009" s="33"/>
      <c r="C1009" s="33"/>
      <c r="D1009" s="33"/>
      <c r="E1009" s="33"/>
      <c r="F1009" s="33"/>
      <c r="G1009" s="33"/>
      <c r="H1009" s="33"/>
      <c r="I1009" s="33"/>
      <c r="J1009" s="33"/>
      <c r="K1009" s="33"/>
      <c r="L1009" s="33"/>
      <c r="M1009" s="33"/>
      <c r="N1009" s="33"/>
      <c r="O1009" s="33"/>
      <c r="P1009" s="33"/>
      <c r="Q1009" s="33"/>
      <c r="R1009" s="33"/>
      <c r="S1009" s="33"/>
      <c r="T1009" s="33"/>
      <c r="U1009" s="33"/>
      <c r="V1009" s="33"/>
      <c r="W1009" s="33"/>
      <c r="X1009" s="33"/>
      <c r="Y1009" s="33"/>
      <c r="Z1009" s="33"/>
    </row>
    <row r="1010" spans="1:26" ht="13.5" customHeight="1" x14ac:dyDescent="0.35">
      <c r="A1010" s="33"/>
      <c r="B1010" s="33"/>
      <c r="C1010" s="33"/>
      <c r="D1010" s="33"/>
      <c r="E1010" s="33"/>
      <c r="F1010" s="33"/>
      <c r="G1010" s="33"/>
      <c r="H1010" s="33"/>
      <c r="I1010" s="33"/>
      <c r="J1010" s="33"/>
      <c r="K1010" s="33"/>
      <c r="L1010" s="33"/>
      <c r="M1010" s="33"/>
      <c r="N1010" s="33"/>
      <c r="O1010" s="33"/>
      <c r="P1010" s="33"/>
      <c r="Q1010" s="33"/>
      <c r="R1010" s="33"/>
      <c r="S1010" s="33"/>
      <c r="T1010" s="33"/>
      <c r="U1010" s="33"/>
      <c r="V1010" s="33"/>
      <c r="W1010" s="33"/>
      <c r="X1010" s="33"/>
      <c r="Y1010" s="33"/>
      <c r="Z1010" s="33"/>
    </row>
    <row r="1011" spans="1:26" ht="13.5" customHeight="1" x14ac:dyDescent="0.35">
      <c r="A1011" s="33"/>
      <c r="B1011" s="33"/>
      <c r="C1011" s="33"/>
      <c r="D1011" s="33"/>
      <c r="E1011" s="33"/>
      <c r="F1011" s="33"/>
      <c r="G1011" s="33"/>
      <c r="H1011" s="33"/>
      <c r="I1011" s="33"/>
      <c r="J1011" s="33"/>
      <c r="K1011" s="33"/>
      <c r="L1011" s="33"/>
      <c r="M1011" s="33"/>
      <c r="N1011" s="33"/>
      <c r="O1011" s="33"/>
      <c r="P1011" s="33"/>
      <c r="Q1011" s="33"/>
      <c r="R1011" s="33"/>
      <c r="S1011" s="33"/>
      <c r="T1011" s="33"/>
      <c r="U1011" s="33"/>
      <c r="V1011" s="33"/>
      <c r="W1011" s="33"/>
      <c r="X1011" s="33"/>
      <c r="Y1011" s="33"/>
      <c r="Z1011" s="33"/>
    </row>
    <row r="1012" spans="1:26" ht="13.5" customHeight="1" x14ac:dyDescent="0.35">
      <c r="A1012" s="33"/>
      <c r="B1012" s="33"/>
      <c r="C1012" s="33"/>
      <c r="D1012" s="33"/>
      <c r="E1012" s="33"/>
      <c r="F1012" s="33"/>
      <c r="G1012" s="33"/>
      <c r="H1012" s="33"/>
      <c r="I1012" s="33"/>
      <c r="J1012" s="33"/>
      <c r="K1012" s="33"/>
      <c r="L1012" s="33"/>
      <c r="M1012" s="33"/>
      <c r="N1012" s="33"/>
      <c r="O1012" s="33"/>
      <c r="P1012" s="33"/>
      <c r="Q1012" s="33"/>
      <c r="R1012" s="33"/>
      <c r="S1012" s="33"/>
      <c r="T1012" s="33"/>
      <c r="U1012" s="33"/>
      <c r="V1012" s="33"/>
      <c r="W1012" s="33"/>
      <c r="X1012" s="33"/>
      <c r="Y1012" s="33"/>
      <c r="Z1012" s="33"/>
    </row>
  </sheetData>
  <hyperlinks>
    <hyperlink ref="B70" r:id="rId1" xr:uid="{00000000-0004-0000-0400-000000000000}"/>
    <hyperlink ref="B71" r:id="rId2" xr:uid="{00000000-0004-0000-0400-000001000000}"/>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10.1 Payroll</vt:lpstr>
      <vt:lpstr>10.2 Revenue&amp;Expenditure</vt:lpstr>
      <vt:lpstr>SelectDept</vt:lpstr>
      <vt:lpstr>Level I_Departments</vt:lpstr>
      <vt:lpstr>Level IIandIII_Departments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julienne</cp:lastModifiedBy>
  <dcterms:created xsi:type="dcterms:W3CDTF">2018-05-11T10:00:25Z</dcterms:created>
  <dcterms:modified xsi:type="dcterms:W3CDTF">2018-06-25T04:28:54Z</dcterms:modified>
</cp:coreProperties>
</file>