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51196F13-6AD0-C1B8-E2B4-A1F9AE17003E}"/>
  <workbookPr codeName="ThisWorkbook"/>
  <workbookProtection lockStructure="1"/>
  <bookViews>
    <workbookView xWindow="0" yWindow="0" windowWidth="15525" windowHeight="7050"/>
  </bookViews>
  <sheets>
    <sheet name="7.1CSO supplies costs" sheetId="1" r:id="rId1"/>
  </sheets>
  <externalReferences>
    <externalReference r:id="rId2"/>
  </externalReferences>
  <definedNames>
    <definedName name="Drugs">'[1]1.0 Drugs&amp;Med List'!$B$16:$B$315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G37" i="1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DQ37"/>
  <c r="DP37"/>
  <c r="DO37"/>
  <c r="DN37"/>
  <c r="DM37"/>
  <c r="DL37"/>
  <c r="DK37"/>
  <c r="DJ37"/>
  <c r="DI37"/>
  <c r="DH37"/>
  <c r="DG37"/>
  <c r="DF37"/>
  <c r="DE37"/>
  <c r="DD37"/>
  <c r="DC37"/>
  <c r="DB37"/>
  <c r="DA37"/>
  <c r="CZ37"/>
  <c r="CY37"/>
  <c r="CX37"/>
  <c r="CW37"/>
  <c r="CV37"/>
  <c r="CU37"/>
  <c r="CT37"/>
  <c r="CS37"/>
  <c r="CR37"/>
  <c r="CQ37"/>
  <c r="CP37"/>
  <c r="CO37"/>
  <c r="CN37"/>
  <c r="CM37"/>
  <c r="CL37"/>
  <c r="CK37"/>
  <c r="CJ37"/>
  <c r="CI37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D37" l="1"/>
</calcChain>
</file>

<file path=xl/sharedStrings.xml><?xml version="1.0" encoding="utf-8"?>
<sst xmlns="http://schemas.openxmlformats.org/spreadsheetml/2006/main" count="155" uniqueCount="103">
  <si>
    <t>Delivery Room</t>
  </si>
  <si>
    <t>Category of supplies</t>
  </si>
  <si>
    <t>Total amount of consumption cost (peso)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</si>
  <si>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Central supply office supervisor/staff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</si>
  <si>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 Central supply logbook</t>
    </r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</si>
  <si>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costs of supplies consumed in each unit/department of the hospital</t>
    </r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</si>
  <si>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</si>
  <si>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</si>
  <si>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</si>
  <si>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</si>
  <si>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</si>
  <si>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</si>
  <si>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</si>
  <si>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</si>
  <si>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</si>
  <si>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</si>
  <si>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</si>
  <si>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</si>
  <si>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</si>
  <si>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</si>
  <si>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</si>
  <si>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</si>
  <si>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</si>
  <si>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</si>
  <si>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</si>
  <si>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</si>
  <si>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</si>
  <si>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</si>
  <si>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</si>
  <si>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</si>
  <si>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</si>
  <si>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</si>
  <si>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</si>
  <si>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</si>
  <si>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</si>
  <si>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</si>
  <si>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Dialysis Unit</t>
  </si>
  <si>
    <t>Dental</t>
  </si>
  <si>
    <t>Internal Medicine Ward</t>
  </si>
  <si>
    <t>Pediatric Ward</t>
  </si>
  <si>
    <t>Surgical Ward</t>
  </si>
  <si>
    <t>Ob/Gyne Ward</t>
  </si>
  <si>
    <t>Private Ward</t>
  </si>
  <si>
    <t>Neurosurgery Ward*</t>
  </si>
  <si>
    <t>Orthopedic Ward*</t>
  </si>
  <si>
    <t>Psychiatric Ward*</t>
  </si>
  <si>
    <t>ENT Ward*</t>
  </si>
  <si>
    <t>Total</t>
  </si>
  <si>
    <t>Others</t>
  </si>
  <si>
    <t>Sterilization</t>
  </si>
  <si>
    <t>Laboratory</t>
  </si>
  <si>
    <t>Radiology / Diagnostic Imaging (CT Scan, MRI, ECG, Mammography, Endoscopy)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</si>
  <si>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</si>
  <si>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</si>
  <si>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</si>
  <si>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</si>
  <si>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</si>
  <si>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</si>
  <si>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</si>
  <si>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</si>
  <si>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</si>
  <si>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</si>
  <si>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Heart Station</t>
  </si>
  <si>
    <t>Diabetes MAP</t>
  </si>
  <si>
    <t>Hypertension MAP</t>
  </si>
  <si>
    <t>Nuclear Medicine</t>
  </si>
  <si>
    <t>Endoscopy Unit</t>
  </si>
  <si>
    <t>Medical and other supplies and consumables dispensed by Central Supply Office/Unit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</si>
  <si>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expenses of medical and other supplies used by  various departments</t>
    </r>
  </si>
  <si>
    <t>#</t>
  </si>
  <si>
    <t>Period covered:</t>
  </si>
  <si>
    <t>IT Departments</t>
  </si>
  <si>
    <t>Housekeeping</t>
  </si>
  <si>
    <t>Outpatient Department (general)</t>
  </si>
  <si>
    <t xml:space="preserve">Diabetes </t>
  </si>
  <si>
    <t>Hypertension</t>
  </si>
  <si>
    <t>IT Department</t>
  </si>
  <si>
    <t xml:space="preserve">Housekeeping </t>
  </si>
  <si>
    <t>Office of the Chief of Medical Professional Staff / Chief of Clinics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</si>
  <si>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</si>
  <si>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 Supplies</t>
  </si>
  <si>
    <t>BRACHY ECART SUPPLY</t>
  </si>
  <si>
    <t>BRACHYTHERAPY SUPPLY</t>
  </si>
  <si>
    <t>BREAST CENTER SUPPLY</t>
  </si>
  <si>
    <t>CHEMOTHERAPY SUPPLY</t>
  </si>
  <si>
    <t>CSR DISPENSING</t>
  </si>
  <si>
    <t>CT SCAN SUPPLY</t>
  </si>
  <si>
    <t>EMERGECY ROOM SUPPLY</t>
  </si>
  <si>
    <t>HEART STATION SUPPLY</t>
  </si>
  <si>
    <t>HEMODIALYSIS MEDICAL ECART</t>
  </si>
  <si>
    <t>ICU SUPPLY</t>
  </si>
  <si>
    <t>LABORATORY SUPPLY</t>
  </si>
  <si>
    <t>LINAC MEDICAL SUPPLY</t>
  </si>
  <si>
    <t>NS2A SUPPLIES</t>
  </si>
  <si>
    <t>NS2B SUPPLIES</t>
  </si>
  <si>
    <t>NS3A SUPPLIES</t>
  </si>
  <si>
    <t>NS3B SUPPLIES</t>
  </si>
  <si>
    <t>NSPHA SUPPLIES</t>
  </si>
  <si>
    <t>NURSERY SUPPLY</t>
  </si>
  <si>
    <t>OR SUPPLY</t>
  </si>
  <si>
    <t>PMR SUPPLY</t>
  </si>
  <si>
    <t>RADIOLOGY SUPPLY</t>
  </si>
  <si>
    <t>MAY 28 - JUNE 1 2018</t>
  </si>
</sst>
</file>

<file path=xl/styles.xml><?xml version="1.0" encoding="utf-8"?>
<styleSheet xmlns="http://schemas.openxmlformats.org/spreadsheetml/2006/main">
  <numFmts count="1">
    <numFmt numFmtId="164" formatCode="_-* #,##0.00_-;\-* #,##0.00_-;_-* &quot;-&quot;??_-;_-@_-"/>
  </numFmts>
  <fonts count="21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i/>
      <sz val="10"/>
      <name val="Arial Narrow"/>
      <family val="2"/>
    </font>
    <font>
      <sz val="10"/>
      <color theme="1"/>
      <name val="Arial Narrow"/>
      <family val="2"/>
    </font>
    <font>
      <i/>
      <sz val="10"/>
      <color theme="1"/>
      <name val="Arial Narrow"/>
      <family val="2"/>
    </font>
    <font>
      <b/>
      <i/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rgb="FF0070C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Calibri"/>
      <family val="2"/>
    </font>
    <font>
      <sz val="11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rgb="FF00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4" fontId="9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2" fillId="0" borderId="0" xfId="0" applyFont="1"/>
    <xf numFmtId="0" fontId="8" fillId="0" borderId="1" xfId="0" applyFont="1" applyBorder="1"/>
    <xf numFmtId="0" fontId="8" fillId="0" borderId="0" xfId="0" applyFont="1"/>
    <xf numFmtId="164" fontId="10" fillId="2" borderId="1" xfId="2" applyFont="1" applyFill="1" applyBorder="1" applyProtection="1">
      <protection locked="0"/>
    </xf>
    <xf numFmtId="164" fontId="8" fillId="0" borderId="1" xfId="0" applyNumberFormat="1" applyFont="1" applyBorder="1"/>
    <xf numFmtId="0" fontId="5" fillId="0" borderId="1" xfId="0" applyFont="1" applyBorder="1" applyAlignment="1">
      <alignment horizontal="right" vertical="center"/>
    </xf>
    <xf numFmtId="0" fontId="10" fillId="2" borderId="1" xfId="0" applyFont="1" applyFill="1" applyBorder="1" applyAlignment="1" applyProtection="1">
      <alignment wrapText="1"/>
      <protection locked="0"/>
    </xf>
    <xf numFmtId="0" fontId="5" fillId="0" borderId="0" xfId="0" applyFont="1" applyProtection="1"/>
    <xf numFmtId="0" fontId="5" fillId="0" borderId="0" xfId="0" applyFont="1" applyAlignment="1" applyProtection="1">
      <alignment horizontal="center" wrapText="1"/>
    </xf>
    <xf numFmtId="0" fontId="11" fillId="4" borderId="1" xfId="1" applyFont="1" applyFill="1" applyBorder="1" applyAlignment="1">
      <alignment horizontal="left" vertical="center" wrapText="1"/>
    </xf>
    <xf numFmtId="0" fontId="15" fillId="4" borderId="1" xfId="1" applyFont="1" applyFill="1" applyBorder="1" applyAlignment="1">
      <alignment horizontal="left" vertical="center" wrapText="1"/>
    </xf>
    <xf numFmtId="0" fontId="12" fillId="4" borderId="1" xfId="1" applyFont="1" applyFill="1" applyBorder="1" applyAlignment="1">
      <alignment horizontal="left" vertical="center" wrapText="1"/>
    </xf>
    <xf numFmtId="164" fontId="10" fillId="2" borderId="2" xfId="2" applyFont="1" applyFill="1" applyBorder="1" applyProtection="1">
      <protection locked="0"/>
    </xf>
    <xf numFmtId="0" fontId="4" fillId="4" borderId="1" xfId="1" applyFont="1" applyFill="1" applyBorder="1" applyAlignment="1">
      <alignment vertical="center"/>
    </xf>
    <xf numFmtId="0" fontId="4" fillId="4" borderId="1" xfId="1" applyFont="1" applyFill="1" applyBorder="1" applyAlignment="1">
      <alignment vertical="top" wrapText="1"/>
    </xf>
    <xf numFmtId="0" fontId="5" fillId="3" borderId="3" xfId="0" applyFont="1" applyFill="1" applyBorder="1"/>
    <xf numFmtId="0" fontId="5" fillId="3" borderId="4" xfId="0" applyFont="1" applyFill="1" applyBorder="1"/>
    <xf numFmtId="0" fontId="5" fillId="3" borderId="5" xfId="0" applyFont="1" applyFill="1" applyBorder="1"/>
    <xf numFmtId="0" fontId="2" fillId="4" borderId="9" xfId="0" applyFont="1" applyFill="1" applyBorder="1"/>
    <xf numFmtId="0" fontId="2" fillId="4" borderId="0" xfId="0" applyFont="1" applyFill="1" applyBorder="1"/>
    <xf numFmtId="0" fontId="2" fillId="4" borderId="10" xfId="0" applyFont="1" applyFill="1" applyBorder="1"/>
    <xf numFmtId="0" fontId="3" fillId="4" borderId="9" xfId="0" applyFont="1" applyFill="1" applyBorder="1"/>
    <xf numFmtId="0" fontId="10" fillId="0" borderId="1" xfId="0" applyFont="1" applyBorder="1" applyAlignment="1" applyProtection="1">
      <alignment horizontal="center" vertical="center"/>
      <protection locked="0"/>
    </xf>
    <xf numFmtId="0" fontId="2" fillId="4" borderId="11" xfId="0" applyFont="1" applyFill="1" applyBorder="1"/>
    <xf numFmtId="0" fontId="2" fillId="4" borderId="12" xfId="0" applyFont="1" applyFill="1" applyBorder="1"/>
    <xf numFmtId="0" fontId="2" fillId="4" borderId="13" xfId="0" applyFont="1" applyFill="1" applyBorder="1"/>
    <xf numFmtId="0" fontId="3" fillId="3" borderId="0" xfId="0" applyFont="1" applyFill="1"/>
    <xf numFmtId="0" fontId="5" fillId="3" borderId="0" xfId="0" applyFont="1" applyFill="1"/>
    <xf numFmtId="0" fontId="13" fillId="4" borderId="0" xfId="0" applyFont="1" applyFill="1" applyBorder="1" applyAlignment="1" applyProtection="1">
      <alignment horizontal="left" vertical="center"/>
    </xf>
    <xf numFmtId="0" fontId="7" fillId="0" borderId="0" xfId="0" applyFont="1" applyProtection="1"/>
    <xf numFmtId="0" fontId="3" fillId="0" borderId="0" xfId="0" applyFont="1" applyProtection="1"/>
    <xf numFmtId="0" fontId="5" fillId="4" borderId="1" xfId="0" applyFont="1" applyFill="1" applyBorder="1" applyAlignment="1">
      <alignment horizontal="center" vertical="center"/>
    </xf>
    <xf numFmtId="0" fontId="13" fillId="3" borderId="1" xfId="1" applyFont="1" applyFill="1" applyBorder="1" applyAlignment="1">
      <alignment horizontal="center" vertical="center" wrapText="1"/>
    </xf>
    <xf numFmtId="0" fontId="14" fillId="3" borderId="1" xfId="1" applyFont="1" applyFill="1" applyBorder="1" applyAlignment="1">
      <alignment wrapText="1"/>
    </xf>
    <xf numFmtId="0" fontId="13" fillId="4" borderId="1" xfId="1" applyFont="1" applyFill="1" applyBorder="1" applyAlignment="1">
      <alignment horizontal="center" vertical="center" wrapText="1"/>
    </xf>
    <xf numFmtId="0" fontId="14" fillId="4" borderId="1" xfId="1" applyFont="1" applyFill="1" applyBorder="1" applyAlignment="1">
      <alignment wrapText="1"/>
    </xf>
    <xf numFmtId="0" fontId="2" fillId="4" borderId="6" xfId="0" applyFont="1" applyFill="1" applyBorder="1" applyAlignment="1">
      <alignment horizontal="left" wrapText="1"/>
    </xf>
    <xf numFmtId="0" fontId="2" fillId="4" borderId="7" xfId="0" applyFont="1" applyFill="1" applyBorder="1" applyAlignment="1">
      <alignment horizontal="left" wrapText="1"/>
    </xf>
    <xf numFmtId="0" fontId="2" fillId="4" borderId="8" xfId="0" applyFont="1" applyFill="1" applyBorder="1" applyAlignment="1">
      <alignment horizontal="left" wrapText="1"/>
    </xf>
    <xf numFmtId="0" fontId="11" fillId="3" borderId="3" xfId="1" applyFont="1" applyFill="1" applyBorder="1" applyAlignment="1">
      <alignment wrapText="1"/>
    </xf>
    <xf numFmtId="0" fontId="11" fillId="3" borderId="4" xfId="1" applyFont="1" applyFill="1" applyBorder="1" applyAlignment="1">
      <alignment wrapText="1"/>
    </xf>
    <xf numFmtId="0" fontId="11" fillId="3" borderId="5" xfId="1" applyFont="1" applyFill="1" applyBorder="1" applyAlignment="1">
      <alignment wrapText="1"/>
    </xf>
    <xf numFmtId="0" fontId="11" fillId="3" borderId="1" xfId="1" applyFont="1" applyFill="1" applyBorder="1" applyAlignment="1">
      <alignment wrapText="1"/>
    </xf>
    <xf numFmtId="0" fontId="12" fillId="3" borderId="1" xfId="1" applyFont="1" applyFill="1" applyBorder="1" applyAlignment="1">
      <alignment wrapText="1"/>
    </xf>
    <xf numFmtId="0" fontId="11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70C0"/>
  </sheetPr>
  <dimension ref="B2:DQ38"/>
  <sheetViews>
    <sheetView showGridLines="0" tabSelected="1" zoomScale="85" zoomScaleNormal="85" workbookViewId="0">
      <selection activeCell="BJ29" sqref="BJ29"/>
    </sheetView>
  </sheetViews>
  <sheetFormatPr defaultColWidth="8.7109375" defaultRowHeight="16.5" outlineLevelRow="1"/>
  <cols>
    <col min="1" max="1" width="3.85546875" style="2" customWidth="1"/>
    <col min="2" max="2" width="26.85546875" style="2" customWidth="1"/>
    <col min="3" max="3" width="46.42578125" style="2" customWidth="1"/>
    <col min="4" max="4" width="12.85546875" style="2" customWidth="1"/>
    <col min="5" max="5" width="1.42578125" style="6" customWidth="1"/>
    <col min="6" max="59" width="8.7109375" style="6" hidden="1" customWidth="1"/>
    <col min="60" max="60" width="1.85546875" style="6" customWidth="1"/>
    <col min="61" max="121" width="8.7109375" style="6" customWidth="1"/>
    <col min="122" max="16384" width="8.7109375" style="2"/>
  </cols>
  <sheetData>
    <row r="2" spans="2:121">
      <c r="B2" s="32" t="s">
        <v>67</v>
      </c>
      <c r="C2" s="33"/>
      <c r="D2" s="3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</row>
    <row r="3" spans="2:121">
      <c r="B3" s="1"/>
    </row>
    <row r="4" spans="2:121" hidden="1" outlineLevel="1">
      <c r="B4" s="2" t="s">
        <v>80</v>
      </c>
      <c r="C4" s="3">
        <v>21</v>
      </c>
    </row>
    <row r="5" spans="2:121" s="6" customFormat="1" ht="13.5" customHeight="1" collapsed="1">
      <c r="B5" s="42" t="s">
        <v>5</v>
      </c>
      <c r="C5" s="43"/>
      <c r="D5" s="44"/>
    </row>
    <row r="6" spans="2:121" s="6" customFormat="1">
      <c r="B6" s="24" t="s">
        <v>3</v>
      </c>
      <c r="C6" s="25"/>
      <c r="D6" s="26"/>
    </row>
    <row r="7" spans="2:121" s="6" customFormat="1">
      <c r="B7" s="24" t="s">
        <v>4</v>
      </c>
      <c r="C7" s="25"/>
      <c r="D7" s="26"/>
    </row>
    <row r="8" spans="2:121" s="6" customFormat="1">
      <c r="B8" s="27" t="s">
        <v>70</v>
      </c>
      <c r="C8" s="28" t="s">
        <v>102</v>
      </c>
      <c r="D8" s="26"/>
    </row>
    <row r="9" spans="2:121" s="6" customFormat="1">
      <c r="B9" s="29" t="s">
        <v>68</v>
      </c>
      <c r="C9" s="30"/>
      <c r="D9" s="31"/>
    </row>
    <row r="10" spans="2:121" ht="12.75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</row>
    <row r="11" spans="2:121" s="13" customFormat="1">
      <c r="B11" s="34" t="s">
        <v>79</v>
      </c>
      <c r="C11" s="34"/>
    </row>
    <row r="12" spans="2:121" s="13" customFormat="1">
      <c r="B12" s="35"/>
      <c r="C12" s="35"/>
      <c r="D12" s="36"/>
    </row>
    <row r="13" spans="2:121" ht="14.45" customHeight="1">
      <c r="B13" s="21"/>
      <c r="C13" s="22"/>
      <c r="D13" s="23"/>
      <c r="E13" s="14"/>
      <c r="F13" s="45" t="s">
        <v>6</v>
      </c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7"/>
      <c r="X13" s="48" t="s">
        <v>22</v>
      </c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50" t="s">
        <v>33</v>
      </c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14"/>
      <c r="BI13" s="38" t="s">
        <v>6</v>
      </c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40" t="s">
        <v>22</v>
      </c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38" t="s">
        <v>33</v>
      </c>
      <c r="CU13" s="38"/>
      <c r="CV13" s="38"/>
      <c r="CW13" s="38"/>
      <c r="CX13" s="38"/>
      <c r="CY13" s="38"/>
      <c r="CZ13" s="38"/>
      <c r="DA13" s="38"/>
      <c r="DB13" s="38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</row>
    <row r="14" spans="2:121" s="4" customFormat="1" ht="71.25" customHeight="1">
      <c r="B14" s="37" t="s">
        <v>69</v>
      </c>
      <c r="C14" s="19" t="s">
        <v>1</v>
      </c>
      <c r="D14" s="20" t="s">
        <v>2</v>
      </c>
      <c r="E14" s="14"/>
      <c r="F14" s="15" t="s">
        <v>7</v>
      </c>
      <c r="G14" s="15" t="s">
        <v>71</v>
      </c>
      <c r="H14" s="15" t="s">
        <v>8</v>
      </c>
      <c r="I14" s="15" t="s">
        <v>9</v>
      </c>
      <c r="J14" s="15" t="s">
        <v>10</v>
      </c>
      <c r="K14" s="15" t="s">
        <v>11</v>
      </c>
      <c r="L14" s="15" t="s">
        <v>12</v>
      </c>
      <c r="M14" s="15" t="s">
        <v>72</v>
      </c>
      <c r="N14" s="15" t="s">
        <v>13</v>
      </c>
      <c r="O14" s="15" t="s">
        <v>14</v>
      </c>
      <c r="P14" s="15" t="s">
        <v>15</v>
      </c>
      <c r="Q14" s="15" t="s">
        <v>16</v>
      </c>
      <c r="R14" s="15" t="s">
        <v>17</v>
      </c>
      <c r="S14" s="15" t="s">
        <v>18</v>
      </c>
      <c r="T14" s="15" t="s">
        <v>19</v>
      </c>
      <c r="U14" s="15" t="s">
        <v>20</v>
      </c>
      <c r="V14" s="15" t="s">
        <v>21</v>
      </c>
      <c r="W14" s="15" t="s">
        <v>48</v>
      </c>
      <c r="X14" s="15" t="s">
        <v>23</v>
      </c>
      <c r="Y14" s="15" t="s">
        <v>26</v>
      </c>
      <c r="Z14" s="16" t="s">
        <v>49</v>
      </c>
      <c r="AA14" s="15" t="s">
        <v>25</v>
      </c>
      <c r="AB14" s="16" t="s">
        <v>24</v>
      </c>
      <c r="AC14" s="15" t="s">
        <v>50</v>
      </c>
      <c r="AD14" s="15" t="s">
        <v>51</v>
      </c>
      <c r="AE14" s="15" t="s">
        <v>52</v>
      </c>
      <c r="AF14" s="15" t="s">
        <v>0</v>
      </c>
      <c r="AG14" s="15" t="s">
        <v>27</v>
      </c>
      <c r="AH14" s="15" t="s">
        <v>53</v>
      </c>
      <c r="AI14" s="15" t="s">
        <v>28</v>
      </c>
      <c r="AJ14" s="15" t="s">
        <v>29</v>
      </c>
      <c r="AK14" s="15" t="s">
        <v>30</v>
      </c>
      <c r="AL14" s="15" t="s">
        <v>31</v>
      </c>
      <c r="AM14" s="16" t="s">
        <v>54</v>
      </c>
      <c r="AN14" s="16" t="s">
        <v>55</v>
      </c>
      <c r="AO14" s="15" t="s">
        <v>48</v>
      </c>
      <c r="AP14" s="15" t="s">
        <v>73</v>
      </c>
      <c r="AQ14" s="15" t="s">
        <v>56</v>
      </c>
      <c r="AR14" s="15" t="s">
        <v>57</v>
      </c>
      <c r="AS14" s="15" t="s">
        <v>58</v>
      </c>
      <c r="AT14" s="15" t="s">
        <v>59</v>
      </c>
      <c r="AU14" s="15" t="s">
        <v>60</v>
      </c>
      <c r="AV14" s="15" t="s">
        <v>61</v>
      </c>
      <c r="AW14" s="16" t="s">
        <v>74</v>
      </c>
      <c r="AX14" s="15" t="s">
        <v>75</v>
      </c>
      <c r="AY14" s="15" t="s">
        <v>35</v>
      </c>
      <c r="AZ14" s="15" t="s">
        <v>36</v>
      </c>
      <c r="BA14" s="15" t="s">
        <v>32</v>
      </c>
      <c r="BB14" s="15" t="s">
        <v>37</v>
      </c>
      <c r="BC14" s="15" t="s">
        <v>38</v>
      </c>
      <c r="BD14" s="15" t="s">
        <v>39</v>
      </c>
      <c r="BE14" s="15" t="s">
        <v>40</v>
      </c>
      <c r="BF14" s="15" t="s">
        <v>41</v>
      </c>
      <c r="BG14" s="15" t="s">
        <v>42</v>
      </c>
      <c r="BH14" s="14"/>
      <c r="BI14" s="15" t="s">
        <v>7</v>
      </c>
      <c r="BJ14" s="15" t="s">
        <v>76</v>
      </c>
      <c r="BK14" s="15" t="s">
        <v>8</v>
      </c>
      <c r="BL14" s="15" t="s">
        <v>9</v>
      </c>
      <c r="BM14" s="15" t="s">
        <v>10</v>
      </c>
      <c r="BN14" s="15" t="s">
        <v>11</v>
      </c>
      <c r="BO14" s="15" t="s">
        <v>12</v>
      </c>
      <c r="BP14" s="15" t="s">
        <v>77</v>
      </c>
      <c r="BQ14" s="15" t="s">
        <v>13</v>
      </c>
      <c r="BR14" s="15" t="s">
        <v>14</v>
      </c>
      <c r="BS14" s="15" t="s">
        <v>15</v>
      </c>
      <c r="BT14" s="15" t="s">
        <v>16</v>
      </c>
      <c r="BU14" s="15" t="s">
        <v>17</v>
      </c>
      <c r="BV14" s="15" t="s">
        <v>18</v>
      </c>
      <c r="BW14" s="15" t="s">
        <v>19</v>
      </c>
      <c r="BX14" s="15" t="s">
        <v>20</v>
      </c>
      <c r="BY14" s="15" t="s">
        <v>78</v>
      </c>
      <c r="BZ14" s="15" t="s">
        <v>48</v>
      </c>
      <c r="CA14" s="15" t="s">
        <v>23</v>
      </c>
      <c r="CB14" s="15" t="s">
        <v>26</v>
      </c>
      <c r="CC14" s="15" t="s">
        <v>49</v>
      </c>
      <c r="CD14" s="15" t="s">
        <v>25</v>
      </c>
      <c r="CE14" s="15" t="s">
        <v>24</v>
      </c>
      <c r="CF14" s="15" t="s">
        <v>50</v>
      </c>
      <c r="CG14" s="15" t="s">
        <v>51</v>
      </c>
      <c r="CH14" s="15" t="s">
        <v>62</v>
      </c>
      <c r="CI14" s="15" t="s">
        <v>52</v>
      </c>
      <c r="CJ14" s="15" t="s">
        <v>0</v>
      </c>
      <c r="CK14" s="15" t="s">
        <v>27</v>
      </c>
      <c r="CL14" s="15" t="s">
        <v>53</v>
      </c>
      <c r="CM14" s="15" t="s">
        <v>28</v>
      </c>
      <c r="CN14" s="15" t="s">
        <v>29</v>
      </c>
      <c r="CO14" s="15" t="s">
        <v>30</v>
      </c>
      <c r="CP14" s="15" t="s">
        <v>31</v>
      </c>
      <c r="CQ14" s="15" t="s">
        <v>54</v>
      </c>
      <c r="CR14" s="15" t="s">
        <v>55</v>
      </c>
      <c r="CS14" s="16" t="s">
        <v>48</v>
      </c>
      <c r="CT14" s="15" t="s">
        <v>34</v>
      </c>
      <c r="CU14" s="15" t="s">
        <v>56</v>
      </c>
      <c r="CV14" s="15" t="s">
        <v>57</v>
      </c>
      <c r="CW14" s="15" t="s">
        <v>58</v>
      </c>
      <c r="CX14" s="15" t="s">
        <v>59</v>
      </c>
      <c r="CY14" s="15" t="s">
        <v>60</v>
      </c>
      <c r="CZ14" s="15" t="s">
        <v>61</v>
      </c>
      <c r="DA14" s="17" t="s">
        <v>63</v>
      </c>
      <c r="DB14" s="15" t="s">
        <v>64</v>
      </c>
      <c r="DC14" s="15" t="s">
        <v>35</v>
      </c>
      <c r="DD14" s="15" t="s">
        <v>36</v>
      </c>
      <c r="DE14" s="15" t="s">
        <v>65</v>
      </c>
      <c r="DF14" s="15" t="s">
        <v>32</v>
      </c>
      <c r="DG14" s="15" t="s">
        <v>66</v>
      </c>
      <c r="DH14" s="15" t="s">
        <v>37</v>
      </c>
      <c r="DI14" s="15" t="s">
        <v>38</v>
      </c>
      <c r="DJ14" s="15" t="s">
        <v>39</v>
      </c>
      <c r="DK14" s="15" t="s">
        <v>40</v>
      </c>
      <c r="DL14" s="15" t="s">
        <v>41</v>
      </c>
      <c r="DM14" s="15" t="s">
        <v>42</v>
      </c>
      <c r="DN14" s="15" t="s">
        <v>43</v>
      </c>
      <c r="DO14" s="15" t="s">
        <v>44</v>
      </c>
      <c r="DP14" s="15" t="s">
        <v>45</v>
      </c>
      <c r="DQ14" s="15" t="s">
        <v>46</v>
      </c>
    </row>
    <row r="15" spans="2:121" s="5" customFormat="1">
      <c r="B15" s="11">
        <v>1</v>
      </c>
      <c r="C15" s="12" t="s">
        <v>81</v>
      </c>
      <c r="D15" s="9">
        <v>0</v>
      </c>
      <c r="E15" s="14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4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</row>
    <row r="16" spans="2:121">
      <c r="B16" s="11">
        <v>2</v>
      </c>
      <c r="C16" s="12" t="s">
        <v>82</v>
      </c>
      <c r="D16" s="9">
        <v>0</v>
      </c>
      <c r="E16" s="1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4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</row>
    <row r="17" spans="2:121">
      <c r="B17" s="11">
        <v>3</v>
      </c>
      <c r="C17" s="12" t="s">
        <v>83</v>
      </c>
      <c r="D17" s="9">
        <v>0</v>
      </c>
      <c r="E17" s="14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4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</row>
    <row r="18" spans="2:121">
      <c r="B18" s="11">
        <v>4</v>
      </c>
      <c r="C18" s="12" t="s">
        <v>84</v>
      </c>
      <c r="D18" s="9">
        <v>0</v>
      </c>
      <c r="E18" s="14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4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</row>
    <row r="19" spans="2:121">
      <c r="B19" s="11">
        <v>5</v>
      </c>
      <c r="C19" s="12" t="s">
        <v>85</v>
      </c>
      <c r="D19" s="9">
        <v>65682.751875631875</v>
      </c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</row>
    <row r="20" spans="2:121">
      <c r="B20" s="11">
        <v>6</v>
      </c>
      <c r="C20" s="12" t="s">
        <v>86</v>
      </c>
      <c r="D20" s="9">
        <v>0</v>
      </c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/>
      <c r="DK20" s="18"/>
      <c r="DL20" s="18"/>
      <c r="DM20" s="18"/>
      <c r="DN20" s="18"/>
      <c r="DO20" s="18"/>
      <c r="DP20" s="18"/>
      <c r="DQ20" s="18"/>
    </row>
    <row r="21" spans="2:121">
      <c r="B21" s="11">
        <v>7</v>
      </c>
      <c r="C21" s="12" t="s">
        <v>87</v>
      </c>
      <c r="D21" s="9">
        <v>0</v>
      </c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</row>
    <row r="22" spans="2:121">
      <c r="B22" s="11">
        <v>8</v>
      </c>
      <c r="C22" s="12" t="s">
        <v>88</v>
      </c>
      <c r="D22" s="9">
        <v>0</v>
      </c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18"/>
      <c r="DK22" s="18"/>
      <c r="DL22" s="18"/>
      <c r="DM22" s="18"/>
      <c r="DN22" s="18"/>
      <c r="DO22" s="18"/>
      <c r="DP22" s="18"/>
      <c r="DQ22" s="18"/>
    </row>
    <row r="23" spans="2:121">
      <c r="B23" s="11">
        <v>9</v>
      </c>
      <c r="C23" s="12" t="s">
        <v>89</v>
      </c>
      <c r="D23" s="9">
        <v>0</v>
      </c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</row>
    <row r="24" spans="2:121">
      <c r="B24" s="11">
        <v>10</v>
      </c>
      <c r="C24" s="12" t="s">
        <v>90</v>
      </c>
      <c r="D24" s="9">
        <v>0</v>
      </c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</row>
    <row r="25" spans="2:121">
      <c r="B25" s="11">
        <v>11</v>
      </c>
      <c r="C25" s="12" t="s">
        <v>91</v>
      </c>
      <c r="D25" s="9">
        <v>0</v>
      </c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  <c r="DG25" s="18"/>
      <c r="DH25" s="18"/>
      <c r="DI25" s="18"/>
      <c r="DJ25" s="18"/>
      <c r="DK25" s="18"/>
      <c r="DL25" s="18"/>
      <c r="DM25" s="18"/>
      <c r="DN25" s="18"/>
      <c r="DO25" s="18"/>
      <c r="DP25" s="18"/>
      <c r="DQ25" s="18"/>
    </row>
    <row r="26" spans="2:121">
      <c r="B26" s="11">
        <v>12</v>
      </c>
      <c r="C26" s="12" t="s">
        <v>92</v>
      </c>
      <c r="D26" s="9">
        <v>0</v>
      </c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18"/>
      <c r="DQ26" s="18"/>
    </row>
    <row r="27" spans="2:121">
      <c r="B27" s="11">
        <v>13</v>
      </c>
      <c r="C27" s="12" t="s">
        <v>93</v>
      </c>
      <c r="D27" s="9">
        <v>0</v>
      </c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</row>
    <row r="28" spans="2:121">
      <c r="B28" s="11">
        <v>14</v>
      </c>
      <c r="C28" s="12" t="s">
        <v>94</v>
      </c>
      <c r="D28" s="9">
        <v>0</v>
      </c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</row>
    <row r="29" spans="2:121">
      <c r="B29" s="11">
        <v>15</v>
      </c>
      <c r="C29" s="12" t="s">
        <v>95</v>
      </c>
      <c r="D29" s="9">
        <v>0</v>
      </c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</row>
    <row r="30" spans="2:121">
      <c r="B30" s="11">
        <v>16</v>
      </c>
      <c r="C30" s="12" t="s">
        <v>96</v>
      </c>
      <c r="D30" s="9">
        <v>0</v>
      </c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  <c r="DQ30" s="18"/>
    </row>
    <row r="31" spans="2:121">
      <c r="B31" s="11">
        <v>17</v>
      </c>
      <c r="C31" s="12" t="s">
        <v>97</v>
      </c>
      <c r="D31" s="9">
        <v>0</v>
      </c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  <c r="DQ31" s="18"/>
    </row>
    <row r="32" spans="2:121">
      <c r="B32" s="11">
        <v>18</v>
      </c>
      <c r="C32" s="12" t="s">
        <v>98</v>
      </c>
      <c r="D32" s="9">
        <v>0</v>
      </c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</row>
    <row r="33" spans="2:121">
      <c r="B33" s="11">
        <v>19</v>
      </c>
      <c r="C33" s="12" t="s">
        <v>99</v>
      </c>
      <c r="D33" s="9">
        <v>0</v>
      </c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</row>
    <row r="34" spans="2:121">
      <c r="B34" s="11">
        <v>20</v>
      </c>
      <c r="C34" s="12" t="s">
        <v>100</v>
      </c>
      <c r="D34" s="9">
        <v>0</v>
      </c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</row>
    <row r="35" spans="2:121">
      <c r="B35" s="11">
        <v>21</v>
      </c>
      <c r="C35" s="12" t="s">
        <v>101</v>
      </c>
      <c r="D35" s="9">
        <v>11266.8095783545</v>
      </c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</row>
    <row r="37" spans="2:121">
      <c r="B37" s="7"/>
      <c r="C37" s="7" t="s">
        <v>47</v>
      </c>
      <c r="D37" s="10">
        <f>SUM(D15:D36)</f>
        <v>76949.561453986375</v>
      </c>
      <c r="F37" s="10">
        <f t="shared" ref="F37:AK37" si="0">SUM(F15:F36)</f>
        <v>0</v>
      </c>
      <c r="G37" s="10">
        <f t="shared" si="0"/>
        <v>0</v>
      </c>
      <c r="H37" s="10">
        <f t="shared" si="0"/>
        <v>0</v>
      </c>
      <c r="I37" s="10">
        <f t="shared" si="0"/>
        <v>0</v>
      </c>
      <c r="J37" s="10">
        <f t="shared" si="0"/>
        <v>0</v>
      </c>
      <c r="K37" s="10">
        <f t="shared" si="0"/>
        <v>0</v>
      </c>
      <c r="L37" s="10">
        <f t="shared" si="0"/>
        <v>0</v>
      </c>
      <c r="M37" s="10">
        <f t="shared" si="0"/>
        <v>0</v>
      </c>
      <c r="N37" s="10">
        <f t="shared" si="0"/>
        <v>0</v>
      </c>
      <c r="O37" s="10">
        <f t="shared" si="0"/>
        <v>0</v>
      </c>
      <c r="P37" s="10">
        <f t="shared" si="0"/>
        <v>0</v>
      </c>
      <c r="Q37" s="10">
        <f t="shared" si="0"/>
        <v>0</v>
      </c>
      <c r="R37" s="10">
        <f t="shared" si="0"/>
        <v>0</v>
      </c>
      <c r="S37" s="10">
        <f t="shared" si="0"/>
        <v>0</v>
      </c>
      <c r="T37" s="10">
        <f t="shared" si="0"/>
        <v>0</v>
      </c>
      <c r="U37" s="10">
        <f t="shared" si="0"/>
        <v>0</v>
      </c>
      <c r="V37" s="10">
        <f t="shared" si="0"/>
        <v>0</v>
      </c>
      <c r="W37" s="10">
        <f t="shared" si="0"/>
        <v>0</v>
      </c>
      <c r="X37" s="10">
        <f t="shared" si="0"/>
        <v>0</v>
      </c>
      <c r="Y37" s="10">
        <f t="shared" si="0"/>
        <v>0</v>
      </c>
      <c r="Z37" s="10">
        <f t="shared" si="0"/>
        <v>0</v>
      </c>
      <c r="AA37" s="10">
        <f t="shared" si="0"/>
        <v>0</v>
      </c>
      <c r="AB37" s="10">
        <f t="shared" si="0"/>
        <v>0</v>
      </c>
      <c r="AC37" s="10">
        <f t="shared" si="0"/>
        <v>0</v>
      </c>
      <c r="AD37" s="10">
        <f t="shared" si="0"/>
        <v>0</v>
      </c>
      <c r="AE37" s="10">
        <f t="shared" si="0"/>
        <v>0</v>
      </c>
      <c r="AF37" s="10">
        <f t="shared" si="0"/>
        <v>0</v>
      </c>
      <c r="AG37" s="10">
        <f t="shared" si="0"/>
        <v>0</v>
      </c>
      <c r="AH37" s="10">
        <f t="shared" si="0"/>
        <v>0</v>
      </c>
      <c r="AI37" s="10">
        <f t="shared" si="0"/>
        <v>0</v>
      </c>
      <c r="AJ37" s="10">
        <f t="shared" si="0"/>
        <v>0</v>
      </c>
      <c r="AK37" s="10">
        <f t="shared" si="0"/>
        <v>0</v>
      </c>
      <c r="AL37" s="10">
        <f t="shared" ref="AL37:BG37" si="1">SUM(AL15:AL36)</f>
        <v>0</v>
      </c>
      <c r="AM37" s="10">
        <f t="shared" si="1"/>
        <v>0</v>
      </c>
      <c r="AN37" s="10">
        <f t="shared" si="1"/>
        <v>0</v>
      </c>
      <c r="AO37" s="10">
        <f t="shared" si="1"/>
        <v>0</v>
      </c>
      <c r="AP37" s="10">
        <f t="shared" si="1"/>
        <v>0</v>
      </c>
      <c r="AQ37" s="10">
        <f t="shared" si="1"/>
        <v>0</v>
      </c>
      <c r="AR37" s="10">
        <f t="shared" si="1"/>
        <v>0</v>
      </c>
      <c r="AS37" s="10">
        <f t="shared" si="1"/>
        <v>0</v>
      </c>
      <c r="AT37" s="10">
        <f t="shared" si="1"/>
        <v>0</v>
      </c>
      <c r="AU37" s="10">
        <f t="shared" si="1"/>
        <v>0</v>
      </c>
      <c r="AV37" s="10">
        <f t="shared" si="1"/>
        <v>0</v>
      </c>
      <c r="AW37" s="10">
        <f t="shared" si="1"/>
        <v>0</v>
      </c>
      <c r="AX37" s="10">
        <f t="shared" si="1"/>
        <v>0</v>
      </c>
      <c r="AY37" s="10">
        <f t="shared" si="1"/>
        <v>0</v>
      </c>
      <c r="AZ37" s="10">
        <f t="shared" si="1"/>
        <v>0</v>
      </c>
      <c r="BA37" s="10">
        <f t="shared" si="1"/>
        <v>0</v>
      </c>
      <c r="BB37" s="10">
        <f t="shared" si="1"/>
        <v>0</v>
      </c>
      <c r="BC37" s="10">
        <f t="shared" si="1"/>
        <v>0</v>
      </c>
      <c r="BD37" s="10">
        <f t="shared" si="1"/>
        <v>0</v>
      </c>
      <c r="BE37" s="10">
        <f t="shared" si="1"/>
        <v>0</v>
      </c>
      <c r="BF37" s="10">
        <f t="shared" si="1"/>
        <v>0</v>
      </c>
      <c r="BG37" s="10">
        <f t="shared" si="1"/>
        <v>0</v>
      </c>
      <c r="BI37" s="10">
        <f t="shared" ref="BI37:CN37" si="2">SUM(BI15:BI36)</f>
        <v>0</v>
      </c>
      <c r="BJ37" s="10">
        <f t="shared" si="2"/>
        <v>0</v>
      </c>
      <c r="BK37" s="10">
        <f t="shared" si="2"/>
        <v>0</v>
      </c>
      <c r="BL37" s="10">
        <f t="shared" si="2"/>
        <v>0</v>
      </c>
      <c r="BM37" s="10">
        <f t="shared" si="2"/>
        <v>0</v>
      </c>
      <c r="BN37" s="10">
        <f t="shared" si="2"/>
        <v>0</v>
      </c>
      <c r="BO37" s="10">
        <f t="shared" si="2"/>
        <v>0</v>
      </c>
      <c r="BP37" s="10">
        <f t="shared" si="2"/>
        <v>0</v>
      </c>
      <c r="BQ37" s="10">
        <f t="shared" si="2"/>
        <v>0</v>
      </c>
      <c r="BR37" s="10">
        <f t="shared" si="2"/>
        <v>0</v>
      </c>
      <c r="BS37" s="10">
        <f t="shared" si="2"/>
        <v>0</v>
      </c>
      <c r="BT37" s="10">
        <f t="shared" si="2"/>
        <v>0</v>
      </c>
      <c r="BU37" s="10">
        <f t="shared" si="2"/>
        <v>0</v>
      </c>
      <c r="BV37" s="10">
        <f t="shared" si="2"/>
        <v>0</v>
      </c>
      <c r="BW37" s="10">
        <f t="shared" si="2"/>
        <v>0</v>
      </c>
      <c r="BX37" s="10">
        <f t="shared" si="2"/>
        <v>0</v>
      </c>
      <c r="BY37" s="10">
        <f t="shared" si="2"/>
        <v>0</v>
      </c>
      <c r="BZ37" s="10">
        <f t="shared" si="2"/>
        <v>0</v>
      </c>
      <c r="CA37" s="10">
        <f t="shared" si="2"/>
        <v>0</v>
      </c>
      <c r="CB37" s="10">
        <f t="shared" si="2"/>
        <v>0</v>
      </c>
      <c r="CC37" s="10">
        <f t="shared" si="2"/>
        <v>0</v>
      </c>
      <c r="CD37" s="10">
        <f t="shared" si="2"/>
        <v>0</v>
      </c>
      <c r="CE37" s="10">
        <f t="shared" si="2"/>
        <v>0</v>
      </c>
      <c r="CF37" s="10">
        <f t="shared" si="2"/>
        <v>0</v>
      </c>
      <c r="CG37" s="10">
        <f t="shared" si="2"/>
        <v>0</v>
      </c>
      <c r="CH37" s="10">
        <f t="shared" si="2"/>
        <v>0</v>
      </c>
      <c r="CI37" s="10">
        <f t="shared" si="2"/>
        <v>0</v>
      </c>
      <c r="CJ37" s="10">
        <f t="shared" si="2"/>
        <v>0</v>
      </c>
      <c r="CK37" s="10">
        <f t="shared" si="2"/>
        <v>0</v>
      </c>
      <c r="CL37" s="10">
        <f t="shared" si="2"/>
        <v>0</v>
      </c>
      <c r="CM37" s="10">
        <f t="shared" si="2"/>
        <v>0</v>
      </c>
      <c r="CN37" s="10">
        <f t="shared" si="2"/>
        <v>0</v>
      </c>
      <c r="CO37" s="10">
        <f t="shared" ref="CO37:DQ37" si="3">SUM(CO15:CO36)</f>
        <v>0</v>
      </c>
      <c r="CP37" s="10">
        <f t="shared" si="3"/>
        <v>0</v>
      </c>
      <c r="CQ37" s="10">
        <f t="shared" si="3"/>
        <v>0</v>
      </c>
      <c r="CR37" s="10">
        <f t="shared" si="3"/>
        <v>0</v>
      </c>
      <c r="CS37" s="10">
        <f t="shared" si="3"/>
        <v>0</v>
      </c>
      <c r="CT37" s="10">
        <f t="shared" si="3"/>
        <v>0</v>
      </c>
      <c r="CU37" s="10">
        <f t="shared" si="3"/>
        <v>0</v>
      </c>
      <c r="CV37" s="10">
        <f t="shared" si="3"/>
        <v>0</v>
      </c>
      <c r="CW37" s="10">
        <f t="shared" si="3"/>
        <v>0</v>
      </c>
      <c r="CX37" s="10">
        <f t="shared" si="3"/>
        <v>0</v>
      </c>
      <c r="CY37" s="10">
        <f t="shared" si="3"/>
        <v>0</v>
      </c>
      <c r="CZ37" s="10">
        <f t="shared" si="3"/>
        <v>0</v>
      </c>
      <c r="DA37" s="10">
        <f t="shared" si="3"/>
        <v>0</v>
      </c>
      <c r="DB37" s="10">
        <f t="shared" si="3"/>
        <v>0</v>
      </c>
      <c r="DC37" s="10">
        <f t="shared" si="3"/>
        <v>0</v>
      </c>
      <c r="DD37" s="10">
        <f t="shared" si="3"/>
        <v>0</v>
      </c>
      <c r="DE37" s="10">
        <f t="shared" si="3"/>
        <v>0</v>
      </c>
      <c r="DF37" s="10">
        <f t="shared" si="3"/>
        <v>0</v>
      </c>
      <c r="DG37" s="10">
        <f t="shared" si="3"/>
        <v>0</v>
      </c>
      <c r="DH37" s="10">
        <f t="shared" si="3"/>
        <v>0</v>
      </c>
      <c r="DI37" s="10">
        <f t="shared" si="3"/>
        <v>0</v>
      </c>
      <c r="DJ37" s="10">
        <f t="shared" si="3"/>
        <v>0</v>
      </c>
      <c r="DK37" s="10">
        <f t="shared" si="3"/>
        <v>0</v>
      </c>
      <c r="DL37" s="10">
        <f t="shared" si="3"/>
        <v>0</v>
      </c>
      <c r="DM37" s="10">
        <f t="shared" si="3"/>
        <v>0</v>
      </c>
      <c r="DN37" s="10">
        <f t="shared" si="3"/>
        <v>0</v>
      </c>
      <c r="DO37" s="10">
        <f t="shared" si="3"/>
        <v>0</v>
      </c>
      <c r="DP37" s="10">
        <f t="shared" si="3"/>
        <v>0</v>
      </c>
      <c r="DQ37" s="10">
        <f t="shared" si="3"/>
        <v>0</v>
      </c>
    </row>
    <row r="38" spans="2:121" s="8" customFormat="1">
      <c r="B38" s="2"/>
      <c r="C38" s="2"/>
      <c r="D38" s="2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</row>
  </sheetData>
  <sheetProtection sheet="1" objects="1" scenarios="1" formatColumns="0" formatRows="0" sort="0" autoFilter="0"/>
  <mergeCells count="7">
    <mergeCell ref="BI13:BZ13"/>
    <mergeCell ref="CA13:CS13"/>
    <mergeCell ref="CT13:DQ13"/>
    <mergeCell ref="B5:D5"/>
    <mergeCell ref="F13:W13"/>
    <mergeCell ref="X13:AO13"/>
    <mergeCell ref="AP13:BG13"/>
  </mergeCells>
  <dataValidations count="1">
    <dataValidation type="decimal" operator="greaterThanOrEqual" allowBlank="1" showInputMessage="1" showErrorMessage="1" sqref="BI15:DQ35 F15:BG35">
      <formula1>0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7.1CSO supplies costs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</cp:lastModifiedBy>
  <dcterms:created xsi:type="dcterms:W3CDTF">2018-04-04T07:34:36Z</dcterms:created>
  <dcterms:modified xsi:type="dcterms:W3CDTF">2018-06-14T09:59:47Z</dcterms:modified>
</cp:coreProperties>
</file>