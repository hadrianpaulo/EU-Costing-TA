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codeName="ThisWorkbook"/>
  <workbookProtection lockStructure="1"/>
  <bookViews>
    <workbookView xWindow="0" yWindow="0" windowWidth="15525" windowHeight="7050"/>
  </bookViews>
  <sheets>
    <sheet name="10.1 Payroll" sheetId="1" r:id="rId1"/>
    <sheet name="10.2 Revenue&amp;Expenditure" sheetId="2" r:id="rId2"/>
    <sheet name="SelectDept" sheetId="5" state="hidden" r:id="rId3"/>
    <sheet name="Level I_Departments" sheetId="6" state="hidden" r:id="rId4"/>
    <sheet name="Level IIandIII_Departments" sheetId="7" state="hidden" r:id="rId5"/>
  </sheets>
  <calcPr calcId="124519"/>
</workbook>
</file>

<file path=xl/calcChain.xml><?xml version="1.0" encoding="utf-8"?>
<calcChain xmlns="http://schemas.openxmlformats.org/spreadsheetml/2006/main">
  <c r="AA279" i="1"/>
  <c r="AA277"/>
  <c r="AA275"/>
  <c r="AA274"/>
  <c r="AA273"/>
  <c r="AA272"/>
  <c r="AA271"/>
  <c r="AA270"/>
  <c r="AA264"/>
  <c r="AA259"/>
  <c r="AA258"/>
  <c r="AA257"/>
  <c r="AA254"/>
  <c r="AA255"/>
  <c r="AA248"/>
  <c r="AA247"/>
  <c r="AA244"/>
  <c r="AA243"/>
  <c r="AA242"/>
  <c r="AA240"/>
  <c r="AA238"/>
  <c r="AA237"/>
  <c r="AA236"/>
  <c r="AA235"/>
  <c r="AA234"/>
  <c r="AA233"/>
  <c r="AA232"/>
  <c r="AA231"/>
  <c r="AA228"/>
  <c r="AA227"/>
  <c r="AA226"/>
  <c r="AA225"/>
  <c r="AA224"/>
  <c r="AA222"/>
  <c r="AA221"/>
  <c r="AA220"/>
  <c r="AA219"/>
  <c r="AA218"/>
  <c r="AA216"/>
  <c r="AA215"/>
  <c r="AA213"/>
  <c r="AA210"/>
  <c r="AA208"/>
  <c r="AA207"/>
  <c r="AA206"/>
  <c r="AA203"/>
  <c r="AA202"/>
  <c r="AA201"/>
  <c r="AA198"/>
  <c r="AA195"/>
  <c r="AA194"/>
  <c r="AA193"/>
  <c r="AA191"/>
  <c r="AA190"/>
  <c r="AA186"/>
  <c r="AA185"/>
  <c r="AA184"/>
  <c r="AA183"/>
  <c r="AA182"/>
  <c r="AA180"/>
  <c r="AA179"/>
  <c r="AA177"/>
  <c r="AA176"/>
  <c r="AA172"/>
  <c r="AA169"/>
  <c r="AA167"/>
  <c r="AA166"/>
  <c r="AA165"/>
  <c r="AA162"/>
  <c r="AA161"/>
  <c r="AA160"/>
  <c r="AA158"/>
  <c r="AA157"/>
  <c r="AA156"/>
  <c r="AA154"/>
  <c r="AA284"/>
  <c r="AA282"/>
  <c r="AA269"/>
  <c r="AA262"/>
  <c r="AA251"/>
  <c r="AA211"/>
  <c r="AA209"/>
  <c r="AA196"/>
  <c r="AA192"/>
  <c r="AA187"/>
  <c r="AA173"/>
  <c r="AA170"/>
  <c r="J393" l="1"/>
  <c r="K393"/>
  <c r="J394"/>
  <c r="K394"/>
  <c r="J395"/>
  <c r="K395"/>
  <c r="J396"/>
  <c r="K396"/>
  <c r="J397"/>
  <c r="K397"/>
  <c r="J398"/>
  <c r="K398"/>
  <c r="J399"/>
  <c r="K399"/>
  <c r="J400"/>
  <c r="K400"/>
  <c r="J401"/>
  <c r="K401"/>
  <c r="AA401"/>
  <c r="J402"/>
  <c r="K402"/>
  <c r="J403"/>
  <c r="K403"/>
  <c r="H404"/>
  <c r="K404" s="1"/>
  <c r="J404"/>
  <c r="H405"/>
  <c r="K405" s="1"/>
  <c r="J405"/>
  <c r="H406"/>
  <c r="J406"/>
  <c r="K406"/>
  <c r="H407"/>
  <c r="J407"/>
  <c r="K407"/>
  <c r="H408"/>
  <c r="K408" s="1"/>
  <c r="J408"/>
  <c r="J409"/>
  <c r="K409"/>
  <c r="H133" l="1"/>
  <c r="J133"/>
  <c r="K133"/>
  <c r="AA133"/>
  <c r="H134"/>
  <c r="J134"/>
  <c r="K134"/>
  <c r="AA134"/>
  <c r="H135"/>
  <c r="J135"/>
  <c r="K135"/>
  <c r="H136"/>
  <c r="K136" s="1"/>
  <c r="J136"/>
  <c r="H137"/>
  <c r="K137" s="1"/>
  <c r="J137"/>
  <c r="H138"/>
  <c r="J138"/>
  <c r="K138"/>
  <c r="AA138"/>
  <c r="H139"/>
  <c r="J139"/>
  <c r="K139"/>
  <c r="H140"/>
  <c r="J140"/>
  <c r="K140"/>
  <c r="AA140"/>
  <c r="H141"/>
  <c r="J141"/>
  <c r="K141"/>
  <c r="AA141"/>
  <c r="H142"/>
  <c r="J142"/>
  <c r="K142"/>
  <c r="J143"/>
  <c r="K143"/>
  <c r="J144"/>
  <c r="K144"/>
  <c r="J145"/>
  <c r="H146"/>
  <c r="J146"/>
  <c r="K146"/>
  <c r="H147"/>
  <c r="K147" s="1"/>
  <c r="J147"/>
  <c r="H148"/>
  <c r="K148" s="1"/>
  <c r="J148"/>
  <c r="J149"/>
  <c r="K149"/>
  <c r="H150"/>
  <c r="K150" s="1"/>
  <c r="J150"/>
  <c r="J151"/>
  <c r="K151"/>
  <c r="H152"/>
  <c r="J152"/>
  <c r="K152"/>
  <c r="H153"/>
  <c r="K153" s="1"/>
  <c r="J153"/>
  <c r="AA153"/>
  <c r="H154"/>
  <c r="K154" s="1"/>
  <c r="J154"/>
  <c r="H155"/>
  <c r="K155" s="1"/>
  <c r="J155"/>
  <c r="J156"/>
  <c r="K156"/>
  <c r="J157"/>
  <c r="K157"/>
  <c r="J158"/>
  <c r="K158"/>
  <c r="H159"/>
  <c r="K159" s="1"/>
  <c r="J159"/>
  <c r="AA159"/>
  <c r="J160"/>
  <c r="K160"/>
  <c r="J161"/>
  <c r="K161"/>
  <c r="J162"/>
  <c r="K162"/>
  <c r="J163"/>
  <c r="K163"/>
  <c r="J164"/>
  <c r="K164"/>
  <c r="J165"/>
  <c r="K165"/>
  <c r="J166"/>
  <c r="K166"/>
  <c r="J167"/>
  <c r="K167"/>
  <c r="H168"/>
  <c r="J168"/>
  <c r="K168"/>
  <c r="H169"/>
  <c r="K169" s="1"/>
  <c r="J169"/>
  <c r="H170"/>
  <c r="K170" s="1"/>
  <c r="J170"/>
  <c r="J171"/>
  <c r="K171"/>
  <c r="H172"/>
  <c r="K172" s="1"/>
  <c r="J172"/>
  <c r="J173"/>
  <c r="K173"/>
  <c r="J174"/>
  <c r="K174"/>
  <c r="H175"/>
  <c r="K175" s="1"/>
  <c r="J175"/>
  <c r="H176"/>
  <c r="J176"/>
  <c r="K176"/>
  <c r="J177"/>
  <c r="K177"/>
  <c r="J178"/>
  <c r="K178"/>
  <c r="J179"/>
  <c r="K179"/>
  <c r="J180"/>
  <c r="K180"/>
  <c r="J181"/>
  <c r="K181"/>
  <c r="J182"/>
  <c r="K182"/>
  <c r="J183"/>
  <c r="K183"/>
  <c r="J184"/>
  <c r="K184"/>
  <c r="J185"/>
  <c r="K185"/>
  <c r="J186"/>
  <c r="K186"/>
  <c r="H187"/>
  <c r="J187"/>
  <c r="K187"/>
  <c r="J188"/>
  <c r="K188"/>
  <c r="J189"/>
  <c r="K189"/>
  <c r="J190"/>
  <c r="K190"/>
  <c r="J191"/>
  <c r="K191"/>
  <c r="H192"/>
  <c r="J192"/>
  <c r="K192"/>
  <c r="J193"/>
  <c r="K193"/>
  <c r="J194"/>
  <c r="K194"/>
  <c r="H195"/>
  <c r="J195"/>
  <c r="K195"/>
  <c r="H196"/>
  <c r="K196" s="1"/>
  <c r="J196"/>
  <c r="J197"/>
  <c r="K197"/>
  <c r="J198"/>
  <c r="K198"/>
  <c r="J199"/>
  <c r="K199"/>
  <c r="J200"/>
  <c r="K200"/>
  <c r="J201"/>
  <c r="K201"/>
  <c r="J202"/>
  <c r="K202"/>
  <c r="H203"/>
  <c r="K203" s="1"/>
  <c r="J203"/>
  <c r="J204"/>
  <c r="K204"/>
  <c r="J205"/>
  <c r="K205"/>
  <c r="J206"/>
  <c r="K206"/>
  <c r="H207"/>
  <c r="J207"/>
  <c r="K207"/>
  <c r="J208"/>
  <c r="K208"/>
  <c r="H209"/>
  <c r="J209"/>
  <c r="K209"/>
  <c r="H210"/>
  <c r="J210"/>
  <c r="K210"/>
  <c r="J211"/>
  <c r="K211"/>
  <c r="J212"/>
  <c r="K212"/>
  <c r="H213"/>
  <c r="K213" s="1"/>
  <c r="J213"/>
  <c r="H214"/>
  <c r="K214" s="1"/>
  <c r="J214"/>
  <c r="J215"/>
  <c r="K215"/>
  <c r="H216"/>
  <c r="K216" s="1"/>
  <c r="J216"/>
  <c r="J217"/>
  <c r="K217"/>
  <c r="H218"/>
  <c r="J218"/>
  <c r="K218"/>
  <c r="H219"/>
  <c r="J219"/>
  <c r="K219"/>
  <c r="H220"/>
  <c r="J220"/>
  <c r="K220"/>
  <c r="J221"/>
  <c r="K221"/>
  <c r="J222"/>
  <c r="K222"/>
  <c r="J223"/>
  <c r="K223"/>
  <c r="J224"/>
  <c r="K224"/>
  <c r="J225"/>
  <c r="K225"/>
  <c r="H226"/>
  <c r="J226"/>
  <c r="K226"/>
  <c r="J227"/>
  <c r="K227"/>
  <c r="J228"/>
  <c r="K228"/>
  <c r="J229"/>
  <c r="K229"/>
  <c r="J230"/>
  <c r="K230"/>
  <c r="H231"/>
  <c r="J231"/>
  <c r="K231"/>
  <c r="H232"/>
  <c r="J232"/>
  <c r="K232"/>
  <c r="H233"/>
  <c r="K233" s="1"/>
  <c r="J233"/>
  <c r="J234"/>
  <c r="K234"/>
  <c r="H235"/>
  <c r="J235"/>
  <c r="K235"/>
  <c r="H236"/>
  <c r="J236"/>
  <c r="K236"/>
  <c r="H237"/>
  <c r="J237"/>
  <c r="K237"/>
  <c r="H238"/>
  <c r="J238"/>
  <c r="K238"/>
  <c r="H239"/>
  <c r="J239"/>
  <c r="K239"/>
  <c r="H240"/>
  <c r="K240" s="1"/>
  <c r="J240"/>
  <c r="H241"/>
  <c r="K241" s="1"/>
  <c r="J241"/>
  <c r="H242"/>
  <c r="J242"/>
  <c r="K242"/>
  <c r="H243"/>
  <c r="J243"/>
  <c r="K243"/>
  <c r="H244"/>
  <c r="J244"/>
  <c r="K244"/>
  <c r="H245"/>
  <c r="K245" s="1"/>
  <c r="J245"/>
  <c r="J246"/>
  <c r="K246"/>
  <c r="H247"/>
  <c r="J247"/>
  <c r="K247"/>
  <c r="H248"/>
  <c r="J248"/>
  <c r="K248"/>
  <c r="J249"/>
  <c r="K249"/>
  <c r="J250"/>
  <c r="K250"/>
  <c r="H251"/>
  <c r="K251" s="1"/>
  <c r="J251"/>
  <c r="J252"/>
  <c r="K252"/>
  <c r="J253"/>
  <c r="K253"/>
  <c r="J254"/>
  <c r="K254"/>
  <c r="J255"/>
  <c r="K255"/>
  <c r="J256"/>
  <c r="K256"/>
  <c r="J257"/>
  <c r="K257"/>
  <c r="J258"/>
  <c r="K258"/>
  <c r="J259"/>
  <c r="K259"/>
  <c r="J260"/>
  <c r="K260"/>
  <c r="J261"/>
  <c r="K261"/>
  <c r="H262"/>
  <c r="K262" s="1"/>
  <c r="J262"/>
  <c r="H263"/>
  <c r="K263" s="1"/>
  <c r="J263"/>
  <c r="J264"/>
  <c r="K264"/>
  <c r="J265"/>
  <c r="K265"/>
  <c r="J266"/>
  <c r="K266"/>
  <c r="H267"/>
  <c r="J267"/>
  <c r="K267"/>
  <c r="AA267"/>
  <c r="J268"/>
  <c r="K268"/>
  <c r="H269"/>
  <c r="K269" s="1"/>
  <c r="J269"/>
  <c r="J270"/>
  <c r="K270"/>
  <c r="J271"/>
  <c r="K271"/>
  <c r="H272"/>
  <c r="K272" s="1"/>
  <c r="J272"/>
  <c r="H273"/>
  <c r="J273"/>
  <c r="K273"/>
  <c r="H274"/>
  <c r="J274"/>
  <c r="K274"/>
  <c r="H275"/>
  <c r="J275"/>
  <c r="K275"/>
  <c r="J276"/>
  <c r="K276"/>
  <c r="J277"/>
  <c r="K277"/>
  <c r="H278"/>
  <c r="K278" s="1"/>
  <c r="J278"/>
  <c r="H279"/>
  <c r="K279" s="1"/>
  <c r="J279"/>
  <c r="J280"/>
  <c r="K280"/>
  <c r="J281"/>
  <c r="K281"/>
  <c r="H282"/>
  <c r="J282"/>
  <c r="K282"/>
  <c r="J283"/>
  <c r="K283"/>
  <c r="H284"/>
  <c r="K284" s="1"/>
  <c r="J284"/>
  <c r="J285"/>
  <c r="K285"/>
  <c r="J286"/>
  <c r="K286"/>
  <c r="H287"/>
  <c r="J287"/>
  <c r="K287"/>
  <c r="J288"/>
  <c r="K288"/>
  <c r="J289"/>
  <c r="K289"/>
  <c r="J290"/>
  <c r="K290"/>
  <c r="J291"/>
  <c r="K291"/>
  <c r="H292"/>
  <c r="J292"/>
  <c r="K292"/>
  <c r="J293"/>
  <c r="K293"/>
  <c r="H294"/>
  <c r="J294"/>
  <c r="K294"/>
  <c r="J295"/>
  <c r="K295"/>
  <c r="J296"/>
  <c r="K296"/>
  <c r="J297"/>
  <c r="K297"/>
  <c r="H298"/>
  <c r="K298" s="1"/>
  <c r="J298"/>
  <c r="J299"/>
  <c r="K299"/>
  <c r="J300"/>
  <c r="K300"/>
  <c r="J301"/>
  <c r="K301"/>
  <c r="J302"/>
  <c r="K302"/>
  <c r="J303"/>
  <c r="K303"/>
  <c r="H304"/>
  <c r="K304" s="1"/>
  <c r="J304"/>
  <c r="H305"/>
  <c r="K305" s="1"/>
  <c r="J305"/>
  <c r="H306"/>
  <c r="J306"/>
  <c r="K306"/>
  <c r="AA306"/>
  <c r="J307"/>
  <c r="K307"/>
  <c r="H308"/>
  <c r="K308" s="1"/>
  <c r="J308"/>
  <c r="H309"/>
  <c r="K309" s="1"/>
  <c r="J309"/>
  <c r="J310"/>
  <c r="K310"/>
  <c r="J311"/>
  <c r="K311"/>
  <c r="J312"/>
  <c r="K312"/>
  <c r="J313"/>
  <c r="K313"/>
  <c r="AA313"/>
  <c r="J314"/>
  <c r="K314"/>
  <c r="J315"/>
  <c r="K315"/>
  <c r="J316"/>
  <c r="K316"/>
  <c r="J317"/>
  <c r="K317"/>
  <c r="J318"/>
  <c r="K318"/>
  <c r="J319"/>
  <c r="K319"/>
  <c r="J320"/>
  <c r="K320"/>
  <c r="J321"/>
  <c r="K321"/>
  <c r="H322"/>
  <c r="K322" s="1"/>
  <c r="J322"/>
  <c r="J323"/>
  <c r="K323"/>
  <c r="H324"/>
  <c r="K324" s="1"/>
  <c r="J324"/>
  <c r="J325"/>
  <c r="K325"/>
  <c r="J326"/>
  <c r="K326"/>
  <c r="J327"/>
  <c r="K327"/>
  <c r="J328"/>
  <c r="K328"/>
  <c r="H329"/>
  <c r="K329" s="1"/>
  <c r="J329"/>
  <c r="J330"/>
  <c r="K330"/>
  <c r="J331"/>
  <c r="K331"/>
  <c r="J332"/>
  <c r="K332"/>
  <c r="H333"/>
  <c r="K333" s="1"/>
  <c r="J333"/>
  <c r="J334"/>
  <c r="K334"/>
  <c r="J335"/>
  <c r="K335"/>
  <c r="J336"/>
  <c r="K336"/>
  <c r="J337"/>
  <c r="K337"/>
  <c r="J338"/>
  <c r="K338"/>
  <c r="J339"/>
  <c r="K339"/>
  <c r="J340"/>
  <c r="K340"/>
  <c r="J341"/>
  <c r="K341"/>
  <c r="H342"/>
  <c r="K342" s="1"/>
  <c r="J342"/>
  <c r="J343"/>
  <c r="K343"/>
  <c r="J344"/>
  <c r="K344"/>
  <c r="J345"/>
  <c r="K345"/>
  <c r="J346"/>
  <c r="K346"/>
  <c r="J347"/>
  <c r="K347"/>
  <c r="H348"/>
  <c r="K348" s="1"/>
  <c r="J348"/>
  <c r="H349"/>
  <c r="K349" s="1"/>
  <c r="J349"/>
  <c r="J350"/>
  <c r="K350"/>
  <c r="H351"/>
  <c r="K351" s="1"/>
  <c r="J351"/>
  <c r="H352"/>
  <c r="K352" s="1"/>
  <c r="J352"/>
  <c r="J353"/>
  <c r="K353"/>
  <c r="J354"/>
  <c r="K354"/>
  <c r="J355"/>
  <c r="K355"/>
  <c r="J356"/>
  <c r="K356"/>
  <c r="J357"/>
  <c r="K357"/>
  <c r="J358"/>
  <c r="K358"/>
  <c r="J359"/>
  <c r="K359"/>
  <c r="J360"/>
  <c r="K360"/>
  <c r="J361"/>
  <c r="K361"/>
  <c r="J362"/>
  <c r="K362"/>
  <c r="J363"/>
  <c r="K363"/>
  <c r="J364"/>
  <c r="K364"/>
  <c r="H365"/>
  <c r="J365"/>
  <c r="K365"/>
  <c r="J366"/>
  <c r="K366"/>
  <c r="J367"/>
  <c r="K367"/>
  <c r="J368"/>
  <c r="K368"/>
  <c r="J369"/>
  <c r="K369"/>
  <c r="J370"/>
  <c r="K370"/>
  <c r="J371"/>
  <c r="K371"/>
  <c r="H372"/>
  <c r="J372"/>
  <c r="K372"/>
  <c r="J373"/>
  <c r="K373"/>
  <c r="AA373"/>
  <c r="J374"/>
  <c r="K374"/>
  <c r="AA374"/>
  <c r="J375"/>
  <c r="K375"/>
  <c r="J376"/>
  <c r="K376"/>
  <c r="J377"/>
  <c r="K377"/>
  <c r="J378"/>
  <c r="K378"/>
  <c r="J379"/>
  <c r="K379"/>
  <c r="J380"/>
  <c r="K380"/>
  <c r="J381"/>
  <c r="K381"/>
  <c r="J382"/>
  <c r="K382"/>
  <c r="J383"/>
  <c r="K383"/>
  <c r="J384"/>
  <c r="K384"/>
  <c r="J385"/>
  <c r="K385"/>
  <c r="J386"/>
  <c r="K386"/>
  <c r="J387"/>
  <c r="K387"/>
  <c r="J388"/>
  <c r="K388"/>
  <c r="J389"/>
  <c r="K389"/>
  <c r="H390"/>
  <c r="K390" s="1"/>
  <c r="J390"/>
  <c r="AA390"/>
  <c r="J391"/>
  <c r="J392"/>
  <c r="J31"/>
  <c r="K31"/>
  <c r="J32"/>
  <c r="K32"/>
  <c r="J33"/>
  <c r="K33"/>
  <c r="J34"/>
  <c r="K34"/>
  <c r="J35"/>
  <c r="K35"/>
  <c r="J36"/>
  <c r="K36"/>
  <c r="J37"/>
  <c r="K37"/>
  <c r="J38"/>
  <c r="K38"/>
  <c r="J39"/>
  <c r="K39"/>
  <c r="J40"/>
  <c r="K40"/>
  <c r="J41"/>
  <c r="K41"/>
  <c r="J42"/>
  <c r="K42"/>
  <c r="J43"/>
  <c r="K43"/>
  <c r="J44"/>
  <c r="K44"/>
  <c r="J45"/>
  <c r="K45"/>
  <c r="J46"/>
  <c r="K46"/>
  <c r="J47"/>
  <c r="K47"/>
  <c r="J48"/>
  <c r="K48"/>
  <c r="J49"/>
  <c r="K49"/>
  <c r="J50"/>
  <c r="K50"/>
  <c r="J51"/>
  <c r="K51"/>
  <c r="J52"/>
  <c r="K52"/>
  <c r="H53"/>
  <c r="J53"/>
  <c r="K53"/>
  <c r="J54"/>
  <c r="K54"/>
  <c r="J55"/>
  <c r="K55"/>
  <c r="J56"/>
  <c r="K56"/>
  <c r="H57"/>
  <c r="J57"/>
  <c r="K57"/>
  <c r="J58"/>
  <c r="K58"/>
  <c r="H59"/>
  <c r="K59" s="1"/>
  <c r="J59"/>
  <c r="J60"/>
  <c r="K60"/>
  <c r="H61"/>
  <c r="K61" s="1"/>
  <c r="J61"/>
  <c r="H62"/>
  <c r="K62" s="1"/>
  <c r="J62"/>
  <c r="H63"/>
  <c r="J63"/>
  <c r="K63"/>
  <c r="H64"/>
  <c r="J64"/>
  <c r="K64"/>
  <c r="H65"/>
  <c r="K65" s="1"/>
  <c r="J65"/>
  <c r="J66"/>
  <c r="K66"/>
  <c r="J67"/>
  <c r="K67"/>
  <c r="H68"/>
  <c r="K68" s="1"/>
  <c r="J68"/>
  <c r="H69"/>
  <c r="J69"/>
  <c r="K69"/>
  <c r="J70"/>
  <c r="K70"/>
  <c r="J71"/>
  <c r="K71"/>
  <c r="J72"/>
  <c r="K72"/>
  <c r="H73"/>
  <c r="K73" s="1"/>
  <c r="J73"/>
  <c r="J74"/>
  <c r="K74"/>
  <c r="J75"/>
  <c r="K75"/>
  <c r="H76"/>
  <c r="J76"/>
  <c r="K76"/>
  <c r="J77"/>
  <c r="K77"/>
  <c r="H78"/>
  <c r="K78" s="1"/>
  <c r="J78"/>
  <c r="H79"/>
  <c r="J79"/>
  <c r="K79"/>
  <c r="J80"/>
  <c r="K80"/>
  <c r="H81"/>
  <c r="K81" s="1"/>
  <c r="J81"/>
  <c r="J82"/>
  <c r="K82"/>
  <c r="H83"/>
  <c r="K83" s="1"/>
  <c r="J83"/>
  <c r="H84"/>
  <c r="K84" s="1"/>
  <c r="J84"/>
  <c r="H85"/>
  <c r="J85"/>
  <c r="K85"/>
  <c r="H86"/>
  <c r="J86"/>
  <c r="K86"/>
  <c r="J87"/>
  <c r="K87"/>
  <c r="J88"/>
  <c r="K88"/>
  <c r="H89"/>
  <c r="K89" s="1"/>
  <c r="J89"/>
  <c r="H90"/>
  <c r="K90" s="1"/>
  <c r="J90"/>
  <c r="H91"/>
  <c r="J91"/>
  <c r="K91"/>
  <c r="H92"/>
  <c r="J92"/>
  <c r="K92"/>
  <c r="H93"/>
  <c r="K93" s="1"/>
  <c r="J93"/>
  <c r="H94"/>
  <c r="K94" s="1"/>
  <c r="J94"/>
  <c r="H95"/>
  <c r="J95"/>
  <c r="K95"/>
  <c r="H96"/>
  <c r="J96"/>
  <c r="K96"/>
  <c r="H97"/>
  <c r="K97" s="1"/>
  <c r="J97"/>
  <c r="J98"/>
  <c r="K98"/>
  <c r="H99"/>
  <c r="J99"/>
  <c r="K99"/>
  <c r="H100"/>
  <c r="K100" s="1"/>
  <c r="J100"/>
  <c r="H101"/>
  <c r="K101" s="1"/>
  <c r="J101"/>
  <c r="J102"/>
  <c r="K102"/>
  <c r="H103"/>
  <c r="K103" s="1"/>
  <c r="J103"/>
  <c r="H104"/>
  <c r="K104" s="1"/>
  <c r="J104"/>
  <c r="H105"/>
  <c r="J105"/>
  <c r="K105"/>
  <c r="H106"/>
  <c r="J106"/>
  <c r="K106"/>
  <c r="H107"/>
  <c r="K107" s="1"/>
  <c r="J107"/>
  <c r="H108"/>
  <c r="K108" s="1"/>
  <c r="J108"/>
  <c r="H109"/>
  <c r="J109"/>
  <c r="K109"/>
  <c r="H110"/>
  <c r="J110"/>
  <c r="K110"/>
  <c r="H111"/>
  <c r="K111" s="1"/>
  <c r="J111"/>
  <c r="H112"/>
  <c r="K112" s="1"/>
  <c r="J112"/>
  <c r="H113"/>
  <c r="J113"/>
  <c r="K113"/>
  <c r="H114"/>
  <c r="J114"/>
  <c r="K114"/>
  <c r="H115"/>
  <c r="K115" s="1"/>
  <c r="J115"/>
  <c r="AA115"/>
  <c r="H116"/>
  <c r="K116" s="1"/>
  <c r="J116"/>
  <c r="J117"/>
  <c r="K117"/>
  <c r="H118"/>
  <c r="J118"/>
  <c r="K118"/>
  <c r="H119"/>
  <c r="K119" s="1"/>
  <c r="J119"/>
  <c r="H120"/>
  <c r="K120" s="1"/>
  <c r="J120"/>
  <c r="H121"/>
  <c r="J121"/>
  <c r="K121"/>
  <c r="J122"/>
  <c r="K122"/>
  <c r="H123"/>
  <c r="K123" s="1"/>
  <c r="J123"/>
  <c r="AA123"/>
  <c r="J124"/>
  <c r="K124"/>
  <c r="H125"/>
  <c r="J125"/>
  <c r="K125"/>
  <c r="AA125"/>
  <c r="H126"/>
  <c r="J126"/>
  <c r="K126"/>
  <c r="J127"/>
  <c r="K127"/>
  <c r="J128"/>
  <c r="K128"/>
  <c r="J129"/>
  <c r="K129"/>
  <c r="J130"/>
  <c r="K130"/>
  <c r="H131"/>
  <c r="K131" s="1"/>
  <c r="J131"/>
  <c r="K132"/>
  <c r="J132"/>
  <c r="J24" l="1"/>
  <c r="J25"/>
  <c r="J26"/>
  <c r="J27"/>
  <c r="J28"/>
  <c r="J29"/>
  <c r="J30"/>
  <c r="K24"/>
  <c r="K25"/>
  <c r="K26"/>
  <c r="K27"/>
  <c r="K28"/>
  <c r="K29"/>
  <c r="K20"/>
  <c r="J18"/>
  <c r="J19"/>
  <c r="J20"/>
  <c r="J21"/>
  <c r="J22"/>
  <c r="J23"/>
  <c r="J16"/>
  <c r="J17"/>
  <c r="J15"/>
  <c r="K22"/>
  <c r="K23"/>
  <c r="K16"/>
  <c r="K17"/>
  <c r="K18"/>
  <c r="K19"/>
  <c r="K21"/>
  <c r="K15"/>
  <c r="B3" i="5" l="1"/>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2"/>
  <c r="C4" i="7" l="1"/>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4" i="6"/>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A3" i="5"/>
  <c r="A4" s="1"/>
  <c r="A5" s="1"/>
  <c r="A6" s="1"/>
  <c r="A7" s="1"/>
  <c r="A8" s="1"/>
  <c r="A9" s="1"/>
  <c r="A10" s="1"/>
  <c r="A11" s="1"/>
  <c r="A12" s="1"/>
  <c r="A13" s="1"/>
  <c r="A14" s="1"/>
  <c r="A15" s="1"/>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alcChain>
</file>

<file path=xl/sharedStrings.xml><?xml version="1.0" encoding="utf-8"?>
<sst xmlns="http://schemas.openxmlformats.org/spreadsheetml/2006/main" count="2378" uniqueCount="741">
  <si>
    <t>Hospital Revenue and Expenditure</t>
  </si>
  <si>
    <t xml:space="preserve">Personnel Services Cost </t>
  </si>
  <si>
    <r>
      <rPr>
        <b/>
        <sz val="10"/>
        <color rgb="FF000000"/>
        <rFont val="Arial Narrow"/>
        <family val="2"/>
      </rPr>
      <t>Objective</t>
    </r>
    <r>
      <rPr>
        <sz val="10"/>
        <color rgb="FF000000"/>
        <rFont val="Arial Narrow"/>
        <family val="2"/>
      </rPr>
      <t xml:space="preserve">: Obtain cost of all personnel services per each department and unit </t>
    </r>
  </si>
  <si>
    <r>
      <rPr>
        <b/>
        <sz val="10"/>
        <color rgb="FF000000"/>
        <rFont val="Arial Narrow"/>
        <family val="2"/>
      </rPr>
      <t>Data collector:</t>
    </r>
    <r>
      <rPr>
        <sz val="10"/>
        <color rgb="FF000000"/>
        <rFont val="Arial Narrow"/>
        <family val="2"/>
      </rPr>
      <t xml:space="preserve"> Accounting officer/Accounting officer in charge of payroll</t>
    </r>
  </si>
  <si>
    <r>
      <rPr>
        <b/>
        <sz val="10"/>
        <color rgb="FF000000"/>
        <rFont val="Arial Narrow"/>
        <family val="2"/>
      </rPr>
      <t>Instructions:</t>
    </r>
    <r>
      <rPr>
        <sz val="10"/>
        <color rgb="FF000000"/>
        <rFont val="Arial Narrow"/>
        <family val="2"/>
      </rPr>
      <t xml:space="preserve"> Only insert staff/personnel/emplyees rendered services during time period of data collection. Fill in table with </t>
    </r>
    <r>
      <rPr>
        <b/>
        <sz val="10"/>
        <color rgb="FF000000"/>
        <rFont val="Arial Narrow"/>
        <family val="2"/>
      </rPr>
      <t>monthly</t>
    </r>
    <r>
      <rPr>
        <sz val="10"/>
        <color rgb="FF000000"/>
        <rFont val="Arial Narrow"/>
        <family val="2"/>
      </rPr>
      <t xml:space="preserve"> details. Please add rows if necessary.</t>
    </r>
  </si>
  <si>
    <t>#</t>
  </si>
  <si>
    <t>Time period covered for: 2017  (peso)</t>
  </si>
  <si>
    <t xml:space="preserve">1.0 DOH/LGU subsidy income </t>
  </si>
  <si>
    <t>2.0 Philhealth reimbursement</t>
  </si>
  <si>
    <t>3.0 Hospital business income:</t>
  </si>
  <si>
    <t xml:space="preserve">3.1. Fees/charges: </t>
  </si>
  <si>
    <t>Clearance and certification fees</t>
  </si>
  <si>
    <t>Name</t>
  </si>
  <si>
    <t>Position</t>
  </si>
  <si>
    <t>Department/Unit</t>
  </si>
  <si>
    <t>Full Time or Part Time?</t>
  </si>
  <si>
    <t>Status of employment (Permanent, Contractual,JO)</t>
  </si>
  <si>
    <t>Monthly Salaries and Wages-Regular and Casual/Contractual</t>
  </si>
  <si>
    <t>Personal Economic Relief Allowance (PERA)</t>
  </si>
  <si>
    <t>Representation Allowance (RA)</t>
  </si>
  <si>
    <t>Transportation Allowance (TA)</t>
  </si>
  <si>
    <t>Clothing/Uniform Allowance</t>
  </si>
  <si>
    <t>Subsistence Allowance</t>
  </si>
  <si>
    <t>Laundry  Allowance</t>
  </si>
  <si>
    <t>Quarters Allowance</t>
  </si>
  <si>
    <t>Productivity Incentive Allowance/SIL??</t>
  </si>
  <si>
    <t>Overseas Allowance</t>
  </si>
  <si>
    <t>Honoraria</t>
  </si>
  <si>
    <t>Hazard Pay</t>
  </si>
  <si>
    <t>Longevity Pay</t>
  </si>
  <si>
    <t>Overtime and Night Pay</t>
  </si>
  <si>
    <t>Year End Bonus</t>
  </si>
  <si>
    <t>Cash Gift</t>
  </si>
  <si>
    <t>Other Bonuses and Allowances</t>
  </si>
  <si>
    <t>Retirement and Life Insurance Premiums</t>
  </si>
  <si>
    <t xml:space="preserve">Medical, Dental, and Laboratory fees </t>
  </si>
  <si>
    <t>Pag-IBIG Contributions</t>
  </si>
  <si>
    <t>PhilHealth Contributions</t>
  </si>
  <si>
    <t>Employees Compensation Insurance Premiums</t>
  </si>
  <si>
    <t>Provident/Welfare Fund Contributions</t>
  </si>
  <si>
    <t xml:space="preserve">Pension Benefits </t>
  </si>
  <si>
    <t>Other service income</t>
  </si>
  <si>
    <t xml:space="preserve">Retirement Gratuity </t>
  </si>
  <si>
    <t>Terminal Leave Benefits</t>
  </si>
  <si>
    <t>Other Personnel Benefits</t>
  </si>
  <si>
    <t>Total  amount of Compensation Salary/Wage (For entire 2017)</t>
  </si>
  <si>
    <t>Hospital fees</t>
  </si>
  <si>
    <t xml:space="preserve">3.2. Rent income </t>
  </si>
  <si>
    <t>3.3. Other business income</t>
  </si>
  <si>
    <t>4.0 Income from grant and donations</t>
  </si>
  <si>
    <t>3.4. Sales revenue</t>
  </si>
  <si>
    <t>3.5. Cost of goods sold</t>
  </si>
  <si>
    <t>3.6. Fines and penalties</t>
  </si>
  <si>
    <t>3.7. Sale of disposed assets</t>
  </si>
  <si>
    <t>5.0 Other (Specify):</t>
  </si>
  <si>
    <t xml:space="preserve">Laboratory (sent out) </t>
  </si>
  <si>
    <t xml:space="preserve">Blood Bank </t>
  </si>
  <si>
    <t xml:space="preserve">OPD Patient's Card </t>
  </si>
  <si>
    <t>Total Revenue</t>
  </si>
  <si>
    <t>Line Items of Expenses</t>
  </si>
  <si>
    <t>Salaries and Wages - Regular</t>
  </si>
  <si>
    <t>Salaries and Wages - Casual/Contractual</t>
  </si>
  <si>
    <t>Productivity Incentive Allowance</t>
  </si>
  <si>
    <t>2.0 Maintenance and Operating Expenses</t>
  </si>
  <si>
    <t>Traveling Expenses - Local</t>
  </si>
  <si>
    <t>Traveling Expenses - Foreign</t>
  </si>
  <si>
    <t>Training Expenses</t>
  </si>
  <si>
    <t>Scholarship Grants/Expenses</t>
  </si>
  <si>
    <t xml:space="preserve">Office Supplies Expenses </t>
  </si>
  <si>
    <t>Accountable Forms Expenses</t>
  </si>
  <si>
    <t>Non-Accountable Forms Expenses</t>
  </si>
  <si>
    <t>Animal/Zoological Supplies Expenses</t>
  </si>
  <si>
    <t>Food Supplies Expenses</t>
  </si>
  <si>
    <t>Welfare Goods Expenses</t>
  </si>
  <si>
    <t>Drugs and Medicines Expenses</t>
  </si>
  <si>
    <t>Medical Supplies Expenses</t>
  </si>
  <si>
    <t>Dental Supplies Expenses</t>
  </si>
  <si>
    <t>Laboratory Supplies Expenses (Including Radiology)</t>
  </si>
  <si>
    <t>Fuel, Oil and Lubricants Expenses</t>
  </si>
  <si>
    <t>Other Supplies and Materials Expenses (Cleaning/Housekeeping Supplies)</t>
  </si>
  <si>
    <t>Water Expenses</t>
  </si>
  <si>
    <t>Electricity Expenses</t>
  </si>
  <si>
    <t>Cooking Gas Expenses</t>
  </si>
  <si>
    <t xml:space="preserve">Postage and Courier Services </t>
  </si>
  <si>
    <t>Telephone Expenses</t>
  </si>
  <si>
    <t>Internet Subscription Expenses</t>
  </si>
  <si>
    <t>Cable, Satellite, Telegraph and Radio Expenses</t>
  </si>
  <si>
    <t>Legal Services</t>
  </si>
  <si>
    <t>Auditing Services</t>
  </si>
  <si>
    <t>Consultancy Services</t>
  </si>
  <si>
    <t>Other Professional Services</t>
  </si>
  <si>
    <t>Environment/Sanitary Services</t>
  </si>
  <si>
    <t>Janitorial Services</t>
  </si>
  <si>
    <t>Security Services</t>
  </si>
  <si>
    <t>Other General Services</t>
  </si>
  <si>
    <t>Repairs and Maintenance - Investment Property</t>
  </si>
  <si>
    <t>Repairs and Maintenance - Land Improvements</t>
  </si>
  <si>
    <t>Repairs and Maintenance - Infrastructure Assets</t>
  </si>
  <si>
    <t>Repairs and Maintenance - Buildings and Other Structures</t>
  </si>
  <si>
    <t xml:space="preserve">Repairs and Maintenance - Machinery and Equipment </t>
  </si>
  <si>
    <t xml:space="preserve">Repairs and Maintenance - Transportation Equipment  </t>
  </si>
  <si>
    <t>Repairs and Maintenance - Other Property, Plant and Equipment</t>
  </si>
  <si>
    <t>Taxes, Duties and Licenses</t>
  </si>
  <si>
    <t xml:space="preserve">Fidelity Bond Premiums </t>
  </si>
  <si>
    <t>Insurance Expenses</t>
  </si>
  <si>
    <t>Labor and Wages</t>
  </si>
  <si>
    <t>Advertising Expenses</t>
  </si>
  <si>
    <t>Membership Dues and Contributions to Organizations</t>
  </si>
  <si>
    <t>Subscription Expenses</t>
  </si>
  <si>
    <t>Donations</t>
  </si>
  <si>
    <t>Litigation/Acquired Assets Expenses</t>
  </si>
  <si>
    <t>Rent Expense</t>
  </si>
  <si>
    <t xml:space="preserve">Other Maintenance and Operating Expenses  </t>
  </si>
  <si>
    <t>Total Expenditure</t>
  </si>
  <si>
    <r>
      <rPr>
        <b/>
        <sz val="10"/>
        <color rgb="FF000000"/>
        <rFont val="Arial Narrow"/>
        <family val="2"/>
      </rPr>
      <t>Source Document:</t>
    </r>
    <r>
      <rPr>
        <sz val="10"/>
        <color rgb="FF000000"/>
        <rFont val="Arial Narrow"/>
        <family val="2"/>
      </rPr>
      <t xml:space="preserve"> Payroll sheet and Work/labor contracts with respective staff</t>
    </r>
  </si>
  <si>
    <r>
      <rPr>
        <b/>
        <sz val="11"/>
        <rFont val="Arial Narrow"/>
        <family val="2"/>
      </rPr>
      <t>Objective:</t>
    </r>
    <r>
      <rPr>
        <sz val="11"/>
        <color rgb="FF000000"/>
        <rFont val="Arial Narrow"/>
        <family val="2"/>
      </rPr>
      <t xml:space="preserve"> Account and Gather all types of Income and expenses of the Hospital and record in monetary value.</t>
    </r>
  </si>
  <si>
    <r>
      <rPr>
        <b/>
        <sz val="11"/>
        <rFont val="Arial Narrow"/>
        <family val="2"/>
      </rPr>
      <t>Source Document:</t>
    </r>
    <r>
      <rPr>
        <sz val="11"/>
        <color rgb="FF000000"/>
        <rFont val="Arial Narrow"/>
        <family val="2"/>
      </rPr>
      <t xml:space="preserve"> Financial statements, program reports, hospital internal records</t>
    </r>
  </si>
  <si>
    <r>
      <rPr>
        <b/>
        <sz val="11"/>
        <color rgb="FF000000"/>
        <rFont val="Arial Narrow"/>
        <family val="2"/>
      </rPr>
      <t>Data collector:</t>
    </r>
    <r>
      <rPr>
        <sz val="11"/>
        <color rgb="FF000000"/>
        <rFont val="Arial Narrow"/>
        <family val="2"/>
      </rPr>
      <t xml:space="preserve"> Accounting officer/Accounting officer in charge of payroll/Accounting officer at LGU via Liaison officer (Hospital chief of Administration) at the hospital </t>
    </r>
  </si>
  <si>
    <t>Daily Rate (if applicable and/or especially for casual and contractual</t>
  </si>
  <si>
    <t xml:space="preserve">Total number of Work Hours during time period of data </t>
  </si>
  <si>
    <t xml:space="preserve">Total number of  work Days during time period of data </t>
  </si>
  <si>
    <t>Sources</t>
  </si>
  <si>
    <t>1.0 Personnel  expenses</t>
  </si>
  <si>
    <t>Building</t>
  </si>
  <si>
    <t>Office equipment</t>
  </si>
  <si>
    <t>Furniture and Fixtures</t>
  </si>
  <si>
    <t>Medical and laboratory equipment</t>
  </si>
  <si>
    <t>Other property and equipment</t>
  </si>
  <si>
    <t>3.0 Fixed assets/Property, Plant and equipment</t>
  </si>
  <si>
    <r>
      <t xml:space="preserve">Level of care </t>
    </r>
    <r>
      <rPr>
        <b/>
        <sz val="11"/>
        <color rgb="FFFF0000"/>
        <rFont val="Arial Narrow"/>
        <family val="2"/>
      </rPr>
      <t>(always update)</t>
    </r>
    <r>
      <rPr>
        <b/>
        <sz val="11"/>
        <color rgb="FF000000"/>
        <rFont val="Arial Narrow"/>
        <family val="2"/>
      </rPr>
      <t>:</t>
    </r>
  </si>
  <si>
    <t>Departments to select from</t>
  </si>
  <si>
    <t>https://www.dbm.gov.ph/wp-content/uploads/Issuances/2013/Joint%20Circular%202013/DOH/Manual%20RSSGH_%203%20levels.pdf</t>
  </si>
  <si>
    <t>https://hfsrb.doh.gov.ph/images/Hospital/issuances/ao2012-0012.pdf</t>
  </si>
  <si>
    <t>References:</t>
  </si>
  <si>
    <t>Private Ward</t>
  </si>
  <si>
    <t>Clinical/Medical services</t>
  </si>
  <si>
    <t>Ob/Gyne Ward</t>
  </si>
  <si>
    <t>Surgical Ward</t>
  </si>
  <si>
    <t>Pediatric Ward</t>
  </si>
  <si>
    <t>Internal Medicine Ward</t>
  </si>
  <si>
    <t>Dental</t>
  </si>
  <si>
    <t>Radiation Oncology Unit*</t>
  </si>
  <si>
    <t>Dialysis Unit</t>
  </si>
  <si>
    <t>Emergency Medicine Department</t>
  </si>
  <si>
    <t>Hypertension</t>
  </si>
  <si>
    <t xml:space="preserve">Diabetes </t>
  </si>
  <si>
    <t>Malaria</t>
  </si>
  <si>
    <t>Smoking Cessation</t>
  </si>
  <si>
    <t>Family Planning Unit</t>
  </si>
  <si>
    <t>HIV Aids</t>
  </si>
  <si>
    <t>TB Dots</t>
  </si>
  <si>
    <t>Animal Bite Center</t>
  </si>
  <si>
    <t>Outpatient Department (general)</t>
  </si>
  <si>
    <t>Others</t>
  </si>
  <si>
    <t>Ancillary services/Support services</t>
  </si>
  <si>
    <t>Morgue</t>
  </si>
  <si>
    <t>Burn Unit</t>
  </si>
  <si>
    <t>Pediatric ICU*</t>
  </si>
  <si>
    <t>Surgical ICU*</t>
  </si>
  <si>
    <t>Neonatal ICU*</t>
  </si>
  <si>
    <t>Medical ICU</t>
  </si>
  <si>
    <t>Respiratory Unit</t>
  </si>
  <si>
    <t>Operating Room / Aneasthesiology / PACU / Recovery Room</t>
  </si>
  <si>
    <t>Delivery Room</t>
  </si>
  <si>
    <t>Physiotherapy / Rehabilitation</t>
  </si>
  <si>
    <t>Radiology / Diagnostic Imaging (CT Scan, MRI, ECG, Mammography, Endoscopy)</t>
  </si>
  <si>
    <t>Laboratory</t>
  </si>
  <si>
    <t>Blood Bank</t>
  </si>
  <si>
    <t>Pharmacy</t>
  </si>
  <si>
    <t>Sterilization</t>
  </si>
  <si>
    <t>Nutrition and Dietetics</t>
  </si>
  <si>
    <t>Laundry</t>
  </si>
  <si>
    <t>Administrative/Overhead services</t>
  </si>
  <si>
    <t>Office of the Chief of Medical Professional Staff</t>
  </si>
  <si>
    <t>Security</t>
  </si>
  <si>
    <t>Cash Operations</t>
  </si>
  <si>
    <t>Billing and Claims</t>
  </si>
  <si>
    <t>Central Supply Office</t>
  </si>
  <si>
    <t>Health Info Mgt (Admitting)</t>
  </si>
  <si>
    <t>Office of the Chief Nurse</t>
  </si>
  <si>
    <t>Medical Social Work</t>
  </si>
  <si>
    <t>Budget and Accounting</t>
  </si>
  <si>
    <t>Housekeeping</t>
  </si>
  <si>
    <t>Engineering and Facilities Management</t>
  </si>
  <si>
    <t>Materials Management</t>
  </si>
  <si>
    <t>Procurement</t>
  </si>
  <si>
    <t>Human Resource Management</t>
  </si>
  <si>
    <t>Office of the Administrative Officer</t>
  </si>
  <si>
    <t>IT Departments</t>
  </si>
  <si>
    <t>Office of the Medical Center Chief</t>
  </si>
  <si>
    <t>Department Name / Unit</t>
  </si>
  <si>
    <t>Classification of Hospital Departments</t>
  </si>
  <si>
    <t>DEPARTMENT LIST</t>
  </si>
  <si>
    <t>ENT Ward*</t>
  </si>
  <si>
    <t>Psychiatric Ward*</t>
  </si>
  <si>
    <t>Orthopedic Ward*</t>
  </si>
  <si>
    <t>Neurosurgery Ward*</t>
  </si>
  <si>
    <t>Endoscopy Unit</t>
  </si>
  <si>
    <t>Nuclear Medicine</t>
  </si>
  <si>
    <t>Hypertension MAP</t>
  </si>
  <si>
    <t>Diabetes MAP</t>
  </si>
  <si>
    <t>Outpatient Department</t>
  </si>
  <si>
    <t>Heart Station</t>
  </si>
  <si>
    <t>Office of the Chief of Medical Professional Staff / Chief of Clinics</t>
  </si>
  <si>
    <t xml:space="preserve">Housekeeping </t>
  </si>
  <si>
    <t>IT Department</t>
  </si>
  <si>
    <r>
      <rPr>
        <b/>
        <sz val="11"/>
        <rFont val="Arial Narrow"/>
        <family val="2"/>
      </rPr>
      <t>Instructions:</t>
    </r>
    <r>
      <rPr>
        <sz val="11"/>
        <color rgb="FF000000"/>
        <rFont val="Arial Narrow"/>
        <family val="2"/>
      </rPr>
      <t xml:space="preserve"> Fill in items accordingly. Please include all expenses regardless of the sources of income. If peso value of the donated items is not available Please include proxy value for the donated itmes. Use empty rows to add if necessary.</t>
    </r>
  </si>
  <si>
    <t xml:space="preserve">Time period covered: </t>
  </si>
  <si>
    <t># Personen</t>
  </si>
  <si>
    <t>Level I</t>
  </si>
  <si>
    <t>TUAZON, EDWIN P</t>
  </si>
  <si>
    <t>CABRERA, ORLANDO JR. P</t>
  </si>
  <si>
    <t>ADMISSIONS OFFICER</t>
  </si>
  <si>
    <t>CAYANAN, CHESKA M</t>
  </si>
  <si>
    <t>ADMISSIONS CLERK</t>
  </si>
  <si>
    <t>DE GUZMAN, OLIVIA ROSE S</t>
  </si>
  <si>
    <t>LACANLALE, JENEAMARIE M</t>
  </si>
  <si>
    <t>MIRANDA, MA. CHRISTINE M</t>
  </si>
  <si>
    <t>PINEDA, GRAMIE JANE  Q</t>
  </si>
  <si>
    <t>REYES, NICOLE MAE S</t>
  </si>
  <si>
    <t>SARATAN, ARCELI MAENA H</t>
  </si>
  <si>
    <t>ARCIBAL, ALBERT CARLO V</t>
  </si>
  <si>
    <t>CENTRAL SUPPLY CLERK</t>
  </si>
  <si>
    <t>LUCAS, ROMMEL E</t>
  </si>
  <si>
    <t>MERCADO, JUAN CARLOS C</t>
  </si>
  <si>
    <t>RODRIGUEZ, ROLANDO S</t>
  </si>
  <si>
    <t>SERRANO, MARK M</t>
  </si>
  <si>
    <t>VILLANUEVA, VENER M</t>
  </si>
  <si>
    <t>CSR OFFICER</t>
  </si>
  <si>
    <t>DAVID, KRIZZELE MARIE M</t>
  </si>
  <si>
    <t>BREAST CARE NURSE CUM SECRETARY</t>
  </si>
  <si>
    <t>USI, MARY GRACE  T</t>
  </si>
  <si>
    <t>STAFF NURSE</t>
  </si>
  <si>
    <t>BAGA, HEIDI S</t>
  </si>
  <si>
    <t>MEDICAL SECRETARY</t>
  </si>
  <si>
    <t>CANDELARIA, MUNICK M</t>
  </si>
  <si>
    <t>DAVID, ANA DESIREE D</t>
  </si>
  <si>
    <t>PINGUL, LADY ANN L</t>
  </si>
  <si>
    <t>REYES, CATHRINEE JOYCE D</t>
  </si>
  <si>
    <t>SO, EDEN ROSE R</t>
  </si>
  <si>
    <t>TIGLAO, RAIZZA JOY G</t>
  </si>
  <si>
    <t>ALFONSO, KELVIN A</t>
  </si>
  <si>
    <t>COOK</t>
  </si>
  <si>
    <t>AQUINO, ROBERTO N</t>
  </si>
  <si>
    <t>BRIONES, ERLIZEN N</t>
  </si>
  <si>
    <t>CHIEF DIETITIAN</t>
  </si>
  <si>
    <t>CASTRO, WARREN G</t>
  </si>
  <si>
    <t>FOOD SERVER</t>
  </si>
  <si>
    <t>CEREZO, CHRISTINE BEL T</t>
  </si>
  <si>
    <t>STAFF DIETITIAN</t>
  </si>
  <si>
    <t>GUTIERREZ, JOSE L</t>
  </si>
  <si>
    <t>LIWANAG, JOEL C</t>
  </si>
  <si>
    <t>REYES, JAVIER C</t>
  </si>
  <si>
    <t>TECNE, MARY JANE C</t>
  </si>
  <si>
    <t>VALDEZ, AIZALYN A</t>
  </si>
  <si>
    <t>VELASQUEZ, KENNETH T</t>
  </si>
  <si>
    <t>GUTIERREZ, MARIBEL P</t>
  </si>
  <si>
    <t>2D ECHO TECHNICIAN</t>
  </si>
  <si>
    <t>HIPOLITO, RUTH ANNE J</t>
  </si>
  <si>
    <t>CARDIAC SONOGRAPHER</t>
  </si>
  <si>
    <t>ALVARADO, BEATRIZ  C</t>
  </si>
  <si>
    <t>MEDICAL TECHNOLOGIST</t>
  </si>
  <si>
    <t>AMPANIA, PATRICK HERBERT Y</t>
  </si>
  <si>
    <t>BULINQUIT, JERRY E</t>
  </si>
  <si>
    <t>LAB AIDE/ EP PHARMACY</t>
  </si>
  <si>
    <t>CERDEÑOLA, DHJOANNA S</t>
  </si>
  <si>
    <t>DE VERA, MARIBETH N</t>
  </si>
  <si>
    <t>LABORATORY SECRETARYCUM PHELBOTOMIST &amp; DRUG TEST SPECIMEN COLLECTOR</t>
  </si>
  <si>
    <t>DIZON, ERICA G</t>
  </si>
  <si>
    <t>DIZON, QUEEN ANN S</t>
  </si>
  <si>
    <t>ASSISTANT CHIEF MEDICAL TECHNOLOGIST</t>
  </si>
  <si>
    <t>FORTALEZA, JUVI ANN FLOR V</t>
  </si>
  <si>
    <t>GAGUI, LORD DARRYLL D</t>
  </si>
  <si>
    <t>IBE, DIANA CHRISTINA B</t>
  </si>
  <si>
    <t>CHIEF MEDICAL TECHNOLOGIST</t>
  </si>
  <si>
    <t>LACKEY, JASMINE P</t>
  </si>
  <si>
    <t>MANALASTAS, JOSHUA D</t>
  </si>
  <si>
    <t>MANGULABNAN, JERGEN C</t>
  </si>
  <si>
    <t>MANLUCU, MIKHAIL P</t>
  </si>
  <si>
    <t>MANUNTAG, KARINA ISABEL C</t>
  </si>
  <si>
    <t>MOWBRAY, RICHARD C</t>
  </si>
  <si>
    <t>PADUA, ANTHONY PAOLO  S</t>
  </si>
  <si>
    <t>PANLILIO, CHANTAL MARIAE N</t>
  </si>
  <si>
    <t>SANDICO, MA. ENRICA T</t>
  </si>
  <si>
    <t>SARMIENTO, NORILIE-MAE M</t>
  </si>
  <si>
    <t>SENGSON, CHRIST ANTHONY P</t>
  </si>
  <si>
    <t>SISON, PAULEEN AINA M</t>
  </si>
  <si>
    <t>CADIANG, GLAISA P</t>
  </si>
  <si>
    <t>MEDICAL RECORDS CLERK</t>
  </si>
  <si>
    <t>ANTONIO, EDLYN P</t>
  </si>
  <si>
    <t>PHARMACIST</t>
  </si>
  <si>
    <t>GARCIA, GIAN CARLO B</t>
  </si>
  <si>
    <t>MAGLALANG, PHILLINE S</t>
  </si>
  <si>
    <t>OLALIA, MARIA SHARELLE G</t>
  </si>
  <si>
    <t>REFUELA, ROSE ANN M</t>
  </si>
  <si>
    <t>REYES, CHELO L</t>
  </si>
  <si>
    <t>SARMIENTO, MA. DOLORES P</t>
  </si>
  <si>
    <t>CHIEF PHARMACIST</t>
  </si>
  <si>
    <t>TOLENTINO, RICA M</t>
  </si>
  <si>
    <t>AQUINO, SHANE ALYSSA R</t>
  </si>
  <si>
    <t>PHYSICAL THERAPIST</t>
  </si>
  <si>
    <t>CALMA, SHARMAINE ERICA M</t>
  </si>
  <si>
    <t>CASTRO, JOSHUA D</t>
  </si>
  <si>
    <t>DIWA, MAR-JORIE S</t>
  </si>
  <si>
    <t>ASSISTANT CHIEF PT</t>
  </si>
  <si>
    <t>MEDENILLA, ANGELO P</t>
  </si>
  <si>
    <t>CHIEF PHYSICAL THERAPIST</t>
  </si>
  <si>
    <t>MICLAT, CHRISTIAN JOHN A</t>
  </si>
  <si>
    <t>RAQUIDAN, RAQUEL ANNE M</t>
  </si>
  <si>
    <t>VIRAY, APOLINARIA T</t>
  </si>
  <si>
    <t>PMNR CLERK</t>
  </si>
  <si>
    <t>DALIVA II, GERONIMO A</t>
  </si>
  <si>
    <t>RADIOLOGIC TECHNOLOGIST</t>
  </si>
  <si>
    <t>DELA PEÑA, KIMBERLY M</t>
  </si>
  <si>
    <t>CHIEF RADIOLOGIC TECHNOLOGIST</t>
  </si>
  <si>
    <t>FUENTES, XERXES T</t>
  </si>
  <si>
    <t>GATUS, ANSHERINA T</t>
  </si>
  <si>
    <t>MALIT, JAYMIE ROSE E</t>
  </si>
  <si>
    <t>ASSISTANT ULTRASOUND TECHNOLOGIST</t>
  </si>
  <si>
    <t>MERCADO,  EDUARDO JR. L</t>
  </si>
  <si>
    <t>X-RAY TECHNOLOGIST</t>
  </si>
  <si>
    <t>MERCADO, MERLENE G</t>
  </si>
  <si>
    <t>SALENGA, KEVIN S</t>
  </si>
  <si>
    <t>SANTOS, STEPHANIE ERIKA T</t>
  </si>
  <si>
    <t>SECRETARY RADIOLOGY</t>
  </si>
  <si>
    <t>TONGOL, JEANNE MOLINE M</t>
  </si>
  <si>
    <t>VALENCERINA, JONETHEL KEITH U</t>
  </si>
  <si>
    <t>CHU, CATHERINE N</t>
  </si>
  <si>
    <t>MEDICAL SOCIAL WORKER</t>
  </si>
  <si>
    <t>DUNGO, ROSALINA</t>
  </si>
  <si>
    <t>ALABADO, MARY JOYCE D</t>
  </si>
  <si>
    <t>ACCOUNTING STAFF</t>
  </si>
  <si>
    <t>CASTRO, ROSALINA P</t>
  </si>
  <si>
    <t>SENIOR ACCOUNTING OFFICER</t>
  </si>
  <si>
    <t>DAVID, GLENN G</t>
  </si>
  <si>
    <t>INVENTORY OFFICER</t>
  </si>
  <si>
    <t>DE GUZMAN, QUEENIE J</t>
  </si>
  <si>
    <t>ACCOUNTING ASSISTANT</t>
  </si>
  <si>
    <t>DIZON, RAINER C</t>
  </si>
  <si>
    <t>JR ACCOUNTING OFFICER, CANCER INSTITUTE</t>
  </si>
  <si>
    <t>ISIP, MAYONA P</t>
  </si>
  <si>
    <t>PAYROLL MASTER</t>
  </si>
  <si>
    <t>RAMOS, RUDY B</t>
  </si>
  <si>
    <t>MESSENGER</t>
  </si>
  <si>
    <t>SALAS, VERONICA A</t>
  </si>
  <si>
    <t>ACCOUNTING OFFICER</t>
  </si>
  <si>
    <t>TAYAG, KRISTINE L</t>
  </si>
  <si>
    <t>CASH AND ACCOUNTS RECEIVABLE CLERK</t>
  </si>
  <si>
    <t>DIMABAYAO, MARIA NAZHREEN C</t>
  </si>
  <si>
    <t>BILLING CLERK</t>
  </si>
  <si>
    <t>GALANG, JANET A</t>
  </si>
  <si>
    <t>BILLING OFFICER</t>
  </si>
  <si>
    <t>GAVIOLA, MARIA LEONOR C</t>
  </si>
  <si>
    <t>MARIN, MARIA ROSE L</t>
  </si>
  <si>
    <t>MERCADO, MARIETTA A</t>
  </si>
  <si>
    <t>PANGILINAN, ROSE ANN A</t>
  </si>
  <si>
    <t>CUARTELON, LEILANI M</t>
  </si>
  <si>
    <t>CASHIER CLERK</t>
  </si>
  <si>
    <t>DIMATULAC, MICHELLE C</t>
  </si>
  <si>
    <t>NONOD, ANGELINE A</t>
  </si>
  <si>
    <t>PACHECO, PRIMA DONNA  P</t>
  </si>
  <si>
    <t>CASHIER OFFICER</t>
  </si>
  <si>
    <t>CARDINOZA, ARIANE J</t>
  </si>
  <si>
    <t>PHILHEALTH CLERK</t>
  </si>
  <si>
    <t>CUNANAN, JUVY ROSE A</t>
  </si>
  <si>
    <t>DAYRIT, CAMILLE J</t>
  </si>
  <si>
    <t>DUNGO, MONICA P</t>
  </si>
  <si>
    <t>ESCOTO, JUDITH G</t>
  </si>
  <si>
    <t>OTSU, MARIEL ANN H</t>
  </si>
  <si>
    <t>QUIAMBAO, CRYSTAL RAPUNZEL D</t>
  </si>
  <si>
    <t>VELASCO, ARLYN C</t>
  </si>
  <si>
    <t>PHILHEALTH CLAIMS OFFICER</t>
  </si>
  <si>
    <t>AGUAS, EDWIN B</t>
  </si>
  <si>
    <t>ELECTRICIAN</t>
  </si>
  <si>
    <t>ANGELES, ALEXANDER N</t>
  </si>
  <si>
    <t>DIITA, SUNDAY C</t>
  </si>
  <si>
    <t>SUPPORT STAFF (ENGINEERING)</t>
  </si>
  <si>
    <t>DOMINGO, ADRIANO III T</t>
  </si>
  <si>
    <t>PLUMBER</t>
  </si>
  <si>
    <t>JIMENEZ, RAMIL P</t>
  </si>
  <si>
    <t>MECHANICAL AUTOMOTIVE TECHNICIAN</t>
  </si>
  <si>
    <t>OCAMPO, MICHAEL  F</t>
  </si>
  <si>
    <t>BUILDING MAINTENANCE</t>
  </si>
  <si>
    <t>ROMAN, RENANTE M</t>
  </si>
  <si>
    <t>SALUNGA, RAMILITO Q</t>
  </si>
  <si>
    <t>CASTRO, CHERRY LOU F</t>
  </si>
  <si>
    <t>ACTING HMO SUPERVISOR</t>
  </si>
  <si>
    <t>DAVID, ANGELINA A</t>
  </si>
  <si>
    <t>HMO STAFF</t>
  </si>
  <si>
    <t>ESGUERRA, JENNY LOU D</t>
  </si>
  <si>
    <t>GALLANO, MARICEL A</t>
  </si>
  <si>
    <t>FRANCO, STEPHANIE MARIE D</t>
  </si>
  <si>
    <t>HR STAFF - PAYROLL TIMEKEEPING</t>
  </si>
  <si>
    <t>MENDOZA, MA. KATRINA A</t>
  </si>
  <si>
    <t>HR STAFF - BENEFITS</t>
  </si>
  <si>
    <t>YAMSUAN, ALLEN P</t>
  </si>
  <si>
    <t>HR MANAGER</t>
  </si>
  <si>
    <t>CRUZ, HARRY NOAH C</t>
  </si>
  <si>
    <t>MISS STAFF</t>
  </si>
  <si>
    <t>ESPINO, ROSALIE D</t>
  </si>
  <si>
    <t>MACALINO, JERLYN L</t>
  </si>
  <si>
    <t>MISS HEAD</t>
  </si>
  <si>
    <t>SANTIAGO, AZYRUS AENYL G</t>
  </si>
  <si>
    <t>ASSISTANT MISS HEAD</t>
  </si>
  <si>
    <t>CUEVO, ROMANO</t>
  </si>
  <si>
    <t>BAPTISTA, SUSAN KAROLINE P</t>
  </si>
  <si>
    <t>BATAC, MARK S</t>
  </si>
  <si>
    <t>NURSING ASSISTANT</t>
  </si>
  <si>
    <t>CORTEZ, JOHN VINCENT S</t>
  </si>
  <si>
    <t>GERONG, MARTHA SABRINA C</t>
  </si>
  <si>
    <t>GOPEZ, JASEN D</t>
  </si>
  <si>
    <t>JUCO, RAYNALDO L</t>
  </si>
  <si>
    <t>AMBULANCE DRIVER/PARAMEDIC</t>
  </si>
  <si>
    <t>KOH, TJAN MIKHAIL B</t>
  </si>
  <si>
    <t>ACTING CHARGE NURSE</t>
  </si>
  <si>
    <t>LACAP, JUSTIN JOHN B</t>
  </si>
  <si>
    <t>LAXAMANA, JENNIFER ROSE A</t>
  </si>
  <si>
    <t>LIWAG, JOHN DANIEL S</t>
  </si>
  <si>
    <t>LUGUE, SHARLEINE LIANE S</t>
  </si>
  <si>
    <t>NASAL, MEICHELA JOY G</t>
  </si>
  <si>
    <t>PALACIO, EUNICE ANN S</t>
  </si>
  <si>
    <t>PANGAN, ASTLEY O</t>
  </si>
  <si>
    <t>ACTING HEAD NURSE</t>
  </si>
  <si>
    <t>PARAS, LEOPOLDO T</t>
  </si>
  <si>
    <t>PUNO, ALEAH ANNE P</t>
  </si>
  <si>
    <t>PUNZALAN, FEDRICK P</t>
  </si>
  <si>
    <t>SARMIENTO, PAOLO JAVIER S</t>
  </si>
  <si>
    <t>TENGCO, JOEMAR C</t>
  </si>
  <si>
    <t>THOMPSON, CURTIS ALPHANSO JR. R</t>
  </si>
  <si>
    <t>TRAQUENA, JAMES RAYMUND L</t>
  </si>
  <si>
    <t>VALERIO, LEWELL A</t>
  </si>
  <si>
    <t>VIGILIA, EDWIN O</t>
  </si>
  <si>
    <t>ALIMURUNG, MARY GRACE D</t>
  </si>
  <si>
    <t>ANGELES, KARL LOS B</t>
  </si>
  <si>
    <t>HEMO TECHNICIAN</t>
  </si>
  <si>
    <t>ANGELES, NIKKO G</t>
  </si>
  <si>
    <t>BORROMEO, CHRISTINE R</t>
  </si>
  <si>
    <t>BRIONES, MAY ANN S</t>
  </si>
  <si>
    <t>MEDICAL RECORDS CLERK/RECEPTIONIST</t>
  </si>
  <si>
    <t>CASTRO, JERONE P</t>
  </si>
  <si>
    <t>CHARGE NURSE</t>
  </si>
  <si>
    <t>CORTEZ, RHEA C</t>
  </si>
  <si>
    <t>DELOS SANTOS, KATRINA O</t>
  </si>
  <si>
    <t>GARCIA, DARLENE ELLA V</t>
  </si>
  <si>
    <t>HACLA, ANGELITA S</t>
  </si>
  <si>
    <t>LIBO, JUNE P</t>
  </si>
  <si>
    <t>MALLARI, ERNEST F</t>
  </si>
  <si>
    <t>NURSING ASSISTANT/ HEMO TECHNICIAN</t>
  </si>
  <si>
    <t>MANCERA, MARICEL G</t>
  </si>
  <si>
    <t>MARIN, MADONNA D</t>
  </si>
  <si>
    <t>OPOSCOLO, JENNIFER SHAYNE P</t>
  </si>
  <si>
    <t>PAULO, LEO M</t>
  </si>
  <si>
    <t>PINEDA, MARIAN IVY G</t>
  </si>
  <si>
    <t>PUNO, JOHN NICOLE S</t>
  </si>
  <si>
    <t>SILVA, CHRISTI ANNE Q</t>
  </si>
  <si>
    <t>HEAD NURSE</t>
  </si>
  <si>
    <t>SO, BRYAN A</t>
  </si>
  <si>
    <t>TAYAG, LEONILA B</t>
  </si>
  <si>
    <t>TIONGSON, IVY L</t>
  </si>
  <si>
    <t>ABREA, CHRISTIAN GABRIEL Z</t>
  </si>
  <si>
    <t>AQUINO, MICHAELANGELO A</t>
  </si>
  <si>
    <t>AQUINO, ROMULO C</t>
  </si>
  <si>
    <t>BABADILLA, GRETCHEN P</t>
  </si>
  <si>
    <t>BANAWA, BERNADINE C</t>
  </si>
  <si>
    <t>BUNDALIAN, ELAYNNE NICHOLE  E</t>
  </si>
  <si>
    <t>CABRERA, KARLA MAE M</t>
  </si>
  <si>
    <t>CARLOS, ANNGELIE A</t>
  </si>
  <si>
    <t>DE LEON, CRIS HERALD R</t>
  </si>
  <si>
    <t>FIGUEROA, RALPH JASON  B</t>
  </si>
  <si>
    <t>LAGMAN, FRANCIS M</t>
  </si>
  <si>
    <t>MAYUMAN, ZOILA JOY S</t>
  </si>
  <si>
    <t>MUÑOZ, ALEXANDER S</t>
  </si>
  <si>
    <t>PANGILINAN, REYNALDO B</t>
  </si>
  <si>
    <t>RIVERA, RALPH C</t>
  </si>
  <si>
    <t>TIGLAO, KRISTIAN NOEL P</t>
  </si>
  <si>
    <t>TUNGOL, ARLY JOYCE M</t>
  </si>
  <si>
    <t>VALENCIA, KEEMPEE C</t>
  </si>
  <si>
    <t>VILLAFANIA, ABISHAI M</t>
  </si>
  <si>
    <t>BAUTISTA, ARIANNE LEI S</t>
  </si>
  <si>
    <t>BENGCO, CHERYLEEN B</t>
  </si>
  <si>
    <t>BULAUN, MERVIE D</t>
  </si>
  <si>
    <t>CATEDRILLA, CAMILLE ANN B</t>
  </si>
  <si>
    <t>CORTEZ, MAUREEN P</t>
  </si>
  <si>
    <t>FLORES, JUFFI-AR M</t>
  </si>
  <si>
    <t>GARCIA, JONNALYN A</t>
  </si>
  <si>
    <t>GARCIA, VANESSA JOY R</t>
  </si>
  <si>
    <t>HENSON, AMILYN JOAN C</t>
  </si>
  <si>
    <t>MANALO, WINDY CARL M</t>
  </si>
  <si>
    <t>MATEO, ERICA FATIMA B</t>
  </si>
  <si>
    <t>MATIAS, MARBIE ROSE L</t>
  </si>
  <si>
    <t>MIRANDA, IGEE BOY N</t>
  </si>
  <si>
    <t>PINEDA, RAQUEL A</t>
  </si>
  <si>
    <t>TOLENTINO, ZENIELYN Q</t>
  </si>
  <si>
    <t>VERGARA, FATIMA P</t>
  </si>
  <si>
    <t>VILLANO, DIANNE R</t>
  </si>
  <si>
    <t>ALCANTARA, MARIBEL G</t>
  </si>
  <si>
    <t>NURSE SUPERVISOR</t>
  </si>
  <si>
    <t>CATU, LOUIE ROY E</t>
  </si>
  <si>
    <t>TRAINING OFFICER</t>
  </si>
  <si>
    <t>DIZON, JEREMY C</t>
  </si>
  <si>
    <t>JIMENEZ, MILLETTE C</t>
  </si>
  <si>
    <t>LAXA, MARY ROSE L</t>
  </si>
  <si>
    <t>SECRETARY</t>
  </si>
  <si>
    <t>MACAPAGAL, MARK S</t>
  </si>
  <si>
    <t>ACTING NURSE SUPERVISOR</t>
  </si>
  <si>
    <t>MANLAPAZ, NENITA B</t>
  </si>
  <si>
    <t>DIRECTOR NURSING SERVICES</t>
  </si>
  <si>
    <t>MARQUEZ, PRECIOUS JEAN M</t>
  </si>
  <si>
    <t>PINEDA, JENNIFER O</t>
  </si>
  <si>
    <t>SARMIENTO, DOLORES M</t>
  </si>
  <si>
    <t>INFECTION CONTROL NURSE</t>
  </si>
  <si>
    <t>ANDAYA, IVY JHANE Q</t>
  </si>
  <si>
    <t>MIDWIFE</t>
  </si>
  <si>
    <t>APURILLO, BARBARRA LIGAYA C</t>
  </si>
  <si>
    <t>BALUYUT, ALLAN RAYMOND G</t>
  </si>
  <si>
    <t>BELTRAN , RINA P</t>
  </si>
  <si>
    <t>BULAONG, REYCHEL G</t>
  </si>
  <si>
    <t>CABUSO, RANNIE M</t>
  </si>
  <si>
    <t>CALBANG, IRENE T</t>
  </si>
  <si>
    <t>CAPULONG, MARIESAINT C</t>
  </si>
  <si>
    <t>COCHON, ROSSETTE D</t>
  </si>
  <si>
    <t>DAYRIT, KENT C</t>
  </si>
  <si>
    <t>DAYRIT, MIGUEL ANTONIO D</t>
  </si>
  <si>
    <t>DEL PUERTO, CHARISSE JALANE C</t>
  </si>
  <si>
    <t>DIGMAN, CHARMAINE C</t>
  </si>
  <si>
    <t>DIZON, CLARISSA LYN A</t>
  </si>
  <si>
    <t>DUNGCA, WINNY E</t>
  </si>
  <si>
    <t>DUYA, DESSIRIE JANE L</t>
  </si>
  <si>
    <t>INSTRUMENT CUSTODIAN</t>
  </si>
  <si>
    <t>GALANG, JASON D</t>
  </si>
  <si>
    <t>GARCIA, JEXTER F</t>
  </si>
  <si>
    <t>GARCIA, SHECAINA GRAZELLE Y</t>
  </si>
  <si>
    <t>GUINTO, MARIA VICTORIA B</t>
  </si>
  <si>
    <t>LACSON, LAIZA FATIMA O</t>
  </si>
  <si>
    <t>LAYSON, POWELL MITCHELL G</t>
  </si>
  <si>
    <t>MALONZO, MA. REBECCA JESSICA A</t>
  </si>
  <si>
    <t>RECEPTIONIST</t>
  </si>
  <si>
    <t>MERCADO, KEVIN JUSTIN G</t>
  </si>
  <si>
    <t>MORENO, LUZVIMINDA D</t>
  </si>
  <si>
    <t>MULDONG, MARK ARJAY B</t>
  </si>
  <si>
    <t>ORDOÑEZ, MARK LESTER S</t>
  </si>
  <si>
    <t>ORDOÑEZ, MELODY MADEL B</t>
  </si>
  <si>
    <t>PALO, KYLA YANESSA S</t>
  </si>
  <si>
    <t>PANLILIO, SHAMILA C</t>
  </si>
  <si>
    <t>PINEDA, IRENE CORAZON R</t>
  </si>
  <si>
    <t>RAMOLETE, FRANCES JOANNA O</t>
  </si>
  <si>
    <t>REYTERAN, LORIEN KYE O</t>
  </si>
  <si>
    <t>RIVERA, FERLIN T</t>
  </si>
  <si>
    <t>RIVERA, MARLYN J</t>
  </si>
  <si>
    <t>SABILE, LAURENCE ANTHONY D</t>
  </si>
  <si>
    <t>SANCHEZ, BILLY M</t>
  </si>
  <si>
    <t>SICO, CRISELLE JOY M</t>
  </si>
  <si>
    <t>TACDERAS, PAUL II E</t>
  </si>
  <si>
    <t>UY CANA, CHERRY LEE S</t>
  </si>
  <si>
    <t>VERZO, RAIZZA P</t>
  </si>
  <si>
    <t>WILKERSON, ROSEMARIE C</t>
  </si>
  <si>
    <t>AZUL, ROXAN B</t>
  </si>
  <si>
    <t>BAYAN, CHONA P</t>
  </si>
  <si>
    <t>CARREON, PIA LAUREN E</t>
  </si>
  <si>
    <t>DELOS REYES, MEGAN JOY G</t>
  </si>
  <si>
    <t>GADDI, JEROME M</t>
  </si>
  <si>
    <t>GARCIA, HAZLIN C</t>
  </si>
  <si>
    <t>GRIMALDO, APRIL DIANNE M</t>
  </si>
  <si>
    <t>GUNDRAN, RICARDO JR. R</t>
  </si>
  <si>
    <t>LAXAMANA, MARY CLARENZ D</t>
  </si>
  <si>
    <t>MALIJAN, LEYLEEANNE MAGANDA Y</t>
  </si>
  <si>
    <t>NARVAEZ, NICO S</t>
  </si>
  <si>
    <t>OCAMPO, JOHN CARLO C</t>
  </si>
  <si>
    <t>PILAPIL, JERVIS WINKY H</t>
  </si>
  <si>
    <t>POLICARPIO, FRANCESS JOYE P</t>
  </si>
  <si>
    <t>QUEDDENG, KELVIN M</t>
  </si>
  <si>
    <t>REYES, PAOLO C</t>
  </si>
  <si>
    <t>SALAZAR, JAYSON C</t>
  </si>
  <si>
    <t>TALAO, JUNELENE P</t>
  </si>
  <si>
    <t>VILLAFANIA, PATRISHA MARIE T</t>
  </si>
  <si>
    <t>VILLAROMAN, MA. KRISTINA O</t>
  </si>
  <si>
    <t>ADDURU, DIANE ANTONETTE O</t>
  </si>
  <si>
    <t>ANTONIO, JAY-AR L</t>
  </si>
  <si>
    <t>CABEBE, MADEL ARGIAN  O</t>
  </si>
  <si>
    <t>CRUZ, SARMIE D</t>
  </si>
  <si>
    <t>DE LEON, QUEEN MARY M</t>
  </si>
  <si>
    <t>ESPINO, KRIZEL MAE D</t>
  </si>
  <si>
    <t>GANAL, MAY ANNE S</t>
  </si>
  <si>
    <t>GUTIERREZ, ALEXANDRA MAEVE M</t>
  </si>
  <si>
    <t>LIRA, CELESTE Y</t>
  </si>
  <si>
    <t>LUCIANO, MARCO JULIUS D</t>
  </si>
  <si>
    <t>LUMBA, JAMAINE S</t>
  </si>
  <si>
    <t>MANABAT, ANTONI ROSE P</t>
  </si>
  <si>
    <t>MANUEL, SHERRIELYN S</t>
  </si>
  <si>
    <t>MENDOZA, MAGNOLIA M</t>
  </si>
  <si>
    <t>MERCADO, CHRISTIAN E</t>
  </si>
  <si>
    <t>MORAL , KATHLEEN  M</t>
  </si>
  <si>
    <t>NARVAEZ, JOHN GABRIEL S</t>
  </si>
  <si>
    <t>OCAMPO, MA. KRISTA KAMILLE F</t>
  </si>
  <si>
    <t>OCAMPO, RUSSEL D</t>
  </si>
  <si>
    <t>TUYA, ICEL MILLICENT G</t>
  </si>
  <si>
    <t>VIRAY, JOHN ROBINSON S</t>
  </si>
  <si>
    <t>ALALAN, REINIER G</t>
  </si>
  <si>
    <t>AQUINO, JASMIN N</t>
  </si>
  <si>
    <t>ARVESU, APPLE M</t>
  </si>
  <si>
    <t>BAUTISTA, MICHELLE S</t>
  </si>
  <si>
    <t>CUNANAN, MARCELINA M</t>
  </si>
  <si>
    <t>DANGANAN, ERVIN P</t>
  </si>
  <si>
    <t>DAVID, PRINCESS KATHERINE P</t>
  </si>
  <si>
    <t>DE JESUS, LOYD L</t>
  </si>
  <si>
    <t>DIAZ, PAUZ CLEMENZ C</t>
  </si>
  <si>
    <t>DIZON, ERICSON Y</t>
  </si>
  <si>
    <t>DIZON, VALERIE ANNE F</t>
  </si>
  <si>
    <t>ESPIRITU, NIKO F</t>
  </si>
  <si>
    <t>LUMBA, CHARED JOY D</t>
  </si>
  <si>
    <t>MANALILI, KARLMAE DENISE D</t>
  </si>
  <si>
    <t>MATEO, HANNAH CLAIRE C</t>
  </si>
  <si>
    <t>MIGRIÑO, EARL O</t>
  </si>
  <si>
    <t>NAVA, SAFIVA R</t>
  </si>
  <si>
    <t>OCAMPO, ERIKA R</t>
  </si>
  <si>
    <t>PANGILINAN, MYRA JOY D</t>
  </si>
  <si>
    <t>POLICARPIO, MARIE EDGIE C</t>
  </si>
  <si>
    <t>SIRON, ELDRIC RONALD V</t>
  </si>
  <si>
    <t>YTURRALDE, ANDREA T</t>
  </si>
  <si>
    <t>ALFONSO, ELAINE P</t>
  </si>
  <si>
    <t>ALFONSO, RUSTY A</t>
  </si>
  <si>
    <t>BUMANLAG, ALLEA GAYLE M</t>
  </si>
  <si>
    <t>DAVID, RAQUEL M</t>
  </si>
  <si>
    <t>EVANGELISTA, RON MIKKO F</t>
  </si>
  <si>
    <t>FERRER, GUILLERMO JR J</t>
  </si>
  <si>
    <t>MACASPAC, SHASTA MARIE R</t>
  </si>
  <si>
    <t>NICOLAS, MELODY ANNE M</t>
  </si>
  <si>
    <t>PADILLA, MARVIN JOHN B</t>
  </si>
  <si>
    <t>PANAHON, ARRELL SHANE N</t>
  </si>
  <si>
    <t>PANGILINAN, JOAN Q</t>
  </si>
  <si>
    <t>PASION, RANA ZAIRA M</t>
  </si>
  <si>
    <t>PAULE, LOUISE ANN G</t>
  </si>
  <si>
    <t>QUITO, FRANCIS S</t>
  </si>
  <si>
    <t>REY MATIAS, MARON JAY C</t>
  </si>
  <si>
    <t>REYES, MIKE ANGELO G</t>
  </si>
  <si>
    <t>SALENGA, APRIL ANNE  J</t>
  </si>
  <si>
    <t>SANTOS, MARY PATRICIA L</t>
  </si>
  <si>
    <t>TIMBOL, DARRELL M</t>
  </si>
  <si>
    <t>VERGARA, JIEWELL KHATE M</t>
  </si>
  <si>
    <t>ZABLAN, GEMMA C</t>
  </si>
  <si>
    <t>ALMARIO, CAMILLE DAWN G</t>
  </si>
  <si>
    <t>AYSON, REANNE  O</t>
  </si>
  <si>
    <t>CABEBE, KATRINA P</t>
  </si>
  <si>
    <t>DAVID, BUNNY E</t>
  </si>
  <si>
    <t>DELA CRUZ, DARYL B</t>
  </si>
  <si>
    <t>DELA CRUZ, EDUARDO JR. J</t>
  </si>
  <si>
    <t>DELA CRUZ, ERVIN JOHN M</t>
  </si>
  <si>
    <t>DIZON, MARVIN G</t>
  </si>
  <si>
    <t>LARON, PIO CARLO N</t>
  </si>
  <si>
    <t>LUMBRE, KENNETH CHARLES F</t>
  </si>
  <si>
    <t>MAGLANOC, ERICKA MARIE A</t>
  </si>
  <si>
    <t>PAGUINTO, SHERIDA-LANE R</t>
  </si>
  <si>
    <t>PANGANIBAN, KELVIN H</t>
  </si>
  <si>
    <t>PASTOR, RONA N</t>
  </si>
  <si>
    <t>QUIAMBAO, JOCELYN N</t>
  </si>
  <si>
    <t>RESAYAGA, JENNY F</t>
  </si>
  <si>
    <t>TORRES, SHIERY NELLE R</t>
  </si>
  <si>
    <t>TRANATE, JHOANA C</t>
  </si>
  <si>
    <t>BUCAD, MAY V</t>
  </si>
  <si>
    <t>TAN, DIANA S</t>
  </si>
  <si>
    <t>EXECUTIVE SECRETARY</t>
  </si>
  <si>
    <t>MEDICAL DIRECTOR</t>
  </si>
  <si>
    <t>VILLARAZA, AURELIA</t>
  </si>
  <si>
    <t>AQUINO, FREDDIE JR. T</t>
  </si>
  <si>
    <t>HOUSEKEEPER</t>
  </si>
  <si>
    <t>CASTAÑEDA, RANDY C</t>
  </si>
  <si>
    <t>DAVID, RICO A</t>
  </si>
  <si>
    <t>DIMALANTA, ALOYSIUS G</t>
  </si>
  <si>
    <t>MARIN, JEROME M</t>
  </si>
  <si>
    <t>PACILAN, HAZEL B</t>
  </si>
  <si>
    <t>SANTOS, ANTONIO C</t>
  </si>
  <si>
    <t>SAPRA, DANILO M</t>
  </si>
  <si>
    <t>SICAT, NIÑO O</t>
  </si>
  <si>
    <t>HOUSEKEEPING SUPERVISOR</t>
  </si>
  <si>
    <t>SUAREZ, ELMER S</t>
  </si>
  <si>
    <t>VEROCIL, JOSEPH G</t>
  </si>
  <si>
    <t>CORONADO, JOEL B</t>
  </si>
  <si>
    <t>ASSISTANT POLLUTION CONTROL OFFICER</t>
  </si>
  <si>
    <t>DAQUIGAN, DANTE D</t>
  </si>
  <si>
    <t>WAREHOUSE CUSTODIAN</t>
  </si>
  <si>
    <t>PINEDA, ROLANDO D</t>
  </si>
  <si>
    <t>WAREHOUSE STAFF</t>
  </si>
  <si>
    <t>PINEDA, ROMMEL J</t>
  </si>
  <si>
    <t>SUNGA, ERWIN A</t>
  </si>
  <si>
    <t>PROPERTY CUSTODIAN</t>
  </si>
  <si>
    <t>DECEMBER 15 2017</t>
  </si>
  <si>
    <t>PURCHASING CLERK</t>
  </si>
  <si>
    <t>FULL TIME</t>
  </si>
  <si>
    <t>Permament</t>
  </si>
  <si>
    <t>PART TIME</t>
  </si>
  <si>
    <t>Contractual</t>
  </si>
  <si>
    <t>PART IME</t>
  </si>
  <si>
    <t>ICT CONSULTANT</t>
  </si>
  <si>
    <t>MAGTOTO, AMALIA L</t>
  </si>
  <si>
    <t>DIR ADMIN/PURCHASING</t>
  </si>
  <si>
    <t>MEDL RECORDS OFFICER</t>
  </si>
  <si>
    <t>RENATO, ADDUN</t>
  </si>
  <si>
    <t>SECURITY OFFICER</t>
  </si>
  <si>
    <t>CANLAS, ANGELITA M.</t>
  </si>
  <si>
    <t>DIRECTOR HRM</t>
  </si>
  <si>
    <t>AQUINO, ARIEL L</t>
  </si>
  <si>
    <t>ASST. DIR. ENGR&amp;MAINTENANCE</t>
  </si>
  <si>
    <t>DIR PROPERTY &amp; FACILITY MGT</t>
  </si>
  <si>
    <t>SIY, AARON JOHN T</t>
  </si>
  <si>
    <t>PURCHASING/ADMINISTRATIVE SERVICES</t>
  </si>
  <si>
    <t>ADMISSION/ADMINISTRATIVE SERVICES</t>
  </si>
  <si>
    <t>CENTRAL SUPPLY ROOM/ADMINISTRATIVE SERVICES</t>
  </si>
  <si>
    <t>BREAST CARE/ANCILLIARY SERVICES</t>
  </si>
  <si>
    <t>CLINIC SECRETARIES/ANCILLIARY SERVICES</t>
  </si>
  <si>
    <t>DIETARY/ANCILLIARY SERVICES</t>
  </si>
  <si>
    <t>HEART STATION/ANCILLIARY SERVICES</t>
  </si>
  <si>
    <t>LABORATORY/ANCILLIARY SERVICES</t>
  </si>
  <si>
    <t>MEDICAL RECORDS/ANCILLIARY SERVICES</t>
  </si>
  <si>
    <t>SOCIAL WORK/ANCILLIARY SERVICES</t>
  </si>
  <si>
    <t>PHARMACY/ANCILLIARY SERVICES</t>
  </si>
  <si>
    <t>PMNR/ANCILLIARY SERVICES</t>
  </si>
  <si>
    <t>RADIOLOGY/ANCILLIARY SERVICES</t>
  </si>
  <si>
    <t>ACCOUNTING/BUSINESS &amp; FINANCE</t>
  </si>
  <si>
    <t>BILLING/BUSINESS &amp; FINANCE</t>
  </si>
  <si>
    <t>CASHIER/BUSINESS &amp; FINANCE</t>
  </si>
  <si>
    <t>PHILHEALTH/BUSINESS &amp; FINANCE</t>
  </si>
  <si>
    <t>ENGG &amp; MAINT/ENGINEERING &amp; MAINTENANCE</t>
  </si>
  <si>
    <t>HMO/HMO</t>
  </si>
  <si>
    <t>HUMAN RESOURCES/HRM</t>
  </si>
  <si>
    <t>MIS/MGMT INFO SYSTEM SERVICES</t>
  </si>
  <si>
    <t>EMERGENCY ROOM/NURSING SERVICE</t>
  </si>
  <si>
    <t>HEMODIALYSIS/NURSING SERVICE</t>
  </si>
  <si>
    <t>ICU/NURSING SERVICE</t>
  </si>
  <si>
    <t>NICU/NURSING SERVICE</t>
  </si>
  <si>
    <t>NDO/NURSING SERVICE</t>
  </si>
  <si>
    <t>PH A/NURSING SERVICE</t>
  </si>
  <si>
    <t>OPERATING ROOM/NURSING SERVICE</t>
  </si>
  <si>
    <t>WARD 2A/NURSING SERVICE</t>
  </si>
  <si>
    <t>WARD 2B/NURSING SERVICE</t>
  </si>
  <si>
    <t>WARD 3A/NURSING SERVICE</t>
  </si>
  <si>
    <t>WARD 3B/NURSING SERVICE</t>
  </si>
  <si>
    <t>OMD/OFFICE OF THE MEDICAL DIRECTOR</t>
  </si>
  <si>
    <t>PROPETY AND FACILITIES</t>
  </si>
  <si>
    <t>HOUSEKEEPING/PROPERTY &amp; FACILITIES</t>
  </si>
  <si>
    <t>PROPERTY/PROPERTY &amp; FACILITIES</t>
  </si>
  <si>
    <t>13th Month Pay</t>
  </si>
</sst>
</file>

<file path=xl/styles.xml><?xml version="1.0" encoding="utf-8"?>
<styleSheet xmlns="http://schemas.openxmlformats.org/spreadsheetml/2006/main">
  <numFmts count="1">
    <numFmt numFmtId="164" formatCode="_-* #,##0.00_-;\-* #,##0.00_-;_-* &quot;-&quot;??_-;_-@_-"/>
  </numFmts>
  <fonts count="24">
    <font>
      <sz val="11"/>
      <color rgb="FF000000"/>
      <name val="Calibri"/>
    </font>
    <font>
      <sz val="11"/>
      <color theme="1"/>
      <name val="Calibri"/>
      <family val="2"/>
      <scheme val="minor"/>
    </font>
    <font>
      <sz val="10"/>
      <color rgb="FF000000"/>
      <name val="Arial Narrow"/>
      <family val="2"/>
    </font>
    <font>
      <b/>
      <sz val="11"/>
      <color rgb="FF000000"/>
      <name val="Arial Narrow"/>
      <family val="2"/>
    </font>
    <font>
      <b/>
      <sz val="10"/>
      <color rgb="FF000000"/>
      <name val="Arial Narrow"/>
      <family val="2"/>
    </font>
    <font>
      <sz val="11"/>
      <name val="Calibri"/>
      <family val="2"/>
    </font>
    <font>
      <sz val="11"/>
      <color rgb="FF000000"/>
      <name val="Arial Narrow"/>
      <family val="2"/>
    </font>
    <font>
      <b/>
      <sz val="10"/>
      <name val="Arial Narrow"/>
      <family val="2"/>
    </font>
    <font>
      <sz val="10"/>
      <name val="Arial Narrow"/>
      <family val="2"/>
    </font>
    <font>
      <b/>
      <sz val="11"/>
      <name val="Arial Narrow"/>
      <family val="2"/>
    </font>
    <font>
      <sz val="11"/>
      <color rgb="FF000000"/>
      <name val="Calibri"/>
      <family val="2"/>
    </font>
    <font>
      <b/>
      <sz val="11"/>
      <color theme="1"/>
      <name val="Calibri"/>
      <family val="2"/>
      <scheme val="minor"/>
    </font>
    <font>
      <sz val="11"/>
      <color theme="1"/>
      <name val="Arial Narrow"/>
      <family val="2"/>
    </font>
    <font>
      <b/>
      <sz val="11"/>
      <color rgb="FFFF0000"/>
      <name val="Arial Narrow"/>
      <family val="2"/>
    </font>
    <font>
      <b/>
      <sz val="11"/>
      <color rgb="FF0070C0"/>
      <name val="Arial Narrow"/>
      <family val="2"/>
    </font>
    <font>
      <sz val="11"/>
      <name val="Arial Narrow"/>
      <family val="2"/>
    </font>
    <font>
      <u/>
      <sz val="11"/>
      <color rgb="FF000000"/>
      <name val="Arial Narrow"/>
      <family val="2"/>
    </font>
    <font>
      <u/>
      <sz val="11"/>
      <color rgb="FF0563C1"/>
      <name val="Calibri"/>
      <family val="2"/>
    </font>
    <font>
      <sz val="8"/>
      <color rgb="FF008000"/>
      <name val="Calibri"/>
      <family val="2"/>
    </font>
    <font>
      <sz val="8"/>
      <color rgb="FF800000"/>
      <name val="Calibri"/>
      <family val="2"/>
    </font>
    <font>
      <sz val="11"/>
      <color rgb="FF0070C0"/>
      <name val="Arial Narrow"/>
      <family val="2"/>
    </font>
    <font>
      <sz val="10"/>
      <color theme="1"/>
      <name val="Arial Narrow"/>
      <family val="2"/>
    </font>
    <font>
      <b/>
      <sz val="11"/>
      <color theme="1"/>
      <name val="Arial Narrow"/>
      <family val="2"/>
    </font>
    <font>
      <sz val="10"/>
      <color rgb="FF0070C0"/>
      <name val="Arial Narrow"/>
      <family val="2"/>
    </font>
  </fonts>
  <fills count="7">
    <fill>
      <patternFill patternType="none"/>
    </fill>
    <fill>
      <patternFill patternType="gray125"/>
    </fill>
    <fill>
      <patternFill patternType="solid">
        <fgColor rgb="FFFFFFFF"/>
        <bgColor rgb="FFFFFFFF"/>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rgb="FFD9E2F3"/>
      </patternFill>
    </fill>
  </fills>
  <borders count="24">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diagonal/>
    </border>
    <border>
      <left style="thin">
        <color rgb="FF000000"/>
      </left>
      <right/>
      <top style="thin">
        <color rgb="FF000000"/>
      </top>
      <bottom/>
      <diagonal/>
    </border>
    <border>
      <left style="medium">
        <color auto="1"/>
      </left>
      <right style="medium">
        <color auto="1"/>
      </right>
      <top/>
      <bottom style="medium">
        <color auto="1"/>
      </bottom>
      <diagonal/>
    </border>
    <border>
      <left style="medium">
        <color rgb="FF000000"/>
      </left>
      <right/>
      <top style="medium">
        <color rgb="FF000000"/>
      </top>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s>
  <cellStyleXfs count="5">
    <xf numFmtId="0" fontId="0" fillId="0" borderId="0"/>
    <xf numFmtId="164" fontId="10" fillId="0" borderId="0" applyFont="0" applyFill="0" applyBorder="0" applyAlignment="0" applyProtection="0"/>
    <xf numFmtId="9" fontId="10" fillId="0" borderId="0" applyFont="0" applyFill="0" applyBorder="0" applyAlignment="0" applyProtection="0"/>
    <xf numFmtId="0" fontId="1" fillId="0" borderId="0"/>
    <xf numFmtId="0" fontId="10" fillId="0" borderId="0"/>
  </cellStyleXfs>
  <cellXfs count="89">
    <xf numFmtId="0" fontId="0" fillId="0" borderId="0" xfId="0" applyFont="1" applyAlignment="1"/>
    <xf numFmtId="0" fontId="2" fillId="0" borderId="0" xfId="0" applyFont="1"/>
    <xf numFmtId="0" fontId="6" fillId="0" borderId="0" xfId="0" applyFont="1"/>
    <xf numFmtId="0" fontId="6" fillId="0" borderId="0" xfId="0" applyFont="1" applyAlignment="1"/>
    <xf numFmtId="0" fontId="4" fillId="0" borderId="2" xfId="0" applyFont="1" applyBorder="1" applyAlignment="1">
      <alignment horizontal="center" vertical="top"/>
    </xf>
    <xf numFmtId="0" fontId="2" fillId="0" borderId="2" xfId="0" applyFont="1" applyBorder="1"/>
    <xf numFmtId="0" fontId="2" fillId="0" borderId="2" xfId="0" applyFont="1" applyBorder="1" applyAlignment="1">
      <alignment horizontal="left"/>
    </xf>
    <xf numFmtId="0" fontId="4" fillId="0" borderId="2" xfId="0" applyFont="1" applyBorder="1"/>
    <xf numFmtId="0" fontId="3" fillId="0" borderId="2" xfId="0" applyFont="1" applyBorder="1"/>
    <xf numFmtId="0" fontId="7" fillId="2" borderId="2" xfId="0" applyFont="1" applyFill="1" applyBorder="1"/>
    <xf numFmtId="0" fontId="8" fillId="2" borderId="2" xfId="0" applyFont="1" applyFill="1" applyBorder="1"/>
    <xf numFmtId="0" fontId="8" fillId="2" borderId="2" xfId="0" applyFont="1" applyFill="1" applyBorder="1" applyAlignment="1"/>
    <xf numFmtId="0" fontId="8" fillId="2" borderId="3" xfId="0" applyFont="1" applyFill="1" applyBorder="1"/>
    <xf numFmtId="0" fontId="4" fillId="0" borderId="2" xfId="0" applyFont="1" applyBorder="1" applyAlignment="1">
      <alignment vertical="center"/>
    </xf>
    <xf numFmtId="0" fontId="4" fillId="0" borderId="2" xfId="0" applyFont="1" applyBorder="1" applyAlignment="1">
      <alignment horizontal="center" vertical="center"/>
    </xf>
    <xf numFmtId="0" fontId="3" fillId="0" borderId="2" xfId="0" applyFont="1" applyBorder="1" applyAlignment="1">
      <alignment vertical="top"/>
    </xf>
    <xf numFmtId="0" fontId="3" fillId="0" borderId="2" xfId="0" applyFont="1" applyBorder="1" applyAlignment="1">
      <alignment horizontal="center" vertical="top"/>
    </xf>
    <xf numFmtId="0" fontId="2" fillId="0" borderId="1" xfId="0" applyFont="1" applyBorder="1"/>
    <xf numFmtId="0" fontId="8" fillId="2" borderId="4" xfId="0" applyFont="1" applyFill="1" applyBorder="1"/>
    <xf numFmtId="0" fontId="2" fillId="0" borderId="3" xfId="0" applyFont="1" applyBorder="1"/>
    <xf numFmtId="0" fontId="2" fillId="0" borderId="4" xfId="0" applyFont="1" applyBorder="1"/>
    <xf numFmtId="0" fontId="4" fillId="0" borderId="4" xfId="0" applyFont="1" applyBorder="1"/>
    <xf numFmtId="0" fontId="12" fillId="0" borderId="0" xfId="0" applyFont="1"/>
    <xf numFmtId="0" fontId="12" fillId="0" borderId="0" xfId="0" applyFont="1" applyAlignment="1"/>
    <xf numFmtId="0" fontId="3" fillId="3" borderId="0" xfId="0" applyFont="1" applyFill="1" applyBorder="1" applyAlignment="1" applyProtection="1">
      <alignment horizontal="left" vertical="center"/>
    </xf>
    <xf numFmtId="0" fontId="14" fillId="0" borderId="4" xfId="0" applyFont="1" applyBorder="1" applyAlignment="1" applyProtection="1">
      <alignment horizontal="center" vertical="center"/>
      <protection locked="0"/>
    </xf>
    <xf numFmtId="14" fontId="12" fillId="0" borderId="0" xfId="0" applyNumberFormat="1" applyFont="1" applyAlignment="1">
      <alignment horizontal="center"/>
    </xf>
    <xf numFmtId="0" fontId="1" fillId="0" borderId="0" xfId="3"/>
    <xf numFmtId="0" fontId="11" fillId="0" borderId="0" xfId="3" applyFont="1"/>
    <xf numFmtId="0" fontId="10" fillId="0" borderId="0" xfId="4" applyFont="1" applyAlignment="1"/>
    <xf numFmtId="0" fontId="15" fillId="0" borderId="0" xfId="4" applyFont="1"/>
    <xf numFmtId="0" fontId="16" fillId="0" borderId="0" xfId="4" applyFont="1" applyAlignment="1"/>
    <xf numFmtId="0" fontId="6" fillId="0" borderId="0" xfId="4" applyFont="1" applyAlignment="1"/>
    <xf numFmtId="0" fontId="6" fillId="0" borderId="0" xfId="4" applyFont="1"/>
    <xf numFmtId="0" fontId="6" fillId="0" borderId="5" xfId="4" applyFont="1" applyBorder="1" applyAlignment="1"/>
    <xf numFmtId="0" fontId="6" fillId="0" borderId="5" xfId="4" applyFont="1" applyBorder="1" applyAlignment="1">
      <alignment vertical="center"/>
    </xf>
    <xf numFmtId="0" fontId="15" fillId="0" borderId="5" xfId="4" applyFont="1" applyBorder="1" applyAlignment="1"/>
    <xf numFmtId="0" fontId="6" fillId="0" borderId="3" xfId="4" applyFont="1" applyBorder="1" applyAlignment="1"/>
    <xf numFmtId="0" fontId="6" fillId="0" borderId="1" xfId="4" applyFont="1" applyBorder="1" applyAlignment="1"/>
    <xf numFmtId="0" fontId="6" fillId="0" borderId="5" xfId="4" applyFont="1" applyBorder="1"/>
    <xf numFmtId="0" fontId="6" fillId="0" borderId="6" xfId="4" applyFont="1" applyBorder="1" applyAlignment="1"/>
    <xf numFmtId="0" fontId="6" fillId="0" borderId="7" xfId="4" applyFont="1" applyBorder="1" applyAlignment="1"/>
    <xf numFmtId="0" fontId="6" fillId="0" borderId="8" xfId="4" applyFont="1" applyBorder="1" applyAlignment="1"/>
    <xf numFmtId="0" fontId="3" fillId="0" borderId="0" xfId="4" applyFont="1" applyAlignment="1"/>
    <xf numFmtId="0" fontId="17" fillId="0" borderId="0" xfId="4" applyFont="1"/>
    <xf numFmtId="0" fontId="6" fillId="0" borderId="0" xfId="4" applyFont="1" applyAlignment="1">
      <alignment horizontal="center" vertical="center"/>
    </xf>
    <xf numFmtId="0" fontId="6" fillId="0" borderId="9" xfId="4" applyFont="1" applyBorder="1"/>
    <xf numFmtId="0" fontId="6" fillId="0" borderId="10" xfId="4" applyFont="1" applyBorder="1" applyAlignment="1">
      <alignment vertical="center"/>
    </xf>
    <xf numFmtId="0" fontId="6" fillId="0" borderId="11" xfId="4" applyFont="1" applyBorder="1"/>
    <xf numFmtId="0" fontId="6" fillId="0" borderId="11" xfId="4" applyFont="1" applyBorder="1" applyAlignment="1"/>
    <xf numFmtId="0" fontId="5" fillId="0" borderId="11" xfId="4" applyFont="1" applyBorder="1" applyAlignment="1"/>
    <xf numFmtId="0" fontId="6" fillId="0" borderId="12" xfId="4" applyFont="1" applyBorder="1"/>
    <xf numFmtId="0" fontId="15" fillId="0" borderId="9" xfId="4" applyFont="1" applyBorder="1" applyAlignment="1"/>
    <xf numFmtId="0" fontId="6" fillId="0" borderId="12" xfId="4" applyFont="1" applyBorder="1" applyAlignment="1"/>
    <xf numFmtId="0" fontId="6" fillId="0" borderId="13" xfId="4" applyFont="1" applyBorder="1" applyAlignment="1"/>
    <xf numFmtId="0" fontId="6" fillId="0" borderId="14" xfId="4" applyFont="1" applyBorder="1" applyAlignment="1">
      <alignment vertical="center"/>
    </xf>
    <xf numFmtId="0" fontId="6" fillId="0" borderId="13" xfId="4" applyFont="1" applyBorder="1"/>
    <xf numFmtId="0" fontId="6" fillId="0" borderId="15" xfId="4" applyFont="1" applyBorder="1"/>
    <xf numFmtId="0" fontId="6" fillId="0" borderId="10" xfId="4" applyFont="1" applyBorder="1" applyAlignment="1">
      <alignment horizontal="center"/>
    </xf>
    <xf numFmtId="0" fontId="3" fillId="0" borderId="0" xfId="4" applyFont="1"/>
    <xf numFmtId="0" fontId="20" fillId="0" borderId="4" xfId="0" applyFont="1" applyBorder="1" applyProtection="1">
      <protection locked="0"/>
    </xf>
    <xf numFmtId="0" fontId="21" fillId="0" borderId="0" xfId="0" applyFont="1"/>
    <xf numFmtId="0" fontId="22" fillId="4" borderId="0" xfId="0" applyFont="1" applyFill="1"/>
    <xf numFmtId="0" fontId="21" fillId="4" borderId="0" xfId="0" applyFont="1" applyFill="1"/>
    <xf numFmtId="0" fontId="21" fillId="0" borderId="0" xfId="0" applyFont="1" applyProtection="1"/>
    <xf numFmtId="164" fontId="20" fillId="5" borderId="4" xfId="1" applyFont="1" applyFill="1" applyBorder="1" applyProtection="1">
      <protection locked="0"/>
    </xf>
    <xf numFmtId="9" fontId="20" fillId="5" borderId="4" xfId="2" applyFont="1" applyFill="1" applyBorder="1" applyProtection="1">
      <protection locked="0"/>
    </xf>
    <xf numFmtId="0" fontId="4" fillId="3" borderId="2" xfId="0" applyFont="1" applyFill="1" applyBorder="1" applyAlignment="1">
      <alignment horizontal="center" vertical="center" wrapText="1"/>
    </xf>
    <xf numFmtId="0" fontId="4" fillId="6" borderId="2" xfId="0" applyFont="1" applyFill="1" applyBorder="1" applyAlignment="1">
      <alignment horizontal="center" vertical="center" wrapText="1"/>
    </xf>
    <xf numFmtId="0" fontId="2" fillId="3" borderId="16" xfId="0" applyFont="1" applyFill="1" applyBorder="1"/>
    <xf numFmtId="0" fontId="0" fillId="3" borderId="22" xfId="0" applyFont="1" applyFill="1" applyBorder="1" applyAlignment="1"/>
    <xf numFmtId="0" fontId="2" fillId="3" borderId="22" xfId="0" applyFont="1" applyFill="1" applyBorder="1"/>
    <xf numFmtId="0" fontId="2" fillId="3" borderId="17" xfId="0" applyFont="1" applyFill="1" applyBorder="1"/>
    <xf numFmtId="0" fontId="2" fillId="3" borderId="18" xfId="0" applyFont="1" applyFill="1" applyBorder="1"/>
    <xf numFmtId="0" fontId="0" fillId="3" borderId="0" xfId="0" applyFont="1" applyFill="1" applyBorder="1" applyAlignment="1"/>
    <xf numFmtId="0" fontId="2" fillId="3" borderId="0" xfId="0" applyFont="1" applyFill="1" applyBorder="1"/>
    <xf numFmtId="0" fontId="2" fillId="3" borderId="19" xfId="0" applyFont="1" applyFill="1" applyBorder="1"/>
    <xf numFmtId="0" fontId="4" fillId="3" borderId="18" xfId="0" applyFont="1" applyFill="1" applyBorder="1"/>
    <xf numFmtId="0" fontId="2" fillId="3" borderId="20" xfId="0" applyFont="1" applyFill="1" applyBorder="1"/>
    <xf numFmtId="0" fontId="0" fillId="3" borderId="23" xfId="0" applyFont="1" applyFill="1" applyBorder="1" applyAlignment="1"/>
    <xf numFmtId="0" fontId="2" fillId="3" borderId="23" xfId="0" applyFont="1" applyFill="1" applyBorder="1"/>
    <xf numFmtId="0" fontId="2" fillId="3" borderId="21" xfId="0" applyFont="1" applyFill="1" applyBorder="1"/>
    <xf numFmtId="0" fontId="23" fillId="0" borderId="2" xfId="0" applyFont="1" applyBorder="1" applyProtection="1">
      <protection locked="0"/>
    </xf>
    <xf numFmtId="0" fontId="6" fillId="3" borderId="16" xfId="0" applyFont="1" applyFill="1" applyBorder="1" applyAlignment="1">
      <alignment horizontal="left" wrapText="1"/>
    </xf>
    <xf numFmtId="0" fontId="6" fillId="3" borderId="17" xfId="0" applyFont="1" applyFill="1" applyBorder="1" applyAlignment="1">
      <alignment horizontal="left" wrapText="1"/>
    </xf>
    <xf numFmtId="0" fontId="6" fillId="3" borderId="18" xfId="0" applyFont="1" applyFill="1" applyBorder="1" applyAlignment="1">
      <alignment horizontal="left" wrapText="1"/>
    </xf>
    <xf numFmtId="0" fontId="6" fillId="3" borderId="19" xfId="0" applyFont="1" applyFill="1" applyBorder="1" applyAlignment="1">
      <alignment horizontal="left" wrapText="1"/>
    </xf>
    <xf numFmtId="0" fontId="6" fillId="3" borderId="20" xfId="0" applyFont="1" applyFill="1" applyBorder="1" applyAlignment="1">
      <alignment horizontal="left" wrapText="1"/>
    </xf>
    <xf numFmtId="0" fontId="6" fillId="3" borderId="21" xfId="0" applyFont="1" applyFill="1" applyBorder="1" applyAlignment="1">
      <alignment horizontal="left" wrapText="1"/>
    </xf>
  </cellXfs>
  <cellStyles count="5">
    <cellStyle name="Comma" xfId="1" builtinId="3"/>
    <cellStyle name="Normal" xfId="0" builtinId="0"/>
    <cellStyle name="Normal 2" xfId="3"/>
    <cellStyle name="Normal 2 2" xfId="4"/>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sheetPr codeName="Sheet1">
    <tabColor rgb="FF0070C0"/>
  </sheetPr>
  <dimension ref="B1:DQ1211"/>
  <sheetViews>
    <sheetView tabSelected="1" topLeftCell="Z1" workbookViewId="0">
      <selection activeCell="AJ15" sqref="AJ15"/>
    </sheetView>
  </sheetViews>
  <sheetFormatPr defaultColWidth="14.42578125" defaultRowHeight="15" customHeight="1" outlineLevelRow="1"/>
  <cols>
    <col min="1" max="1" width="4.85546875" customWidth="1"/>
    <col min="2" max="2" width="6" customWidth="1"/>
    <col min="3" max="3" width="25.5703125" customWidth="1"/>
    <col min="4" max="4" width="13.7109375" customWidth="1"/>
    <col min="5" max="5" width="28.42578125" bestFit="1" customWidth="1"/>
    <col min="6" max="6" width="10.5703125" bestFit="1" customWidth="1"/>
    <col min="7" max="7" width="10" bestFit="1" customWidth="1"/>
    <col min="8" max="8" width="11" bestFit="1" customWidth="1"/>
    <col min="9" max="9" width="9.42578125" bestFit="1" customWidth="1"/>
    <col min="10" max="10" width="10" bestFit="1" customWidth="1"/>
    <col min="11" max="11" width="11" bestFit="1" customWidth="1"/>
    <col min="12" max="12" width="7.5703125" bestFit="1" customWidth="1"/>
    <col min="13" max="13" width="5.140625" bestFit="1" customWidth="1"/>
    <col min="14" max="14" width="7.5703125" bestFit="1" customWidth="1"/>
    <col min="15" max="15" width="5" bestFit="1" customWidth="1"/>
    <col min="16" max="16" width="4.5703125" bestFit="1" customWidth="1"/>
    <col min="17" max="17" width="3.85546875" bestFit="1" customWidth="1"/>
    <col min="18" max="18" width="4.28515625" customWidth="1"/>
    <col min="19" max="19" width="7.7109375" bestFit="1" customWidth="1"/>
    <col min="20" max="20" width="3.85546875" bestFit="1" customWidth="1"/>
    <col min="21" max="21" width="2.5703125" bestFit="1" customWidth="1"/>
    <col min="22" max="22" width="7.5703125" bestFit="1" customWidth="1"/>
    <col min="23" max="23" width="3.140625" customWidth="1"/>
    <col min="24" max="24" width="4.42578125" bestFit="1" customWidth="1"/>
    <col min="25" max="25" width="16.28515625" customWidth="1"/>
    <col min="26" max="26" width="12.85546875" customWidth="1"/>
    <col min="27" max="27" width="15.7109375" bestFit="1" customWidth="1"/>
    <col min="28" max="28" width="16.28515625" customWidth="1"/>
    <col min="29" max="30" width="7.5703125" customWidth="1"/>
    <col min="31" max="31" width="8.5703125" customWidth="1"/>
    <col min="32" max="32" width="12.42578125" customWidth="1"/>
    <col min="33" max="33" width="9.7109375" customWidth="1"/>
    <col min="34" max="34" width="30" customWidth="1"/>
    <col min="35" max="35" width="10" bestFit="1" customWidth="1"/>
    <col min="36" max="37" width="16.28515625" customWidth="1"/>
  </cols>
  <sheetData>
    <row r="1" spans="2:121" ht="12.75" customHeight="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r="2" spans="2:121" s="61" customFormat="1" ht="16.5">
      <c r="B2" s="62" t="s">
        <v>1</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2:121" ht="12.75" customHeight="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2:121" ht="12.75" hidden="1" customHeight="1" outlineLevel="1">
      <c r="B4" s="1" t="s">
        <v>208</v>
      </c>
      <c r="C4" s="1">
        <v>395</v>
      </c>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2:121" ht="12.75" customHeight="1" collapsed="1">
      <c r="B5" s="69" t="s">
        <v>2</v>
      </c>
      <c r="C5" s="70"/>
      <c r="D5" s="71"/>
      <c r="E5" s="71"/>
      <c r="F5" s="72"/>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2:121" ht="12.75" customHeight="1">
      <c r="B6" s="73" t="s">
        <v>3</v>
      </c>
      <c r="C6" s="74"/>
      <c r="D6" s="75"/>
      <c r="E6" s="75"/>
      <c r="F6" s="76"/>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row>
    <row r="7" spans="2:121" ht="12.75" customHeight="1">
      <c r="B7" s="73" t="s">
        <v>114</v>
      </c>
      <c r="C7" s="74"/>
      <c r="D7" s="75"/>
      <c r="E7" s="75"/>
      <c r="F7" s="76"/>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row>
    <row r="8" spans="2:121" ht="12.75" customHeight="1">
      <c r="B8" s="77" t="s">
        <v>207</v>
      </c>
      <c r="C8" s="25" t="s">
        <v>685</v>
      </c>
      <c r="D8" s="75"/>
      <c r="E8" s="75"/>
      <c r="F8" s="76"/>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row>
    <row r="9" spans="2:121" ht="12.75" customHeight="1">
      <c r="B9" s="78" t="s">
        <v>4</v>
      </c>
      <c r="C9" s="79"/>
      <c r="D9" s="80"/>
      <c r="E9" s="80"/>
      <c r="F9" s="8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row>
    <row r="10" spans="2:121" ht="12.75" customHeight="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2:121" s="22" customFormat="1" ht="16.5">
      <c r="H11" s="23"/>
    </row>
    <row r="12" spans="2:121" s="22" customFormat="1" ht="16.5">
      <c r="B12" s="24" t="s">
        <v>129</v>
      </c>
      <c r="C12" s="25" t="s">
        <v>209</v>
      </c>
      <c r="F12" s="26"/>
    </row>
    <row r="13" spans="2:121" s="22" customFormat="1" ht="16.5">
      <c r="F13" s="26"/>
    </row>
    <row r="14" spans="2:121" ht="81.75" customHeight="1">
      <c r="B14" s="67" t="s">
        <v>5</v>
      </c>
      <c r="C14" s="67" t="s">
        <v>12</v>
      </c>
      <c r="D14" s="67" t="s">
        <v>13</v>
      </c>
      <c r="E14" s="67" t="s">
        <v>14</v>
      </c>
      <c r="F14" s="67" t="s">
        <v>15</v>
      </c>
      <c r="G14" s="67" t="s">
        <v>16</v>
      </c>
      <c r="H14" s="67" t="s">
        <v>118</v>
      </c>
      <c r="I14" s="67" t="s">
        <v>120</v>
      </c>
      <c r="J14" s="67" t="s">
        <v>119</v>
      </c>
      <c r="K14" s="67" t="s">
        <v>17</v>
      </c>
      <c r="L14" s="67" t="s">
        <v>18</v>
      </c>
      <c r="M14" s="67" t="s">
        <v>19</v>
      </c>
      <c r="N14" s="67" t="s">
        <v>20</v>
      </c>
      <c r="O14" s="67" t="s">
        <v>21</v>
      </c>
      <c r="P14" s="67" t="s">
        <v>22</v>
      </c>
      <c r="Q14" s="67" t="s">
        <v>23</v>
      </c>
      <c r="R14" s="67" t="s">
        <v>24</v>
      </c>
      <c r="S14" s="67" t="s">
        <v>25</v>
      </c>
      <c r="T14" s="67" t="s">
        <v>26</v>
      </c>
      <c r="U14" s="67" t="s">
        <v>27</v>
      </c>
      <c r="V14" s="67" t="s">
        <v>28</v>
      </c>
      <c r="W14" s="67" t="s">
        <v>29</v>
      </c>
      <c r="X14" s="67" t="s">
        <v>30</v>
      </c>
      <c r="Y14" s="67" t="s">
        <v>31</v>
      </c>
      <c r="Z14" s="67" t="s">
        <v>32</v>
      </c>
      <c r="AA14" s="67" t="s">
        <v>33</v>
      </c>
      <c r="AB14" s="67" t="s">
        <v>34</v>
      </c>
      <c r="AC14" s="67" t="s">
        <v>36</v>
      </c>
      <c r="AD14" s="67" t="s">
        <v>37</v>
      </c>
      <c r="AE14" s="67" t="s">
        <v>38</v>
      </c>
      <c r="AF14" s="67" t="s">
        <v>39</v>
      </c>
      <c r="AG14" s="67" t="s">
        <v>40</v>
      </c>
      <c r="AH14" s="67" t="s">
        <v>42</v>
      </c>
      <c r="AI14" s="67" t="s">
        <v>43</v>
      </c>
      <c r="AJ14" s="67" t="s">
        <v>740</v>
      </c>
      <c r="AK14" s="68" t="s">
        <v>45</v>
      </c>
    </row>
    <row r="15" spans="2:121" ht="12.75" customHeight="1">
      <c r="B15" s="5">
        <v>1</v>
      </c>
      <c r="C15" s="60" t="s">
        <v>210</v>
      </c>
      <c r="D15" s="60" t="s">
        <v>686</v>
      </c>
      <c r="E15" s="60" t="s">
        <v>704</v>
      </c>
      <c r="F15" s="66" t="s">
        <v>687</v>
      </c>
      <c r="G15" s="82" t="s">
        <v>688</v>
      </c>
      <c r="H15" s="65">
        <v>504.83</v>
      </c>
      <c r="I15" s="65">
        <v>13</v>
      </c>
      <c r="J15" s="65">
        <f>I15*8</f>
        <v>104</v>
      </c>
      <c r="K15" s="65">
        <f>H15*I15*2</f>
        <v>13125.58</v>
      </c>
      <c r="L15" s="65"/>
      <c r="M15" s="65"/>
      <c r="N15" s="65"/>
      <c r="O15" s="65"/>
      <c r="P15" s="65"/>
      <c r="Q15" s="65"/>
      <c r="R15" s="65"/>
      <c r="S15" s="65"/>
      <c r="T15" s="65"/>
      <c r="U15" s="65"/>
      <c r="V15" s="65"/>
      <c r="W15" s="65"/>
      <c r="X15" s="65"/>
      <c r="Y15" s="65"/>
      <c r="Z15" s="65"/>
      <c r="AA15" s="65">
        <v>730</v>
      </c>
      <c r="AB15" s="65"/>
      <c r="AC15" s="65">
        <v>100</v>
      </c>
      <c r="AD15" s="65">
        <v>162.5</v>
      </c>
      <c r="AE15" s="65">
        <v>472.3</v>
      </c>
      <c r="AF15" s="65"/>
      <c r="AG15" s="65"/>
      <c r="AH15" s="65"/>
      <c r="AI15" s="65"/>
      <c r="AJ15" s="65">
        <v>13015.3</v>
      </c>
      <c r="AK15" s="65">
        <v>156124.59</v>
      </c>
    </row>
    <row r="16" spans="2:121" ht="12.75" customHeight="1">
      <c r="B16" s="5">
        <v>2</v>
      </c>
      <c r="C16" s="60" t="s">
        <v>211</v>
      </c>
      <c r="D16" s="60" t="s">
        <v>212</v>
      </c>
      <c r="E16" s="60" t="s">
        <v>705</v>
      </c>
      <c r="F16" s="66" t="s">
        <v>687</v>
      </c>
      <c r="G16" s="82" t="s">
        <v>688</v>
      </c>
      <c r="H16" s="65">
        <v>551.77</v>
      </c>
      <c r="I16" s="65">
        <v>11</v>
      </c>
      <c r="J16" s="65">
        <f t="shared" ref="J16:J23" si="0">I16*8</f>
        <v>88</v>
      </c>
      <c r="K16" s="65">
        <f t="shared" ref="K16:K23" si="1">H16*I16*2</f>
        <v>12138.939999999999</v>
      </c>
      <c r="L16" s="65"/>
      <c r="M16" s="65"/>
      <c r="N16" s="65"/>
      <c r="O16" s="65"/>
      <c r="P16" s="65"/>
      <c r="Q16" s="65"/>
      <c r="R16" s="65"/>
      <c r="S16" s="65"/>
      <c r="T16" s="65"/>
      <c r="U16" s="65"/>
      <c r="V16" s="65"/>
      <c r="W16" s="65"/>
      <c r="X16" s="65"/>
      <c r="Y16" s="65"/>
      <c r="Z16" s="65"/>
      <c r="AA16" s="65">
        <v>525</v>
      </c>
      <c r="AB16" s="65"/>
      <c r="AC16" s="65">
        <v>100</v>
      </c>
      <c r="AD16" s="65">
        <v>150</v>
      </c>
      <c r="AE16" s="65">
        <v>436</v>
      </c>
      <c r="AF16" s="65"/>
      <c r="AG16" s="65"/>
      <c r="AH16" s="65"/>
      <c r="AI16" s="65"/>
      <c r="AJ16" s="65">
        <v>12053.7</v>
      </c>
      <c r="AK16" s="65">
        <v>144602.03</v>
      </c>
    </row>
    <row r="17" spans="2:37" ht="12.75" customHeight="1">
      <c r="B17" s="5">
        <v>3</v>
      </c>
      <c r="C17" s="60" t="s">
        <v>213</v>
      </c>
      <c r="D17" s="60" t="s">
        <v>214</v>
      </c>
      <c r="E17" s="60" t="s">
        <v>705</v>
      </c>
      <c r="F17" s="66" t="s">
        <v>687</v>
      </c>
      <c r="G17" s="82" t="s">
        <v>688</v>
      </c>
      <c r="H17" s="65">
        <v>386.16</v>
      </c>
      <c r="I17" s="65">
        <v>11</v>
      </c>
      <c r="J17" s="65">
        <f t="shared" si="0"/>
        <v>88</v>
      </c>
      <c r="K17" s="65">
        <f t="shared" si="1"/>
        <v>8495.52</v>
      </c>
      <c r="L17" s="65"/>
      <c r="M17" s="65"/>
      <c r="N17" s="65"/>
      <c r="O17" s="65"/>
      <c r="P17" s="65"/>
      <c r="Q17" s="65"/>
      <c r="R17" s="65"/>
      <c r="S17" s="65"/>
      <c r="T17" s="65"/>
      <c r="U17" s="65"/>
      <c r="V17" s="65"/>
      <c r="W17" s="65"/>
      <c r="X17" s="65"/>
      <c r="Y17" s="65"/>
      <c r="Z17" s="65"/>
      <c r="AA17" s="65">
        <v>0</v>
      </c>
      <c r="AB17" s="65"/>
      <c r="AC17" s="65">
        <v>100</v>
      </c>
      <c r="AD17" s="65">
        <v>100</v>
      </c>
      <c r="AE17" s="65">
        <v>308.8</v>
      </c>
      <c r="AF17" s="65"/>
      <c r="AG17" s="65"/>
      <c r="AH17" s="65"/>
      <c r="AI17" s="65"/>
      <c r="AJ17" s="65">
        <v>4244.38</v>
      </c>
      <c r="AK17" s="65">
        <v>50973.36</v>
      </c>
    </row>
    <row r="18" spans="2:37" ht="12.75" customHeight="1">
      <c r="B18" s="5">
        <v>4</v>
      </c>
      <c r="C18" s="60" t="s">
        <v>215</v>
      </c>
      <c r="D18" s="60" t="s">
        <v>214</v>
      </c>
      <c r="E18" s="60" t="s">
        <v>705</v>
      </c>
      <c r="F18" s="66" t="s">
        <v>687</v>
      </c>
      <c r="G18" s="82" t="s">
        <v>688</v>
      </c>
      <c r="H18" s="65">
        <v>386.16</v>
      </c>
      <c r="I18" s="65">
        <v>11</v>
      </c>
      <c r="J18" s="65">
        <f t="shared" si="0"/>
        <v>88</v>
      </c>
      <c r="K18" s="65">
        <f t="shared" si="1"/>
        <v>8495.52</v>
      </c>
      <c r="L18" s="65"/>
      <c r="M18" s="65"/>
      <c r="N18" s="65"/>
      <c r="O18" s="65"/>
      <c r="P18" s="65"/>
      <c r="Q18" s="65"/>
      <c r="R18" s="65"/>
      <c r="S18" s="65"/>
      <c r="T18" s="65"/>
      <c r="U18" s="65"/>
      <c r="V18" s="65"/>
      <c r="W18" s="65"/>
      <c r="X18" s="65"/>
      <c r="Y18" s="65"/>
      <c r="Z18" s="65"/>
      <c r="AA18" s="65">
        <v>0</v>
      </c>
      <c r="AB18" s="65"/>
      <c r="AC18" s="65">
        <v>100</v>
      </c>
      <c r="AD18" s="65">
        <v>100</v>
      </c>
      <c r="AE18" s="65">
        <v>308.8</v>
      </c>
      <c r="AF18" s="65"/>
      <c r="AG18" s="65"/>
      <c r="AH18" s="65"/>
      <c r="AI18" s="65"/>
      <c r="AJ18" s="65">
        <v>1769.91</v>
      </c>
      <c r="AK18" s="65">
        <v>21238.9</v>
      </c>
    </row>
    <row r="19" spans="2:37" ht="12.75" customHeight="1">
      <c r="B19" s="5">
        <v>5</v>
      </c>
      <c r="C19" s="60" t="s">
        <v>216</v>
      </c>
      <c r="D19" s="60" t="s">
        <v>214</v>
      </c>
      <c r="E19" s="60" t="s">
        <v>705</v>
      </c>
      <c r="F19" s="66" t="s">
        <v>687</v>
      </c>
      <c r="G19" s="82" t="s">
        <v>688</v>
      </c>
      <c r="H19" s="65">
        <v>386.16</v>
      </c>
      <c r="I19" s="65">
        <v>11</v>
      </c>
      <c r="J19" s="65">
        <f t="shared" si="0"/>
        <v>88</v>
      </c>
      <c r="K19" s="65">
        <f t="shared" si="1"/>
        <v>8495.52</v>
      </c>
      <c r="L19" s="65"/>
      <c r="M19" s="65"/>
      <c r="N19" s="65"/>
      <c r="O19" s="65"/>
      <c r="P19" s="65"/>
      <c r="Q19" s="65"/>
      <c r="R19" s="65"/>
      <c r="S19" s="65"/>
      <c r="T19" s="65"/>
      <c r="U19" s="65"/>
      <c r="V19" s="65"/>
      <c r="W19" s="65"/>
      <c r="X19" s="65"/>
      <c r="Y19" s="65"/>
      <c r="Z19" s="65"/>
      <c r="AA19" s="65">
        <v>0</v>
      </c>
      <c r="AB19" s="65"/>
      <c r="AC19" s="65">
        <v>100</v>
      </c>
      <c r="AD19" s="65">
        <v>100</v>
      </c>
      <c r="AE19" s="65">
        <v>308.8</v>
      </c>
      <c r="AF19" s="65"/>
      <c r="AG19" s="65"/>
      <c r="AH19" s="65"/>
      <c r="AI19" s="65"/>
      <c r="AJ19" s="65">
        <v>6722.46</v>
      </c>
      <c r="AK19" s="65">
        <v>74902.899999999994</v>
      </c>
    </row>
    <row r="20" spans="2:37" ht="12.75" customHeight="1">
      <c r="B20" s="5">
        <v>6</v>
      </c>
      <c r="C20" s="60" t="s">
        <v>217</v>
      </c>
      <c r="D20" s="60" t="s">
        <v>214</v>
      </c>
      <c r="E20" s="60" t="s">
        <v>705</v>
      </c>
      <c r="F20" s="66" t="s">
        <v>687</v>
      </c>
      <c r="G20" s="82" t="s">
        <v>688</v>
      </c>
      <c r="H20" s="65">
        <v>392.63</v>
      </c>
      <c r="I20" s="65">
        <v>11</v>
      </c>
      <c r="J20" s="65">
        <f t="shared" si="0"/>
        <v>88</v>
      </c>
      <c r="K20" s="65">
        <f t="shared" si="1"/>
        <v>8637.86</v>
      </c>
      <c r="L20" s="65"/>
      <c r="M20" s="65"/>
      <c r="N20" s="65"/>
      <c r="O20" s="65"/>
      <c r="P20" s="65"/>
      <c r="Q20" s="65"/>
      <c r="R20" s="65"/>
      <c r="S20" s="65"/>
      <c r="T20" s="65"/>
      <c r="U20" s="65"/>
      <c r="V20" s="65"/>
      <c r="W20" s="65"/>
      <c r="X20" s="65"/>
      <c r="Y20" s="65"/>
      <c r="Z20" s="65"/>
      <c r="AA20" s="65">
        <v>442</v>
      </c>
      <c r="AB20" s="65"/>
      <c r="AC20" s="65">
        <v>100</v>
      </c>
      <c r="AD20" s="65">
        <v>100</v>
      </c>
      <c r="AE20" s="65">
        <v>308.8</v>
      </c>
      <c r="AF20" s="65"/>
      <c r="AG20" s="65"/>
      <c r="AH20" s="65"/>
      <c r="AI20" s="65"/>
      <c r="AJ20" s="65">
        <v>6676.81</v>
      </c>
      <c r="AK20" s="65">
        <v>81379.53</v>
      </c>
    </row>
    <row r="21" spans="2:37" ht="12.75" customHeight="1">
      <c r="B21" s="5">
        <v>7</v>
      </c>
      <c r="C21" s="60" t="s">
        <v>218</v>
      </c>
      <c r="D21" s="60" t="s">
        <v>214</v>
      </c>
      <c r="E21" s="60" t="s">
        <v>705</v>
      </c>
      <c r="F21" s="66" t="s">
        <v>687</v>
      </c>
      <c r="G21" s="82" t="s">
        <v>688</v>
      </c>
      <c r="H21" s="65">
        <v>392.63</v>
      </c>
      <c r="I21" s="65">
        <v>11</v>
      </c>
      <c r="J21" s="65">
        <f t="shared" si="0"/>
        <v>88</v>
      </c>
      <c r="K21" s="65">
        <f t="shared" si="1"/>
        <v>8637.86</v>
      </c>
      <c r="L21" s="65"/>
      <c r="M21" s="65"/>
      <c r="N21" s="65"/>
      <c r="O21" s="65"/>
      <c r="P21" s="65"/>
      <c r="Q21" s="65"/>
      <c r="R21" s="65"/>
      <c r="S21" s="65"/>
      <c r="T21" s="65"/>
      <c r="U21" s="65"/>
      <c r="V21" s="65"/>
      <c r="W21" s="65"/>
      <c r="X21" s="65"/>
      <c r="Y21" s="65"/>
      <c r="Z21" s="65"/>
      <c r="AA21" s="65"/>
      <c r="AB21" s="65"/>
      <c r="AC21" s="65">
        <v>100</v>
      </c>
      <c r="AD21" s="65">
        <v>100</v>
      </c>
      <c r="AE21" s="65">
        <v>308.8</v>
      </c>
      <c r="AF21" s="65"/>
      <c r="AG21" s="65"/>
      <c r="AH21" s="65"/>
      <c r="AI21" s="65"/>
      <c r="AJ21" s="65">
        <v>8359.5</v>
      </c>
      <c r="AK21" s="65">
        <v>102124.76</v>
      </c>
    </row>
    <row r="22" spans="2:37" ht="12.75" customHeight="1">
      <c r="B22" s="5">
        <v>8</v>
      </c>
      <c r="C22" s="60" t="s">
        <v>219</v>
      </c>
      <c r="D22" s="60" t="s">
        <v>214</v>
      </c>
      <c r="E22" s="60" t="s">
        <v>705</v>
      </c>
      <c r="F22" s="66" t="s">
        <v>687</v>
      </c>
      <c r="G22" s="82" t="s">
        <v>688</v>
      </c>
      <c r="H22" s="65">
        <v>386.16</v>
      </c>
      <c r="I22" s="65">
        <v>11</v>
      </c>
      <c r="J22" s="65">
        <f t="shared" si="0"/>
        <v>88</v>
      </c>
      <c r="K22" s="65">
        <f t="shared" si="1"/>
        <v>8495.52</v>
      </c>
      <c r="L22" s="65"/>
      <c r="M22" s="65"/>
      <c r="N22" s="65"/>
      <c r="O22" s="65"/>
      <c r="P22" s="65"/>
      <c r="Q22" s="65"/>
      <c r="R22" s="65"/>
      <c r="S22" s="65"/>
      <c r="T22" s="65"/>
      <c r="U22" s="65"/>
      <c r="V22" s="65"/>
      <c r="W22" s="65"/>
      <c r="X22" s="65"/>
      <c r="Y22" s="65"/>
      <c r="Z22" s="65"/>
      <c r="AA22" s="65"/>
      <c r="AB22" s="65"/>
      <c r="AC22" s="65">
        <v>100</v>
      </c>
      <c r="AD22" s="65">
        <v>100</v>
      </c>
      <c r="AE22" s="65">
        <v>308.8</v>
      </c>
      <c r="AF22" s="65"/>
      <c r="AG22" s="65"/>
      <c r="AH22" s="65"/>
      <c r="AI22" s="65"/>
      <c r="AJ22" s="65">
        <v>2817.7</v>
      </c>
      <c r="AK22" s="65">
        <v>33982.239999999998</v>
      </c>
    </row>
    <row r="23" spans="2:37" ht="12.75" customHeight="1">
      <c r="B23" s="5">
        <v>9</v>
      </c>
      <c r="C23" s="60" t="s">
        <v>220</v>
      </c>
      <c r="D23" s="60" t="s">
        <v>214</v>
      </c>
      <c r="E23" s="60" t="s">
        <v>705</v>
      </c>
      <c r="F23" s="66" t="s">
        <v>687</v>
      </c>
      <c r="G23" s="82" t="s">
        <v>688</v>
      </c>
      <c r="H23" s="65">
        <v>386.16</v>
      </c>
      <c r="I23" s="65">
        <v>11</v>
      </c>
      <c r="J23" s="65">
        <f t="shared" si="0"/>
        <v>88</v>
      </c>
      <c r="K23" s="65">
        <f t="shared" si="1"/>
        <v>8495.52</v>
      </c>
      <c r="L23" s="65"/>
      <c r="M23" s="65"/>
      <c r="N23" s="65"/>
      <c r="O23" s="65"/>
      <c r="P23" s="65"/>
      <c r="Q23" s="65"/>
      <c r="R23" s="65"/>
      <c r="S23" s="65"/>
      <c r="T23" s="65"/>
      <c r="U23" s="65"/>
      <c r="V23" s="65"/>
      <c r="W23" s="65"/>
      <c r="X23" s="65"/>
      <c r="Y23" s="65"/>
      <c r="Z23" s="65"/>
      <c r="AA23" s="65"/>
      <c r="AB23" s="65"/>
      <c r="AC23" s="65">
        <v>100</v>
      </c>
      <c r="AD23" s="65">
        <v>100</v>
      </c>
      <c r="AE23" s="65">
        <v>308.8</v>
      </c>
      <c r="AF23" s="65"/>
      <c r="AG23" s="65"/>
      <c r="AH23" s="65"/>
      <c r="AI23" s="65"/>
      <c r="AJ23" s="65">
        <v>5178.41</v>
      </c>
      <c r="AK23" s="65">
        <v>63716.7</v>
      </c>
    </row>
    <row r="24" spans="2:37" ht="12.75" customHeight="1">
      <c r="B24" s="5">
        <v>10</v>
      </c>
      <c r="C24" s="60" t="s">
        <v>221</v>
      </c>
      <c r="D24" s="60" t="s">
        <v>222</v>
      </c>
      <c r="E24" s="60" t="s">
        <v>706</v>
      </c>
      <c r="F24" s="66" t="s">
        <v>687</v>
      </c>
      <c r="G24" s="82" t="s">
        <v>688</v>
      </c>
      <c r="H24" s="65">
        <v>380</v>
      </c>
      <c r="I24" s="65">
        <v>13</v>
      </c>
      <c r="J24" s="65">
        <f t="shared" ref="J24:J30" si="2">I24*8</f>
        <v>104</v>
      </c>
      <c r="K24" s="65">
        <f t="shared" ref="K24:K29" si="3">H24*I24*2</f>
        <v>9880</v>
      </c>
      <c r="L24" s="65"/>
      <c r="M24" s="65"/>
      <c r="N24" s="65"/>
      <c r="O24" s="65"/>
      <c r="P24" s="65"/>
      <c r="Q24" s="65"/>
      <c r="R24" s="65"/>
      <c r="S24" s="65"/>
      <c r="T24" s="65"/>
      <c r="U24" s="65"/>
      <c r="V24" s="65"/>
      <c r="W24" s="65"/>
      <c r="X24" s="65"/>
      <c r="Y24" s="65"/>
      <c r="Z24" s="65"/>
      <c r="AA24" s="65"/>
      <c r="AB24" s="65"/>
      <c r="AC24" s="65">
        <v>100</v>
      </c>
      <c r="AD24" s="65">
        <v>112.5</v>
      </c>
      <c r="AE24" s="65">
        <v>363.3</v>
      </c>
      <c r="AF24" s="65"/>
      <c r="AG24" s="65"/>
      <c r="AH24" s="65"/>
      <c r="AI24" s="65"/>
      <c r="AJ24" s="65">
        <v>7546.27</v>
      </c>
      <c r="AK24" s="65">
        <v>93028</v>
      </c>
    </row>
    <row r="25" spans="2:37" ht="12.75" customHeight="1">
      <c r="B25" s="5">
        <v>11</v>
      </c>
      <c r="C25" s="60" t="s">
        <v>223</v>
      </c>
      <c r="D25" s="60" t="s">
        <v>222</v>
      </c>
      <c r="E25" s="60" t="s">
        <v>706</v>
      </c>
      <c r="F25" s="66" t="s">
        <v>687</v>
      </c>
      <c r="G25" s="82" t="s">
        <v>688</v>
      </c>
      <c r="H25" s="65">
        <v>380</v>
      </c>
      <c r="I25" s="65">
        <v>13</v>
      </c>
      <c r="J25" s="65">
        <f t="shared" si="2"/>
        <v>104</v>
      </c>
      <c r="K25" s="65">
        <f t="shared" si="3"/>
        <v>9880</v>
      </c>
      <c r="L25" s="65"/>
      <c r="M25" s="65"/>
      <c r="N25" s="65"/>
      <c r="O25" s="65"/>
      <c r="P25" s="65"/>
      <c r="Q25" s="65"/>
      <c r="R25" s="65"/>
      <c r="S25" s="65"/>
      <c r="T25" s="65"/>
      <c r="U25" s="65"/>
      <c r="V25" s="65"/>
      <c r="W25" s="65"/>
      <c r="X25" s="65"/>
      <c r="Y25" s="65"/>
      <c r="Z25" s="65"/>
      <c r="AA25" s="65">
        <v>507</v>
      </c>
      <c r="AB25" s="65"/>
      <c r="AC25" s="65">
        <v>100</v>
      </c>
      <c r="AD25" s="65">
        <v>112.5</v>
      </c>
      <c r="AE25" s="65">
        <v>363.3</v>
      </c>
      <c r="AF25" s="65"/>
      <c r="AG25" s="65"/>
      <c r="AH25" s="65"/>
      <c r="AI25" s="65"/>
      <c r="AJ25" s="65">
        <v>9587.3799999999992</v>
      </c>
      <c r="AK25" s="65">
        <v>116688</v>
      </c>
    </row>
    <row r="26" spans="2:37" ht="12.75" customHeight="1">
      <c r="B26" s="5">
        <v>12</v>
      </c>
      <c r="C26" s="60" t="s">
        <v>224</v>
      </c>
      <c r="D26" s="60" t="s">
        <v>222</v>
      </c>
      <c r="E26" s="60" t="s">
        <v>706</v>
      </c>
      <c r="F26" s="66" t="s">
        <v>687</v>
      </c>
      <c r="G26" s="82" t="s">
        <v>688</v>
      </c>
      <c r="H26" s="65">
        <v>380</v>
      </c>
      <c r="I26" s="65">
        <v>13</v>
      </c>
      <c r="J26" s="65">
        <f t="shared" si="2"/>
        <v>104</v>
      </c>
      <c r="K26" s="65">
        <f t="shared" si="3"/>
        <v>9880</v>
      </c>
      <c r="L26" s="65"/>
      <c r="M26" s="65"/>
      <c r="N26" s="65"/>
      <c r="O26" s="65"/>
      <c r="P26" s="65"/>
      <c r="Q26" s="65"/>
      <c r="R26" s="65"/>
      <c r="S26" s="65"/>
      <c r="T26" s="65"/>
      <c r="U26" s="65"/>
      <c r="V26" s="65"/>
      <c r="W26" s="65"/>
      <c r="X26" s="65"/>
      <c r="Y26" s="65"/>
      <c r="Z26" s="65"/>
      <c r="AA26" s="65">
        <v>512</v>
      </c>
      <c r="AB26" s="65"/>
      <c r="AC26" s="65">
        <v>100</v>
      </c>
      <c r="AD26" s="65">
        <v>112.5</v>
      </c>
      <c r="AE26" s="65">
        <v>363.3</v>
      </c>
      <c r="AF26" s="65"/>
      <c r="AG26" s="65"/>
      <c r="AH26" s="65"/>
      <c r="AI26" s="65"/>
      <c r="AJ26" s="65">
        <v>9718.73</v>
      </c>
      <c r="AK26" s="65">
        <v>116688</v>
      </c>
    </row>
    <row r="27" spans="2:37" ht="12.75" customHeight="1">
      <c r="B27" s="5">
        <v>13</v>
      </c>
      <c r="C27" s="60" t="s">
        <v>225</v>
      </c>
      <c r="D27" s="60" t="s">
        <v>222</v>
      </c>
      <c r="E27" s="60" t="s">
        <v>706</v>
      </c>
      <c r="F27" s="66" t="s">
        <v>687</v>
      </c>
      <c r="G27" s="82" t="s">
        <v>688</v>
      </c>
      <c r="H27" s="65">
        <v>380</v>
      </c>
      <c r="I27" s="65">
        <v>13</v>
      </c>
      <c r="J27" s="65">
        <f t="shared" si="2"/>
        <v>104</v>
      </c>
      <c r="K27" s="65">
        <f t="shared" si="3"/>
        <v>9880</v>
      </c>
      <c r="L27" s="65"/>
      <c r="M27" s="65"/>
      <c r="N27" s="65"/>
      <c r="O27" s="65"/>
      <c r="P27" s="65"/>
      <c r="Q27" s="65"/>
      <c r="R27" s="65"/>
      <c r="S27" s="65"/>
      <c r="T27" s="65"/>
      <c r="U27" s="65"/>
      <c r="V27" s="65"/>
      <c r="W27" s="65"/>
      <c r="X27" s="65"/>
      <c r="Y27" s="65"/>
      <c r="Z27" s="65"/>
      <c r="AA27" s="65">
        <v>0</v>
      </c>
      <c r="AB27" s="65"/>
      <c r="AC27" s="65">
        <v>100</v>
      </c>
      <c r="AD27" s="65">
        <v>112.5</v>
      </c>
      <c r="AE27" s="65">
        <v>363.3</v>
      </c>
      <c r="AF27" s="65"/>
      <c r="AG27" s="65"/>
      <c r="AH27" s="65"/>
      <c r="AI27" s="65"/>
      <c r="AJ27" s="65">
        <v>9729.9699999999993</v>
      </c>
      <c r="AK27" s="65">
        <v>116688</v>
      </c>
    </row>
    <row r="28" spans="2:37" ht="12.75" customHeight="1">
      <c r="B28" s="5">
        <v>14</v>
      </c>
      <c r="C28" s="60" t="s">
        <v>226</v>
      </c>
      <c r="D28" s="60" t="s">
        <v>222</v>
      </c>
      <c r="E28" s="60" t="s">
        <v>706</v>
      </c>
      <c r="F28" s="66" t="s">
        <v>687</v>
      </c>
      <c r="G28" s="82" t="s">
        <v>688</v>
      </c>
      <c r="H28" s="65">
        <v>397.45</v>
      </c>
      <c r="I28" s="65">
        <v>13</v>
      </c>
      <c r="J28" s="65">
        <f t="shared" si="2"/>
        <v>104</v>
      </c>
      <c r="K28" s="65">
        <f t="shared" si="3"/>
        <v>10333.699999999999</v>
      </c>
      <c r="L28" s="65"/>
      <c r="M28" s="65"/>
      <c r="N28" s="65"/>
      <c r="O28" s="65"/>
      <c r="P28" s="65"/>
      <c r="Q28" s="65"/>
      <c r="R28" s="65"/>
      <c r="S28" s="65"/>
      <c r="T28" s="65"/>
      <c r="U28" s="65"/>
      <c r="V28" s="65"/>
      <c r="W28" s="65"/>
      <c r="X28" s="65"/>
      <c r="Y28" s="65"/>
      <c r="Z28" s="65"/>
      <c r="AA28" s="65">
        <v>656</v>
      </c>
      <c r="AB28" s="65"/>
      <c r="AC28" s="65">
        <v>100</v>
      </c>
      <c r="AD28" s="65">
        <v>125</v>
      </c>
      <c r="AE28" s="65">
        <v>381.5</v>
      </c>
      <c r="AF28" s="65"/>
      <c r="AG28" s="65"/>
      <c r="AH28" s="65"/>
      <c r="AI28" s="65"/>
      <c r="AJ28" s="65">
        <v>10190.73</v>
      </c>
      <c r="AK28" s="65">
        <v>122222.19</v>
      </c>
    </row>
    <row r="29" spans="2:37" ht="12.75" customHeight="1">
      <c r="B29" s="5">
        <v>15</v>
      </c>
      <c r="C29" s="60" t="s">
        <v>227</v>
      </c>
      <c r="D29" s="60" t="s">
        <v>228</v>
      </c>
      <c r="E29" s="60" t="s">
        <v>706</v>
      </c>
      <c r="F29" s="66" t="s">
        <v>687</v>
      </c>
      <c r="G29" s="82" t="s">
        <v>688</v>
      </c>
      <c r="H29" s="65">
        <v>380</v>
      </c>
      <c r="I29" s="65">
        <v>13</v>
      </c>
      <c r="J29" s="65">
        <f t="shared" si="2"/>
        <v>104</v>
      </c>
      <c r="K29" s="65">
        <f t="shared" si="3"/>
        <v>9880</v>
      </c>
      <c r="L29" s="65"/>
      <c r="M29" s="65"/>
      <c r="N29" s="65"/>
      <c r="O29" s="65"/>
      <c r="P29" s="65"/>
      <c r="Q29" s="65"/>
      <c r="R29" s="65"/>
      <c r="S29" s="65"/>
      <c r="T29" s="65"/>
      <c r="U29" s="65"/>
      <c r="V29" s="65"/>
      <c r="W29" s="65"/>
      <c r="X29" s="65"/>
      <c r="Y29" s="65"/>
      <c r="Z29" s="65"/>
      <c r="AA29" s="65">
        <v>512</v>
      </c>
      <c r="AB29" s="65"/>
      <c r="AC29" s="65">
        <v>100</v>
      </c>
      <c r="AD29" s="65">
        <v>112.5</v>
      </c>
      <c r="AE29" s="65">
        <v>363.3</v>
      </c>
      <c r="AF29" s="65"/>
      <c r="AG29" s="65"/>
      <c r="AH29" s="65"/>
      <c r="AI29" s="65"/>
      <c r="AJ29" s="65">
        <v>10056.98</v>
      </c>
      <c r="AK29" s="65">
        <v>111748</v>
      </c>
    </row>
    <row r="30" spans="2:37" ht="12.75" customHeight="1">
      <c r="B30" s="5">
        <v>16</v>
      </c>
      <c r="C30" s="60" t="s">
        <v>693</v>
      </c>
      <c r="D30" s="60" t="s">
        <v>694</v>
      </c>
      <c r="E30" s="60" t="s">
        <v>704</v>
      </c>
      <c r="F30" s="66" t="s">
        <v>689</v>
      </c>
      <c r="G30" s="82" t="s">
        <v>690</v>
      </c>
      <c r="H30" s="65">
        <v>0</v>
      </c>
      <c r="I30" s="65">
        <v>0</v>
      </c>
      <c r="J30" s="65">
        <f t="shared" si="2"/>
        <v>0</v>
      </c>
      <c r="K30" s="65">
        <v>34300</v>
      </c>
      <c r="L30" s="65"/>
      <c r="M30" s="65"/>
      <c r="N30" s="65"/>
      <c r="O30" s="65"/>
      <c r="P30" s="65"/>
      <c r="Q30" s="65"/>
      <c r="R30" s="65"/>
      <c r="S30" s="65"/>
      <c r="T30" s="65"/>
      <c r="U30" s="65"/>
      <c r="V30" s="65"/>
      <c r="W30" s="65"/>
      <c r="X30" s="65"/>
      <c r="Y30" s="65"/>
      <c r="Z30" s="65"/>
      <c r="AA30" s="65">
        <v>0</v>
      </c>
      <c r="AB30" s="65"/>
      <c r="AC30" s="65">
        <v>0</v>
      </c>
      <c r="AD30" s="65">
        <v>0</v>
      </c>
      <c r="AE30" s="65">
        <v>0</v>
      </c>
      <c r="AF30" s="65"/>
      <c r="AG30" s="65"/>
      <c r="AH30" s="65"/>
      <c r="AI30" s="65"/>
      <c r="AJ30" s="65">
        <v>34300</v>
      </c>
      <c r="AK30" s="65">
        <v>411600</v>
      </c>
    </row>
    <row r="31" spans="2:37" ht="12.75" customHeight="1">
      <c r="B31" s="5">
        <v>17</v>
      </c>
      <c r="C31" s="60" t="s">
        <v>229</v>
      </c>
      <c r="D31" s="60" t="s">
        <v>230</v>
      </c>
      <c r="E31" s="60" t="s">
        <v>707</v>
      </c>
      <c r="F31" s="66" t="s">
        <v>687</v>
      </c>
      <c r="G31" s="82" t="s">
        <v>688</v>
      </c>
      <c r="H31" s="65">
        <v>380</v>
      </c>
      <c r="I31" s="65">
        <v>13</v>
      </c>
      <c r="J31" s="65">
        <f t="shared" ref="J31:J39" si="4">I31*8</f>
        <v>104</v>
      </c>
      <c r="K31" s="65">
        <f t="shared" ref="K31" si="5">H31*I31*2</f>
        <v>9880</v>
      </c>
      <c r="L31" s="65"/>
      <c r="M31" s="65"/>
      <c r="N31" s="65">
        <v>250</v>
      </c>
      <c r="O31" s="65"/>
      <c r="P31" s="65"/>
      <c r="Q31" s="65"/>
      <c r="R31" s="65"/>
      <c r="S31" s="65"/>
      <c r="T31" s="65"/>
      <c r="U31" s="65"/>
      <c r="V31" s="65">
        <v>125</v>
      </c>
      <c r="W31" s="65"/>
      <c r="X31" s="65"/>
      <c r="Y31" s="65"/>
      <c r="Z31" s="65"/>
      <c r="AA31" s="65">
        <v>500</v>
      </c>
      <c r="AB31" s="65"/>
      <c r="AC31" s="65">
        <v>100</v>
      </c>
      <c r="AD31" s="65">
        <v>112.5</v>
      </c>
      <c r="AE31" s="65">
        <v>363.3</v>
      </c>
      <c r="AF31" s="65"/>
      <c r="AG31" s="65"/>
      <c r="AH31" s="65"/>
      <c r="AI31" s="65"/>
      <c r="AJ31" s="65">
        <v>9041.82</v>
      </c>
      <c r="AK31" s="65">
        <v>116688</v>
      </c>
    </row>
    <row r="32" spans="2:37" ht="12.75" customHeight="1">
      <c r="B32" s="5">
        <v>18</v>
      </c>
      <c r="C32" s="60" t="s">
        <v>231</v>
      </c>
      <c r="D32" s="60" t="s">
        <v>232</v>
      </c>
      <c r="E32" s="60" t="s">
        <v>707</v>
      </c>
      <c r="F32" s="66" t="s">
        <v>687</v>
      </c>
      <c r="G32" s="82" t="s">
        <v>688</v>
      </c>
      <c r="H32" s="65">
        <v>381.83</v>
      </c>
      <c r="I32" s="65">
        <v>13</v>
      </c>
      <c r="J32" s="65">
        <f t="shared" si="4"/>
        <v>104</v>
      </c>
      <c r="K32" s="65">
        <f t="shared" ref="K32" si="6">H32*I32*2</f>
        <v>9927.58</v>
      </c>
      <c r="L32" s="65"/>
      <c r="M32" s="65"/>
      <c r="N32" s="65">
        <v>250</v>
      </c>
      <c r="O32" s="65"/>
      <c r="P32" s="65"/>
      <c r="Q32" s="65"/>
      <c r="R32" s="65"/>
      <c r="S32" s="65"/>
      <c r="T32" s="65"/>
      <c r="U32" s="65"/>
      <c r="V32" s="65">
        <v>125</v>
      </c>
      <c r="W32" s="65"/>
      <c r="X32" s="65"/>
      <c r="Y32" s="65"/>
      <c r="Z32" s="65"/>
      <c r="AA32" s="65">
        <v>0</v>
      </c>
      <c r="AB32" s="65"/>
      <c r="AC32" s="65">
        <v>100</v>
      </c>
      <c r="AD32" s="65">
        <v>112.5</v>
      </c>
      <c r="AE32" s="65">
        <v>363.3</v>
      </c>
      <c r="AF32" s="65"/>
      <c r="AG32" s="65"/>
      <c r="AH32" s="65"/>
      <c r="AI32" s="65"/>
      <c r="AJ32" s="65">
        <v>9688.1299999999992</v>
      </c>
      <c r="AK32" s="65">
        <v>117268.29</v>
      </c>
    </row>
    <row r="33" spans="2:37" ht="12.75" customHeight="1">
      <c r="B33" s="5">
        <v>19</v>
      </c>
      <c r="C33" s="60" t="s">
        <v>233</v>
      </c>
      <c r="D33" s="60" t="s">
        <v>234</v>
      </c>
      <c r="E33" s="60" t="s">
        <v>708</v>
      </c>
      <c r="F33" s="66" t="s">
        <v>687</v>
      </c>
      <c r="G33" s="82" t="s">
        <v>688</v>
      </c>
      <c r="H33" s="65">
        <v>381.32461538461541</v>
      </c>
      <c r="I33" s="65">
        <v>13</v>
      </c>
      <c r="J33" s="65">
        <f t="shared" si="4"/>
        <v>104</v>
      </c>
      <c r="K33" s="65">
        <f t="shared" ref="K33" si="7">H33*I33*2</f>
        <v>9914.44</v>
      </c>
      <c r="L33" s="65"/>
      <c r="M33" s="65"/>
      <c r="N33" s="65"/>
      <c r="O33" s="65"/>
      <c r="P33" s="65"/>
      <c r="Q33" s="65"/>
      <c r="R33" s="65"/>
      <c r="S33" s="65"/>
      <c r="T33" s="65"/>
      <c r="U33" s="65"/>
      <c r="V33" s="65"/>
      <c r="W33" s="65"/>
      <c r="X33" s="65"/>
      <c r="Y33" s="65"/>
      <c r="Z33" s="65"/>
      <c r="AA33" s="65">
        <v>537</v>
      </c>
      <c r="AB33" s="65"/>
      <c r="AC33" s="65">
        <v>100</v>
      </c>
      <c r="AD33" s="65">
        <v>137.5</v>
      </c>
      <c r="AE33" s="65">
        <v>399.7</v>
      </c>
      <c r="AF33" s="65"/>
      <c r="AG33" s="65"/>
      <c r="AH33" s="65"/>
      <c r="AI33" s="65"/>
      <c r="AJ33" s="65">
        <v>10920.35</v>
      </c>
      <c r="AK33" s="65">
        <v>131376.71</v>
      </c>
    </row>
    <row r="34" spans="2:37" ht="12.75" customHeight="1">
      <c r="B34" s="5">
        <v>20</v>
      </c>
      <c r="C34" s="60" t="s">
        <v>235</v>
      </c>
      <c r="D34" s="60" t="s">
        <v>234</v>
      </c>
      <c r="E34" s="60" t="s">
        <v>708</v>
      </c>
      <c r="F34" s="66" t="s">
        <v>687</v>
      </c>
      <c r="G34" s="82" t="s">
        <v>688</v>
      </c>
      <c r="H34" s="65">
        <v>380</v>
      </c>
      <c r="I34" s="65">
        <v>13</v>
      </c>
      <c r="J34" s="65">
        <f t="shared" si="4"/>
        <v>104</v>
      </c>
      <c r="K34" s="65">
        <f t="shared" ref="K34" si="8">H34*I34*2</f>
        <v>9880</v>
      </c>
      <c r="L34" s="65"/>
      <c r="M34" s="65"/>
      <c r="N34" s="65"/>
      <c r="O34" s="65"/>
      <c r="P34" s="65"/>
      <c r="Q34" s="65"/>
      <c r="R34" s="65"/>
      <c r="S34" s="65"/>
      <c r="T34" s="65"/>
      <c r="U34" s="65"/>
      <c r="V34" s="65"/>
      <c r="W34" s="65"/>
      <c r="X34" s="65"/>
      <c r="Y34" s="65"/>
      <c r="Z34" s="65"/>
      <c r="AA34" s="65">
        <v>597</v>
      </c>
      <c r="AB34" s="65"/>
      <c r="AC34" s="65">
        <v>100</v>
      </c>
      <c r="AD34" s="65">
        <v>137.5</v>
      </c>
      <c r="AE34" s="65">
        <v>399.7</v>
      </c>
      <c r="AF34" s="65"/>
      <c r="AG34" s="65"/>
      <c r="AH34" s="65"/>
      <c r="AI34" s="65"/>
      <c r="AJ34" s="65">
        <v>10591.53</v>
      </c>
      <c r="AK34" s="65">
        <v>132744.48000000001</v>
      </c>
    </row>
    <row r="35" spans="2:37" ht="12.75" customHeight="1">
      <c r="B35" s="5">
        <v>21</v>
      </c>
      <c r="C35" s="60" t="s">
        <v>236</v>
      </c>
      <c r="D35" s="60" t="s">
        <v>234</v>
      </c>
      <c r="E35" s="60" t="s">
        <v>708</v>
      </c>
      <c r="F35" s="66" t="s">
        <v>687</v>
      </c>
      <c r="G35" s="82" t="s">
        <v>688</v>
      </c>
      <c r="H35" s="65">
        <v>381.32461538461541</v>
      </c>
      <c r="I35" s="65">
        <v>13</v>
      </c>
      <c r="J35" s="65">
        <f t="shared" si="4"/>
        <v>104</v>
      </c>
      <c r="K35" s="65">
        <f t="shared" ref="K35" si="9">H35*I35*2</f>
        <v>9914.44</v>
      </c>
      <c r="L35" s="65"/>
      <c r="M35" s="65"/>
      <c r="N35" s="65"/>
      <c r="O35" s="65"/>
      <c r="P35" s="65"/>
      <c r="Q35" s="65"/>
      <c r="R35" s="65"/>
      <c r="S35" s="65"/>
      <c r="T35" s="65"/>
      <c r="U35" s="65"/>
      <c r="V35" s="65"/>
      <c r="W35" s="65"/>
      <c r="X35" s="65"/>
      <c r="Y35" s="65"/>
      <c r="Z35" s="65"/>
      <c r="AA35" s="65">
        <v>0</v>
      </c>
      <c r="AB35" s="65"/>
      <c r="AC35" s="65">
        <v>100</v>
      </c>
      <c r="AD35" s="65">
        <v>112.5</v>
      </c>
      <c r="AE35" s="65">
        <v>363.3</v>
      </c>
      <c r="AF35" s="65"/>
      <c r="AG35" s="65"/>
      <c r="AH35" s="65"/>
      <c r="AI35" s="65"/>
      <c r="AJ35" s="65">
        <v>9790.19</v>
      </c>
      <c r="AK35" s="65">
        <v>117108.22</v>
      </c>
    </row>
    <row r="36" spans="2:37" ht="12.75" customHeight="1">
      <c r="B36" s="5">
        <v>22</v>
      </c>
      <c r="C36" s="60" t="s">
        <v>237</v>
      </c>
      <c r="D36" s="60" t="s">
        <v>234</v>
      </c>
      <c r="E36" s="60" t="s">
        <v>708</v>
      </c>
      <c r="F36" s="66" t="s">
        <v>687</v>
      </c>
      <c r="G36" s="82" t="s">
        <v>688</v>
      </c>
      <c r="H36" s="65">
        <v>380</v>
      </c>
      <c r="I36" s="65">
        <v>13</v>
      </c>
      <c r="J36" s="65">
        <f t="shared" si="4"/>
        <v>104</v>
      </c>
      <c r="K36" s="65">
        <f t="shared" ref="K36" si="10">H36*I36*2</f>
        <v>9880</v>
      </c>
      <c r="L36" s="65"/>
      <c r="M36" s="65"/>
      <c r="N36" s="65"/>
      <c r="O36" s="65"/>
      <c r="P36" s="65"/>
      <c r="Q36" s="65"/>
      <c r="R36" s="65"/>
      <c r="S36" s="65"/>
      <c r="T36" s="65"/>
      <c r="U36" s="65"/>
      <c r="V36" s="65"/>
      <c r="W36" s="65"/>
      <c r="X36" s="65"/>
      <c r="Y36" s="65"/>
      <c r="Z36" s="65"/>
      <c r="AA36" s="65"/>
      <c r="AB36" s="65"/>
      <c r="AC36" s="65">
        <v>100</v>
      </c>
      <c r="AD36" s="65">
        <v>112.5</v>
      </c>
      <c r="AE36" s="65">
        <v>363.3</v>
      </c>
      <c r="AF36" s="65"/>
      <c r="AG36" s="65"/>
      <c r="AH36" s="65"/>
      <c r="AI36" s="65"/>
      <c r="AJ36" s="65">
        <v>3809.83</v>
      </c>
      <c r="AK36" s="65">
        <v>48152</v>
      </c>
    </row>
    <row r="37" spans="2:37" ht="12.75" customHeight="1">
      <c r="B37" s="5">
        <v>23</v>
      </c>
      <c r="C37" s="60" t="s">
        <v>238</v>
      </c>
      <c r="D37" s="60" t="s">
        <v>234</v>
      </c>
      <c r="E37" s="60" t="s">
        <v>708</v>
      </c>
      <c r="F37" s="66" t="s">
        <v>687</v>
      </c>
      <c r="G37" s="82" t="s">
        <v>688</v>
      </c>
      <c r="H37" s="65">
        <v>380</v>
      </c>
      <c r="I37" s="65">
        <v>13</v>
      </c>
      <c r="J37" s="65">
        <f t="shared" si="4"/>
        <v>104</v>
      </c>
      <c r="K37" s="65">
        <f t="shared" ref="K37" si="11">H37*I37*2</f>
        <v>9880</v>
      </c>
      <c r="L37" s="65"/>
      <c r="M37" s="65"/>
      <c r="N37" s="65"/>
      <c r="O37" s="65"/>
      <c r="P37" s="65"/>
      <c r="Q37" s="65"/>
      <c r="R37" s="65"/>
      <c r="S37" s="65"/>
      <c r="T37" s="65"/>
      <c r="U37" s="65"/>
      <c r="V37" s="65"/>
      <c r="W37" s="65"/>
      <c r="X37" s="65"/>
      <c r="Y37" s="65"/>
      <c r="Z37" s="65"/>
      <c r="AA37" s="65"/>
      <c r="AB37" s="65"/>
      <c r="AC37" s="65">
        <v>100</v>
      </c>
      <c r="AD37" s="65">
        <v>112.5</v>
      </c>
      <c r="AE37" s="65">
        <v>363.3</v>
      </c>
      <c r="AF37" s="65"/>
      <c r="AG37" s="65"/>
      <c r="AH37" s="65"/>
      <c r="AI37" s="65"/>
      <c r="AJ37" s="65">
        <v>6778.67</v>
      </c>
      <c r="AK37" s="65">
        <v>83356</v>
      </c>
    </row>
    <row r="38" spans="2:37" ht="12.75" customHeight="1">
      <c r="B38" s="5">
        <v>24</v>
      </c>
      <c r="C38" s="60" t="s">
        <v>239</v>
      </c>
      <c r="D38" s="60" t="s">
        <v>234</v>
      </c>
      <c r="E38" s="60" t="s">
        <v>708</v>
      </c>
      <c r="F38" s="66" t="s">
        <v>687</v>
      </c>
      <c r="G38" s="82" t="s">
        <v>688</v>
      </c>
      <c r="H38" s="65">
        <v>380</v>
      </c>
      <c r="I38" s="65">
        <v>13</v>
      </c>
      <c r="J38" s="65">
        <f t="shared" si="4"/>
        <v>104</v>
      </c>
      <c r="K38" s="65">
        <f t="shared" ref="K38" si="12">H38*I38*2</f>
        <v>9880</v>
      </c>
      <c r="L38" s="65"/>
      <c r="M38" s="65"/>
      <c r="N38" s="65"/>
      <c r="O38" s="65"/>
      <c r="P38" s="65"/>
      <c r="Q38" s="65"/>
      <c r="R38" s="65"/>
      <c r="S38" s="65"/>
      <c r="T38" s="65"/>
      <c r="U38" s="65"/>
      <c r="V38" s="65"/>
      <c r="W38" s="65"/>
      <c r="X38" s="65"/>
      <c r="Y38" s="65"/>
      <c r="Z38" s="65"/>
      <c r="AA38" s="65"/>
      <c r="AB38" s="65"/>
      <c r="AC38" s="65">
        <v>100</v>
      </c>
      <c r="AD38" s="65">
        <v>112.5</v>
      </c>
      <c r="AE38" s="65">
        <v>363.3</v>
      </c>
      <c r="AF38" s="65"/>
      <c r="AG38" s="65"/>
      <c r="AH38" s="65"/>
      <c r="AI38" s="65"/>
      <c r="AJ38" s="65">
        <v>9688.94</v>
      </c>
      <c r="AK38" s="65">
        <v>116688</v>
      </c>
    </row>
    <row r="39" spans="2:37" ht="12.75" customHeight="1">
      <c r="B39" s="5">
        <v>25</v>
      </c>
      <c r="C39" s="60" t="s">
        <v>240</v>
      </c>
      <c r="D39" s="60" t="s">
        <v>234</v>
      </c>
      <c r="E39" s="60" t="s">
        <v>708</v>
      </c>
      <c r="F39" s="66" t="s">
        <v>687</v>
      </c>
      <c r="G39" s="82" t="s">
        <v>688</v>
      </c>
      <c r="H39" s="65">
        <v>380</v>
      </c>
      <c r="I39" s="65">
        <v>13</v>
      </c>
      <c r="J39" s="65">
        <f t="shared" si="4"/>
        <v>104</v>
      </c>
      <c r="K39" s="65">
        <f t="shared" ref="K39" si="13">H39*I39*2</f>
        <v>9880</v>
      </c>
      <c r="L39" s="65"/>
      <c r="M39" s="65"/>
      <c r="N39" s="65"/>
      <c r="O39" s="65"/>
      <c r="P39" s="65"/>
      <c r="Q39" s="65"/>
      <c r="R39" s="65"/>
      <c r="S39" s="65"/>
      <c r="T39" s="65"/>
      <c r="U39" s="65"/>
      <c r="V39" s="65"/>
      <c r="W39" s="65"/>
      <c r="X39" s="65"/>
      <c r="Y39" s="65"/>
      <c r="Z39" s="65"/>
      <c r="AA39" s="65"/>
      <c r="AB39" s="65"/>
      <c r="AC39" s="65">
        <v>100</v>
      </c>
      <c r="AD39" s="65">
        <v>112.5</v>
      </c>
      <c r="AE39" s="65">
        <v>363.3</v>
      </c>
      <c r="AF39" s="65"/>
      <c r="AG39" s="65"/>
      <c r="AH39" s="65"/>
      <c r="AI39" s="65"/>
      <c r="AJ39" s="65">
        <v>9623.93</v>
      </c>
      <c r="AK39" s="65">
        <v>116688</v>
      </c>
    </row>
    <row r="40" spans="2:37" ht="12.75" customHeight="1">
      <c r="B40" s="5">
        <v>26</v>
      </c>
      <c r="C40" s="60" t="s">
        <v>241</v>
      </c>
      <c r="D40" s="60" t="s">
        <v>242</v>
      </c>
      <c r="E40" s="60" t="s">
        <v>709</v>
      </c>
      <c r="F40" s="66" t="s">
        <v>687</v>
      </c>
      <c r="G40" s="82" t="s">
        <v>688</v>
      </c>
      <c r="H40" s="65">
        <v>487.5</v>
      </c>
      <c r="I40" s="65">
        <v>11</v>
      </c>
      <c r="J40" s="65">
        <f t="shared" ref="J40" si="14">I40*8</f>
        <v>88</v>
      </c>
      <c r="K40" s="65">
        <f t="shared" ref="K40" si="15">H40*I40*2</f>
        <v>10725</v>
      </c>
      <c r="L40" s="65"/>
      <c r="M40" s="65"/>
      <c r="N40" s="65"/>
      <c r="O40" s="65"/>
      <c r="P40" s="65"/>
      <c r="Q40" s="65"/>
      <c r="R40" s="65"/>
      <c r="S40" s="65"/>
      <c r="T40" s="65"/>
      <c r="U40" s="65"/>
      <c r="V40" s="65"/>
      <c r="W40" s="65"/>
      <c r="X40" s="65"/>
      <c r="Y40" s="65"/>
      <c r="Z40" s="65"/>
      <c r="AA40" s="65">
        <v>344</v>
      </c>
      <c r="AB40" s="65"/>
      <c r="AC40" s="65">
        <v>100</v>
      </c>
      <c r="AD40" s="65">
        <v>125</v>
      </c>
      <c r="AE40" s="65">
        <v>381.5</v>
      </c>
      <c r="AF40" s="65"/>
      <c r="AG40" s="65"/>
      <c r="AH40" s="65"/>
      <c r="AI40" s="65"/>
      <c r="AJ40" s="65">
        <v>9483.56</v>
      </c>
      <c r="AK40" s="65">
        <v>116459.97</v>
      </c>
    </row>
    <row r="41" spans="2:37" ht="12.75" customHeight="1">
      <c r="B41" s="5">
        <v>27</v>
      </c>
      <c r="C41" s="60" t="s">
        <v>243</v>
      </c>
      <c r="D41" s="60" t="s">
        <v>242</v>
      </c>
      <c r="E41" s="60" t="s">
        <v>709</v>
      </c>
      <c r="F41" s="66" t="s">
        <v>687</v>
      </c>
      <c r="G41" s="82" t="s">
        <v>688</v>
      </c>
      <c r="H41" s="65">
        <v>554.33818181818185</v>
      </c>
      <c r="I41" s="65">
        <v>11</v>
      </c>
      <c r="J41" s="65">
        <f t="shared" ref="J41" si="16">I41*8</f>
        <v>88</v>
      </c>
      <c r="K41" s="65">
        <f t="shared" ref="K41" si="17">H41*I41*2</f>
        <v>12195.44</v>
      </c>
      <c r="L41" s="65"/>
      <c r="M41" s="65"/>
      <c r="N41" s="65"/>
      <c r="O41" s="65"/>
      <c r="P41" s="65"/>
      <c r="Q41" s="65"/>
      <c r="R41" s="65"/>
      <c r="S41" s="65"/>
      <c r="T41" s="65"/>
      <c r="U41" s="65"/>
      <c r="V41" s="65"/>
      <c r="W41" s="65"/>
      <c r="X41" s="65"/>
      <c r="Y41" s="65"/>
      <c r="Z41" s="65"/>
      <c r="AA41" s="65">
        <v>507</v>
      </c>
      <c r="AB41" s="65"/>
      <c r="AC41" s="65">
        <v>100</v>
      </c>
      <c r="AD41" s="65">
        <v>150</v>
      </c>
      <c r="AE41" s="65">
        <v>436</v>
      </c>
      <c r="AF41" s="65"/>
      <c r="AG41" s="65"/>
      <c r="AH41" s="65"/>
      <c r="AI41" s="65"/>
      <c r="AJ41" s="65">
        <v>12088.87</v>
      </c>
      <c r="AK41" s="65">
        <v>145284.68</v>
      </c>
    </row>
    <row r="42" spans="2:37" ht="12.75" customHeight="1">
      <c r="B42" s="5">
        <v>28</v>
      </c>
      <c r="C42" s="60" t="s">
        <v>244</v>
      </c>
      <c r="D42" s="60" t="s">
        <v>245</v>
      </c>
      <c r="E42" s="60" t="s">
        <v>709</v>
      </c>
      <c r="F42" s="66" t="s">
        <v>687</v>
      </c>
      <c r="G42" s="82" t="s">
        <v>688</v>
      </c>
      <c r="H42" s="65">
        <v>731.3336363636364</v>
      </c>
      <c r="I42" s="65">
        <v>11</v>
      </c>
      <c r="J42" s="65">
        <f t="shared" ref="J42" si="18">I42*8</f>
        <v>88</v>
      </c>
      <c r="K42" s="65">
        <f t="shared" ref="K42" si="19">H42*I42*2</f>
        <v>16089.34</v>
      </c>
      <c r="L42" s="65"/>
      <c r="M42" s="65"/>
      <c r="N42" s="65"/>
      <c r="O42" s="65"/>
      <c r="P42" s="65"/>
      <c r="Q42" s="65"/>
      <c r="R42" s="65"/>
      <c r="S42" s="65"/>
      <c r="T42" s="65"/>
      <c r="U42" s="65"/>
      <c r="V42" s="65"/>
      <c r="W42" s="65"/>
      <c r="X42" s="65"/>
      <c r="Y42" s="65"/>
      <c r="Z42" s="65"/>
      <c r="AA42" s="65">
        <v>929</v>
      </c>
      <c r="AB42" s="65"/>
      <c r="AC42" s="65">
        <v>100</v>
      </c>
      <c r="AD42" s="65">
        <v>200</v>
      </c>
      <c r="AE42" s="65">
        <v>581.29999999999995</v>
      </c>
      <c r="AF42" s="65"/>
      <c r="AG42" s="65"/>
      <c r="AH42" s="65"/>
      <c r="AI42" s="65"/>
      <c r="AJ42" s="65">
        <v>16026.25</v>
      </c>
      <c r="AK42" s="65">
        <v>192274.78</v>
      </c>
    </row>
    <row r="43" spans="2:37" ht="12.75" customHeight="1">
      <c r="B43" s="5">
        <v>29</v>
      </c>
      <c r="C43" s="60" t="s">
        <v>246</v>
      </c>
      <c r="D43" s="60" t="s">
        <v>247</v>
      </c>
      <c r="E43" s="60" t="s">
        <v>709</v>
      </c>
      <c r="F43" s="66" t="s">
        <v>687</v>
      </c>
      <c r="G43" s="82" t="s">
        <v>688</v>
      </c>
      <c r="H43" s="65">
        <v>380</v>
      </c>
      <c r="I43" s="65">
        <v>11</v>
      </c>
      <c r="J43" s="65">
        <f t="shared" ref="J43" si="20">I43*8</f>
        <v>88</v>
      </c>
      <c r="K43" s="65">
        <f t="shared" ref="K43" si="21">H43*I43*2</f>
        <v>8360</v>
      </c>
      <c r="L43" s="65"/>
      <c r="M43" s="65"/>
      <c r="N43" s="65"/>
      <c r="O43" s="65"/>
      <c r="P43" s="65"/>
      <c r="Q43" s="65"/>
      <c r="R43" s="65"/>
      <c r="S43" s="65"/>
      <c r="T43" s="65"/>
      <c r="U43" s="65"/>
      <c r="V43" s="65"/>
      <c r="W43" s="65"/>
      <c r="X43" s="65"/>
      <c r="Y43" s="65"/>
      <c r="Z43" s="65"/>
      <c r="AA43" s="65">
        <v>429</v>
      </c>
      <c r="AB43" s="65"/>
      <c r="AC43" s="65">
        <v>100</v>
      </c>
      <c r="AD43" s="65">
        <v>100</v>
      </c>
      <c r="AE43" s="65">
        <v>308.8</v>
      </c>
      <c r="AF43" s="65"/>
      <c r="AG43" s="65"/>
      <c r="AH43" s="65"/>
      <c r="AI43" s="65"/>
      <c r="AJ43" s="65">
        <v>8204.33</v>
      </c>
      <c r="AK43" s="65">
        <v>98736</v>
      </c>
    </row>
    <row r="44" spans="2:37" ht="12.75" customHeight="1">
      <c r="B44" s="5">
        <v>30</v>
      </c>
      <c r="C44" s="60" t="s">
        <v>248</v>
      </c>
      <c r="D44" s="60" t="s">
        <v>249</v>
      </c>
      <c r="E44" s="60" t="s">
        <v>709</v>
      </c>
      <c r="F44" s="66" t="s">
        <v>687</v>
      </c>
      <c r="G44" s="82" t="s">
        <v>688</v>
      </c>
      <c r="H44" s="65">
        <v>438.88272727272727</v>
      </c>
      <c r="I44" s="65">
        <v>11</v>
      </c>
      <c r="J44" s="65">
        <f t="shared" ref="J44" si="22">I44*8</f>
        <v>88</v>
      </c>
      <c r="K44" s="65">
        <f t="shared" ref="K44" si="23">H44*I44*2</f>
        <v>9655.42</v>
      </c>
      <c r="L44" s="65"/>
      <c r="M44" s="65"/>
      <c r="N44" s="65"/>
      <c r="O44" s="65"/>
      <c r="P44" s="65"/>
      <c r="Q44" s="65"/>
      <c r="R44" s="65"/>
      <c r="S44" s="65"/>
      <c r="T44" s="65"/>
      <c r="U44" s="65"/>
      <c r="V44" s="65"/>
      <c r="W44" s="65"/>
      <c r="X44" s="65"/>
      <c r="Y44" s="65"/>
      <c r="Z44" s="65"/>
      <c r="AA44" s="65">
        <v>0</v>
      </c>
      <c r="AB44" s="65"/>
      <c r="AC44" s="65">
        <v>100</v>
      </c>
      <c r="AD44" s="65">
        <v>112.5</v>
      </c>
      <c r="AE44" s="65">
        <v>345.2</v>
      </c>
      <c r="AF44" s="65"/>
      <c r="AG44" s="65"/>
      <c r="AH44" s="65"/>
      <c r="AI44" s="65"/>
      <c r="AJ44" s="65">
        <v>6405.66</v>
      </c>
      <c r="AK44" s="65">
        <v>77092.69</v>
      </c>
    </row>
    <row r="45" spans="2:37" ht="12.75" customHeight="1">
      <c r="B45" s="5">
        <v>31</v>
      </c>
      <c r="C45" s="60" t="s">
        <v>250</v>
      </c>
      <c r="D45" s="60" t="s">
        <v>242</v>
      </c>
      <c r="E45" s="60" t="s">
        <v>709</v>
      </c>
      <c r="F45" s="66" t="s">
        <v>687</v>
      </c>
      <c r="G45" s="82" t="s">
        <v>688</v>
      </c>
      <c r="H45" s="65">
        <v>487.5</v>
      </c>
      <c r="I45" s="65">
        <v>11</v>
      </c>
      <c r="J45" s="65">
        <f t="shared" ref="J45" si="24">I45*8</f>
        <v>88</v>
      </c>
      <c r="K45" s="65">
        <f t="shared" ref="K45" si="25">H45*I45*2</f>
        <v>10725</v>
      </c>
      <c r="L45" s="65"/>
      <c r="M45" s="65"/>
      <c r="N45" s="65"/>
      <c r="O45" s="65"/>
      <c r="P45" s="65"/>
      <c r="Q45" s="65"/>
      <c r="R45" s="65"/>
      <c r="S45" s="65"/>
      <c r="T45" s="65"/>
      <c r="U45" s="65"/>
      <c r="V45" s="65"/>
      <c r="W45" s="65"/>
      <c r="X45" s="65"/>
      <c r="Y45" s="65"/>
      <c r="Z45" s="65"/>
      <c r="AA45" s="65">
        <v>344</v>
      </c>
      <c r="AB45" s="65"/>
      <c r="AC45" s="65">
        <v>100</v>
      </c>
      <c r="AD45" s="65">
        <v>125</v>
      </c>
      <c r="AE45" s="65">
        <v>381.5</v>
      </c>
      <c r="AF45" s="65"/>
      <c r="AG45" s="65"/>
      <c r="AH45" s="65"/>
      <c r="AI45" s="65"/>
      <c r="AJ45" s="65">
        <v>9738.91</v>
      </c>
      <c r="AK45" s="65">
        <v>120031.47</v>
      </c>
    </row>
    <row r="46" spans="2:37" ht="12.75" customHeight="1">
      <c r="B46" s="5">
        <v>32</v>
      </c>
      <c r="C46" s="60" t="s">
        <v>251</v>
      </c>
      <c r="D46" s="60" t="s">
        <v>247</v>
      </c>
      <c r="E46" s="60" t="s">
        <v>709</v>
      </c>
      <c r="F46" s="66" t="s">
        <v>687</v>
      </c>
      <c r="G46" s="82" t="s">
        <v>688</v>
      </c>
      <c r="H46" s="65">
        <v>444.63090909090903</v>
      </c>
      <c r="I46" s="65">
        <v>11</v>
      </c>
      <c r="J46" s="65">
        <f t="shared" ref="J46" si="26">I46*8</f>
        <v>88</v>
      </c>
      <c r="K46" s="65">
        <f t="shared" ref="K46" si="27">H46*I46*2</f>
        <v>9781.8799999999992</v>
      </c>
      <c r="L46" s="65"/>
      <c r="M46" s="65"/>
      <c r="N46" s="65"/>
      <c r="O46" s="65"/>
      <c r="P46" s="65"/>
      <c r="Q46" s="65"/>
      <c r="R46" s="65"/>
      <c r="S46" s="65"/>
      <c r="T46" s="65"/>
      <c r="U46" s="65"/>
      <c r="V46" s="65"/>
      <c r="W46" s="65"/>
      <c r="X46" s="65"/>
      <c r="Y46" s="65"/>
      <c r="Z46" s="65"/>
      <c r="AA46" s="65">
        <v>429</v>
      </c>
      <c r="AB46" s="65"/>
      <c r="AC46" s="65">
        <v>100</v>
      </c>
      <c r="AD46" s="65">
        <v>112.5</v>
      </c>
      <c r="AE46" s="65">
        <v>363.3</v>
      </c>
      <c r="AF46" s="65"/>
      <c r="AG46" s="65"/>
      <c r="AH46" s="65"/>
      <c r="AI46" s="65"/>
      <c r="AJ46" s="65">
        <v>9549.75</v>
      </c>
      <c r="AK46" s="65">
        <v>116045.16</v>
      </c>
    </row>
    <row r="47" spans="2:37" ht="12.75" customHeight="1">
      <c r="B47" s="5">
        <v>33</v>
      </c>
      <c r="C47" s="60" t="s">
        <v>252</v>
      </c>
      <c r="D47" s="60" t="s">
        <v>247</v>
      </c>
      <c r="E47" s="60" t="s">
        <v>709</v>
      </c>
      <c r="F47" s="66" t="s">
        <v>687</v>
      </c>
      <c r="G47" s="82" t="s">
        <v>688</v>
      </c>
      <c r="H47" s="65">
        <v>438.88272727272727</v>
      </c>
      <c r="I47" s="65">
        <v>11</v>
      </c>
      <c r="J47" s="65">
        <f t="shared" ref="J47" si="28">I47*8</f>
        <v>88</v>
      </c>
      <c r="K47" s="65">
        <f t="shared" ref="K47" si="29">H47*I47*2</f>
        <v>9655.42</v>
      </c>
      <c r="L47" s="65"/>
      <c r="M47" s="65"/>
      <c r="N47" s="65"/>
      <c r="O47" s="65"/>
      <c r="P47" s="65"/>
      <c r="Q47" s="65"/>
      <c r="R47" s="65"/>
      <c r="S47" s="65"/>
      <c r="T47" s="65"/>
      <c r="U47" s="65"/>
      <c r="V47" s="65"/>
      <c r="W47" s="65"/>
      <c r="X47" s="65"/>
      <c r="Y47" s="65"/>
      <c r="Z47" s="65"/>
      <c r="AA47" s="65">
        <v>0</v>
      </c>
      <c r="AB47" s="65"/>
      <c r="AC47" s="65">
        <v>100</v>
      </c>
      <c r="AD47" s="65">
        <v>112.5</v>
      </c>
      <c r="AE47" s="65">
        <v>345.2</v>
      </c>
      <c r="AF47" s="65"/>
      <c r="AG47" s="65"/>
      <c r="AH47" s="65"/>
      <c r="AI47" s="65"/>
      <c r="AJ47" s="65">
        <v>9435.9599999999991</v>
      </c>
      <c r="AK47" s="65">
        <v>114508.89</v>
      </c>
    </row>
    <row r="48" spans="2:37" ht="12.75" customHeight="1">
      <c r="B48" s="5">
        <v>34</v>
      </c>
      <c r="C48" s="60" t="s">
        <v>253</v>
      </c>
      <c r="D48" s="60" t="s">
        <v>249</v>
      </c>
      <c r="E48" s="60" t="s">
        <v>709</v>
      </c>
      <c r="F48" s="66" t="s">
        <v>687</v>
      </c>
      <c r="G48" s="82" t="s">
        <v>688</v>
      </c>
      <c r="H48" s="65">
        <v>438.88</v>
      </c>
      <c r="I48" s="65">
        <v>11</v>
      </c>
      <c r="J48" s="65">
        <f t="shared" ref="J48" si="30">I48*8</f>
        <v>88</v>
      </c>
      <c r="K48" s="65">
        <f t="shared" ref="K48" si="31">H48*I48*2</f>
        <v>9655.36</v>
      </c>
      <c r="L48" s="65"/>
      <c r="M48" s="65"/>
      <c r="N48" s="65"/>
      <c r="O48" s="65"/>
      <c r="P48" s="65"/>
      <c r="Q48" s="65"/>
      <c r="R48" s="65"/>
      <c r="S48" s="65"/>
      <c r="T48" s="65"/>
      <c r="U48" s="65"/>
      <c r="V48" s="65"/>
      <c r="W48" s="65"/>
      <c r="X48" s="65"/>
      <c r="Y48" s="65"/>
      <c r="Z48" s="65"/>
      <c r="AA48" s="65"/>
      <c r="AB48" s="65"/>
      <c r="AC48" s="65">
        <v>100</v>
      </c>
      <c r="AD48" s="65">
        <v>112.5</v>
      </c>
      <c r="AE48" s="65">
        <v>345.2</v>
      </c>
      <c r="AF48" s="65"/>
      <c r="AG48" s="65"/>
      <c r="AH48" s="65"/>
      <c r="AI48" s="65"/>
      <c r="AJ48" s="65">
        <v>2267.56</v>
      </c>
      <c r="AK48" s="65">
        <v>28966.26</v>
      </c>
    </row>
    <row r="49" spans="2:37" ht="12.75" customHeight="1">
      <c r="B49" s="5">
        <v>35</v>
      </c>
      <c r="C49" s="60" t="s">
        <v>254</v>
      </c>
      <c r="D49" s="60" t="s">
        <v>249</v>
      </c>
      <c r="E49" s="60" t="s">
        <v>709</v>
      </c>
      <c r="F49" s="66" t="s">
        <v>687</v>
      </c>
      <c r="G49" s="82" t="s">
        <v>688</v>
      </c>
      <c r="H49" s="65">
        <v>438.88</v>
      </c>
      <c r="I49" s="65">
        <v>11</v>
      </c>
      <c r="J49" s="65">
        <f t="shared" ref="J49" si="32">I49*8</f>
        <v>88</v>
      </c>
      <c r="K49" s="65">
        <f t="shared" ref="K49" si="33">H49*I49*2</f>
        <v>9655.36</v>
      </c>
      <c r="L49" s="65"/>
      <c r="M49" s="65"/>
      <c r="N49" s="65"/>
      <c r="O49" s="65"/>
      <c r="P49" s="65"/>
      <c r="Q49" s="65"/>
      <c r="R49" s="65"/>
      <c r="S49" s="65"/>
      <c r="T49" s="65"/>
      <c r="U49" s="65"/>
      <c r="V49" s="65"/>
      <c r="W49" s="65"/>
      <c r="X49" s="65"/>
      <c r="Y49" s="65"/>
      <c r="Z49" s="65"/>
      <c r="AA49" s="65"/>
      <c r="AB49" s="65"/>
      <c r="AC49" s="65">
        <v>100</v>
      </c>
      <c r="AD49" s="65">
        <v>112.5</v>
      </c>
      <c r="AE49" s="65">
        <v>345.2</v>
      </c>
      <c r="AF49" s="65"/>
      <c r="AG49" s="65"/>
      <c r="AH49" s="65"/>
      <c r="AI49" s="65"/>
      <c r="AJ49" s="65">
        <v>9327.2900000000009</v>
      </c>
      <c r="AK49" s="65">
        <v>114508.89</v>
      </c>
    </row>
    <row r="50" spans="2:37" ht="12.75" customHeight="1">
      <c r="B50" s="5">
        <v>36</v>
      </c>
      <c r="C50" s="60" t="s">
        <v>255</v>
      </c>
      <c r="D50" s="60" t="s">
        <v>247</v>
      </c>
      <c r="E50" s="60" t="s">
        <v>709</v>
      </c>
      <c r="F50" s="66" t="s">
        <v>687</v>
      </c>
      <c r="G50" s="82" t="s">
        <v>688</v>
      </c>
      <c r="H50" s="65">
        <v>380</v>
      </c>
      <c r="I50" s="65">
        <v>11</v>
      </c>
      <c r="J50" s="65">
        <f t="shared" ref="J50" si="34">I50*8</f>
        <v>88</v>
      </c>
      <c r="K50" s="65">
        <f t="shared" ref="K50" si="35">H50*I50*2</f>
        <v>8360</v>
      </c>
      <c r="L50" s="65"/>
      <c r="M50" s="65"/>
      <c r="N50" s="65"/>
      <c r="O50" s="65"/>
      <c r="P50" s="65"/>
      <c r="Q50" s="65"/>
      <c r="R50" s="65"/>
      <c r="S50" s="65"/>
      <c r="T50" s="65"/>
      <c r="U50" s="65"/>
      <c r="V50" s="65"/>
      <c r="W50" s="65"/>
      <c r="X50" s="65"/>
      <c r="Y50" s="65"/>
      <c r="Z50" s="65"/>
      <c r="AA50" s="65"/>
      <c r="AB50" s="65"/>
      <c r="AC50" s="65">
        <v>100</v>
      </c>
      <c r="AD50" s="65">
        <v>100</v>
      </c>
      <c r="AE50" s="65">
        <v>308.8</v>
      </c>
      <c r="AF50" s="65"/>
      <c r="AG50" s="65"/>
      <c r="AH50" s="65"/>
      <c r="AI50" s="65"/>
      <c r="AJ50" s="65">
        <v>1393.33</v>
      </c>
      <c r="AK50" s="65">
        <v>16720</v>
      </c>
    </row>
    <row r="51" spans="2:37" ht="12.75" customHeight="1">
      <c r="B51" s="5">
        <v>37</v>
      </c>
      <c r="C51" s="60" t="s">
        <v>256</v>
      </c>
      <c r="D51" s="60" t="s">
        <v>257</v>
      </c>
      <c r="E51" s="60" t="s">
        <v>710</v>
      </c>
      <c r="F51" s="66" t="s">
        <v>687</v>
      </c>
      <c r="G51" s="82" t="s">
        <v>688</v>
      </c>
      <c r="H51" s="65">
        <v>457.10272727272729</v>
      </c>
      <c r="I51" s="65">
        <v>11</v>
      </c>
      <c r="J51" s="65">
        <f t="shared" ref="J51" si="36">I51*8</f>
        <v>88</v>
      </c>
      <c r="K51" s="65">
        <f t="shared" ref="K51" si="37">H51*I51*2</f>
        <v>10056.26</v>
      </c>
      <c r="L51" s="65"/>
      <c r="M51" s="65"/>
      <c r="N51" s="65">
        <v>250</v>
      </c>
      <c r="O51" s="65"/>
      <c r="P51" s="65"/>
      <c r="Q51" s="65"/>
      <c r="R51" s="65"/>
      <c r="S51" s="65"/>
      <c r="T51" s="65"/>
      <c r="U51" s="65"/>
      <c r="V51" s="65">
        <v>125</v>
      </c>
      <c r="W51" s="65"/>
      <c r="X51" s="65"/>
      <c r="Y51" s="65"/>
      <c r="Z51" s="65"/>
      <c r="AA51" s="65"/>
      <c r="AB51" s="65"/>
      <c r="AC51" s="65">
        <v>100</v>
      </c>
      <c r="AD51" s="65">
        <v>125</v>
      </c>
      <c r="AE51" s="65">
        <v>363.3</v>
      </c>
      <c r="AF51" s="65"/>
      <c r="AG51" s="65"/>
      <c r="AH51" s="65"/>
      <c r="AI51" s="65"/>
      <c r="AJ51" s="65">
        <v>9864.42</v>
      </c>
      <c r="AK51" s="65">
        <v>119376.51</v>
      </c>
    </row>
    <row r="52" spans="2:37" ht="12.75" customHeight="1">
      <c r="B52" s="5">
        <v>38</v>
      </c>
      <c r="C52" s="60" t="s">
        <v>258</v>
      </c>
      <c r="D52" s="60" t="s">
        <v>259</v>
      </c>
      <c r="E52" s="60" t="s">
        <v>710</v>
      </c>
      <c r="F52" s="66" t="s">
        <v>687</v>
      </c>
      <c r="G52" s="82" t="s">
        <v>688</v>
      </c>
      <c r="H52" s="65">
        <v>457.10272727272729</v>
      </c>
      <c r="I52" s="65">
        <v>11</v>
      </c>
      <c r="J52" s="65">
        <f t="shared" ref="J52" si="38">I52*8</f>
        <v>88</v>
      </c>
      <c r="K52" s="65">
        <f t="shared" ref="K52" si="39">H52*I52*2</f>
        <v>10056.26</v>
      </c>
      <c r="L52" s="65"/>
      <c r="M52" s="65"/>
      <c r="N52" s="65">
        <v>250</v>
      </c>
      <c r="O52" s="65"/>
      <c r="P52" s="65"/>
      <c r="Q52" s="65"/>
      <c r="R52" s="65"/>
      <c r="S52" s="65"/>
      <c r="T52" s="65"/>
      <c r="U52" s="65"/>
      <c r="V52" s="65">
        <v>125</v>
      </c>
      <c r="W52" s="65"/>
      <c r="X52" s="65"/>
      <c r="Y52" s="65"/>
      <c r="Z52" s="65"/>
      <c r="AA52" s="65">
        <v>631</v>
      </c>
      <c r="AB52" s="65"/>
      <c r="AC52" s="65">
        <v>100</v>
      </c>
      <c r="AD52" s="65">
        <v>125</v>
      </c>
      <c r="AE52" s="65">
        <v>363.3</v>
      </c>
      <c r="AF52" s="65"/>
      <c r="AG52" s="65"/>
      <c r="AH52" s="65"/>
      <c r="AI52" s="65"/>
      <c r="AJ52" s="65">
        <v>9953.51</v>
      </c>
      <c r="AK52" s="65">
        <v>119376.51</v>
      </c>
    </row>
    <row r="53" spans="2:37" ht="12.75" customHeight="1">
      <c r="B53" s="5">
        <v>39</v>
      </c>
      <c r="C53" s="60" t="s">
        <v>260</v>
      </c>
      <c r="D53" s="60" t="s">
        <v>261</v>
      </c>
      <c r="E53" s="60" t="s">
        <v>711</v>
      </c>
      <c r="F53" s="66" t="s">
        <v>687</v>
      </c>
      <c r="G53" s="82" t="s">
        <v>688</v>
      </c>
      <c r="H53" s="65">
        <f>4729.11/11</f>
        <v>429.91909090909087</v>
      </c>
      <c r="I53" s="65">
        <v>11</v>
      </c>
      <c r="J53" s="65">
        <f t="shared" ref="J53" si="40">I53*8</f>
        <v>88</v>
      </c>
      <c r="K53" s="65">
        <f t="shared" ref="K53" si="41">H53*I53*2</f>
        <v>9458.2199999999993</v>
      </c>
      <c r="L53" s="65"/>
      <c r="M53" s="65"/>
      <c r="N53" s="65"/>
      <c r="O53" s="65"/>
      <c r="P53" s="65"/>
      <c r="Q53" s="65"/>
      <c r="R53" s="65"/>
      <c r="S53" s="65"/>
      <c r="T53" s="65"/>
      <c r="U53" s="65"/>
      <c r="V53" s="65">
        <v>125</v>
      </c>
      <c r="W53" s="65"/>
      <c r="X53" s="65"/>
      <c r="Y53" s="65"/>
      <c r="Z53" s="65"/>
      <c r="AA53" s="65"/>
      <c r="AB53" s="65"/>
      <c r="AC53" s="65">
        <v>100</v>
      </c>
      <c r="AD53" s="65">
        <v>112.5</v>
      </c>
      <c r="AE53" s="65">
        <v>345.2</v>
      </c>
      <c r="AF53" s="65"/>
      <c r="AG53" s="65"/>
      <c r="AH53" s="65"/>
      <c r="AI53" s="65"/>
      <c r="AJ53" s="65">
        <v>10089.43</v>
      </c>
      <c r="AK53" s="65">
        <v>112112.25</v>
      </c>
    </row>
    <row r="54" spans="2:37" ht="12.75" customHeight="1">
      <c r="B54" s="5">
        <v>40</v>
      </c>
      <c r="C54" s="60" t="s">
        <v>262</v>
      </c>
      <c r="D54" s="60" t="s">
        <v>261</v>
      </c>
      <c r="E54" s="60" t="s">
        <v>711</v>
      </c>
      <c r="F54" s="66" t="s">
        <v>687</v>
      </c>
      <c r="G54" s="82" t="s">
        <v>688</v>
      </c>
      <c r="H54" s="65">
        <v>429.92</v>
      </c>
      <c r="I54" s="65">
        <v>11</v>
      </c>
      <c r="J54" s="65">
        <f t="shared" ref="J54" si="42">I54*8</f>
        <v>88</v>
      </c>
      <c r="K54" s="65">
        <f t="shared" ref="K54" si="43">H54*I54*2</f>
        <v>9458.24</v>
      </c>
      <c r="L54" s="65"/>
      <c r="M54" s="65"/>
      <c r="N54" s="65"/>
      <c r="O54" s="65"/>
      <c r="P54" s="65"/>
      <c r="Q54" s="65"/>
      <c r="R54" s="65"/>
      <c r="S54" s="65"/>
      <c r="T54" s="65"/>
      <c r="U54" s="65"/>
      <c r="V54" s="65">
        <v>125</v>
      </c>
      <c r="W54" s="65"/>
      <c r="X54" s="65"/>
      <c r="Y54" s="65"/>
      <c r="Z54" s="65"/>
      <c r="AA54" s="65"/>
      <c r="AB54" s="65"/>
      <c r="AC54" s="65">
        <v>100</v>
      </c>
      <c r="AD54" s="65">
        <v>112.5</v>
      </c>
      <c r="AE54" s="65">
        <v>345.2</v>
      </c>
      <c r="AF54" s="65"/>
      <c r="AG54" s="65"/>
      <c r="AH54" s="65"/>
      <c r="AI54" s="65"/>
      <c r="AJ54" s="65">
        <v>6081.68</v>
      </c>
      <c r="AK54" s="65">
        <v>75511.649999999994</v>
      </c>
    </row>
    <row r="55" spans="2:37" ht="12.75" customHeight="1">
      <c r="B55" s="5">
        <v>41</v>
      </c>
      <c r="C55" s="60" t="s">
        <v>263</v>
      </c>
      <c r="D55" s="60" t="s">
        <v>264</v>
      </c>
      <c r="E55" s="60" t="s">
        <v>711</v>
      </c>
      <c r="F55" s="66" t="s">
        <v>687</v>
      </c>
      <c r="G55" s="82" t="s">
        <v>688</v>
      </c>
      <c r="H55" s="65">
        <v>380</v>
      </c>
      <c r="I55" s="65">
        <v>11</v>
      </c>
      <c r="J55" s="65">
        <f t="shared" ref="J55" si="44">I55*8</f>
        <v>88</v>
      </c>
      <c r="K55" s="65">
        <f t="shared" ref="K55" si="45">H55*I55*2</f>
        <v>8360</v>
      </c>
      <c r="L55" s="65"/>
      <c r="M55" s="65"/>
      <c r="N55" s="65"/>
      <c r="O55" s="65"/>
      <c r="P55" s="65"/>
      <c r="Q55" s="65"/>
      <c r="R55" s="65"/>
      <c r="S55" s="65"/>
      <c r="T55" s="65"/>
      <c r="U55" s="65"/>
      <c r="V55" s="65"/>
      <c r="W55" s="65"/>
      <c r="X55" s="65"/>
      <c r="Y55" s="65"/>
      <c r="Z55" s="65"/>
      <c r="AA55" s="65">
        <v>395</v>
      </c>
      <c r="AB55" s="65"/>
      <c r="AC55" s="65">
        <v>100</v>
      </c>
      <c r="AD55" s="65">
        <v>112.5</v>
      </c>
      <c r="AE55" s="65">
        <v>363.3</v>
      </c>
      <c r="AF55" s="65"/>
      <c r="AG55" s="65"/>
      <c r="AH55" s="65"/>
      <c r="AI55" s="65"/>
      <c r="AJ55" s="65">
        <v>9400.56</v>
      </c>
      <c r="AK55" s="65">
        <v>116688</v>
      </c>
    </row>
    <row r="56" spans="2:37" ht="12.75" customHeight="1">
      <c r="B56" s="5">
        <v>42</v>
      </c>
      <c r="C56" s="60" t="s">
        <v>265</v>
      </c>
      <c r="D56" s="60" t="s">
        <v>261</v>
      </c>
      <c r="E56" s="60" t="s">
        <v>711</v>
      </c>
      <c r="F56" s="66" t="s">
        <v>687</v>
      </c>
      <c r="G56" s="82" t="s">
        <v>688</v>
      </c>
      <c r="H56" s="65">
        <v>429.92</v>
      </c>
      <c r="I56" s="65">
        <v>11</v>
      </c>
      <c r="J56" s="65">
        <f t="shared" ref="J56" si="46">I56*8</f>
        <v>88</v>
      </c>
      <c r="K56" s="65">
        <f t="shared" ref="K56" si="47">H56*I56*2</f>
        <v>9458.24</v>
      </c>
      <c r="L56" s="65"/>
      <c r="M56" s="65"/>
      <c r="N56" s="65"/>
      <c r="O56" s="65"/>
      <c r="P56" s="65"/>
      <c r="Q56" s="65"/>
      <c r="R56" s="65"/>
      <c r="S56" s="65"/>
      <c r="T56" s="65"/>
      <c r="U56" s="65"/>
      <c r="V56" s="65">
        <v>125</v>
      </c>
      <c r="W56" s="65"/>
      <c r="X56" s="65"/>
      <c r="Y56" s="65"/>
      <c r="Z56" s="65"/>
      <c r="AA56" s="65"/>
      <c r="AB56" s="65"/>
      <c r="AC56" s="65">
        <v>100</v>
      </c>
      <c r="AD56" s="65">
        <v>112.5</v>
      </c>
      <c r="AE56" s="65">
        <v>345.2</v>
      </c>
      <c r="AF56" s="65"/>
      <c r="AG56" s="65"/>
      <c r="AH56" s="65"/>
      <c r="AI56" s="65"/>
      <c r="AJ56" s="65">
        <v>5796.03</v>
      </c>
      <c r="AK56" s="65">
        <v>70936.570000000007</v>
      </c>
    </row>
    <row r="57" spans="2:37" ht="12.75" customHeight="1">
      <c r="B57" s="5">
        <v>43</v>
      </c>
      <c r="C57" s="60" t="s">
        <v>266</v>
      </c>
      <c r="D57" s="60" t="s">
        <v>267</v>
      </c>
      <c r="E57" s="60" t="s">
        <v>711</v>
      </c>
      <c r="F57" s="66" t="s">
        <v>687</v>
      </c>
      <c r="G57" s="82" t="s">
        <v>688</v>
      </c>
      <c r="H57" s="65">
        <f>4993.87/11</f>
        <v>453.98818181818183</v>
      </c>
      <c r="I57" s="65">
        <v>11</v>
      </c>
      <c r="J57" s="65">
        <f t="shared" ref="J57" si="48">I57*8</f>
        <v>88</v>
      </c>
      <c r="K57" s="65">
        <f t="shared" ref="K57" si="49">H57*I57*2</f>
        <v>9987.74</v>
      </c>
      <c r="L57" s="65"/>
      <c r="M57" s="65"/>
      <c r="N57" s="65"/>
      <c r="O57" s="65"/>
      <c r="P57" s="65"/>
      <c r="Q57" s="65"/>
      <c r="R57" s="65"/>
      <c r="S57" s="65"/>
      <c r="T57" s="65"/>
      <c r="U57" s="65"/>
      <c r="V57" s="65">
        <v>125</v>
      </c>
      <c r="W57" s="65"/>
      <c r="X57" s="65"/>
      <c r="Y57" s="65"/>
      <c r="Z57" s="65"/>
      <c r="AA57" s="65">
        <v>566</v>
      </c>
      <c r="AB57" s="65"/>
      <c r="AC57" s="65">
        <v>100</v>
      </c>
      <c r="AD57" s="65">
        <v>112.5</v>
      </c>
      <c r="AE57" s="65">
        <v>363.3</v>
      </c>
      <c r="AF57" s="65"/>
      <c r="AG57" s="65"/>
      <c r="AH57" s="65"/>
      <c r="AI57" s="65"/>
      <c r="AJ57" s="65">
        <v>9055.06</v>
      </c>
      <c r="AK57" s="65">
        <v>118544.65</v>
      </c>
    </row>
    <row r="58" spans="2:37" ht="12.75" customHeight="1">
      <c r="B58" s="5">
        <v>44</v>
      </c>
      <c r="C58" s="60" t="s">
        <v>268</v>
      </c>
      <c r="D58" s="60" t="s">
        <v>261</v>
      </c>
      <c r="E58" s="60" t="s">
        <v>711</v>
      </c>
      <c r="F58" s="66" t="s">
        <v>687</v>
      </c>
      <c r="G58" s="82" t="s">
        <v>688</v>
      </c>
      <c r="H58" s="65">
        <v>429.92</v>
      </c>
      <c r="I58" s="65">
        <v>11</v>
      </c>
      <c r="J58" s="65">
        <f t="shared" ref="J58" si="50">I58*8</f>
        <v>88</v>
      </c>
      <c r="K58" s="65">
        <f t="shared" ref="K58" si="51">H58*I58*2</f>
        <v>9458.24</v>
      </c>
      <c r="L58" s="65"/>
      <c r="M58" s="65"/>
      <c r="N58" s="65"/>
      <c r="O58" s="65"/>
      <c r="P58" s="65"/>
      <c r="Q58" s="65"/>
      <c r="R58" s="65"/>
      <c r="S58" s="65"/>
      <c r="T58" s="65"/>
      <c r="U58" s="65"/>
      <c r="V58" s="65">
        <v>125</v>
      </c>
      <c r="W58" s="65"/>
      <c r="X58" s="65"/>
      <c r="Y58" s="65"/>
      <c r="Z58" s="65"/>
      <c r="AA58" s="65"/>
      <c r="AB58" s="65"/>
      <c r="AC58" s="65">
        <v>100</v>
      </c>
      <c r="AD58" s="65">
        <v>112.5</v>
      </c>
      <c r="AE58" s="65">
        <v>345.2</v>
      </c>
      <c r="AF58" s="65"/>
      <c r="AG58" s="65"/>
      <c r="AH58" s="65"/>
      <c r="AI58" s="65"/>
      <c r="AJ58" s="65">
        <v>6890.39</v>
      </c>
      <c r="AK58" s="65">
        <v>84661.8</v>
      </c>
    </row>
    <row r="59" spans="2:37" ht="12.75" customHeight="1">
      <c r="B59" s="5">
        <v>45</v>
      </c>
      <c r="C59" s="60" t="s">
        <v>269</v>
      </c>
      <c r="D59" s="60" t="s">
        <v>270</v>
      </c>
      <c r="E59" s="60" t="s">
        <v>711</v>
      </c>
      <c r="F59" s="66" t="s">
        <v>687</v>
      </c>
      <c r="G59" s="82" t="s">
        <v>688</v>
      </c>
      <c r="H59" s="65">
        <f>5500/11</f>
        <v>500</v>
      </c>
      <c r="I59" s="65">
        <v>11</v>
      </c>
      <c r="J59" s="65">
        <f t="shared" ref="J59" si="52">I59*8</f>
        <v>88</v>
      </c>
      <c r="K59" s="65">
        <f t="shared" ref="K59" si="53">H59*I59*2</f>
        <v>11000</v>
      </c>
      <c r="L59" s="65"/>
      <c r="M59" s="65"/>
      <c r="N59" s="65"/>
      <c r="O59" s="65"/>
      <c r="P59" s="65"/>
      <c r="Q59" s="65"/>
      <c r="R59" s="65"/>
      <c r="S59" s="65"/>
      <c r="T59" s="65"/>
      <c r="U59" s="65"/>
      <c r="V59" s="65">
        <v>125</v>
      </c>
      <c r="W59" s="65"/>
      <c r="X59" s="65"/>
      <c r="Y59" s="65"/>
      <c r="Z59" s="65"/>
      <c r="AA59" s="65"/>
      <c r="AB59" s="65"/>
      <c r="AC59" s="65">
        <v>100</v>
      </c>
      <c r="AD59" s="65">
        <v>137.5</v>
      </c>
      <c r="AE59" s="65">
        <v>399.7</v>
      </c>
      <c r="AF59" s="65"/>
      <c r="AG59" s="65"/>
      <c r="AH59" s="65"/>
      <c r="AI59" s="65"/>
      <c r="AJ59" s="65">
        <v>8779.15</v>
      </c>
      <c r="AK59" s="65">
        <v>115231.5</v>
      </c>
    </row>
    <row r="60" spans="2:37" ht="12.75" customHeight="1">
      <c r="B60" s="5">
        <v>46</v>
      </c>
      <c r="C60" s="60" t="s">
        <v>271</v>
      </c>
      <c r="D60" s="60" t="s">
        <v>261</v>
      </c>
      <c r="E60" s="60" t="s">
        <v>711</v>
      </c>
      <c r="F60" s="66" t="s">
        <v>687</v>
      </c>
      <c r="G60" s="82" t="s">
        <v>688</v>
      </c>
      <c r="H60" s="65">
        <v>429.92</v>
      </c>
      <c r="I60" s="65">
        <v>11</v>
      </c>
      <c r="J60" s="65">
        <f t="shared" ref="J60" si="54">I60*8</f>
        <v>88</v>
      </c>
      <c r="K60" s="65">
        <f t="shared" ref="K60" si="55">H60*I60*2</f>
        <v>9458.24</v>
      </c>
      <c r="L60" s="65"/>
      <c r="M60" s="65"/>
      <c r="N60" s="65"/>
      <c r="O60" s="65"/>
      <c r="P60" s="65"/>
      <c r="Q60" s="65"/>
      <c r="R60" s="65"/>
      <c r="S60" s="65"/>
      <c r="T60" s="65"/>
      <c r="U60" s="65"/>
      <c r="V60" s="65">
        <v>125</v>
      </c>
      <c r="W60" s="65"/>
      <c r="X60" s="65"/>
      <c r="Y60" s="65"/>
      <c r="Z60" s="65"/>
      <c r="AA60" s="65"/>
      <c r="AB60" s="65"/>
      <c r="AC60" s="65">
        <v>100</v>
      </c>
      <c r="AD60" s="65">
        <v>112.5</v>
      </c>
      <c r="AE60" s="65">
        <v>345.2</v>
      </c>
      <c r="AF60" s="65"/>
      <c r="AG60" s="65"/>
      <c r="AH60" s="65"/>
      <c r="AI60" s="65"/>
      <c r="AJ60" s="65">
        <v>3142.66</v>
      </c>
      <c r="AK60" s="65">
        <v>37832.839999999997</v>
      </c>
    </row>
    <row r="61" spans="2:37" ht="12.75" customHeight="1">
      <c r="B61" s="5">
        <v>47</v>
      </c>
      <c r="C61" s="60" t="s">
        <v>272</v>
      </c>
      <c r="D61" s="60" t="s">
        <v>261</v>
      </c>
      <c r="E61" s="60" t="s">
        <v>711</v>
      </c>
      <c r="F61" s="66" t="s">
        <v>687</v>
      </c>
      <c r="G61" s="82" t="s">
        <v>688</v>
      </c>
      <c r="H61" s="65">
        <f>4793.01/11</f>
        <v>435.72818181818184</v>
      </c>
      <c r="I61" s="65">
        <v>11</v>
      </c>
      <c r="J61" s="65">
        <f t="shared" ref="J61" si="56">I61*8</f>
        <v>88</v>
      </c>
      <c r="K61" s="65">
        <f t="shared" ref="K61" si="57">H61*I61*2</f>
        <v>9586.02</v>
      </c>
      <c r="L61" s="65"/>
      <c r="M61" s="65"/>
      <c r="N61" s="65"/>
      <c r="O61" s="65"/>
      <c r="P61" s="65"/>
      <c r="Q61" s="65"/>
      <c r="R61" s="65"/>
      <c r="S61" s="65"/>
      <c r="T61" s="65"/>
      <c r="U61" s="65"/>
      <c r="V61" s="65">
        <v>125</v>
      </c>
      <c r="W61" s="65"/>
      <c r="X61" s="65"/>
      <c r="Y61" s="65"/>
      <c r="Z61" s="65"/>
      <c r="AA61" s="65"/>
      <c r="AB61" s="65"/>
      <c r="AC61" s="65">
        <v>100</v>
      </c>
      <c r="AD61" s="65">
        <v>112.5</v>
      </c>
      <c r="AE61" s="65">
        <v>345.2</v>
      </c>
      <c r="AF61" s="65"/>
      <c r="AG61" s="65"/>
      <c r="AH61" s="65"/>
      <c r="AI61" s="65"/>
      <c r="AJ61" s="65">
        <v>9179.61</v>
      </c>
      <c r="AK61" s="65">
        <v>113665.56</v>
      </c>
    </row>
    <row r="62" spans="2:37" ht="12.75" customHeight="1">
      <c r="B62" s="5">
        <v>48</v>
      </c>
      <c r="C62" s="60" t="s">
        <v>273</v>
      </c>
      <c r="D62" s="60" t="s">
        <v>274</v>
      </c>
      <c r="E62" s="60" t="s">
        <v>711</v>
      </c>
      <c r="F62" s="66" t="s">
        <v>687</v>
      </c>
      <c r="G62" s="82" t="s">
        <v>688</v>
      </c>
      <c r="H62" s="65">
        <f>7373.15/11</f>
        <v>670.2863636363636</v>
      </c>
      <c r="I62" s="65">
        <v>11</v>
      </c>
      <c r="J62" s="65">
        <f t="shared" ref="J62" si="58">I62*8</f>
        <v>88</v>
      </c>
      <c r="K62" s="65">
        <f t="shared" ref="K62" si="59">H62*I62*2</f>
        <v>14746.3</v>
      </c>
      <c r="L62" s="65"/>
      <c r="M62" s="65"/>
      <c r="N62" s="65"/>
      <c r="O62" s="65"/>
      <c r="P62" s="65"/>
      <c r="Q62" s="65"/>
      <c r="R62" s="65"/>
      <c r="S62" s="65"/>
      <c r="T62" s="65"/>
      <c r="U62" s="65"/>
      <c r="V62" s="65">
        <v>125</v>
      </c>
      <c r="W62" s="65"/>
      <c r="X62" s="65"/>
      <c r="Y62" s="65"/>
      <c r="Z62" s="65"/>
      <c r="AA62" s="65">
        <v>686</v>
      </c>
      <c r="AB62" s="65"/>
      <c r="AC62" s="65">
        <v>100</v>
      </c>
      <c r="AD62" s="65">
        <v>175</v>
      </c>
      <c r="AE62" s="65">
        <v>526.79999999999995</v>
      </c>
      <c r="AF62" s="65"/>
      <c r="AG62" s="65"/>
      <c r="AH62" s="65"/>
      <c r="AI62" s="65"/>
      <c r="AJ62" s="65">
        <v>14068.21</v>
      </c>
      <c r="AK62" s="65">
        <v>176083.95</v>
      </c>
    </row>
    <row r="63" spans="2:37" ht="12.75" customHeight="1">
      <c r="B63" s="5">
        <v>49</v>
      </c>
      <c r="C63" s="60" t="s">
        <v>275</v>
      </c>
      <c r="D63" s="60" t="s">
        <v>261</v>
      </c>
      <c r="E63" s="60" t="s">
        <v>711</v>
      </c>
      <c r="F63" s="66" t="s">
        <v>687</v>
      </c>
      <c r="G63" s="82" t="s">
        <v>688</v>
      </c>
      <c r="H63" s="65">
        <f>5393.12/11</f>
        <v>490.28363636363633</v>
      </c>
      <c r="I63" s="65">
        <v>11</v>
      </c>
      <c r="J63" s="65">
        <f t="shared" ref="J63" si="60">I63*8</f>
        <v>88</v>
      </c>
      <c r="K63" s="65">
        <f t="shared" ref="K63" si="61">H63*I63*2</f>
        <v>10786.24</v>
      </c>
      <c r="L63" s="65"/>
      <c r="M63" s="65"/>
      <c r="N63" s="65"/>
      <c r="O63" s="65"/>
      <c r="P63" s="65"/>
      <c r="Q63" s="65"/>
      <c r="R63" s="65"/>
      <c r="S63" s="65"/>
      <c r="T63" s="65"/>
      <c r="U63" s="65"/>
      <c r="V63" s="65">
        <v>125</v>
      </c>
      <c r="W63" s="65"/>
      <c r="X63" s="65"/>
      <c r="Y63" s="65"/>
      <c r="Z63" s="65"/>
      <c r="AA63" s="65">
        <v>431</v>
      </c>
      <c r="AB63" s="65"/>
      <c r="AC63" s="65">
        <v>100</v>
      </c>
      <c r="AD63" s="65">
        <v>125</v>
      </c>
      <c r="AE63" s="65">
        <v>399.7</v>
      </c>
      <c r="AF63" s="65"/>
      <c r="AG63" s="65"/>
      <c r="AH63" s="65"/>
      <c r="AI63" s="65"/>
      <c r="AJ63" s="65">
        <v>10603.98</v>
      </c>
      <c r="AK63" s="65">
        <v>128228.8</v>
      </c>
    </row>
    <row r="64" spans="2:37" ht="12.75" customHeight="1">
      <c r="B64" s="5">
        <v>50</v>
      </c>
      <c r="C64" s="60" t="s">
        <v>276</v>
      </c>
      <c r="D64" s="60" t="s">
        <v>261</v>
      </c>
      <c r="E64" s="60" t="s">
        <v>711</v>
      </c>
      <c r="F64" s="66" t="s">
        <v>687</v>
      </c>
      <c r="G64" s="82" t="s">
        <v>688</v>
      </c>
      <c r="H64" s="65">
        <f>4729.11/11</f>
        <v>429.91909090909087</v>
      </c>
      <c r="I64" s="65">
        <v>11</v>
      </c>
      <c r="J64" s="65">
        <f t="shared" ref="J64" si="62">I64*8</f>
        <v>88</v>
      </c>
      <c r="K64" s="65">
        <f t="shared" ref="K64" si="63">H64*I64*2</f>
        <v>9458.2199999999993</v>
      </c>
      <c r="L64" s="65"/>
      <c r="M64" s="65"/>
      <c r="N64" s="65"/>
      <c r="O64" s="65"/>
      <c r="P64" s="65"/>
      <c r="Q64" s="65"/>
      <c r="R64" s="65"/>
      <c r="S64" s="65"/>
      <c r="T64" s="65"/>
      <c r="U64" s="65"/>
      <c r="V64" s="65">
        <v>125</v>
      </c>
      <c r="W64" s="65"/>
      <c r="X64" s="65"/>
      <c r="Y64" s="65"/>
      <c r="Z64" s="65"/>
      <c r="AA64" s="65"/>
      <c r="AB64" s="65"/>
      <c r="AC64" s="65">
        <v>100</v>
      </c>
      <c r="AD64" s="65">
        <v>112.5</v>
      </c>
      <c r="AE64" s="65">
        <v>345.2</v>
      </c>
      <c r="AF64" s="65"/>
      <c r="AG64" s="65"/>
      <c r="AH64" s="65"/>
      <c r="AI64" s="65"/>
      <c r="AJ64" s="65">
        <v>10004.370000000001</v>
      </c>
      <c r="AK64" s="65">
        <v>112112.25</v>
      </c>
    </row>
    <row r="65" spans="2:37" ht="12.75" customHeight="1">
      <c r="B65" s="5">
        <v>51</v>
      </c>
      <c r="C65" s="60" t="s">
        <v>277</v>
      </c>
      <c r="D65" s="60" t="s">
        <v>261</v>
      </c>
      <c r="E65" s="60" t="s">
        <v>711</v>
      </c>
      <c r="F65" s="66" t="s">
        <v>687</v>
      </c>
      <c r="G65" s="82" t="s">
        <v>688</v>
      </c>
      <c r="H65" s="65">
        <f>4793.01/11</f>
        <v>435.72818181818184</v>
      </c>
      <c r="I65" s="65">
        <v>11</v>
      </c>
      <c r="J65" s="65">
        <f t="shared" ref="J65" si="64">I65*8</f>
        <v>88</v>
      </c>
      <c r="K65" s="65">
        <f t="shared" ref="K65" si="65">H65*I65*2</f>
        <v>9586.02</v>
      </c>
      <c r="L65" s="65"/>
      <c r="M65" s="65"/>
      <c r="N65" s="65"/>
      <c r="O65" s="65"/>
      <c r="P65" s="65"/>
      <c r="Q65" s="65"/>
      <c r="R65" s="65"/>
      <c r="S65" s="65"/>
      <c r="T65" s="65"/>
      <c r="U65" s="65"/>
      <c r="V65" s="65">
        <v>125</v>
      </c>
      <c r="W65" s="65"/>
      <c r="X65" s="65"/>
      <c r="Y65" s="65"/>
      <c r="Z65" s="65"/>
      <c r="AA65" s="65"/>
      <c r="AB65" s="65"/>
      <c r="AC65" s="65">
        <v>100</v>
      </c>
      <c r="AD65" s="65">
        <v>112.5</v>
      </c>
      <c r="AE65" s="65">
        <v>345.2</v>
      </c>
      <c r="AF65" s="65"/>
      <c r="AG65" s="65"/>
      <c r="AH65" s="65"/>
      <c r="AI65" s="65"/>
      <c r="AJ65" s="65">
        <v>8918.77</v>
      </c>
      <c r="AK65" s="65">
        <v>113665.68</v>
      </c>
    </row>
    <row r="66" spans="2:37" ht="12.75" customHeight="1">
      <c r="B66" s="5">
        <v>52</v>
      </c>
      <c r="C66" s="60" t="s">
        <v>278</v>
      </c>
      <c r="D66" s="60" t="s">
        <v>261</v>
      </c>
      <c r="E66" s="60" t="s">
        <v>711</v>
      </c>
      <c r="F66" s="66" t="s">
        <v>687</v>
      </c>
      <c r="G66" s="82" t="s">
        <v>688</v>
      </c>
      <c r="H66" s="65">
        <v>429.92</v>
      </c>
      <c r="I66" s="65">
        <v>11</v>
      </c>
      <c r="J66" s="65">
        <f t="shared" ref="J66" si="66">I66*8</f>
        <v>88</v>
      </c>
      <c r="K66" s="65">
        <f t="shared" ref="K66" si="67">H66*I66*2</f>
        <v>9458.24</v>
      </c>
      <c r="L66" s="65"/>
      <c r="M66" s="65"/>
      <c r="N66" s="65"/>
      <c r="O66" s="65"/>
      <c r="P66" s="65"/>
      <c r="Q66" s="65"/>
      <c r="R66" s="65"/>
      <c r="S66" s="65"/>
      <c r="T66" s="65"/>
      <c r="U66" s="65"/>
      <c r="V66" s="65">
        <v>125</v>
      </c>
      <c r="W66" s="65"/>
      <c r="X66" s="65"/>
      <c r="Y66" s="65"/>
      <c r="Z66" s="65"/>
      <c r="AA66" s="65"/>
      <c r="AB66" s="65"/>
      <c r="AC66" s="65">
        <v>100</v>
      </c>
      <c r="AD66" s="65">
        <v>112.5</v>
      </c>
      <c r="AE66" s="65">
        <v>345.2</v>
      </c>
      <c r="AF66" s="65"/>
      <c r="AG66" s="65"/>
      <c r="AH66" s="65"/>
      <c r="AI66" s="65"/>
      <c r="AJ66" s="65">
        <v>3891.64</v>
      </c>
      <c r="AK66" s="65">
        <v>47291.05</v>
      </c>
    </row>
    <row r="67" spans="2:37" ht="12.75" customHeight="1">
      <c r="B67" s="5">
        <v>53</v>
      </c>
      <c r="C67" s="60" t="s">
        <v>279</v>
      </c>
      <c r="D67" s="60" t="s">
        <v>261</v>
      </c>
      <c r="E67" s="60" t="s">
        <v>711</v>
      </c>
      <c r="F67" s="66" t="s">
        <v>687</v>
      </c>
      <c r="G67" s="82" t="s">
        <v>688</v>
      </c>
      <c r="H67" s="65">
        <v>429.92</v>
      </c>
      <c r="I67" s="65">
        <v>11</v>
      </c>
      <c r="J67" s="65">
        <f t="shared" ref="J67" si="68">I67*8</f>
        <v>88</v>
      </c>
      <c r="K67" s="65">
        <f t="shared" ref="K67" si="69">H67*I67*2</f>
        <v>9458.24</v>
      </c>
      <c r="L67" s="65"/>
      <c r="M67" s="65"/>
      <c r="N67" s="65"/>
      <c r="O67" s="65"/>
      <c r="P67" s="65"/>
      <c r="Q67" s="65"/>
      <c r="R67" s="65"/>
      <c r="S67" s="65"/>
      <c r="T67" s="65"/>
      <c r="U67" s="65"/>
      <c r="V67" s="65">
        <v>125</v>
      </c>
      <c r="W67" s="65"/>
      <c r="X67" s="65"/>
      <c r="Y67" s="65"/>
      <c r="Z67" s="65"/>
      <c r="AA67" s="65"/>
      <c r="AB67" s="65"/>
      <c r="AC67" s="65">
        <v>100</v>
      </c>
      <c r="AD67" s="65">
        <v>112.5</v>
      </c>
      <c r="AE67" s="65">
        <v>345.2</v>
      </c>
      <c r="AF67" s="65"/>
      <c r="AG67" s="65"/>
      <c r="AH67" s="65"/>
      <c r="AI67" s="65"/>
      <c r="AJ67" s="65">
        <v>5515.26</v>
      </c>
      <c r="AK67" s="65">
        <v>66207.47</v>
      </c>
    </row>
    <row r="68" spans="2:37" ht="12.75" customHeight="1">
      <c r="B68" s="5">
        <v>54</v>
      </c>
      <c r="C68" s="60" t="s">
        <v>280</v>
      </c>
      <c r="D68" s="60" t="s">
        <v>261</v>
      </c>
      <c r="E68" s="60" t="s">
        <v>711</v>
      </c>
      <c r="F68" s="66" t="s">
        <v>687</v>
      </c>
      <c r="G68" s="82" t="s">
        <v>688</v>
      </c>
      <c r="H68" s="65">
        <f>6138.78/11</f>
        <v>558.07090909090903</v>
      </c>
      <c r="I68" s="65">
        <v>11</v>
      </c>
      <c r="J68" s="65">
        <f t="shared" ref="J68" si="70">I68*8</f>
        <v>88</v>
      </c>
      <c r="K68" s="65">
        <f t="shared" ref="K68" si="71">H68*I68*2</f>
        <v>12277.559999999998</v>
      </c>
      <c r="L68" s="65"/>
      <c r="M68" s="65"/>
      <c r="N68" s="65"/>
      <c r="O68" s="65"/>
      <c r="P68" s="65"/>
      <c r="Q68" s="65"/>
      <c r="R68" s="65"/>
      <c r="S68" s="65"/>
      <c r="T68" s="65"/>
      <c r="U68" s="65"/>
      <c r="V68" s="65">
        <v>125</v>
      </c>
      <c r="W68" s="65"/>
      <c r="X68" s="65"/>
      <c r="Y68" s="65"/>
      <c r="Z68" s="65"/>
      <c r="AA68" s="65">
        <v>686</v>
      </c>
      <c r="AB68" s="65"/>
      <c r="AC68" s="65">
        <v>100</v>
      </c>
      <c r="AD68" s="65">
        <v>150</v>
      </c>
      <c r="AE68" s="65">
        <v>454.2</v>
      </c>
      <c r="AF68" s="65"/>
      <c r="AG68" s="65"/>
      <c r="AH68" s="65"/>
      <c r="AI68" s="65"/>
      <c r="AJ68" s="65">
        <v>12138.3</v>
      </c>
      <c r="AK68" s="65">
        <v>146277.5</v>
      </c>
    </row>
    <row r="69" spans="2:37" ht="12.75" customHeight="1">
      <c r="B69" s="5">
        <v>55</v>
      </c>
      <c r="C69" s="60" t="s">
        <v>281</v>
      </c>
      <c r="D69" s="60" t="s">
        <v>261</v>
      </c>
      <c r="E69" s="60" t="s">
        <v>711</v>
      </c>
      <c r="F69" s="66" t="s">
        <v>687</v>
      </c>
      <c r="G69" s="82" t="s">
        <v>688</v>
      </c>
      <c r="H69" s="65">
        <f>4793.01/11</f>
        <v>435.72818181818184</v>
      </c>
      <c r="I69" s="65">
        <v>11</v>
      </c>
      <c r="J69" s="65">
        <f t="shared" ref="J69" si="72">I69*8</f>
        <v>88</v>
      </c>
      <c r="K69" s="65">
        <f t="shared" ref="K69" si="73">H69*I69*2</f>
        <v>9586.02</v>
      </c>
      <c r="L69" s="65"/>
      <c r="M69" s="65"/>
      <c r="N69" s="65"/>
      <c r="O69" s="65"/>
      <c r="P69" s="65"/>
      <c r="Q69" s="65"/>
      <c r="R69" s="65"/>
      <c r="S69" s="65"/>
      <c r="T69" s="65"/>
      <c r="U69" s="65"/>
      <c r="V69" s="65">
        <v>125</v>
      </c>
      <c r="W69" s="65"/>
      <c r="X69" s="65"/>
      <c r="Y69" s="65"/>
      <c r="Z69" s="65"/>
      <c r="AA69" s="65"/>
      <c r="AB69" s="65"/>
      <c r="AC69" s="65">
        <v>100</v>
      </c>
      <c r="AD69" s="65">
        <v>112.5</v>
      </c>
      <c r="AE69" s="65">
        <v>345.2</v>
      </c>
      <c r="AF69" s="65"/>
      <c r="AG69" s="65"/>
      <c r="AH69" s="65"/>
      <c r="AI69" s="65"/>
      <c r="AJ69" s="65">
        <v>8607.3700000000008</v>
      </c>
      <c r="AK69" s="65">
        <v>113665.56</v>
      </c>
    </row>
    <row r="70" spans="2:37" ht="12.75" customHeight="1">
      <c r="B70" s="5">
        <v>56</v>
      </c>
      <c r="C70" s="60" t="s">
        <v>282</v>
      </c>
      <c r="D70" s="60" t="s">
        <v>261</v>
      </c>
      <c r="E70" s="60" t="s">
        <v>711</v>
      </c>
      <c r="F70" s="66" t="s">
        <v>687</v>
      </c>
      <c r="G70" s="82" t="s">
        <v>688</v>
      </c>
      <c r="H70" s="65">
        <v>435.73</v>
      </c>
      <c r="I70" s="65">
        <v>11</v>
      </c>
      <c r="J70" s="65">
        <f t="shared" ref="J70" si="74">I70*8</f>
        <v>88</v>
      </c>
      <c r="K70" s="65">
        <f t="shared" ref="K70" si="75">H70*I70*2</f>
        <v>9586.0600000000013</v>
      </c>
      <c r="L70" s="65"/>
      <c r="M70" s="65"/>
      <c r="N70" s="65"/>
      <c r="O70" s="65"/>
      <c r="P70" s="65"/>
      <c r="Q70" s="65"/>
      <c r="R70" s="65"/>
      <c r="S70" s="65"/>
      <c r="T70" s="65"/>
      <c r="U70" s="65"/>
      <c r="V70" s="65">
        <v>125</v>
      </c>
      <c r="W70" s="65"/>
      <c r="X70" s="65"/>
      <c r="Y70" s="65"/>
      <c r="Z70" s="65"/>
      <c r="AA70" s="65"/>
      <c r="AB70" s="65"/>
      <c r="AC70" s="65">
        <v>100</v>
      </c>
      <c r="AD70" s="65">
        <v>112.5</v>
      </c>
      <c r="AE70" s="65">
        <v>345.2</v>
      </c>
      <c r="AF70" s="65"/>
      <c r="AG70" s="65"/>
      <c r="AH70" s="65"/>
      <c r="AI70" s="65"/>
      <c r="AJ70" s="65">
        <v>8966.49</v>
      </c>
      <c r="AK70" s="65">
        <v>113665.56</v>
      </c>
    </row>
    <row r="71" spans="2:37" ht="12.75" customHeight="1">
      <c r="B71" s="5">
        <v>57</v>
      </c>
      <c r="C71" s="60" t="s">
        <v>283</v>
      </c>
      <c r="D71" s="60" t="s">
        <v>261</v>
      </c>
      <c r="E71" s="60" t="s">
        <v>711</v>
      </c>
      <c r="F71" s="66" t="s">
        <v>687</v>
      </c>
      <c r="G71" s="82" t="s">
        <v>688</v>
      </c>
      <c r="H71" s="65">
        <v>435.73</v>
      </c>
      <c r="I71" s="65">
        <v>11</v>
      </c>
      <c r="J71" s="65">
        <f t="shared" ref="J71" si="76">I71*8</f>
        <v>88</v>
      </c>
      <c r="K71" s="65">
        <f t="shared" ref="K71" si="77">H71*I71*2</f>
        <v>9586.0600000000013</v>
      </c>
      <c r="L71" s="65"/>
      <c r="M71" s="65"/>
      <c r="N71" s="65"/>
      <c r="O71" s="65"/>
      <c r="P71" s="65"/>
      <c r="Q71" s="65"/>
      <c r="R71" s="65"/>
      <c r="S71" s="65"/>
      <c r="T71" s="65"/>
      <c r="U71" s="65"/>
      <c r="V71" s="65">
        <v>125</v>
      </c>
      <c r="W71" s="65"/>
      <c r="X71" s="65"/>
      <c r="Y71" s="65"/>
      <c r="Z71" s="65"/>
      <c r="AA71" s="65"/>
      <c r="AB71" s="65"/>
      <c r="AC71" s="65">
        <v>100</v>
      </c>
      <c r="AD71" s="65">
        <v>112.5</v>
      </c>
      <c r="AE71" s="65">
        <v>345.2</v>
      </c>
      <c r="AF71" s="65"/>
      <c r="AG71" s="65"/>
      <c r="AH71" s="65"/>
      <c r="AI71" s="65"/>
      <c r="AJ71" s="65">
        <v>8472.5499999999993</v>
      </c>
      <c r="AK71" s="65">
        <v>113665.68</v>
      </c>
    </row>
    <row r="72" spans="2:37" ht="12.75" customHeight="1">
      <c r="B72" s="5">
        <v>58</v>
      </c>
      <c r="C72" s="60" t="s">
        <v>284</v>
      </c>
      <c r="D72" s="60" t="s">
        <v>261</v>
      </c>
      <c r="E72" s="60" t="s">
        <v>711</v>
      </c>
      <c r="F72" s="66" t="s">
        <v>687</v>
      </c>
      <c r="G72" s="82" t="s">
        <v>688</v>
      </c>
      <c r="H72" s="65">
        <v>435.73</v>
      </c>
      <c r="I72" s="65">
        <v>11</v>
      </c>
      <c r="J72" s="65">
        <f t="shared" ref="J72" si="78">I72*8</f>
        <v>88</v>
      </c>
      <c r="K72" s="65">
        <f t="shared" ref="K72" si="79">H72*I72*2</f>
        <v>9586.0600000000013</v>
      </c>
      <c r="L72" s="65"/>
      <c r="M72" s="65"/>
      <c r="N72" s="65"/>
      <c r="O72" s="65"/>
      <c r="P72" s="65"/>
      <c r="Q72" s="65"/>
      <c r="R72" s="65"/>
      <c r="S72" s="65"/>
      <c r="T72" s="65"/>
      <c r="U72" s="65"/>
      <c r="V72" s="65">
        <v>125</v>
      </c>
      <c r="W72" s="65"/>
      <c r="X72" s="65"/>
      <c r="Y72" s="65"/>
      <c r="Z72" s="65"/>
      <c r="AA72" s="65"/>
      <c r="AB72" s="65"/>
      <c r="AC72" s="65">
        <v>100</v>
      </c>
      <c r="AD72" s="65">
        <v>112.5</v>
      </c>
      <c r="AE72" s="65">
        <v>345.2</v>
      </c>
      <c r="AF72" s="65"/>
      <c r="AG72" s="65"/>
      <c r="AH72" s="65"/>
      <c r="AI72" s="65"/>
      <c r="AJ72" s="65">
        <v>9283.84</v>
      </c>
      <c r="AK72" s="65">
        <v>113665.56</v>
      </c>
    </row>
    <row r="73" spans="2:37" ht="12.75" customHeight="1">
      <c r="B73" s="5">
        <v>59</v>
      </c>
      <c r="C73" s="60" t="s">
        <v>285</v>
      </c>
      <c r="D73" s="60" t="s">
        <v>261</v>
      </c>
      <c r="E73" s="60" t="s">
        <v>711</v>
      </c>
      <c r="F73" s="66" t="s">
        <v>687</v>
      </c>
      <c r="G73" s="82" t="s">
        <v>688</v>
      </c>
      <c r="H73" s="65">
        <f>4729.11/11</f>
        <v>429.91909090909087</v>
      </c>
      <c r="I73" s="65">
        <v>11</v>
      </c>
      <c r="J73" s="65">
        <f t="shared" ref="J73" si="80">I73*8</f>
        <v>88</v>
      </c>
      <c r="K73" s="65">
        <f t="shared" ref="K73" si="81">H73*I73*2</f>
        <v>9458.2199999999993</v>
      </c>
      <c r="L73" s="65"/>
      <c r="M73" s="65"/>
      <c r="N73" s="65"/>
      <c r="O73" s="65"/>
      <c r="P73" s="65"/>
      <c r="Q73" s="65"/>
      <c r="R73" s="65"/>
      <c r="S73" s="65"/>
      <c r="T73" s="65"/>
      <c r="U73" s="65"/>
      <c r="V73" s="65">
        <v>125</v>
      </c>
      <c r="W73" s="65"/>
      <c r="X73" s="65"/>
      <c r="Y73" s="65"/>
      <c r="Z73" s="65"/>
      <c r="AA73" s="65"/>
      <c r="AB73" s="65"/>
      <c r="AC73" s="65">
        <v>100</v>
      </c>
      <c r="AD73" s="65">
        <v>112.5</v>
      </c>
      <c r="AE73" s="65">
        <v>345.2</v>
      </c>
      <c r="AF73" s="65"/>
      <c r="AG73" s="65"/>
      <c r="AH73" s="65"/>
      <c r="AI73" s="65"/>
      <c r="AJ73" s="65">
        <v>1576.37</v>
      </c>
      <c r="AK73" s="65">
        <v>18916.419999999998</v>
      </c>
    </row>
    <row r="74" spans="2:37" ht="12.75" customHeight="1">
      <c r="B74" s="5">
        <v>60</v>
      </c>
      <c r="C74" s="60" t="s">
        <v>286</v>
      </c>
      <c r="D74" s="60" t="s">
        <v>261</v>
      </c>
      <c r="E74" s="60" t="s">
        <v>711</v>
      </c>
      <c r="F74" s="66" t="s">
        <v>687</v>
      </c>
      <c r="G74" s="82" t="s">
        <v>688</v>
      </c>
      <c r="H74" s="65">
        <v>429.92</v>
      </c>
      <c r="I74" s="65">
        <v>11</v>
      </c>
      <c r="J74" s="65">
        <f t="shared" ref="J74" si="82">I74*8</f>
        <v>88</v>
      </c>
      <c r="K74" s="65">
        <f t="shared" ref="K74" si="83">H74*I74*2</f>
        <v>9458.24</v>
      </c>
      <c r="L74" s="65"/>
      <c r="M74" s="65"/>
      <c r="N74" s="65"/>
      <c r="O74" s="65"/>
      <c r="P74" s="65"/>
      <c r="Q74" s="65"/>
      <c r="R74" s="65"/>
      <c r="S74" s="65"/>
      <c r="T74" s="65"/>
      <c r="U74" s="65"/>
      <c r="V74" s="65">
        <v>125</v>
      </c>
      <c r="W74" s="65"/>
      <c r="X74" s="65"/>
      <c r="Y74" s="65"/>
      <c r="Z74" s="65"/>
      <c r="AA74" s="65"/>
      <c r="AB74" s="65"/>
      <c r="AC74" s="65">
        <v>100</v>
      </c>
      <c r="AD74" s="65">
        <v>112.5</v>
      </c>
      <c r="AE74" s="65">
        <v>345.2</v>
      </c>
      <c r="AF74" s="65"/>
      <c r="AG74" s="65"/>
      <c r="AH74" s="65"/>
      <c r="AI74" s="65"/>
      <c r="AJ74" s="65">
        <v>6926.39</v>
      </c>
      <c r="AK74" s="65">
        <v>84661.8</v>
      </c>
    </row>
    <row r="75" spans="2:37" ht="12.75" customHeight="1">
      <c r="B75" s="5">
        <v>61</v>
      </c>
      <c r="C75" s="60" t="s">
        <v>329</v>
      </c>
      <c r="D75" s="60" t="s">
        <v>695</v>
      </c>
      <c r="E75" s="60" t="s">
        <v>712</v>
      </c>
      <c r="F75" s="66" t="s">
        <v>689</v>
      </c>
      <c r="G75" s="82" t="s">
        <v>690</v>
      </c>
      <c r="H75" s="65">
        <v>529.62</v>
      </c>
      <c r="I75" s="65">
        <v>13</v>
      </c>
      <c r="J75" s="65">
        <f t="shared" ref="J75" si="84">I75*8</f>
        <v>104</v>
      </c>
      <c r="K75" s="65">
        <f t="shared" ref="K75" si="85">H75*I75*2</f>
        <v>13770.12</v>
      </c>
      <c r="L75" s="65"/>
      <c r="M75" s="65"/>
      <c r="N75" s="65"/>
      <c r="O75" s="65"/>
      <c r="P75" s="65"/>
      <c r="Q75" s="65"/>
      <c r="R75" s="65"/>
      <c r="S75" s="65"/>
      <c r="T75" s="65"/>
      <c r="U75" s="65"/>
      <c r="V75" s="65"/>
      <c r="W75" s="65"/>
      <c r="X75" s="65"/>
      <c r="Y75" s="65"/>
      <c r="Z75" s="65"/>
      <c r="AA75" s="65"/>
      <c r="AB75" s="65"/>
      <c r="AC75" s="65">
        <v>0</v>
      </c>
      <c r="AD75" s="65">
        <v>0</v>
      </c>
      <c r="AE75" s="65">
        <v>0</v>
      </c>
      <c r="AF75" s="65"/>
      <c r="AG75" s="65"/>
      <c r="AH75" s="65"/>
      <c r="AI75" s="65"/>
      <c r="AJ75" s="65">
        <v>13558.8</v>
      </c>
      <c r="AK75" s="65">
        <v>165240</v>
      </c>
    </row>
    <row r="76" spans="2:37" ht="12.75" customHeight="1">
      <c r="B76" s="5">
        <v>62</v>
      </c>
      <c r="C76" s="60" t="s">
        <v>327</v>
      </c>
      <c r="D76" s="60" t="s">
        <v>328</v>
      </c>
      <c r="E76" s="60" t="s">
        <v>713</v>
      </c>
      <c r="F76" s="66" t="s">
        <v>687</v>
      </c>
      <c r="G76" s="82" t="s">
        <v>688</v>
      </c>
      <c r="H76" s="65">
        <f>8750/11</f>
        <v>795.4545454545455</v>
      </c>
      <c r="I76" s="65">
        <v>11</v>
      </c>
      <c r="J76" s="65">
        <f t="shared" ref="J76" si="86">I76*8</f>
        <v>88</v>
      </c>
      <c r="K76" s="65">
        <f t="shared" ref="K76" si="87">H76*I76*2</f>
        <v>17500</v>
      </c>
      <c r="L76" s="65"/>
      <c r="M76" s="65"/>
      <c r="N76" s="65"/>
      <c r="O76" s="65"/>
      <c r="P76" s="65"/>
      <c r="Q76" s="65"/>
      <c r="R76" s="65"/>
      <c r="S76" s="65"/>
      <c r="T76" s="65"/>
      <c r="U76" s="65"/>
      <c r="V76" s="65"/>
      <c r="W76" s="65"/>
      <c r="X76" s="65"/>
      <c r="Y76" s="65"/>
      <c r="Z76" s="65"/>
      <c r="AA76" s="65">
        <v>698</v>
      </c>
      <c r="AB76" s="65"/>
      <c r="AC76" s="65">
        <v>100</v>
      </c>
      <c r="AD76" s="65">
        <v>0</v>
      </c>
      <c r="AE76" s="65">
        <v>0</v>
      </c>
      <c r="AF76" s="65"/>
      <c r="AG76" s="65"/>
      <c r="AH76" s="65"/>
      <c r="AI76" s="65"/>
      <c r="AJ76" s="65">
        <v>16974.830000000002</v>
      </c>
      <c r="AK76" s="65">
        <v>191268.2</v>
      </c>
    </row>
    <row r="77" spans="2:37" ht="12.75" customHeight="1">
      <c r="B77" s="5">
        <v>63</v>
      </c>
      <c r="C77" s="60" t="s">
        <v>287</v>
      </c>
      <c r="D77" s="60" t="s">
        <v>288</v>
      </c>
      <c r="E77" s="60" t="s">
        <v>712</v>
      </c>
      <c r="F77" s="66" t="s">
        <v>687</v>
      </c>
      <c r="G77" s="82" t="s">
        <v>688</v>
      </c>
      <c r="H77" s="65">
        <v>380</v>
      </c>
      <c r="I77" s="65">
        <v>13</v>
      </c>
      <c r="J77" s="65">
        <f t="shared" ref="J77" si="88">I77*8</f>
        <v>104</v>
      </c>
      <c r="K77" s="65">
        <f t="shared" ref="K77" si="89">H77*I77*2</f>
        <v>9880</v>
      </c>
      <c r="L77" s="65"/>
      <c r="M77" s="65"/>
      <c r="N77" s="65"/>
      <c r="O77" s="65"/>
      <c r="P77" s="65"/>
      <c r="Q77" s="65"/>
      <c r="R77" s="65"/>
      <c r="S77" s="65"/>
      <c r="T77" s="65"/>
      <c r="U77" s="65"/>
      <c r="V77" s="65"/>
      <c r="W77" s="65"/>
      <c r="X77" s="65"/>
      <c r="Y77" s="65"/>
      <c r="Z77" s="65"/>
      <c r="AA77" s="65"/>
      <c r="AB77" s="65"/>
      <c r="AC77" s="65">
        <v>100</v>
      </c>
      <c r="AD77" s="65">
        <v>112.5</v>
      </c>
      <c r="AE77" s="65">
        <v>363.3</v>
      </c>
      <c r="AF77" s="65"/>
      <c r="AG77" s="65"/>
      <c r="AH77" s="65"/>
      <c r="AI77" s="65"/>
      <c r="AJ77" s="65">
        <v>5238.62</v>
      </c>
      <c r="AK77" s="65">
        <v>64220</v>
      </c>
    </row>
    <row r="78" spans="2:37" ht="12.75" customHeight="1">
      <c r="B78" s="5">
        <v>64</v>
      </c>
      <c r="C78" s="60" t="s">
        <v>289</v>
      </c>
      <c r="D78" s="60" t="s">
        <v>290</v>
      </c>
      <c r="E78" s="60" t="s">
        <v>714</v>
      </c>
      <c r="F78" s="66" t="s">
        <v>687</v>
      </c>
      <c r="G78" s="82" t="s">
        <v>688</v>
      </c>
      <c r="H78" s="65">
        <f>7921.94/11</f>
        <v>720.17636363636359</v>
      </c>
      <c r="I78" s="65">
        <v>11</v>
      </c>
      <c r="J78" s="65">
        <f t="shared" ref="J78" si="90">I78*8</f>
        <v>88</v>
      </c>
      <c r="K78" s="65">
        <f t="shared" ref="K78" si="91">H78*I78*2</f>
        <v>15843.88</v>
      </c>
      <c r="L78" s="65"/>
      <c r="M78" s="65"/>
      <c r="N78" s="65"/>
      <c r="O78" s="65"/>
      <c r="P78" s="65"/>
      <c r="Q78" s="65"/>
      <c r="R78" s="65"/>
      <c r="S78" s="65"/>
      <c r="T78" s="65"/>
      <c r="U78" s="65"/>
      <c r="V78" s="65"/>
      <c r="W78" s="65"/>
      <c r="X78" s="65"/>
      <c r="Y78" s="65"/>
      <c r="Z78" s="65"/>
      <c r="AA78" s="65">
        <v>545</v>
      </c>
      <c r="AB78" s="65"/>
      <c r="AC78" s="65">
        <v>100</v>
      </c>
      <c r="AD78" s="65">
        <v>187.5</v>
      </c>
      <c r="AE78" s="65">
        <v>581.29999999999995</v>
      </c>
      <c r="AF78" s="65"/>
      <c r="AG78" s="65"/>
      <c r="AH78" s="65"/>
      <c r="AI78" s="65"/>
      <c r="AJ78" s="65">
        <v>14468.34</v>
      </c>
      <c r="AK78" s="65">
        <v>181484.67</v>
      </c>
    </row>
    <row r="79" spans="2:37" ht="12.75" customHeight="1">
      <c r="B79" s="5">
        <v>65</v>
      </c>
      <c r="C79" s="60" t="s">
        <v>291</v>
      </c>
      <c r="D79" s="60" t="s">
        <v>290</v>
      </c>
      <c r="E79" s="60" t="s">
        <v>714</v>
      </c>
      <c r="F79" s="66" t="s">
        <v>687</v>
      </c>
      <c r="G79" s="82" t="s">
        <v>688</v>
      </c>
      <c r="H79" s="65">
        <f>4721.49/11</f>
        <v>429.2263636363636</v>
      </c>
      <c r="I79" s="65">
        <v>11</v>
      </c>
      <c r="J79" s="65">
        <f t="shared" ref="J79" si="92">I79*8</f>
        <v>88</v>
      </c>
      <c r="K79" s="65">
        <f t="shared" ref="K79" si="93">H79*I79*2</f>
        <v>9442.98</v>
      </c>
      <c r="L79" s="65"/>
      <c r="M79" s="65"/>
      <c r="N79" s="65"/>
      <c r="O79" s="65"/>
      <c r="P79" s="65"/>
      <c r="Q79" s="65"/>
      <c r="R79" s="65"/>
      <c r="S79" s="65"/>
      <c r="T79" s="65"/>
      <c r="U79" s="65"/>
      <c r="V79" s="65"/>
      <c r="W79" s="65"/>
      <c r="X79" s="65"/>
      <c r="Y79" s="65"/>
      <c r="Z79" s="65"/>
      <c r="AA79" s="65"/>
      <c r="AB79" s="65"/>
      <c r="AC79" s="65">
        <v>100</v>
      </c>
      <c r="AD79" s="65">
        <v>112.5</v>
      </c>
      <c r="AE79" s="65">
        <v>345.2</v>
      </c>
      <c r="AF79" s="65"/>
      <c r="AG79" s="65"/>
      <c r="AH79" s="65"/>
      <c r="AI79" s="65"/>
      <c r="AJ79" s="65">
        <v>6933.69</v>
      </c>
      <c r="AK79" s="65">
        <v>84523.94</v>
      </c>
    </row>
    <row r="80" spans="2:37" ht="12.75" customHeight="1">
      <c r="B80" s="5">
        <v>66</v>
      </c>
      <c r="C80" s="60" t="s">
        <v>292</v>
      </c>
      <c r="D80" s="60" t="s">
        <v>290</v>
      </c>
      <c r="E80" s="60" t="s">
        <v>714</v>
      </c>
      <c r="F80" s="66" t="s">
        <v>687</v>
      </c>
      <c r="G80" s="82" t="s">
        <v>688</v>
      </c>
      <c r="H80" s="65">
        <v>429.23</v>
      </c>
      <c r="I80" s="65">
        <v>11</v>
      </c>
      <c r="J80" s="65">
        <f t="shared" ref="J80" si="94">I80*8</f>
        <v>88</v>
      </c>
      <c r="K80" s="65">
        <f t="shared" ref="K80" si="95">H80*I80*2</f>
        <v>9443.0600000000013</v>
      </c>
      <c r="L80" s="65"/>
      <c r="M80" s="65"/>
      <c r="N80" s="65"/>
      <c r="O80" s="65"/>
      <c r="P80" s="65"/>
      <c r="Q80" s="65"/>
      <c r="R80" s="65"/>
      <c r="S80" s="65"/>
      <c r="T80" s="65"/>
      <c r="U80" s="65"/>
      <c r="V80" s="65"/>
      <c r="W80" s="65"/>
      <c r="X80" s="65"/>
      <c r="Y80" s="65"/>
      <c r="Z80" s="65"/>
      <c r="AA80" s="65"/>
      <c r="AB80" s="65"/>
      <c r="AC80" s="65">
        <v>100</v>
      </c>
      <c r="AD80" s="65">
        <v>112.5</v>
      </c>
      <c r="AE80" s="65">
        <v>345.2</v>
      </c>
      <c r="AF80" s="65"/>
      <c r="AG80" s="65"/>
      <c r="AH80" s="65"/>
      <c r="AI80" s="65"/>
      <c r="AJ80" s="65">
        <v>9323.49</v>
      </c>
      <c r="AK80" s="65">
        <v>111927.11</v>
      </c>
    </row>
    <row r="81" spans="2:37" ht="12.75" customHeight="1">
      <c r="B81" s="5">
        <v>67</v>
      </c>
      <c r="C81" s="60" t="s">
        <v>293</v>
      </c>
      <c r="D81" s="60" t="s">
        <v>290</v>
      </c>
      <c r="E81" s="60" t="s">
        <v>714</v>
      </c>
      <c r="F81" s="66" t="s">
        <v>687</v>
      </c>
      <c r="G81" s="82" t="s">
        <v>688</v>
      </c>
      <c r="H81" s="65">
        <f>4567.2/11</f>
        <v>415.2</v>
      </c>
      <c r="I81" s="65">
        <v>11</v>
      </c>
      <c r="J81" s="65">
        <f t="shared" ref="J81" si="96">I81*8</f>
        <v>88</v>
      </c>
      <c r="K81" s="65">
        <f t="shared" ref="K81" si="97">H81*I81*2</f>
        <v>9134.4</v>
      </c>
      <c r="L81" s="65"/>
      <c r="M81" s="65"/>
      <c r="N81" s="65"/>
      <c r="O81" s="65"/>
      <c r="P81" s="65"/>
      <c r="Q81" s="65"/>
      <c r="R81" s="65"/>
      <c r="S81" s="65"/>
      <c r="T81" s="65"/>
      <c r="U81" s="65"/>
      <c r="V81" s="65"/>
      <c r="W81" s="65"/>
      <c r="X81" s="65"/>
      <c r="Y81" s="65"/>
      <c r="Z81" s="65"/>
      <c r="AA81" s="65"/>
      <c r="AB81" s="65"/>
      <c r="AC81" s="65">
        <v>100</v>
      </c>
      <c r="AD81" s="65">
        <v>112.5</v>
      </c>
      <c r="AE81" s="65">
        <v>327</v>
      </c>
      <c r="AF81" s="65"/>
      <c r="AG81" s="65"/>
      <c r="AH81" s="65"/>
      <c r="AI81" s="65"/>
      <c r="AJ81" s="65">
        <v>2283.6</v>
      </c>
      <c r="AK81" s="65">
        <v>27403.17</v>
      </c>
    </row>
    <row r="82" spans="2:37" ht="12.75" customHeight="1">
      <c r="B82" s="5">
        <v>68</v>
      </c>
      <c r="C82" s="60" t="s">
        <v>294</v>
      </c>
      <c r="D82" s="60" t="s">
        <v>290</v>
      </c>
      <c r="E82" s="60" t="s">
        <v>714</v>
      </c>
      <c r="F82" s="66" t="s">
        <v>687</v>
      </c>
      <c r="G82" s="82" t="s">
        <v>688</v>
      </c>
      <c r="H82" s="65">
        <v>429.23</v>
      </c>
      <c r="I82" s="65">
        <v>11</v>
      </c>
      <c r="J82" s="65">
        <f t="shared" ref="J82" si="98">I82*8</f>
        <v>88</v>
      </c>
      <c r="K82" s="65">
        <f t="shared" ref="K82" si="99">H82*I82*2</f>
        <v>9443.0600000000013</v>
      </c>
      <c r="L82" s="65"/>
      <c r="M82" s="65"/>
      <c r="N82" s="65"/>
      <c r="O82" s="65"/>
      <c r="P82" s="65"/>
      <c r="Q82" s="65"/>
      <c r="R82" s="65"/>
      <c r="S82" s="65"/>
      <c r="T82" s="65"/>
      <c r="U82" s="65"/>
      <c r="V82" s="65"/>
      <c r="W82" s="65"/>
      <c r="X82" s="65"/>
      <c r="Y82" s="65"/>
      <c r="Z82" s="65"/>
      <c r="AA82" s="65"/>
      <c r="AB82" s="65"/>
      <c r="AC82" s="65">
        <v>100</v>
      </c>
      <c r="AD82" s="65">
        <v>112.5</v>
      </c>
      <c r="AE82" s="65">
        <v>345.2</v>
      </c>
      <c r="AF82" s="65"/>
      <c r="AG82" s="65"/>
      <c r="AH82" s="65"/>
      <c r="AI82" s="65"/>
      <c r="AJ82" s="65">
        <v>6665.06</v>
      </c>
      <c r="AK82" s="65">
        <v>79956.740000000005</v>
      </c>
    </row>
    <row r="83" spans="2:37" ht="12.75" customHeight="1">
      <c r="B83" s="5">
        <v>69</v>
      </c>
      <c r="C83" s="60" t="s">
        <v>295</v>
      </c>
      <c r="D83" s="60" t="s">
        <v>290</v>
      </c>
      <c r="E83" s="60" t="s">
        <v>714</v>
      </c>
      <c r="F83" s="66" t="s">
        <v>687</v>
      </c>
      <c r="G83" s="82" t="s">
        <v>688</v>
      </c>
      <c r="H83" s="65">
        <f>4903.28/11</f>
        <v>445.75272727272727</v>
      </c>
      <c r="I83" s="65">
        <v>11</v>
      </c>
      <c r="J83" s="65">
        <f t="shared" ref="J83:J132" si="100">I83*8</f>
        <v>88</v>
      </c>
      <c r="K83" s="65">
        <f t="shared" ref="K83" si="101">H83*I83*2</f>
        <v>9806.56</v>
      </c>
      <c r="L83" s="65"/>
      <c r="M83" s="65"/>
      <c r="N83" s="65"/>
      <c r="O83" s="65"/>
      <c r="P83" s="65"/>
      <c r="Q83" s="65"/>
      <c r="R83" s="65"/>
      <c r="S83" s="65"/>
      <c r="T83" s="65"/>
      <c r="U83" s="65"/>
      <c r="V83" s="65"/>
      <c r="W83" s="65"/>
      <c r="X83" s="65"/>
      <c r="Y83" s="65"/>
      <c r="Z83" s="65"/>
      <c r="AA83" s="65">
        <v>545</v>
      </c>
      <c r="AB83" s="65"/>
      <c r="AC83" s="65">
        <v>100</v>
      </c>
      <c r="AD83" s="65">
        <v>112.5</v>
      </c>
      <c r="AE83" s="65">
        <v>363.3</v>
      </c>
      <c r="AF83" s="65"/>
      <c r="AG83" s="65"/>
      <c r="AH83" s="65"/>
      <c r="AI83" s="65"/>
      <c r="AJ83" s="65">
        <v>9606.59</v>
      </c>
      <c r="AK83" s="65">
        <v>116344.92</v>
      </c>
    </row>
    <row r="84" spans="2:37" ht="12.75" customHeight="1">
      <c r="B84" s="5">
        <v>70</v>
      </c>
      <c r="C84" s="60" t="s">
        <v>296</v>
      </c>
      <c r="D84" s="60" t="s">
        <v>297</v>
      </c>
      <c r="E84" s="60" t="s">
        <v>714</v>
      </c>
      <c r="F84" s="66" t="s">
        <v>687</v>
      </c>
      <c r="G84" s="82" t="s">
        <v>688</v>
      </c>
      <c r="H84" s="65">
        <f>9773.47/11</f>
        <v>888.49727272727262</v>
      </c>
      <c r="I84" s="65">
        <v>11</v>
      </c>
      <c r="J84" s="65">
        <f t="shared" si="100"/>
        <v>88</v>
      </c>
      <c r="K84" s="65">
        <f t="shared" ref="K84" si="102">H84*I84*2</f>
        <v>19546.939999999999</v>
      </c>
      <c r="L84" s="65"/>
      <c r="M84" s="65"/>
      <c r="N84" s="65"/>
      <c r="O84" s="65"/>
      <c r="P84" s="65"/>
      <c r="Q84" s="65"/>
      <c r="R84" s="65"/>
      <c r="S84" s="65"/>
      <c r="T84" s="65"/>
      <c r="U84" s="65"/>
      <c r="V84" s="65"/>
      <c r="W84" s="65"/>
      <c r="X84" s="65"/>
      <c r="Y84" s="65"/>
      <c r="Z84" s="65"/>
      <c r="AA84" s="65">
        <v>835</v>
      </c>
      <c r="AB84" s="65"/>
      <c r="AC84" s="65">
        <v>100</v>
      </c>
      <c r="AD84" s="65">
        <v>237.5</v>
      </c>
      <c r="AE84" s="65">
        <v>581.29999999999995</v>
      </c>
      <c r="AF84" s="65"/>
      <c r="AG84" s="65"/>
      <c r="AH84" s="65"/>
      <c r="AI84" s="65"/>
      <c r="AJ84" s="65">
        <v>19459.64</v>
      </c>
      <c r="AK84" s="65">
        <v>233909.35</v>
      </c>
    </row>
    <row r="85" spans="2:37" ht="12.75" customHeight="1">
      <c r="B85" s="5">
        <v>71</v>
      </c>
      <c r="C85" s="60" t="s">
        <v>298</v>
      </c>
      <c r="D85" s="60" t="s">
        <v>290</v>
      </c>
      <c r="E85" s="60" t="s">
        <v>714</v>
      </c>
      <c r="F85" s="66" t="s">
        <v>687</v>
      </c>
      <c r="G85" s="82" t="s">
        <v>688</v>
      </c>
      <c r="H85" s="65">
        <f>4567.2/11</f>
        <v>415.2</v>
      </c>
      <c r="I85" s="65">
        <v>11</v>
      </c>
      <c r="J85" s="65">
        <f t="shared" si="100"/>
        <v>88</v>
      </c>
      <c r="K85" s="65">
        <f t="shared" ref="K85" si="103">H85*I85*2</f>
        <v>9134.4</v>
      </c>
      <c r="L85" s="65"/>
      <c r="M85" s="65"/>
      <c r="N85" s="65"/>
      <c r="O85" s="65"/>
      <c r="P85" s="65"/>
      <c r="Q85" s="65"/>
      <c r="R85" s="65"/>
      <c r="S85" s="65"/>
      <c r="T85" s="65"/>
      <c r="U85" s="65"/>
      <c r="V85" s="65"/>
      <c r="W85" s="65"/>
      <c r="X85" s="65"/>
      <c r="Y85" s="65"/>
      <c r="Z85" s="65"/>
      <c r="AA85" s="65"/>
      <c r="AB85" s="65"/>
      <c r="AC85" s="65">
        <v>100</v>
      </c>
      <c r="AD85" s="65">
        <v>112.5</v>
      </c>
      <c r="AE85" s="65">
        <v>327</v>
      </c>
      <c r="AF85" s="65"/>
      <c r="AG85" s="65"/>
      <c r="AH85" s="65"/>
      <c r="AI85" s="65"/>
      <c r="AJ85" s="65">
        <v>3044.8</v>
      </c>
      <c r="AK85" s="65">
        <v>36537.56</v>
      </c>
    </row>
    <row r="86" spans="2:37" ht="12.75" customHeight="1">
      <c r="B86" s="5">
        <v>72</v>
      </c>
      <c r="C86" s="60" t="s">
        <v>299</v>
      </c>
      <c r="D86" s="60" t="s">
        <v>300</v>
      </c>
      <c r="E86" s="60" t="s">
        <v>715</v>
      </c>
      <c r="F86" s="66" t="s">
        <v>687</v>
      </c>
      <c r="G86" s="82" t="s">
        <v>688</v>
      </c>
      <c r="H86" s="65">
        <f>4248.51/11</f>
        <v>386.22818181818184</v>
      </c>
      <c r="I86" s="65">
        <v>11</v>
      </c>
      <c r="J86" s="65">
        <f t="shared" si="100"/>
        <v>88</v>
      </c>
      <c r="K86" s="65">
        <f t="shared" ref="K86" si="104">H86*I86*2</f>
        <v>8497.02</v>
      </c>
      <c r="L86" s="65"/>
      <c r="M86" s="65"/>
      <c r="N86" s="65"/>
      <c r="O86" s="65"/>
      <c r="P86" s="65"/>
      <c r="Q86" s="65"/>
      <c r="R86" s="65"/>
      <c r="S86" s="65"/>
      <c r="T86" s="65"/>
      <c r="U86" s="65"/>
      <c r="V86" s="65"/>
      <c r="W86" s="65"/>
      <c r="X86" s="65"/>
      <c r="Y86" s="65"/>
      <c r="Z86" s="65"/>
      <c r="AA86" s="65"/>
      <c r="AB86" s="65"/>
      <c r="AC86" s="65">
        <v>100</v>
      </c>
      <c r="AD86" s="65">
        <v>100</v>
      </c>
      <c r="AE86" s="65">
        <v>308.8</v>
      </c>
      <c r="AF86" s="65"/>
      <c r="AG86" s="65"/>
      <c r="AH86" s="65"/>
      <c r="AI86" s="65"/>
      <c r="AJ86" s="65">
        <v>5450.5</v>
      </c>
      <c r="AK86" s="65">
        <v>67803.17</v>
      </c>
    </row>
    <row r="87" spans="2:37" ht="12.75" customHeight="1">
      <c r="B87" s="5">
        <v>73</v>
      </c>
      <c r="C87" s="60" t="s">
        <v>301</v>
      </c>
      <c r="D87" s="60" t="s">
        <v>300</v>
      </c>
      <c r="E87" s="60" t="s">
        <v>715</v>
      </c>
      <c r="F87" s="66" t="s">
        <v>687</v>
      </c>
      <c r="G87" s="82" t="s">
        <v>688</v>
      </c>
      <c r="H87" s="65">
        <v>386.23</v>
      </c>
      <c r="I87" s="65">
        <v>11</v>
      </c>
      <c r="J87" s="65">
        <f t="shared" si="100"/>
        <v>88</v>
      </c>
      <c r="K87" s="65">
        <f t="shared" ref="K87" si="105">H87*I87*2</f>
        <v>8497.0600000000013</v>
      </c>
      <c r="L87" s="65"/>
      <c r="M87" s="65"/>
      <c r="N87" s="65"/>
      <c r="O87" s="65"/>
      <c r="P87" s="65"/>
      <c r="Q87" s="65"/>
      <c r="R87" s="65"/>
      <c r="S87" s="65"/>
      <c r="T87" s="65"/>
      <c r="U87" s="65"/>
      <c r="V87" s="65"/>
      <c r="W87" s="65"/>
      <c r="X87" s="65"/>
      <c r="Y87" s="65"/>
      <c r="Z87" s="65"/>
      <c r="AA87" s="65"/>
      <c r="AB87" s="65"/>
      <c r="AC87" s="65">
        <v>100</v>
      </c>
      <c r="AD87" s="65">
        <v>100</v>
      </c>
      <c r="AE87" s="65">
        <v>308.8</v>
      </c>
      <c r="AF87" s="65"/>
      <c r="AG87" s="65"/>
      <c r="AH87" s="65"/>
      <c r="AI87" s="65"/>
      <c r="AJ87" s="65">
        <v>6743.64</v>
      </c>
      <c r="AK87" s="65">
        <v>84105.55</v>
      </c>
    </row>
    <row r="88" spans="2:37" ht="12.75" customHeight="1">
      <c r="B88" s="5">
        <v>74</v>
      </c>
      <c r="C88" s="60" t="s">
        <v>302</v>
      </c>
      <c r="D88" s="60" t="s">
        <v>300</v>
      </c>
      <c r="E88" s="60" t="s">
        <v>715</v>
      </c>
      <c r="F88" s="66" t="s">
        <v>687</v>
      </c>
      <c r="G88" s="82" t="s">
        <v>688</v>
      </c>
      <c r="H88" s="65">
        <v>386.23</v>
      </c>
      <c r="I88" s="65">
        <v>11</v>
      </c>
      <c r="J88" s="65">
        <f t="shared" si="100"/>
        <v>88</v>
      </c>
      <c r="K88" s="65">
        <f t="shared" ref="K88" si="106">H88*I88*2</f>
        <v>8497.0600000000013</v>
      </c>
      <c r="L88" s="65"/>
      <c r="M88" s="65"/>
      <c r="N88" s="65"/>
      <c r="O88" s="65"/>
      <c r="P88" s="65"/>
      <c r="Q88" s="65"/>
      <c r="R88" s="65"/>
      <c r="S88" s="65"/>
      <c r="T88" s="65"/>
      <c r="U88" s="65"/>
      <c r="V88" s="65"/>
      <c r="W88" s="65"/>
      <c r="X88" s="65"/>
      <c r="Y88" s="65"/>
      <c r="Z88" s="65"/>
      <c r="AA88" s="65"/>
      <c r="AB88" s="65"/>
      <c r="AC88" s="65">
        <v>100</v>
      </c>
      <c r="AD88" s="65">
        <v>100</v>
      </c>
      <c r="AE88" s="65">
        <v>308.8</v>
      </c>
      <c r="AF88" s="65"/>
      <c r="AG88" s="65"/>
      <c r="AH88" s="65"/>
      <c r="AI88" s="65"/>
      <c r="AJ88" s="65">
        <v>8253.81</v>
      </c>
      <c r="AK88" s="65">
        <v>100407.93</v>
      </c>
    </row>
    <row r="89" spans="2:37" ht="12.75" customHeight="1">
      <c r="B89" s="5">
        <v>75</v>
      </c>
      <c r="C89" s="60" t="s">
        <v>303</v>
      </c>
      <c r="D89" s="60" t="s">
        <v>304</v>
      </c>
      <c r="E89" s="60" t="s">
        <v>715</v>
      </c>
      <c r="F89" s="66" t="s">
        <v>687</v>
      </c>
      <c r="G89" s="82" t="s">
        <v>688</v>
      </c>
      <c r="H89" s="65">
        <f>5181.28/11</f>
        <v>471.02545454545452</v>
      </c>
      <c r="I89" s="65">
        <v>11</v>
      </c>
      <c r="J89" s="65">
        <f t="shared" si="100"/>
        <v>88</v>
      </c>
      <c r="K89" s="65">
        <f t="shared" ref="K89" si="107">H89*I89*2</f>
        <v>10362.56</v>
      </c>
      <c r="L89" s="65"/>
      <c r="M89" s="65"/>
      <c r="N89" s="65"/>
      <c r="O89" s="65"/>
      <c r="P89" s="65"/>
      <c r="Q89" s="65"/>
      <c r="R89" s="65"/>
      <c r="S89" s="65"/>
      <c r="T89" s="65"/>
      <c r="U89" s="65"/>
      <c r="V89" s="65"/>
      <c r="W89" s="65"/>
      <c r="X89" s="65"/>
      <c r="Y89" s="65"/>
      <c r="Z89" s="65"/>
      <c r="AA89" s="65">
        <v>566</v>
      </c>
      <c r="AB89" s="65"/>
      <c r="AC89" s="65">
        <v>100</v>
      </c>
      <c r="AD89" s="65">
        <v>125</v>
      </c>
      <c r="AE89" s="65">
        <v>381.5</v>
      </c>
      <c r="AF89" s="65"/>
      <c r="AG89" s="65"/>
      <c r="AH89" s="65"/>
      <c r="AI89" s="65"/>
      <c r="AJ89" s="65">
        <v>10011.06</v>
      </c>
      <c r="AK89" s="65">
        <v>123092.7</v>
      </c>
    </row>
    <row r="90" spans="2:37" ht="12.75" customHeight="1">
      <c r="B90" s="5">
        <v>76</v>
      </c>
      <c r="C90" s="60" t="s">
        <v>305</v>
      </c>
      <c r="D90" s="60" t="s">
        <v>306</v>
      </c>
      <c r="E90" s="60" t="s">
        <v>715</v>
      </c>
      <c r="F90" s="66" t="s">
        <v>687</v>
      </c>
      <c r="G90" s="82" t="s">
        <v>688</v>
      </c>
      <c r="H90" s="65">
        <f>6817.79/11</f>
        <v>619.79909090909086</v>
      </c>
      <c r="I90" s="65">
        <v>11</v>
      </c>
      <c r="J90" s="65">
        <f t="shared" si="100"/>
        <v>88</v>
      </c>
      <c r="K90" s="65">
        <f t="shared" ref="K90" si="108">H90*I90*2</f>
        <v>13635.579999999998</v>
      </c>
      <c r="L90" s="65"/>
      <c r="M90" s="65"/>
      <c r="N90" s="65"/>
      <c r="O90" s="65"/>
      <c r="P90" s="65"/>
      <c r="Q90" s="65"/>
      <c r="R90" s="65"/>
      <c r="S90" s="65"/>
      <c r="T90" s="65"/>
      <c r="U90" s="65"/>
      <c r="V90" s="65"/>
      <c r="W90" s="65"/>
      <c r="X90" s="65"/>
      <c r="Y90" s="65"/>
      <c r="Z90" s="65"/>
      <c r="AA90" s="65">
        <v>651</v>
      </c>
      <c r="AB90" s="65"/>
      <c r="AC90" s="65">
        <v>100</v>
      </c>
      <c r="AD90" s="65">
        <v>162.5</v>
      </c>
      <c r="AE90" s="65">
        <v>490.5</v>
      </c>
      <c r="AF90" s="65"/>
      <c r="AG90" s="65"/>
      <c r="AH90" s="65"/>
      <c r="AI90" s="65"/>
      <c r="AJ90" s="65">
        <v>13442.85</v>
      </c>
      <c r="AK90" s="65">
        <v>162682.01999999999</v>
      </c>
    </row>
    <row r="91" spans="2:37" ht="12.75" customHeight="1">
      <c r="B91" s="5">
        <v>77</v>
      </c>
      <c r="C91" s="60" t="s">
        <v>307</v>
      </c>
      <c r="D91" s="60" t="s">
        <v>300</v>
      </c>
      <c r="E91" s="60" t="s">
        <v>715</v>
      </c>
      <c r="F91" s="66" t="s">
        <v>687</v>
      </c>
      <c r="G91" s="82" t="s">
        <v>688</v>
      </c>
      <c r="H91" s="65">
        <f>4327.96/11</f>
        <v>393.45090909090908</v>
      </c>
      <c r="I91" s="65">
        <v>11</v>
      </c>
      <c r="J91" s="65">
        <f t="shared" si="100"/>
        <v>88</v>
      </c>
      <c r="K91" s="65">
        <f t="shared" ref="K91" si="109">H91*I91*2</f>
        <v>8655.92</v>
      </c>
      <c r="L91" s="65"/>
      <c r="M91" s="65"/>
      <c r="N91" s="65"/>
      <c r="O91" s="65"/>
      <c r="P91" s="65"/>
      <c r="Q91" s="65"/>
      <c r="R91" s="65"/>
      <c r="S91" s="65"/>
      <c r="T91" s="65"/>
      <c r="U91" s="65"/>
      <c r="V91" s="65"/>
      <c r="W91" s="65"/>
      <c r="X91" s="65"/>
      <c r="Y91" s="65"/>
      <c r="Z91" s="65"/>
      <c r="AA91" s="65"/>
      <c r="AB91" s="65"/>
      <c r="AC91" s="65">
        <v>100</v>
      </c>
      <c r="AD91" s="65">
        <v>100</v>
      </c>
      <c r="AE91" s="65">
        <v>308.8</v>
      </c>
      <c r="AF91" s="65"/>
      <c r="AG91" s="65"/>
      <c r="AH91" s="65"/>
      <c r="AI91" s="65"/>
      <c r="AJ91" s="65">
        <v>8065.1</v>
      </c>
      <c r="AK91" s="65">
        <v>102345.73</v>
      </c>
    </row>
    <row r="92" spans="2:37" ht="12.75" customHeight="1">
      <c r="B92" s="5">
        <v>78</v>
      </c>
      <c r="C92" s="60" t="s">
        <v>308</v>
      </c>
      <c r="D92" s="60" t="s">
        <v>300</v>
      </c>
      <c r="E92" s="60" t="s">
        <v>715</v>
      </c>
      <c r="F92" s="66" t="s">
        <v>687</v>
      </c>
      <c r="G92" s="82" t="s">
        <v>688</v>
      </c>
      <c r="H92" s="65">
        <f>4450.08/11</f>
        <v>404.55272727272728</v>
      </c>
      <c r="I92" s="65">
        <v>11</v>
      </c>
      <c r="J92" s="65">
        <f t="shared" si="100"/>
        <v>88</v>
      </c>
      <c r="K92" s="65">
        <f t="shared" ref="K92" si="110">H92*I92*2</f>
        <v>8900.16</v>
      </c>
      <c r="L92" s="65"/>
      <c r="M92" s="65"/>
      <c r="N92" s="65"/>
      <c r="O92" s="65"/>
      <c r="P92" s="65"/>
      <c r="Q92" s="65"/>
      <c r="R92" s="65"/>
      <c r="S92" s="65"/>
      <c r="T92" s="65"/>
      <c r="U92" s="65"/>
      <c r="V92" s="65"/>
      <c r="W92" s="65"/>
      <c r="X92" s="65"/>
      <c r="Y92" s="65"/>
      <c r="Z92" s="65"/>
      <c r="AA92" s="65">
        <v>566</v>
      </c>
      <c r="AB92" s="65"/>
      <c r="AC92" s="65">
        <v>100</v>
      </c>
      <c r="AD92" s="65">
        <v>100</v>
      </c>
      <c r="AE92" s="65">
        <v>327</v>
      </c>
      <c r="AF92" s="65"/>
      <c r="AG92" s="65"/>
      <c r="AH92" s="65"/>
      <c r="AI92" s="65"/>
      <c r="AJ92" s="65">
        <v>8738.92</v>
      </c>
      <c r="AK92" s="65">
        <v>105322.01</v>
      </c>
    </row>
    <row r="93" spans="2:37" ht="12.75" customHeight="1">
      <c r="B93" s="5">
        <v>79</v>
      </c>
      <c r="C93" s="60" t="s">
        <v>309</v>
      </c>
      <c r="D93" s="60" t="s">
        <v>310</v>
      </c>
      <c r="E93" s="60" t="s">
        <v>715</v>
      </c>
      <c r="F93" s="66" t="s">
        <v>687</v>
      </c>
      <c r="G93" s="82" t="s">
        <v>688</v>
      </c>
      <c r="H93" s="65">
        <f>4180/11</f>
        <v>380</v>
      </c>
      <c r="I93" s="65">
        <v>11</v>
      </c>
      <c r="J93" s="65">
        <f t="shared" si="100"/>
        <v>88</v>
      </c>
      <c r="K93" s="65">
        <f t="shared" ref="K93" si="111">H93*I93*2</f>
        <v>8360</v>
      </c>
      <c r="L93" s="65"/>
      <c r="M93" s="65"/>
      <c r="N93" s="65"/>
      <c r="O93" s="65"/>
      <c r="P93" s="65"/>
      <c r="Q93" s="65"/>
      <c r="R93" s="65"/>
      <c r="S93" s="65"/>
      <c r="T93" s="65"/>
      <c r="U93" s="65"/>
      <c r="V93" s="65"/>
      <c r="W93" s="65"/>
      <c r="X93" s="65"/>
      <c r="Y93" s="65"/>
      <c r="Z93" s="65"/>
      <c r="AA93" s="65"/>
      <c r="AB93" s="65"/>
      <c r="AC93" s="65">
        <v>100</v>
      </c>
      <c r="AD93" s="65">
        <v>100</v>
      </c>
      <c r="AE93" s="65">
        <v>308.8</v>
      </c>
      <c r="AF93" s="65"/>
      <c r="AG93" s="65"/>
      <c r="AH93" s="65"/>
      <c r="AI93" s="65"/>
      <c r="AJ93" s="65">
        <v>7016.83</v>
      </c>
      <c r="AK93" s="65">
        <v>86196</v>
      </c>
    </row>
    <row r="94" spans="2:37" ht="12.75" customHeight="1">
      <c r="B94" s="5">
        <v>80</v>
      </c>
      <c r="C94" s="60" t="s">
        <v>311</v>
      </c>
      <c r="D94" s="60" t="s">
        <v>312</v>
      </c>
      <c r="E94" s="60" t="s">
        <v>716</v>
      </c>
      <c r="F94" s="66" t="s">
        <v>687</v>
      </c>
      <c r="G94" s="82" t="s">
        <v>688</v>
      </c>
      <c r="H94" s="65">
        <f>4450.08/11</f>
        <v>404.55272727272728</v>
      </c>
      <c r="I94" s="65">
        <v>11</v>
      </c>
      <c r="J94" s="65">
        <f t="shared" si="100"/>
        <v>88</v>
      </c>
      <c r="K94" s="65">
        <f t="shared" ref="K94" si="112">H94*I94*2</f>
        <v>8900.16</v>
      </c>
      <c r="L94" s="65"/>
      <c r="M94" s="65"/>
      <c r="N94" s="65"/>
      <c r="O94" s="65"/>
      <c r="P94" s="65"/>
      <c r="Q94" s="65"/>
      <c r="R94" s="65"/>
      <c r="S94" s="65"/>
      <c r="T94" s="65"/>
      <c r="U94" s="65"/>
      <c r="V94" s="65">
        <v>125</v>
      </c>
      <c r="W94" s="65"/>
      <c r="X94" s="65"/>
      <c r="Y94" s="65"/>
      <c r="Z94" s="65"/>
      <c r="AA94" s="65">
        <v>442</v>
      </c>
      <c r="AB94" s="65"/>
      <c r="AC94" s="65">
        <v>100</v>
      </c>
      <c r="AD94" s="65">
        <v>100</v>
      </c>
      <c r="AE94" s="65">
        <v>327</v>
      </c>
      <c r="AF94" s="65"/>
      <c r="AG94" s="65"/>
      <c r="AH94" s="65"/>
      <c r="AI94" s="65"/>
      <c r="AJ94" s="65">
        <v>8540.51</v>
      </c>
      <c r="AK94" s="65">
        <v>105322.01</v>
      </c>
    </row>
    <row r="95" spans="2:37" ht="12.75" customHeight="1">
      <c r="B95" s="5">
        <v>81</v>
      </c>
      <c r="C95" s="60" t="s">
        <v>313</v>
      </c>
      <c r="D95" s="60" t="s">
        <v>314</v>
      </c>
      <c r="E95" s="60" t="s">
        <v>716</v>
      </c>
      <c r="F95" s="66" t="s">
        <v>687</v>
      </c>
      <c r="G95" s="82" t="s">
        <v>688</v>
      </c>
      <c r="H95" s="65">
        <f>5748.71/11</f>
        <v>522.61</v>
      </c>
      <c r="I95" s="65">
        <v>11</v>
      </c>
      <c r="J95" s="65">
        <f t="shared" si="100"/>
        <v>88</v>
      </c>
      <c r="K95" s="65">
        <f t="shared" ref="K95" si="113">H95*I95*2</f>
        <v>11497.42</v>
      </c>
      <c r="L95" s="65"/>
      <c r="M95" s="65"/>
      <c r="N95" s="65"/>
      <c r="O95" s="65"/>
      <c r="P95" s="65"/>
      <c r="Q95" s="65"/>
      <c r="R95" s="65"/>
      <c r="S95" s="65"/>
      <c r="T95" s="65"/>
      <c r="U95" s="65"/>
      <c r="V95" s="65">
        <v>125</v>
      </c>
      <c r="W95" s="65"/>
      <c r="X95" s="65"/>
      <c r="Y95" s="65"/>
      <c r="Z95" s="65"/>
      <c r="AA95" s="65"/>
      <c r="AB95" s="65"/>
      <c r="AC95" s="65">
        <v>100</v>
      </c>
      <c r="AD95" s="65">
        <v>137.5</v>
      </c>
      <c r="AE95" s="65">
        <v>417.8</v>
      </c>
      <c r="AF95" s="65"/>
      <c r="AG95" s="65"/>
      <c r="AH95" s="65"/>
      <c r="AI95" s="65"/>
      <c r="AJ95" s="65">
        <v>9122.5</v>
      </c>
      <c r="AK95" s="65">
        <v>109449.51</v>
      </c>
    </row>
    <row r="96" spans="2:37" ht="12.75" customHeight="1">
      <c r="B96" s="5">
        <v>82</v>
      </c>
      <c r="C96" s="60" t="s">
        <v>315</v>
      </c>
      <c r="D96" s="60" t="s">
        <v>312</v>
      </c>
      <c r="E96" s="60" t="s">
        <v>716</v>
      </c>
      <c r="F96" s="66" t="s">
        <v>687</v>
      </c>
      <c r="G96" s="82" t="s">
        <v>688</v>
      </c>
      <c r="H96" s="65">
        <f>4949.05/11</f>
        <v>449.91363636363639</v>
      </c>
      <c r="I96" s="65">
        <v>11</v>
      </c>
      <c r="J96" s="65">
        <f t="shared" si="100"/>
        <v>88</v>
      </c>
      <c r="K96" s="65">
        <f t="shared" ref="K96" si="114">H96*I96*2</f>
        <v>9898.1</v>
      </c>
      <c r="L96" s="65"/>
      <c r="M96" s="65"/>
      <c r="N96" s="65"/>
      <c r="O96" s="65"/>
      <c r="P96" s="65"/>
      <c r="Q96" s="65"/>
      <c r="R96" s="65"/>
      <c r="S96" s="65"/>
      <c r="T96" s="65"/>
      <c r="U96" s="65"/>
      <c r="V96" s="65">
        <v>125</v>
      </c>
      <c r="W96" s="65"/>
      <c r="X96" s="65"/>
      <c r="Y96" s="65"/>
      <c r="Z96" s="65"/>
      <c r="AA96" s="65"/>
      <c r="AB96" s="65"/>
      <c r="AC96" s="65">
        <v>100</v>
      </c>
      <c r="AD96" s="65">
        <v>112.5</v>
      </c>
      <c r="AE96" s="65">
        <v>363.3</v>
      </c>
      <c r="AF96" s="65"/>
      <c r="AG96" s="65"/>
      <c r="AH96" s="65"/>
      <c r="AI96" s="65"/>
      <c r="AJ96" s="65">
        <v>8397.09</v>
      </c>
      <c r="AK96" s="65">
        <v>107851.89</v>
      </c>
    </row>
    <row r="97" spans="2:37" ht="12.75" customHeight="1">
      <c r="B97" s="5">
        <v>83</v>
      </c>
      <c r="C97" s="60" t="s">
        <v>316</v>
      </c>
      <c r="D97" s="60" t="s">
        <v>312</v>
      </c>
      <c r="E97" s="60" t="s">
        <v>716</v>
      </c>
      <c r="F97" s="66" t="s">
        <v>687</v>
      </c>
      <c r="G97" s="82" t="s">
        <v>688</v>
      </c>
      <c r="H97" s="65">
        <f>4248.51/11</f>
        <v>386.22818181818184</v>
      </c>
      <c r="I97" s="65">
        <v>11</v>
      </c>
      <c r="J97" s="65">
        <f t="shared" si="100"/>
        <v>88</v>
      </c>
      <c r="K97" s="65">
        <f t="shared" ref="K97" si="115">H97*I97*2</f>
        <v>8497.02</v>
      </c>
      <c r="L97" s="65"/>
      <c r="M97" s="65"/>
      <c r="N97" s="65"/>
      <c r="O97" s="65"/>
      <c r="P97" s="65"/>
      <c r="Q97" s="65"/>
      <c r="R97" s="65"/>
      <c r="S97" s="65"/>
      <c r="T97" s="65"/>
      <c r="U97" s="65"/>
      <c r="V97" s="65">
        <v>125</v>
      </c>
      <c r="W97" s="65"/>
      <c r="X97" s="65"/>
      <c r="Y97" s="65"/>
      <c r="Z97" s="65"/>
      <c r="AA97" s="65"/>
      <c r="AB97" s="65"/>
      <c r="AC97" s="65">
        <v>100</v>
      </c>
      <c r="AD97" s="65">
        <v>100</v>
      </c>
      <c r="AE97" s="65">
        <v>308.8</v>
      </c>
      <c r="AF97" s="65"/>
      <c r="AG97" s="65"/>
      <c r="AH97" s="65"/>
      <c r="AI97" s="65"/>
      <c r="AJ97" s="65">
        <v>8102.14</v>
      </c>
      <c r="AK97" s="65">
        <v>100407.93</v>
      </c>
    </row>
    <row r="98" spans="2:37" ht="12.75" customHeight="1">
      <c r="B98" s="5">
        <v>84</v>
      </c>
      <c r="C98" s="60" t="s">
        <v>317</v>
      </c>
      <c r="D98" s="60" t="s">
        <v>318</v>
      </c>
      <c r="E98" s="60" t="s">
        <v>716</v>
      </c>
      <c r="F98" s="66" t="s">
        <v>687</v>
      </c>
      <c r="G98" s="82" t="s">
        <v>688</v>
      </c>
      <c r="H98" s="65">
        <v>380</v>
      </c>
      <c r="I98" s="65">
        <v>11</v>
      </c>
      <c r="J98" s="65">
        <f t="shared" si="100"/>
        <v>88</v>
      </c>
      <c r="K98" s="65">
        <f t="shared" ref="K98" si="116">H98*I98*2</f>
        <v>8360</v>
      </c>
      <c r="L98" s="65"/>
      <c r="M98" s="65"/>
      <c r="N98" s="65"/>
      <c r="O98" s="65"/>
      <c r="P98" s="65"/>
      <c r="Q98" s="65"/>
      <c r="R98" s="65"/>
      <c r="S98" s="65"/>
      <c r="T98" s="65"/>
      <c r="U98" s="65"/>
      <c r="V98" s="65">
        <v>125</v>
      </c>
      <c r="W98" s="65"/>
      <c r="X98" s="65"/>
      <c r="Y98" s="65"/>
      <c r="Z98" s="65"/>
      <c r="AA98" s="65"/>
      <c r="AB98" s="65"/>
      <c r="AC98" s="65">
        <v>100</v>
      </c>
      <c r="AD98" s="65">
        <v>100</v>
      </c>
      <c r="AE98" s="65">
        <v>308.8</v>
      </c>
      <c r="AF98" s="65"/>
      <c r="AG98" s="65"/>
      <c r="AH98" s="65"/>
      <c r="AI98" s="65"/>
      <c r="AJ98" s="65">
        <v>3133.68</v>
      </c>
      <c r="AK98" s="65">
        <v>65648</v>
      </c>
    </row>
    <row r="99" spans="2:37" ht="12.75" customHeight="1">
      <c r="B99" s="5">
        <v>85</v>
      </c>
      <c r="C99" s="60" t="s">
        <v>319</v>
      </c>
      <c r="D99" s="60" t="s">
        <v>320</v>
      </c>
      <c r="E99" s="60" t="s">
        <v>716</v>
      </c>
      <c r="F99" s="66" t="s">
        <v>687</v>
      </c>
      <c r="G99" s="82" t="s">
        <v>688</v>
      </c>
      <c r="H99" s="65">
        <f>5594.42/11</f>
        <v>508.58363636363634</v>
      </c>
      <c r="I99" s="65">
        <v>11</v>
      </c>
      <c r="J99" s="65">
        <f t="shared" si="100"/>
        <v>88</v>
      </c>
      <c r="K99" s="65">
        <f t="shared" ref="K99" si="117">H99*I99*2</f>
        <v>11188.84</v>
      </c>
      <c r="L99" s="65"/>
      <c r="M99" s="65"/>
      <c r="N99" s="65"/>
      <c r="O99" s="65"/>
      <c r="P99" s="65"/>
      <c r="Q99" s="65"/>
      <c r="R99" s="65"/>
      <c r="S99" s="65"/>
      <c r="T99" s="65"/>
      <c r="U99" s="65"/>
      <c r="V99" s="65">
        <v>125</v>
      </c>
      <c r="W99" s="65"/>
      <c r="X99" s="65"/>
      <c r="Y99" s="65"/>
      <c r="Z99" s="65"/>
      <c r="AA99" s="65">
        <v>442</v>
      </c>
      <c r="AB99" s="65"/>
      <c r="AC99" s="65">
        <v>100</v>
      </c>
      <c r="AD99" s="65">
        <v>137.5</v>
      </c>
      <c r="AE99" s="65">
        <v>399.7</v>
      </c>
      <c r="AF99" s="65"/>
      <c r="AG99" s="65"/>
      <c r="AH99" s="65"/>
      <c r="AI99" s="65"/>
      <c r="AJ99" s="65">
        <v>10838.15</v>
      </c>
      <c r="AK99" s="65">
        <v>133105.62</v>
      </c>
    </row>
    <row r="100" spans="2:37" ht="12.75" customHeight="1">
      <c r="B100" s="5">
        <v>86</v>
      </c>
      <c r="C100" s="60" t="s">
        <v>321</v>
      </c>
      <c r="D100" s="60" t="s">
        <v>312</v>
      </c>
      <c r="E100" s="60" t="s">
        <v>716</v>
      </c>
      <c r="F100" s="66" t="s">
        <v>687</v>
      </c>
      <c r="G100" s="82" t="s">
        <v>688</v>
      </c>
      <c r="H100" s="65">
        <f>4248.51/11</f>
        <v>386.22818181818184</v>
      </c>
      <c r="I100" s="65">
        <v>11</v>
      </c>
      <c r="J100" s="65">
        <f t="shared" si="100"/>
        <v>88</v>
      </c>
      <c r="K100" s="65">
        <f t="shared" ref="K100" si="118">H100*I100*2</f>
        <v>8497.02</v>
      </c>
      <c r="L100" s="65"/>
      <c r="M100" s="65"/>
      <c r="N100" s="65"/>
      <c r="O100" s="65"/>
      <c r="P100" s="65"/>
      <c r="Q100" s="65"/>
      <c r="R100" s="65"/>
      <c r="S100" s="65"/>
      <c r="T100" s="65"/>
      <c r="U100" s="65"/>
      <c r="V100" s="65">
        <v>125</v>
      </c>
      <c r="W100" s="65"/>
      <c r="X100" s="65"/>
      <c r="Y100" s="65"/>
      <c r="Z100" s="65"/>
      <c r="AA100" s="65"/>
      <c r="AB100" s="65"/>
      <c r="AC100" s="65">
        <v>100</v>
      </c>
      <c r="AD100" s="65">
        <v>100</v>
      </c>
      <c r="AE100" s="65">
        <v>308.8</v>
      </c>
      <c r="AF100" s="65"/>
      <c r="AG100" s="65"/>
      <c r="AH100" s="65"/>
      <c r="AI100" s="65"/>
      <c r="AJ100" s="65">
        <v>8264.1200000000008</v>
      </c>
      <c r="AK100" s="65">
        <v>100407.93</v>
      </c>
    </row>
    <row r="101" spans="2:37" ht="12.75" customHeight="1">
      <c r="B101" s="5">
        <v>87</v>
      </c>
      <c r="C101" s="60" t="s">
        <v>322</v>
      </c>
      <c r="D101" s="60" t="s">
        <v>312</v>
      </c>
      <c r="E101" s="60" t="s">
        <v>716</v>
      </c>
      <c r="F101" s="66" t="s">
        <v>687</v>
      </c>
      <c r="G101" s="82" t="s">
        <v>688</v>
      </c>
      <c r="H101" s="65">
        <f>4248.51/11</f>
        <v>386.22818181818184</v>
      </c>
      <c r="I101" s="65">
        <v>11</v>
      </c>
      <c r="J101" s="65">
        <f t="shared" si="100"/>
        <v>88</v>
      </c>
      <c r="K101" s="65">
        <f t="shared" ref="K101" si="119">H101*I101*2</f>
        <v>8497.02</v>
      </c>
      <c r="L101" s="65"/>
      <c r="M101" s="65"/>
      <c r="N101" s="65"/>
      <c r="O101" s="65"/>
      <c r="P101" s="65"/>
      <c r="Q101" s="65"/>
      <c r="R101" s="65"/>
      <c r="S101" s="65"/>
      <c r="T101" s="65"/>
      <c r="U101" s="65"/>
      <c r="V101" s="65">
        <v>125</v>
      </c>
      <c r="W101" s="65"/>
      <c r="X101" s="65"/>
      <c r="Y101" s="65"/>
      <c r="Z101" s="65"/>
      <c r="AA101" s="65"/>
      <c r="AB101" s="65"/>
      <c r="AC101" s="65">
        <v>100</v>
      </c>
      <c r="AD101" s="65">
        <v>100</v>
      </c>
      <c r="AE101" s="65">
        <v>308.8</v>
      </c>
      <c r="AF101" s="65"/>
      <c r="AG101" s="65"/>
      <c r="AH101" s="65"/>
      <c r="AI101" s="65"/>
      <c r="AJ101" s="65">
        <v>2124.25</v>
      </c>
      <c r="AK101" s="65">
        <v>25491.03</v>
      </c>
    </row>
    <row r="102" spans="2:37" ht="12.75" customHeight="1">
      <c r="B102" s="5">
        <v>88</v>
      </c>
      <c r="C102" s="60" t="s">
        <v>323</v>
      </c>
      <c r="D102" s="60" t="s">
        <v>324</v>
      </c>
      <c r="E102" s="60" t="s">
        <v>716</v>
      </c>
      <c r="F102" s="66" t="s">
        <v>687</v>
      </c>
      <c r="G102" s="82" t="s">
        <v>688</v>
      </c>
      <c r="H102" s="65">
        <v>380</v>
      </c>
      <c r="I102" s="65">
        <v>11</v>
      </c>
      <c r="J102" s="65">
        <f t="shared" si="100"/>
        <v>88</v>
      </c>
      <c r="K102" s="65">
        <f t="shared" ref="K102" si="120">H102*I102*2</f>
        <v>8360</v>
      </c>
      <c r="L102" s="65"/>
      <c r="M102" s="65"/>
      <c r="N102" s="65"/>
      <c r="O102" s="65"/>
      <c r="P102" s="65"/>
      <c r="Q102" s="65"/>
      <c r="R102" s="65"/>
      <c r="S102" s="65"/>
      <c r="T102" s="65"/>
      <c r="U102" s="65"/>
      <c r="V102" s="65">
        <v>0</v>
      </c>
      <c r="W102" s="65"/>
      <c r="X102" s="65"/>
      <c r="Y102" s="65"/>
      <c r="Z102" s="65"/>
      <c r="AA102" s="65"/>
      <c r="AB102" s="65"/>
      <c r="AC102" s="65">
        <v>100</v>
      </c>
      <c r="AD102" s="65">
        <v>112.5</v>
      </c>
      <c r="AE102" s="65">
        <v>363.3</v>
      </c>
      <c r="AF102" s="65"/>
      <c r="AG102" s="65"/>
      <c r="AH102" s="65"/>
      <c r="AI102" s="65"/>
      <c r="AJ102" s="65">
        <v>9260.23</v>
      </c>
      <c r="AK102" s="65">
        <v>116208</v>
      </c>
    </row>
    <row r="103" spans="2:37" ht="12.75" customHeight="1">
      <c r="B103" s="5">
        <v>89</v>
      </c>
      <c r="C103" s="60" t="s">
        <v>325</v>
      </c>
      <c r="D103" s="60" t="s">
        <v>312</v>
      </c>
      <c r="E103" s="60" t="s">
        <v>716</v>
      </c>
      <c r="F103" s="66" t="s">
        <v>687</v>
      </c>
      <c r="G103" s="82" t="s">
        <v>688</v>
      </c>
      <c r="H103" s="65">
        <f>4248.51/11</f>
        <v>386.22818181818184</v>
      </c>
      <c r="I103" s="65">
        <v>11</v>
      </c>
      <c r="J103" s="65">
        <f t="shared" si="100"/>
        <v>88</v>
      </c>
      <c r="K103" s="65">
        <f t="shared" ref="K103" si="121">H103*I103*2</f>
        <v>8497.02</v>
      </c>
      <c r="L103" s="65"/>
      <c r="M103" s="65"/>
      <c r="N103" s="65"/>
      <c r="O103" s="65"/>
      <c r="P103" s="65"/>
      <c r="Q103" s="65"/>
      <c r="R103" s="65"/>
      <c r="S103" s="65"/>
      <c r="T103" s="65"/>
      <c r="U103" s="65"/>
      <c r="V103" s="65">
        <v>125</v>
      </c>
      <c r="W103" s="65"/>
      <c r="X103" s="65"/>
      <c r="Y103" s="65"/>
      <c r="Z103" s="65"/>
      <c r="AA103" s="65"/>
      <c r="AB103" s="65"/>
      <c r="AC103" s="65">
        <v>100</v>
      </c>
      <c r="AD103" s="65">
        <v>100</v>
      </c>
      <c r="AE103" s="65">
        <v>308.8</v>
      </c>
      <c r="AF103" s="65"/>
      <c r="AG103" s="65"/>
      <c r="AH103" s="65"/>
      <c r="AI103" s="65"/>
      <c r="AJ103" s="65">
        <v>8324.31</v>
      </c>
      <c r="AK103" s="65">
        <v>100407.93</v>
      </c>
    </row>
    <row r="104" spans="2:37" ht="12.75" customHeight="1">
      <c r="B104" s="5">
        <v>90</v>
      </c>
      <c r="C104" s="60" t="s">
        <v>326</v>
      </c>
      <c r="D104" s="60" t="s">
        <v>312</v>
      </c>
      <c r="E104" s="60" t="s">
        <v>716</v>
      </c>
      <c r="F104" s="66" t="s">
        <v>687</v>
      </c>
      <c r="G104" s="82" t="s">
        <v>688</v>
      </c>
      <c r="H104" s="65">
        <f>4450.08/11</f>
        <v>404.55272727272728</v>
      </c>
      <c r="I104" s="65">
        <v>11</v>
      </c>
      <c r="J104" s="65">
        <f t="shared" si="100"/>
        <v>88</v>
      </c>
      <c r="K104" s="65">
        <f t="shared" ref="K104" si="122">H104*I104*2</f>
        <v>8900.16</v>
      </c>
      <c r="L104" s="65"/>
      <c r="M104" s="65"/>
      <c r="N104" s="65"/>
      <c r="O104" s="65"/>
      <c r="P104" s="65"/>
      <c r="Q104" s="65"/>
      <c r="R104" s="65"/>
      <c r="S104" s="65"/>
      <c r="T104" s="65"/>
      <c r="U104" s="65"/>
      <c r="V104" s="65">
        <v>125</v>
      </c>
      <c r="W104" s="65"/>
      <c r="X104" s="65"/>
      <c r="Y104" s="65"/>
      <c r="Z104" s="65"/>
      <c r="AA104" s="65">
        <v>442</v>
      </c>
      <c r="AB104" s="65"/>
      <c r="AC104" s="65">
        <v>100</v>
      </c>
      <c r="AD104" s="65">
        <v>100</v>
      </c>
      <c r="AE104" s="65">
        <v>327</v>
      </c>
      <c r="AF104" s="65"/>
      <c r="AG104" s="65"/>
      <c r="AH104" s="65"/>
      <c r="AI104" s="65"/>
      <c r="AJ104" s="65">
        <v>8532.51</v>
      </c>
      <c r="AK104" s="65">
        <v>105322.01</v>
      </c>
    </row>
    <row r="105" spans="2:37" ht="12.75" customHeight="1">
      <c r="B105" s="5">
        <v>91</v>
      </c>
      <c r="C105" s="60" t="s">
        <v>330</v>
      </c>
      <c r="D105" s="60" t="s">
        <v>331</v>
      </c>
      <c r="E105" s="60" t="s">
        <v>717</v>
      </c>
      <c r="F105" s="66" t="s">
        <v>687</v>
      </c>
      <c r="G105" s="82" t="s">
        <v>688</v>
      </c>
      <c r="H105" s="65">
        <f>5500/13</f>
        <v>423.07692307692309</v>
      </c>
      <c r="I105" s="65">
        <v>13</v>
      </c>
      <c r="J105" s="65">
        <f t="shared" si="100"/>
        <v>104</v>
      </c>
      <c r="K105" s="65">
        <f t="shared" ref="K105" si="123">H105*I105*2</f>
        <v>11000</v>
      </c>
      <c r="L105" s="65"/>
      <c r="M105" s="65"/>
      <c r="N105" s="65"/>
      <c r="O105" s="65"/>
      <c r="P105" s="65"/>
      <c r="Q105" s="65"/>
      <c r="R105" s="65"/>
      <c r="S105" s="65"/>
      <c r="T105" s="65"/>
      <c r="U105" s="65"/>
      <c r="V105" s="65"/>
      <c r="W105" s="65"/>
      <c r="X105" s="65"/>
      <c r="Y105" s="65"/>
      <c r="Z105" s="65"/>
      <c r="AA105" s="65"/>
      <c r="AB105" s="65"/>
      <c r="AC105" s="65">
        <v>100</v>
      </c>
      <c r="AD105" s="65">
        <v>137.5</v>
      </c>
      <c r="AE105" s="65">
        <v>399.7</v>
      </c>
      <c r="AF105" s="65"/>
      <c r="AG105" s="65"/>
      <c r="AH105" s="65"/>
      <c r="AI105" s="65"/>
      <c r="AJ105" s="65">
        <v>5931.89</v>
      </c>
      <c r="AK105" s="65">
        <v>72050</v>
      </c>
    </row>
    <row r="106" spans="2:37" ht="12.75" customHeight="1">
      <c r="B106" s="5">
        <v>92</v>
      </c>
      <c r="C106" s="60" t="s">
        <v>332</v>
      </c>
      <c r="D106" s="60" t="s">
        <v>333</v>
      </c>
      <c r="E106" s="60" t="s">
        <v>717</v>
      </c>
      <c r="F106" s="66" t="s">
        <v>687</v>
      </c>
      <c r="G106" s="82" t="s">
        <v>688</v>
      </c>
      <c r="H106" s="65">
        <f>6586.44/13</f>
        <v>506.64923076923071</v>
      </c>
      <c r="I106" s="65">
        <v>13</v>
      </c>
      <c r="J106" s="65">
        <f t="shared" si="100"/>
        <v>104</v>
      </c>
      <c r="K106" s="65">
        <f t="shared" ref="K106" si="124">H106*I106*2</f>
        <v>13172.88</v>
      </c>
      <c r="L106" s="65"/>
      <c r="M106" s="65"/>
      <c r="N106" s="65"/>
      <c r="O106" s="65"/>
      <c r="P106" s="65"/>
      <c r="Q106" s="65"/>
      <c r="R106" s="65"/>
      <c r="S106" s="65"/>
      <c r="T106" s="65"/>
      <c r="U106" s="65"/>
      <c r="V106" s="65"/>
      <c r="W106" s="65"/>
      <c r="X106" s="65"/>
      <c r="Y106" s="65"/>
      <c r="Z106" s="65"/>
      <c r="AA106" s="65">
        <v>996</v>
      </c>
      <c r="AB106" s="65"/>
      <c r="AC106" s="65">
        <v>100</v>
      </c>
      <c r="AD106" s="65">
        <v>162.5</v>
      </c>
      <c r="AE106" s="65">
        <v>472.3</v>
      </c>
      <c r="AF106" s="65"/>
      <c r="AG106" s="65"/>
      <c r="AH106" s="65"/>
      <c r="AI106" s="65"/>
      <c r="AJ106" s="65">
        <v>13024.24</v>
      </c>
      <c r="AK106" s="65">
        <v>156696.26</v>
      </c>
    </row>
    <row r="107" spans="2:37" ht="12.75" customHeight="1">
      <c r="B107" s="5">
        <v>93</v>
      </c>
      <c r="C107" s="60" t="s">
        <v>334</v>
      </c>
      <c r="D107" s="60" t="s">
        <v>335</v>
      </c>
      <c r="E107" s="60" t="s">
        <v>717</v>
      </c>
      <c r="F107" s="66" t="s">
        <v>687</v>
      </c>
      <c r="G107" s="82" t="s">
        <v>688</v>
      </c>
      <c r="H107" s="65">
        <f>8599.98/13</f>
        <v>661.53692307692302</v>
      </c>
      <c r="I107" s="65">
        <v>13</v>
      </c>
      <c r="J107" s="65">
        <f t="shared" si="100"/>
        <v>104</v>
      </c>
      <c r="K107" s="65">
        <f t="shared" ref="K107" si="125">H107*I107*2</f>
        <v>17199.96</v>
      </c>
      <c r="L107" s="65"/>
      <c r="M107" s="65"/>
      <c r="N107" s="65"/>
      <c r="O107" s="65"/>
      <c r="P107" s="65"/>
      <c r="Q107" s="65"/>
      <c r="R107" s="65"/>
      <c r="S107" s="65"/>
      <c r="T107" s="65"/>
      <c r="U107" s="65"/>
      <c r="V107" s="65"/>
      <c r="W107" s="65"/>
      <c r="X107" s="65"/>
      <c r="Y107" s="65"/>
      <c r="Z107" s="65"/>
      <c r="AA107" s="65">
        <v>698</v>
      </c>
      <c r="AB107" s="65"/>
      <c r="AC107" s="65">
        <v>100</v>
      </c>
      <c r="AD107" s="65">
        <v>212.5</v>
      </c>
      <c r="AE107" s="65">
        <v>581.29999999999995</v>
      </c>
      <c r="AF107" s="65"/>
      <c r="AG107" s="65"/>
      <c r="AH107" s="65"/>
      <c r="AI107" s="65"/>
      <c r="AJ107" s="65">
        <v>17116.66</v>
      </c>
      <c r="AK107" s="65">
        <v>205355.26</v>
      </c>
    </row>
    <row r="108" spans="2:37" ht="12.75" customHeight="1">
      <c r="B108" s="5">
        <v>94</v>
      </c>
      <c r="C108" s="60" t="s">
        <v>336</v>
      </c>
      <c r="D108" s="60" t="s">
        <v>337</v>
      </c>
      <c r="E108" s="60" t="s">
        <v>717</v>
      </c>
      <c r="F108" s="66" t="s">
        <v>687</v>
      </c>
      <c r="G108" s="82" t="s">
        <v>688</v>
      </c>
      <c r="H108" s="65">
        <f>6000/13</f>
        <v>461.53846153846155</v>
      </c>
      <c r="I108" s="65">
        <v>13</v>
      </c>
      <c r="J108" s="65">
        <f t="shared" si="100"/>
        <v>104</v>
      </c>
      <c r="K108" s="65">
        <f t="shared" ref="K108" si="126">H108*I108*2</f>
        <v>12000</v>
      </c>
      <c r="L108" s="65"/>
      <c r="M108" s="65"/>
      <c r="N108" s="65"/>
      <c r="O108" s="65"/>
      <c r="P108" s="65"/>
      <c r="Q108" s="65"/>
      <c r="R108" s="65"/>
      <c r="S108" s="65"/>
      <c r="T108" s="65"/>
      <c r="U108" s="65"/>
      <c r="V108" s="65"/>
      <c r="W108" s="65"/>
      <c r="X108" s="65"/>
      <c r="Y108" s="65"/>
      <c r="Z108" s="65"/>
      <c r="AA108" s="65"/>
      <c r="AB108" s="65"/>
      <c r="AC108" s="65">
        <v>100</v>
      </c>
      <c r="AD108" s="65">
        <v>150</v>
      </c>
      <c r="AE108" s="65">
        <v>436</v>
      </c>
      <c r="AF108" s="65"/>
      <c r="AG108" s="65"/>
      <c r="AH108" s="65"/>
      <c r="AI108" s="65"/>
      <c r="AJ108" s="65">
        <v>5292.21</v>
      </c>
      <c r="AK108" s="65">
        <v>66000</v>
      </c>
    </row>
    <row r="109" spans="2:37" ht="12.75" customHeight="1">
      <c r="B109" s="5">
        <v>95</v>
      </c>
      <c r="C109" s="60" t="s">
        <v>338</v>
      </c>
      <c r="D109" s="60" t="s">
        <v>339</v>
      </c>
      <c r="E109" s="60" t="s">
        <v>717</v>
      </c>
      <c r="F109" s="66" t="s">
        <v>687</v>
      </c>
      <c r="G109" s="82" t="s">
        <v>688</v>
      </c>
      <c r="H109" s="65">
        <f>5777.95/13</f>
        <v>444.4576923076923</v>
      </c>
      <c r="I109" s="65">
        <v>13</v>
      </c>
      <c r="J109" s="65">
        <f t="shared" si="100"/>
        <v>104</v>
      </c>
      <c r="K109" s="65">
        <f t="shared" ref="K109" si="127">H109*I109*2</f>
        <v>11555.9</v>
      </c>
      <c r="L109" s="65"/>
      <c r="M109" s="65"/>
      <c r="N109" s="65"/>
      <c r="O109" s="65"/>
      <c r="P109" s="65"/>
      <c r="Q109" s="65"/>
      <c r="R109" s="65"/>
      <c r="S109" s="65"/>
      <c r="T109" s="65"/>
      <c r="U109" s="65"/>
      <c r="V109" s="65"/>
      <c r="W109" s="65"/>
      <c r="X109" s="65"/>
      <c r="Y109" s="65"/>
      <c r="Z109" s="65"/>
      <c r="AA109" s="65">
        <v>698</v>
      </c>
      <c r="AB109" s="65"/>
      <c r="AC109" s="65">
        <v>100</v>
      </c>
      <c r="AD109" s="65">
        <v>137.5</v>
      </c>
      <c r="AE109" s="65">
        <v>417.8</v>
      </c>
      <c r="AF109" s="65"/>
      <c r="AG109" s="65"/>
      <c r="AH109" s="65"/>
      <c r="AI109" s="65"/>
      <c r="AJ109" s="65">
        <v>11252.87</v>
      </c>
      <c r="AK109" s="65">
        <v>137089.47</v>
      </c>
    </row>
    <row r="110" spans="2:37" ht="12.75" customHeight="1">
      <c r="B110" s="5">
        <v>96</v>
      </c>
      <c r="C110" s="60" t="s">
        <v>340</v>
      </c>
      <c r="D110" s="60" t="s">
        <v>341</v>
      </c>
      <c r="E110" s="60" t="s">
        <v>717</v>
      </c>
      <c r="F110" s="66" t="s">
        <v>687</v>
      </c>
      <c r="G110" s="82" t="s">
        <v>688</v>
      </c>
      <c r="H110" s="65">
        <f>7163.09/13</f>
        <v>551.00692307692304</v>
      </c>
      <c r="I110" s="65">
        <v>13</v>
      </c>
      <c r="J110" s="65">
        <f t="shared" si="100"/>
        <v>104</v>
      </c>
      <c r="K110" s="65">
        <f t="shared" ref="K110" si="128">H110*I110*2</f>
        <v>14326.179999999998</v>
      </c>
      <c r="L110" s="65"/>
      <c r="M110" s="65"/>
      <c r="N110" s="65"/>
      <c r="O110" s="65"/>
      <c r="P110" s="65"/>
      <c r="Q110" s="65"/>
      <c r="R110" s="65"/>
      <c r="S110" s="65"/>
      <c r="T110" s="65"/>
      <c r="U110" s="65"/>
      <c r="V110" s="65"/>
      <c r="W110" s="65"/>
      <c r="X110" s="65"/>
      <c r="Y110" s="65"/>
      <c r="Z110" s="65"/>
      <c r="AA110" s="65"/>
      <c r="AB110" s="65"/>
      <c r="AC110" s="65">
        <v>100</v>
      </c>
      <c r="AD110" s="65">
        <v>175</v>
      </c>
      <c r="AE110" s="65">
        <v>526.79999999999995</v>
      </c>
      <c r="AF110" s="65"/>
      <c r="AG110" s="65"/>
      <c r="AH110" s="65"/>
      <c r="AI110" s="65"/>
      <c r="AJ110" s="65">
        <v>13588.22</v>
      </c>
      <c r="AK110" s="65">
        <v>162998.15</v>
      </c>
    </row>
    <row r="111" spans="2:37" ht="12.75" customHeight="1">
      <c r="B111" s="5">
        <v>97</v>
      </c>
      <c r="C111" s="60" t="s">
        <v>342</v>
      </c>
      <c r="D111" s="60" t="s">
        <v>343</v>
      </c>
      <c r="E111" s="60" t="s">
        <v>717</v>
      </c>
      <c r="F111" s="66" t="s">
        <v>687</v>
      </c>
      <c r="G111" s="82" t="s">
        <v>688</v>
      </c>
      <c r="H111" s="65">
        <f>5468.15/13</f>
        <v>420.62692307692305</v>
      </c>
      <c r="I111" s="65">
        <v>13</v>
      </c>
      <c r="J111" s="65">
        <f t="shared" si="100"/>
        <v>104</v>
      </c>
      <c r="K111" s="65">
        <f t="shared" ref="K111" si="129">H111*I111*2</f>
        <v>10936.3</v>
      </c>
      <c r="L111" s="65"/>
      <c r="M111" s="65"/>
      <c r="N111" s="65"/>
      <c r="O111" s="65"/>
      <c r="P111" s="65"/>
      <c r="Q111" s="65"/>
      <c r="R111" s="65"/>
      <c r="S111" s="65"/>
      <c r="T111" s="65"/>
      <c r="U111" s="65"/>
      <c r="V111" s="65"/>
      <c r="W111" s="65"/>
      <c r="X111" s="65"/>
      <c r="Y111" s="65"/>
      <c r="Z111" s="65"/>
      <c r="AA111" s="65">
        <v>319</v>
      </c>
      <c r="AB111" s="65"/>
      <c r="AC111" s="65">
        <v>100</v>
      </c>
      <c r="AD111" s="65">
        <v>125</v>
      </c>
      <c r="AE111" s="65">
        <v>399.7</v>
      </c>
      <c r="AF111" s="65"/>
      <c r="AG111" s="65"/>
      <c r="AH111" s="65"/>
      <c r="AI111" s="65"/>
      <c r="AJ111" s="65">
        <v>10696.34</v>
      </c>
      <c r="AK111" s="65">
        <v>129558.45</v>
      </c>
    </row>
    <row r="112" spans="2:37" ht="12.75" customHeight="1">
      <c r="B112" s="5">
        <v>98</v>
      </c>
      <c r="C112" s="60" t="s">
        <v>344</v>
      </c>
      <c r="D112" s="60" t="s">
        <v>345</v>
      </c>
      <c r="E112" s="60" t="s">
        <v>717</v>
      </c>
      <c r="F112" s="66" t="s">
        <v>687</v>
      </c>
      <c r="G112" s="82" t="s">
        <v>688</v>
      </c>
      <c r="H112" s="65">
        <f>9623.29/13</f>
        <v>740.25307692307695</v>
      </c>
      <c r="I112" s="65">
        <v>13</v>
      </c>
      <c r="J112" s="65">
        <f t="shared" si="100"/>
        <v>104</v>
      </c>
      <c r="K112" s="65">
        <f t="shared" ref="K112" si="130">H112*I112*2</f>
        <v>19246.580000000002</v>
      </c>
      <c r="L112" s="65"/>
      <c r="M112" s="65"/>
      <c r="N112" s="65"/>
      <c r="O112" s="65"/>
      <c r="P112" s="65"/>
      <c r="Q112" s="65"/>
      <c r="R112" s="65"/>
      <c r="S112" s="65"/>
      <c r="T112" s="65"/>
      <c r="U112" s="65"/>
      <c r="V112" s="65"/>
      <c r="W112" s="65"/>
      <c r="X112" s="65"/>
      <c r="Y112" s="65"/>
      <c r="Z112" s="65"/>
      <c r="AA112" s="65">
        <v>837</v>
      </c>
      <c r="AB112" s="65"/>
      <c r="AC112" s="65">
        <v>100</v>
      </c>
      <c r="AD112" s="65">
        <v>237.5</v>
      </c>
      <c r="AE112" s="65">
        <v>581.29999999999995</v>
      </c>
      <c r="AF112" s="65"/>
      <c r="AG112" s="65"/>
      <c r="AH112" s="65"/>
      <c r="AI112" s="65"/>
      <c r="AJ112" s="65">
        <v>18820.95</v>
      </c>
      <c r="AK112" s="65">
        <v>230028.45</v>
      </c>
    </row>
    <row r="113" spans="2:37" ht="12.75" customHeight="1">
      <c r="B113" s="5">
        <v>99</v>
      </c>
      <c r="C113" s="60" t="s">
        <v>346</v>
      </c>
      <c r="D113" s="60" t="s">
        <v>347</v>
      </c>
      <c r="E113" s="60" t="s">
        <v>717</v>
      </c>
      <c r="F113" s="66" t="s">
        <v>687</v>
      </c>
      <c r="G113" s="82" t="s">
        <v>688</v>
      </c>
      <c r="H113" s="65">
        <f>6339.26/13</f>
        <v>487.63538461538462</v>
      </c>
      <c r="I113" s="65">
        <v>13</v>
      </c>
      <c r="J113" s="65">
        <f t="shared" si="100"/>
        <v>104</v>
      </c>
      <c r="K113" s="65">
        <f t="shared" ref="K113" si="131">H113*I113*2</f>
        <v>12678.52</v>
      </c>
      <c r="L113" s="65"/>
      <c r="M113" s="65"/>
      <c r="N113" s="65"/>
      <c r="O113" s="65"/>
      <c r="P113" s="65"/>
      <c r="Q113" s="65"/>
      <c r="R113" s="65"/>
      <c r="S113" s="65"/>
      <c r="T113" s="65"/>
      <c r="U113" s="65"/>
      <c r="V113" s="65"/>
      <c r="W113" s="65"/>
      <c r="X113" s="65"/>
      <c r="Y113" s="65"/>
      <c r="Z113" s="65"/>
      <c r="AA113" s="65">
        <v>512</v>
      </c>
      <c r="AB113" s="65"/>
      <c r="AC113" s="65">
        <v>100</v>
      </c>
      <c r="AD113" s="65">
        <v>150</v>
      </c>
      <c r="AE113" s="65">
        <v>454.2</v>
      </c>
      <c r="AF113" s="65"/>
      <c r="AG113" s="65"/>
      <c r="AH113" s="65"/>
      <c r="AI113" s="65"/>
      <c r="AJ113" s="65">
        <v>10204.86</v>
      </c>
      <c r="AK113" s="65">
        <v>125351.82</v>
      </c>
    </row>
    <row r="114" spans="2:37" ht="12.75" customHeight="1">
      <c r="B114" s="5">
        <v>100</v>
      </c>
      <c r="C114" s="60" t="s">
        <v>348</v>
      </c>
      <c r="D114" s="60" t="s">
        <v>349</v>
      </c>
      <c r="E114" s="60" t="s">
        <v>718</v>
      </c>
      <c r="F114" s="66" t="s">
        <v>687</v>
      </c>
      <c r="G114" s="82" t="s">
        <v>688</v>
      </c>
      <c r="H114" s="65">
        <f>4383/11</f>
        <v>398.45454545454544</v>
      </c>
      <c r="I114" s="65">
        <v>11</v>
      </c>
      <c r="J114" s="65">
        <f t="shared" si="100"/>
        <v>88</v>
      </c>
      <c r="K114" s="65">
        <f t="shared" ref="K114" si="132">H114*I114*2</f>
        <v>8766</v>
      </c>
      <c r="L114" s="65"/>
      <c r="M114" s="65"/>
      <c r="N114" s="65"/>
      <c r="O114" s="65"/>
      <c r="P114" s="65"/>
      <c r="Q114" s="65"/>
      <c r="R114" s="65"/>
      <c r="S114" s="65"/>
      <c r="T114" s="65"/>
      <c r="U114" s="65"/>
      <c r="V114" s="65"/>
      <c r="W114" s="65"/>
      <c r="X114" s="65"/>
      <c r="Y114" s="65"/>
      <c r="Z114" s="65"/>
      <c r="AA114" s="65">
        <v>1467</v>
      </c>
      <c r="AB114" s="65"/>
      <c r="AC114" s="65">
        <v>100</v>
      </c>
      <c r="AD114" s="65">
        <v>100</v>
      </c>
      <c r="AE114" s="65">
        <v>327</v>
      </c>
      <c r="AF114" s="65"/>
      <c r="AG114" s="65"/>
      <c r="AH114" s="65"/>
      <c r="AI114" s="65"/>
      <c r="AJ114" s="65">
        <v>5108.8599999999997</v>
      </c>
      <c r="AK114" s="65">
        <v>61361.93</v>
      </c>
    </row>
    <row r="115" spans="2:37" ht="12.75" customHeight="1">
      <c r="B115" s="5">
        <v>101</v>
      </c>
      <c r="C115" s="60" t="s">
        <v>350</v>
      </c>
      <c r="D115" s="60" t="s">
        <v>351</v>
      </c>
      <c r="E115" s="60" t="s">
        <v>718</v>
      </c>
      <c r="F115" s="66" t="s">
        <v>687</v>
      </c>
      <c r="G115" s="82" t="s">
        <v>688</v>
      </c>
      <c r="H115" s="65">
        <f>8849.57/13</f>
        <v>680.7361538461538</v>
      </c>
      <c r="I115" s="65">
        <v>13</v>
      </c>
      <c r="J115" s="65">
        <f t="shared" si="100"/>
        <v>104</v>
      </c>
      <c r="K115" s="65">
        <f t="shared" ref="K115" si="133">H115*I115*2</f>
        <v>17699.14</v>
      </c>
      <c r="L115" s="65"/>
      <c r="M115" s="65"/>
      <c r="N115" s="65"/>
      <c r="O115" s="65"/>
      <c r="P115" s="65"/>
      <c r="Q115" s="65"/>
      <c r="R115" s="65"/>
      <c r="S115" s="65"/>
      <c r="T115" s="65"/>
      <c r="U115" s="65"/>
      <c r="V115" s="65"/>
      <c r="W115" s="65"/>
      <c r="X115" s="65"/>
      <c r="Y115" s="65"/>
      <c r="Z115" s="65"/>
      <c r="AA115" s="65">
        <f>500+835</f>
        <v>1335</v>
      </c>
      <c r="AB115" s="65"/>
      <c r="AC115" s="65">
        <v>100</v>
      </c>
      <c r="AD115" s="65">
        <v>212.5</v>
      </c>
      <c r="AE115" s="65">
        <v>581.29999999999995</v>
      </c>
      <c r="AF115" s="65"/>
      <c r="AG115" s="65"/>
      <c r="AH115" s="65"/>
      <c r="AI115" s="65"/>
      <c r="AJ115" s="65">
        <v>17575.89</v>
      </c>
      <c r="AK115" s="65">
        <v>211375.79</v>
      </c>
    </row>
    <row r="116" spans="2:37" ht="12.75" customHeight="1">
      <c r="B116" s="5">
        <v>102</v>
      </c>
      <c r="C116" s="60" t="s">
        <v>352</v>
      </c>
      <c r="D116" s="60" t="s">
        <v>349</v>
      </c>
      <c r="E116" s="60" t="s">
        <v>718</v>
      </c>
      <c r="F116" s="66" t="s">
        <v>687</v>
      </c>
      <c r="G116" s="82" t="s">
        <v>688</v>
      </c>
      <c r="H116" s="65">
        <f>4383/11</f>
        <v>398.45454545454544</v>
      </c>
      <c r="I116" s="65">
        <v>11</v>
      </c>
      <c r="J116" s="65">
        <f t="shared" si="100"/>
        <v>88</v>
      </c>
      <c r="K116" s="65">
        <f t="shared" ref="K116" si="134">H116*I116*2</f>
        <v>8766</v>
      </c>
      <c r="L116" s="65"/>
      <c r="M116" s="65"/>
      <c r="N116" s="65"/>
      <c r="O116" s="65"/>
      <c r="P116" s="65"/>
      <c r="Q116" s="65"/>
      <c r="R116" s="65"/>
      <c r="S116" s="65"/>
      <c r="T116" s="65"/>
      <c r="U116" s="65"/>
      <c r="V116" s="65"/>
      <c r="W116" s="65"/>
      <c r="X116" s="65"/>
      <c r="Y116" s="65"/>
      <c r="Z116" s="65"/>
      <c r="AA116" s="65">
        <v>1467</v>
      </c>
      <c r="AB116" s="65"/>
      <c r="AC116" s="65">
        <v>100</v>
      </c>
      <c r="AD116" s="65">
        <v>100</v>
      </c>
      <c r="AE116" s="65">
        <v>327</v>
      </c>
      <c r="AF116" s="65"/>
      <c r="AG116" s="65"/>
      <c r="AH116" s="65"/>
      <c r="AI116" s="65"/>
      <c r="AJ116" s="65">
        <v>8363.17</v>
      </c>
      <c r="AK116" s="65">
        <v>103395.52</v>
      </c>
    </row>
    <row r="117" spans="2:37" ht="12.75" customHeight="1">
      <c r="B117" s="5">
        <v>103</v>
      </c>
      <c r="C117" s="60" t="s">
        <v>353</v>
      </c>
      <c r="D117" s="60" t="s">
        <v>349</v>
      </c>
      <c r="E117" s="60" t="s">
        <v>718</v>
      </c>
      <c r="F117" s="66" t="s">
        <v>687</v>
      </c>
      <c r="G117" s="82" t="s">
        <v>688</v>
      </c>
      <c r="H117" s="65">
        <v>398.45</v>
      </c>
      <c r="I117" s="65">
        <v>11</v>
      </c>
      <c r="J117" s="65">
        <f t="shared" si="100"/>
        <v>88</v>
      </c>
      <c r="K117" s="65">
        <f t="shared" ref="K117" si="135">H117*I117*2</f>
        <v>8765.9</v>
      </c>
      <c r="L117" s="65"/>
      <c r="M117" s="65"/>
      <c r="N117" s="65"/>
      <c r="O117" s="65"/>
      <c r="P117" s="65"/>
      <c r="Q117" s="65"/>
      <c r="R117" s="65"/>
      <c r="S117" s="65"/>
      <c r="T117" s="65"/>
      <c r="U117" s="65"/>
      <c r="V117" s="65"/>
      <c r="W117" s="65"/>
      <c r="X117" s="65"/>
      <c r="Y117" s="65"/>
      <c r="Z117" s="65"/>
      <c r="AA117" s="65"/>
      <c r="AB117" s="65"/>
      <c r="AC117" s="65">
        <v>100</v>
      </c>
      <c r="AD117" s="65">
        <v>100</v>
      </c>
      <c r="AE117" s="65">
        <v>327</v>
      </c>
      <c r="AF117" s="65"/>
      <c r="AG117" s="65"/>
      <c r="AH117" s="65"/>
      <c r="AI117" s="65"/>
      <c r="AJ117" s="65">
        <v>3284.62</v>
      </c>
      <c r="AK117" s="65">
        <v>39446.949999999997</v>
      </c>
    </row>
    <row r="118" spans="2:37" ht="12.75" customHeight="1">
      <c r="B118" s="5">
        <v>104</v>
      </c>
      <c r="C118" s="60" t="s">
        <v>354</v>
      </c>
      <c r="D118" s="60" t="s">
        <v>349</v>
      </c>
      <c r="E118" s="60" t="s">
        <v>718</v>
      </c>
      <c r="F118" s="66" t="s">
        <v>687</v>
      </c>
      <c r="G118" s="82" t="s">
        <v>688</v>
      </c>
      <c r="H118" s="65">
        <f>4789.38/11</f>
        <v>435.39818181818185</v>
      </c>
      <c r="I118" s="65">
        <v>11</v>
      </c>
      <c r="J118" s="65">
        <f t="shared" si="100"/>
        <v>88</v>
      </c>
      <c r="K118" s="65">
        <f t="shared" ref="K118" si="136">H118*I118*2</f>
        <v>9578.76</v>
      </c>
      <c r="L118" s="65"/>
      <c r="M118" s="65"/>
      <c r="N118" s="65"/>
      <c r="O118" s="65"/>
      <c r="P118" s="65"/>
      <c r="Q118" s="65"/>
      <c r="R118" s="65"/>
      <c r="S118" s="65"/>
      <c r="T118" s="65"/>
      <c r="U118" s="65"/>
      <c r="V118" s="65"/>
      <c r="W118" s="65"/>
      <c r="X118" s="65"/>
      <c r="Y118" s="65"/>
      <c r="Z118" s="65"/>
      <c r="AA118" s="65">
        <v>1061</v>
      </c>
      <c r="AB118" s="65"/>
      <c r="AC118" s="65">
        <v>100</v>
      </c>
      <c r="AD118" s="65">
        <v>112.5</v>
      </c>
      <c r="AE118" s="65">
        <v>345.2</v>
      </c>
      <c r="AF118" s="65"/>
      <c r="AG118" s="65"/>
      <c r="AH118" s="65"/>
      <c r="AI118" s="65"/>
      <c r="AJ118" s="65">
        <v>9290.84</v>
      </c>
      <c r="AK118" s="65">
        <v>111891.16</v>
      </c>
    </row>
    <row r="119" spans="2:37" ht="12.75" customHeight="1">
      <c r="B119" s="5">
        <v>105</v>
      </c>
      <c r="C119" s="60" t="s">
        <v>355</v>
      </c>
      <c r="D119" s="60" t="s">
        <v>349</v>
      </c>
      <c r="E119" s="60" t="s">
        <v>718</v>
      </c>
      <c r="F119" s="66" t="s">
        <v>687</v>
      </c>
      <c r="G119" s="82" t="s">
        <v>688</v>
      </c>
      <c r="H119" s="65">
        <f>4383/11</f>
        <v>398.45454545454544</v>
      </c>
      <c r="I119" s="65">
        <v>11</v>
      </c>
      <c r="J119" s="65">
        <f t="shared" si="100"/>
        <v>88</v>
      </c>
      <c r="K119" s="65">
        <f t="shared" ref="K119" si="137">H119*I119*2</f>
        <v>8766</v>
      </c>
      <c r="L119" s="65"/>
      <c r="M119" s="65"/>
      <c r="N119" s="65"/>
      <c r="O119" s="65"/>
      <c r="P119" s="65"/>
      <c r="Q119" s="65"/>
      <c r="R119" s="65"/>
      <c r="S119" s="65"/>
      <c r="T119" s="65"/>
      <c r="U119" s="65"/>
      <c r="V119" s="65"/>
      <c r="W119" s="65"/>
      <c r="X119" s="65"/>
      <c r="Y119" s="65"/>
      <c r="Z119" s="65"/>
      <c r="AA119" s="65"/>
      <c r="AB119" s="65"/>
      <c r="AC119" s="65">
        <v>100</v>
      </c>
      <c r="AD119" s="65">
        <v>100</v>
      </c>
      <c r="AE119" s="65">
        <v>327</v>
      </c>
      <c r="AF119" s="65"/>
      <c r="AG119" s="65"/>
      <c r="AH119" s="65"/>
      <c r="AI119" s="65"/>
      <c r="AJ119" s="65">
        <v>4346.1899999999996</v>
      </c>
      <c r="AK119" s="65">
        <v>52595.94</v>
      </c>
    </row>
    <row r="120" spans="2:37" ht="12.75" customHeight="1">
      <c r="B120" s="5">
        <v>106</v>
      </c>
      <c r="C120" s="60" t="s">
        <v>356</v>
      </c>
      <c r="D120" s="60" t="s">
        <v>357</v>
      </c>
      <c r="E120" s="60" t="s">
        <v>719</v>
      </c>
      <c r="F120" s="66" t="s">
        <v>687</v>
      </c>
      <c r="G120" s="82" t="s">
        <v>688</v>
      </c>
      <c r="H120" s="65">
        <f>4602.15/11</f>
        <v>418.37727272727267</v>
      </c>
      <c r="I120" s="65">
        <v>11</v>
      </c>
      <c r="J120" s="65">
        <f t="shared" si="100"/>
        <v>88</v>
      </c>
      <c r="K120" s="65">
        <f t="shared" ref="K120" si="138">H120*I120*2</f>
        <v>9204.2999999999993</v>
      </c>
      <c r="L120" s="65"/>
      <c r="M120" s="65"/>
      <c r="N120" s="65"/>
      <c r="O120" s="65"/>
      <c r="P120" s="65"/>
      <c r="Q120" s="65"/>
      <c r="R120" s="65"/>
      <c r="S120" s="65"/>
      <c r="T120" s="65"/>
      <c r="U120" s="65"/>
      <c r="V120" s="65"/>
      <c r="W120" s="65"/>
      <c r="X120" s="65"/>
      <c r="Y120" s="65"/>
      <c r="Z120" s="65"/>
      <c r="AA120" s="65">
        <v>1248</v>
      </c>
      <c r="AB120" s="65"/>
      <c r="AC120" s="65">
        <v>100</v>
      </c>
      <c r="AD120" s="65">
        <v>112.5</v>
      </c>
      <c r="AE120" s="65">
        <v>327</v>
      </c>
      <c r="AF120" s="65"/>
      <c r="AG120" s="65"/>
      <c r="AH120" s="65"/>
      <c r="AI120" s="65"/>
      <c r="AJ120" s="65">
        <v>6836.3</v>
      </c>
      <c r="AK120" s="65">
        <v>83744.86</v>
      </c>
    </row>
    <row r="121" spans="2:37" ht="12.75" customHeight="1">
      <c r="B121" s="5">
        <v>107</v>
      </c>
      <c r="C121" s="60" t="s">
        <v>358</v>
      </c>
      <c r="D121" s="60" t="s">
        <v>357</v>
      </c>
      <c r="E121" s="60" t="s">
        <v>719</v>
      </c>
      <c r="F121" s="66" t="s">
        <v>687</v>
      </c>
      <c r="G121" s="82" t="s">
        <v>688</v>
      </c>
      <c r="H121" s="65">
        <f>4383/11</f>
        <v>398.45454545454544</v>
      </c>
      <c r="I121" s="65">
        <v>11</v>
      </c>
      <c r="J121" s="65">
        <f t="shared" si="100"/>
        <v>88</v>
      </c>
      <c r="K121" s="65">
        <f t="shared" ref="K121" si="139">H121*I121*2</f>
        <v>8766</v>
      </c>
      <c r="L121" s="65"/>
      <c r="M121" s="65"/>
      <c r="N121" s="65"/>
      <c r="O121" s="65"/>
      <c r="P121" s="65"/>
      <c r="Q121" s="65"/>
      <c r="R121" s="65"/>
      <c r="S121" s="65"/>
      <c r="T121" s="65"/>
      <c r="U121" s="65"/>
      <c r="V121" s="65"/>
      <c r="W121" s="65"/>
      <c r="X121" s="65"/>
      <c r="Y121" s="65"/>
      <c r="Z121" s="65"/>
      <c r="AA121" s="65"/>
      <c r="AB121" s="65"/>
      <c r="AC121" s="65">
        <v>100</v>
      </c>
      <c r="AD121" s="65">
        <v>100</v>
      </c>
      <c r="AE121" s="65">
        <v>327</v>
      </c>
      <c r="AF121" s="65"/>
      <c r="AG121" s="65"/>
      <c r="AH121" s="65"/>
      <c r="AI121" s="65"/>
      <c r="AJ121" s="65">
        <v>3285.31</v>
      </c>
      <c r="AK121" s="65">
        <v>39446.949999999997</v>
      </c>
    </row>
    <row r="122" spans="2:37" ht="12.75" customHeight="1">
      <c r="B122" s="5">
        <v>108</v>
      </c>
      <c r="C122" s="60" t="s">
        <v>359</v>
      </c>
      <c r="D122" s="60" t="s">
        <v>357</v>
      </c>
      <c r="E122" s="60" t="s">
        <v>719</v>
      </c>
      <c r="F122" s="66" t="s">
        <v>687</v>
      </c>
      <c r="G122" s="82" t="s">
        <v>688</v>
      </c>
      <c r="H122" s="65">
        <v>398.45</v>
      </c>
      <c r="I122" s="65">
        <v>11</v>
      </c>
      <c r="J122" s="65">
        <f t="shared" si="100"/>
        <v>88</v>
      </c>
      <c r="K122" s="65">
        <f t="shared" ref="K122" si="140">H122*I122*2</f>
        <v>8765.9</v>
      </c>
      <c r="L122" s="65"/>
      <c r="M122" s="65"/>
      <c r="N122" s="65"/>
      <c r="O122" s="65"/>
      <c r="P122" s="65"/>
      <c r="Q122" s="65"/>
      <c r="R122" s="65"/>
      <c r="S122" s="65"/>
      <c r="T122" s="65"/>
      <c r="U122" s="65"/>
      <c r="V122" s="65"/>
      <c r="W122" s="65"/>
      <c r="X122" s="65"/>
      <c r="Y122" s="65"/>
      <c r="Z122" s="65"/>
      <c r="AA122" s="65"/>
      <c r="AB122" s="65"/>
      <c r="AC122" s="65">
        <v>100</v>
      </c>
      <c r="AD122" s="65">
        <v>100</v>
      </c>
      <c r="AE122" s="65">
        <v>327</v>
      </c>
      <c r="AF122" s="65"/>
      <c r="AG122" s="65"/>
      <c r="AH122" s="65"/>
      <c r="AI122" s="65"/>
      <c r="AJ122" s="65">
        <v>3286.55</v>
      </c>
      <c r="AK122" s="65">
        <v>39446.949999999997</v>
      </c>
    </row>
    <row r="123" spans="2:37" ht="12.75" customHeight="1">
      <c r="B123" s="5">
        <v>109</v>
      </c>
      <c r="C123" s="60" t="s">
        <v>360</v>
      </c>
      <c r="D123" s="60" t="s">
        <v>361</v>
      </c>
      <c r="E123" s="60" t="s">
        <v>719</v>
      </c>
      <c r="F123" s="66" t="s">
        <v>687</v>
      </c>
      <c r="G123" s="82" t="s">
        <v>688</v>
      </c>
      <c r="H123" s="65">
        <f>5758.96/13</f>
        <v>442.99692307692305</v>
      </c>
      <c r="I123" s="65">
        <v>13</v>
      </c>
      <c r="J123" s="65">
        <f t="shared" si="100"/>
        <v>104</v>
      </c>
      <c r="K123" s="65">
        <f t="shared" ref="K123" si="141">H123*I123*2</f>
        <v>11517.92</v>
      </c>
      <c r="L123" s="65"/>
      <c r="M123" s="65"/>
      <c r="N123" s="65"/>
      <c r="O123" s="65"/>
      <c r="P123" s="65"/>
      <c r="Q123" s="65"/>
      <c r="R123" s="65"/>
      <c r="S123" s="65"/>
      <c r="T123" s="65"/>
      <c r="U123" s="65"/>
      <c r="V123" s="65"/>
      <c r="W123" s="65"/>
      <c r="X123" s="65"/>
      <c r="Y123" s="65"/>
      <c r="Z123" s="65"/>
      <c r="AA123" s="65">
        <f>1126+545</f>
        <v>1671</v>
      </c>
      <c r="AB123" s="65"/>
      <c r="AC123" s="65">
        <v>100</v>
      </c>
      <c r="AD123" s="65">
        <v>137.5</v>
      </c>
      <c r="AE123" s="65">
        <v>417.8</v>
      </c>
      <c r="AF123" s="65"/>
      <c r="AG123" s="65"/>
      <c r="AH123" s="65"/>
      <c r="AI123" s="65"/>
      <c r="AJ123" s="65">
        <v>10652.08</v>
      </c>
      <c r="AK123" s="65">
        <v>136628.13</v>
      </c>
    </row>
    <row r="124" spans="2:37" ht="12.75" customHeight="1">
      <c r="B124" s="5">
        <v>110</v>
      </c>
      <c r="C124" s="60" t="s">
        <v>362</v>
      </c>
      <c r="D124" s="60" t="s">
        <v>363</v>
      </c>
      <c r="E124" s="60" t="s">
        <v>720</v>
      </c>
      <c r="F124" s="66" t="s">
        <v>687</v>
      </c>
      <c r="G124" s="82" t="s">
        <v>688</v>
      </c>
      <c r="H124" s="65">
        <v>398.45</v>
      </c>
      <c r="I124" s="65">
        <v>11</v>
      </c>
      <c r="J124" s="65">
        <f t="shared" si="100"/>
        <v>88</v>
      </c>
      <c r="K124" s="65">
        <f t="shared" ref="K124" si="142">H124*I124*2</f>
        <v>8765.9</v>
      </c>
      <c r="L124" s="65"/>
      <c r="M124" s="65"/>
      <c r="N124" s="65"/>
      <c r="O124" s="65"/>
      <c r="P124" s="65"/>
      <c r="Q124" s="65"/>
      <c r="R124" s="65"/>
      <c r="S124" s="65"/>
      <c r="T124" s="65"/>
      <c r="U124" s="65"/>
      <c r="V124" s="65"/>
      <c r="W124" s="65"/>
      <c r="X124" s="65"/>
      <c r="Y124" s="65"/>
      <c r="Z124" s="65"/>
      <c r="AA124" s="65"/>
      <c r="AB124" s="65"/>
      <c r="AC124" s="65">
        <v>100</v>
      </c>
      <c r="AD124" s="65">
        <v>100</v>
      </c>
      <c r="AE124" s="65">
        <v>327</v>
      </c>
      <c r="AF124" s="65"/>
      <c r="AG124" s="65"/>
      <c r="AH124" s="65"/>
      <c r="AI124" s="65"/>
      <c r="AJ124" s="65">
        <v>3287.25</v>
      </c>
      <c r="AK124" s="65">
        <v>39446.949999999997</v>
      </c>
    </row>
    <row r="125" spans="2:37" ht="12.75" customHeight="1">
      <c r="B125" s="5">
        <v>111</v>
      </c>
      <c r="C125" s="60" t="s">
        <v>364</v>
      </c>
      <c r="D125" s="60" t="s">
        <v>363</v>
      </c>
      <c r="E125" s="60" t="s">
        <v>720</v>
      </c>
      <c r="F125" s="66" t="s">
        <v>687</v>
      </c>
      <c r="G125" s="82" t="s">
        <v>688</v>
      </c>
      <c r="H125" s="65">
        <f>5199.73/13</f>
        <v>399.97923076923075</v>
      </c>
      <c r="I125" s="65">
        <v>11</v>
      </c>
      <c r="J125" s="65">
        <f t="shared" si="100"/>
        <v>88</v>
      </c>
      <c r="K125" s="65">
        <f t="shared" ref="K125" si="143">H125*I125*2</f>
        <v>8799.543076923077</v>
      </c>
      <c r="L125" s="65"/>
      <c r="M125" s="65"/>
      <c r="N125" s="65"/>
      <c r="O125" s="65"/>
      <c r="P125" s="65"/>
      <c r="Q125" s="65"/>
      <c r="R125" s="65"/>
      <c r="S125" s="65"/>
      <c r="T125" s="65"/>
      <c r="U125" s="65"/>
      <c r="V125" s="65"/>
      <c r="W125" s="65"/>
      <c r="X125" s="65"/>
      <c r="Y125" s="65"/>
      <c r="Z125" s="65"/>
      <c r="AA125" s="65">
        <f>531.3+442</f>
        <v>973.3</v>
      </c>
      <c r="AB125" s="65"/>
      <c r="AC125" s="65">
        <v>100</v>
      </c>
      <c r="AD125" s="65">
        <v>125</v>
      </c>
      <c r="AE125" s="65">
        <v>381.5</v>
      </c>
      <c r="AF125" s="65"/>
      <c r="AG125" s="65"/>
      <c r="AH125" s="65"/>
      <c r="AI125" s="65"/>
      <c r="AJ125" s="65">
        <v>9899.2800000000007</v>
      </c>
      <c r="AK125" s="65">
        <v>123540.23</v>
      </c>
    </row>
    <row r="126" spans="2:37" ht="12.75" customHeight="1">
      <c r="B126" s="5">
        <v>112</v>
      </c>
      <c r="C126" s="60" t="s">
        <v>365</v>
      </c>
      <c r="D126" s="60" t="s">
        <v>363</v>
      </c>
      <c r="E126" s="60" t="s">
        <v>720</v>
      </c>
      <c r="F126" s="66" t="s">
        <v>687</v>
      </c>
      <c r="G126" s="82" t="s">
        <v>688</v>
      </c>
      <c r="H126" s="65">
        <f>4383/11</f>
        <v>398.45454545454544</v>
      </c>
      <c r="I126" s="65">
        <v>11</v>
      </c>
      <c r="J126" s="65">
        <f t="shared" si="100"/>
        <v>88</v>
      </c>
      <c r="K126" s="65">
        <f t="shared" ref="K126" si="144">H126*I126*2</f>
        <v>8766</v>
      </c>
      <c r="L126" s="65"/>
      <c r="M126" s="65"/>
      <c r="N126" s="65"/>
      <c r="O126" s="65"/>
      <c r="P126" s="65"/>
      <c r="Q126" s="65"/>
      <c r="R126" s="65"/>
      <c r="S126" s="65"/>
      <c r="T126" s="65"/>
      <c r="U126" s="65"/>
      <c r="V126" s="65"/>
      <c r="W126" s="65"/>
      <c r="X126" s="65"/>
      <c r="Y126" s="65"/>
      <c r="Z126" s="65"/>
      <c r="AA126" s="65">
        <v>1467</v>
      </c>
      <c r="AB126" s="65"/>
      <c r="AC126" s="65">
        <v>100</v>
      </c>
      <c r="AD126" s="65">
        <v>100</v>
      </c>
      <c r="AE126" s="65">
        <v>327</v>
      </c>
      <c r="AF126" s="65"/>
      <c r="AG126" s="65"/>
      <c r="AH126" s="65"/>
      <c r="AI126" s="65"/>
      <c r="AJ126" s="65">
        <v>6537.93</v>
      </c>
      <c r="AK126" s="65">
        <v>78392.44</v>
      </c>
    </row>
    <row r="127" spans="2:37" ht="12.75" customHeight="1">
      <c r="B127" s="5">
        <v>113</v>
      </c>
      <c r="C127" s="60" t="s">
        <v>366</v>
      </c>
      <c r="D127" s="60" t="s">
        <v>363</v>
      </c>
      <c r="E127" s="60" t="s">
        <v>720</v>
      </c>
      <c r="F127" s="66" t="s">
        <v>687</v>
      </c>
      <c r="G127" s="82" t="s">
        <v>688</v>
      </c>
      <c r="H127" s="65">
        <v>398.45</v>
      </c>
      <c r="I127" s="65">
        <v>11</v>
      </c>
      <c r="J127" s="65">
        <f t="shared" si="100"/>
        <v>88</v>
      </c>
      <c r="K127" s="65">
        <f t="shared" ref="K127" si="145">H127*I127*2</f>
        <v>8765.9</v>
      </c>
      <c r="L127" s="65"/>
      <c r="M127" s="65"/>
      <c r="N127" s="65"/>
      <c r="O127" s="65"/>
      <c r="P127" s="65"/>
      <c r="Q127" s="65"/>
      <c r="R127" s="65"/>
      <c r="S127" s="65"/>
      <c r="T127" s="65"/>
      <c r="U127" s="65"/>
      <c r="V127" s="65"/>
      <c r="W127" s="65"/>
      <c r="X127" s="65"/>
      <c r="Y127" s="65"/>
      <c r="Z127" s="65"/>
      <c r="AA127" s="65">
        <v>1467</v>
      </c>
      <c r="AB127" s="65"/>
      <c r="AC127" s="65">
        <v>100</v>
      </c>
      <c r="AD127" s="65">
        <v>100</v>
      </c>
      <c r="AE127" s="65">
        <v>327</v>
      </c>
      <c r="AF127" s="65"/>
      <c r="AG127" s="65"/>
      <c r="AH127" s="65"/>
      <c r="AI127" s="65"/>
      <c r="AJ127" s="65">
        <v>5113.49</v>
      </c>
      <c r="AK127" s="65">
        <v>61361.93</v>
      </c>
    </row>
    <row r="128" spans="2:37" ht="12.75" customHeight="1">
      <c r="B128" s="5">
        <v>114</v>
      </c>
      <c r="C128" s="60" t="s">
        <v>367</v>
      </c>
      <c r="D128" s="60" t="s">
        <v>363</v>
      </c>
      <c r="E128" s="60" t="s">
        <v>720</v>
      </c>
      <c r="F128" s="66" t="s">
        <v>687</v>
      </c>
      <c r="G128" s="82" t="s">
        <v>688</v>
      </c>
      <c r="H128" s="65">
        <v>398.45</v>
      </c>
      <c r="I128" s="65">
        <v>11</v>
      </c>
      <c r="J128" s="65">
        <f t="shared" si="100"/>
        <v>88</v>
      </c>
      <c r="K128" s="65">
        <f t="shared" ref="K128" si="146">H128*I128*2</f>
        <v>8765.9</v>
      </c>
      <c r="L128" s="65"/>
      <c r="M128" s="65"/>
      <c r="N128" s="65"/>
      <c r="O128" s="65"/>
      <c r="P128" s="65"/>
      <c r="Q128" s="65"/>
      <c r="R128" s="65"/>
      <c r="S128" s="65"/>
      <c r="T128" s="65"/>
      <c r="U128" s="65"/>
      <c r="V128" s="65"/>
      <c r="W128" s="65"/>
      <c r="X128" s="65"/>
      <c r="Y128" s="65"/>
      <c r="Z128" s="65"/>
      <c r="AA128" s="65"/>
      <c r="AB128" s="65"/>
      <c r="AC128" s="65">
        <v>100</v>
      </c>
      <c r="AD128" s="65">
        <v>100</v>
      </c>
      <c r="AE128" s="65">
        <v>327</v>
      </c>
      <c r="AF128" s="65"/>
      <c r="AG128" s="65"/>
      <c r="AH128" s="65"/>
      <c r="AI128" s="65"/>
      <c r="AJ128" s="65">
        <v>1826.25</v>
      </c>
      <c r="AK128" s="65">
        <v>21914.97</v>
      </c>
    </row>
    <row r="129" spans="2:37" ht="12.75" customHeight="1">
      <c r="B129" s="5">
        <v>115</v>
      </c>
      <c r="C129" s="60" t="s">
        <v>368</v>
      </c>
      <c r="D129" s="60" t="s">
        <v>363</v>
      </c>
      <c r="E129" s="60" t="s">
        <v>720</v>
      </c>
      <c r="F129" s="66" t="s">
        <v>687</v>
      </c>
      <c r="G129" s="82" t="s">
        <v>688</v>
      </c>
      <c r="H129" s="65">
        <v>398.45</v>
      </c>
      <c r="I129" s="65">
        <v>11</v>
      </c>
      <c r="J129" s="65">
        <f t="shared" si="100"/>
        <v>88</v>
      </c>
      <c r="K129" s="65">
        <f t="shared" ref="K129" si="147">H129*I129*2</f>
        <v>8765.9</v>
      </c>
      <c r="L129" s="65"/>
      <c r="M129" s="65"/>
      <c r="N129" s="65"/>
      <c r="O129" s="65"/>
      <c r="P129" s="65"/>
      <c r="Q129" s="65"/>
      <c r="R129" s="65"/>
      <c r="S129" s="65"/>
      <c r="T129" s="65"/>
      <c r="U129" s="65"/>
      <c r="V129" s="65"/>
      <c r="W129" s="65"/>
      <c r="X129" s="65"/>
      <c r="Y129" s="65"/>
      <c r="Z129" s="65"/>
      <c r="AA129" s="65">
        <v>1467</v>
      </c>
      <c r="AB129" s="65"/>
      <c r="AC129" s="65">
        <v>100</v>
      </c>
      <c r="AD129" s="65">
        <v>100</v>
      </c>
      <c r="AE129" s="65">
        <v>327</v>
      </c>
      <c r="AF129" s="65"/>
      <c r="AG129" s="65"/>
      <c r="AH129" s="65"/>
      <c r="AI129" s="65"/>
      <c r="AJ129" s="65">
        <v>8512.4599999999991</v>
      </c>
      <c r="AK129" s="65">
        <v>103468.51</v>
      </c>
    </row>
    <row r="130" spans="2:37" ht="12.75" customHeight="1">
      <c r="B130" s="5">
        <v>116</v>
      </c>
      <c r="C130" s="60" t="s">
        <v>369</v>
      </c>
      <c r="D130" s="60" t="s">
        <v>363</v>
      </c>
      <c r="E130" s="60" t="s">
        <v>720</v>
      </c>
      <c r="F130" s="66" t="s">
        <v>687</v>
      </c>
      <c r="G130" s="82" t="s">
        <v>688</v>
      </c>
      <c r="H130" s="65">
        <v>398.45</v>
      </c>
      <c r="I130" s="65">
        <v>11</v>
      </c>
      <c r="J130" s="65">
        <f t="shared" si="100"/>
        <v>88</v>
      </c>
      <c r="K130" s="65">
        <f t="shared" ref="K130" si="148">H130*I130*2</f>
        <v>8765.9</v>
      </c>
      <c r="L130" s="65"/>
      <c r="M130" s="65"/>
      <c r="N130" s="65"/>
      <c r="O130" s="65"/>
      <c r="P130" s="65"/>
      <c r="Q130" s="65"/>
      <c r="R130" s="65"/>
      <c r="S130" s="65"/>
      <c r="T130" s="65"/>
      <c r="U130" s="65"/>
      <c r="V130" s="65"/>
      <c r="W130" s="65"/>
      <c r="X130" s="65"/>
      <c r="Y130" s="65"/>
      <c r="Z130" s="65"/>
      <c r="AA130" s="65">
        <v>1467</v>
      </c>
      <c r="AB130" s="65"/>
      <c r="AC130" s="65">
        <v>100</v>
      </c>
      <c r="AD130" s="65">
        <v>100</v>
      </c>
      <c r="AE130" s="65">
        <v>327</v>
      </c>
      <c r="AF130" s="65"/>
      <c r="AG130" s="65"/>
      <c r="AH130" s="65"/>
      <c r="AI130" s="65"/>
      <c r="AJ130" s="65">
        <v>7935.84</v>
      </c>
      <c r="AK130" s="65">
        <v>103468.51</v>
      </c>
    </row>
    <row r="131" spans="2:37" ht="12.75" customHeight="1">
      <c r="B131" s="5">
        <v>117</v>
      </c>
      <c r="C131" s="60" t="s">
        <v>370</v>
      </c>
      <c r="D131" s="60" t="s">
        <v>371</v>
      </c>
      <c r="E131" s="60" t="s">
        <v>720</v>
      </c>
      <c r="F131" s="66" t="s">
        <v>687</v>
      </c>
      <c r="G131" s="82" t="s">
        <v>688</v>
      </c>
      <c r="H131" s="65">
        <f>7433.54/13</f>
        <v>571.81076923076921</v>
      </c>
      <c r="I131" s="65">
        <v>13</v>
      </c>
      <c r="J131" s="65">
        <f t="shared" si="100"/>
        <v>104</v>
      </c>
      <c r="K131" s="65">
        <f t="shared" ref="K131" si="149">H131*I131*2</f>
        <v>14867.08</v>
      </c>
      <c r="L131" s="65"/>
      <c r="M131" s="65"/>
      <c r="N131" s="65"/>
      <c r="O131" s="65"/>
      <c r="P131" s="65"/>
      <c r="Q131" s="65"/>
      <c r="R131" s="65"/>
      <c r="S131" s="65"/>
      <c r="T131" s="65"/>
      <c r="U131" s="65"/>
      <c r="V131" s="65"/>
      <c r="W131" s="65"/>
      <c r="X131" s="65"/>
      <c r="Y131" s="65"/>
      <c r="Z131" s="65"/>
      <c r="AA131" s="65">
        <v>835</v>
      </c>
      <c r="AB131" s="65"/>
      <c r="AC131" s="65">
        <v>100</v>
      </c>
      <c r="AD131" s="65">
        <v>175</v>
      </c>
      <c r="AE131" s="65">
        <v>545</v>
      </c>
      <c r="AF131" s="65"/>
      <c r="AG131" s="65"/>
      <c r="AH131" s="65"/>
      <c r="AI131" s="65"/>
      <c r="AJ131" s="65">
        <v>14644.71</v>
      </c>
      <c r="AK131" s="65">
        <v>177191.27</v>
      </c>
    </row>
    <row r="132" spans="2:37" ht="12.75" customHeight="1">
      <c r="B132" s="5">
        <v>118</v>
      </c>
      <c r="C132" s="60" t="s">
        <v>700</v>
      </c>
      <c r="D132" s="60" t="s">
        <v>701</v>
      </c>
      <c r="E132" s="60" t="s">
        <v>721</v>
      </c>
      <c r="F132" s="66" t="s">
        <v>687</v>
      </c>
      <c r="G132" s="82" t="s">
        <v>688</v>
      </c>
      <c r="H132" s="65">
        <v>1021.54</v>
      </c>
      <c r="I132" s="65">
        <v>13</v>
      </c>
      <c r="J132" s="65">
        <f t="shared" si="100"/>
        <v>104</v>
      </c>
      <c r="K132" s="65">
        <f t="shared" ref="K132" si="150">H132*I132*2</f>
        <v>26560.04</v>
      </c>
      <c r="L132" s="65"/>
      <c r="M132" s="65"/>
      <c r="N132" s="65"/>
      <c r="O132" s="65"/>
      <c r="P132" s="65"/>
      <c r="Q132" s="65"/>
      <c r="R132" s="65"/>
      <c r="S132" s="65"/>
      <c r="T132" s="65"/>
      <c r="U132" s="65"/>
      <c r="V132" s="65"/>
      <c r="W132" s="65"/>
      <c r="X132" s="65"/>
      <c r="Y132" s="65"/>
      <c r="Z132" s="65"/>
      <c r="AA132" s="65">
        <v>745.5</v>
      </c>
      <c r="AB132" s="65"/>
      <c r="AC132" s="65">
        <v>100</v>
      </c>
      <c r="AD132" s="65">
        <v>300</v>
      </c>
      <c r="AE132" s="65">
        <v>581.29999999999995</v>
      </c>
      <c r="AF132" s="65"/>
      <c r="AG132" s="65"/>
      <c r="AH132" s="65"/>
      <c r="AI132" s="65"/>
      <c r="AJ132" s="65">
        <v>25641.200000000001</v>
      </c>
      <c r="AK132" s="65">
        <v>318720</v>
      </c>
    </row>
    <row r="133" spans="2:37" ht="12.75" customHeight="1">
      <c r="B133" s="5">
        <v>119</v>
      </c>
      <c r="C133" s="60" t="s">
        <v>372</v>
      </c>
      <c r="D133" s="60" t="s">
        <v>373</v>
      </c>
      <c r="E133" s="60" t="s">
        <v>721</v>
      </c>
      <c r="F133" s="66" t="s">
        <v>687</v>
      </c>
      <c r="G133" s="82" t="s">
        <v>688</v>
      </c>
      <c r="H133" s="65">
        <f>5349.67/13</f>
        <v>411.51307692307694</v>
      </c>
      <c r="I133" s="65">
        <v>13</v>
      </c>
      <c r="J133" s="65">
        <f t="shared" ref="J133" si="151">I133*8</f>
        <v>104</v>
      </c>
      <c r="K133" s="65">
        <f t="shared" ref="K133" si="152">H133*I133*2</f>
        <v>10699.34</v>
      </c>
      <c r="L133" s="65"/>
      <c r="M133" s="65"/>
      <c r="N133" s="65"/>
      <c r="O133" s="65"/>
      <c r="P133" s="65"/>
      <c r="Q133" s="65"/>
      <c r="R133" s="65"/>
      <c r="S133" s="65"/>
      <c r="T133" s="65"/>
      <c r="U133" s="65"/>
      <c r="V133" s="65"/>
      <c r="W133" s="65"/>
      <c r="X133" s="65"/>
      <c r="Y133" s="65"/>
      <c r="Z133" s="65"/>
      <c r="AA133" s="65">
        <f>500+730</f>
        <v>1230</v>
      </c>
      <c r="AB133" s="65"/>
      <c r="AC133" s="65">
        <v>100</v>
      </c>
      <c r="AD133" s="65">
        <v>125</v>
      </c>
      <c r="AE133" s="65">
        <v>381.5</v>
      </c>
      <c r="AF133" s="65"/>
      <c r="AG133" s="65"/>
      <c r="AH133" s="65"/>
      <c r="AI133" s="65"/>
      <c r="AJ133" s="65">
        <v>10465.299999999999</v>
      </c>
      <c r="AK133" s="65">
        <v>126675.02</v>
      </c>
    </row>
    <row r="134" spans="2:37" ht="12.75" customHeight="1">
      <c r="B134" s="5">
        <v>120</v>
      </c>
      <c r="C134" s="60" t="s">
        <v>374</v>
      </c>
      <c r="D134" s="60" t="s">
        <v>373</v>
      </c>
      <c r="E134" s="60" t="s">
        <v>721</v>
      </c>
      <c r="F134" s="66" t="s">
        <v>687</v>
      </c>
      <c r="G134" s="82" t="s">
        <v>688</v>
      </c>
      <c r="H134" s="65">
        <f>5284.99/13</f>
        <v>406.53769230769228</v>
      </c>
      <c r="I134" s="65">
        <v>13</v>
      </c>
      <c r="J134" s="65">
        <f t="shared" ref="J134" si="153">I134*8</f>
        <v>104</v>
      </c>
      <c r="K134" s="65">
        <f t="shared" ref="K134" si="154">H134*I134*2</f>
        <v>10569.98</v>
      </c>
      <c r="L134" s="65"/>
      <c r="M134" s="65"/>
      <c r="N134" s="65"/>
      <c r="O134" s="65"/>
      <c r="P134" s="65"/>
      <c r="Q134" s="65"/>
      <c r="R134" s="65"/>
      <c r="S134" s="65"/>
      <c r="T134" s="65"/>
      <c r="U134" s="65"/>
      <c r="V134" s="65"/>
      <c r="W134" s="65"/>
      <c r="X134" s="65"/>
      <c r="Y134" s="65"/>
      <c r="Z134" s="65"/>
      <c r="AA134" s="65">
        <f>500+512</f>
        <v>1012</v>
      </c>
      <c r="AB134" s="65"/>
      <c r="AC134" s="65">
        <v>100</v>
      </c>
      <c r="AD134" s="65">
        <v>125</v>
      </c>
      <c r="AE134" s="65">
        <v>381.5</v>
      </c>
      <c r="AF134" s="65"/>
      <c r="AG134" s="65"/>
      <c r="AH134" s="65"/>
      <c r="AI134" s="65"/>
      <c r="AJ134" s="65">
        <v>9653.9500000000007</v>
      </c>
      <c r="AK134" s="65">
        <v>125100.02</v>
      </c>
    </row>
    <row r="135" spans="2:37" ht="12.75" customHeight="1">
      <c r="B135" s="5">
        <v>121</v>
      </c>
      <c r="C135" s="60" t="s">
        <v>375</v>
      </c>
      <c r="D135" s="60" t="s">
        <v>376</v>
      </c>
      <c r="E135" s="60" t="s">
        <v>721</v>
      </c>
      <c r="F135" s="66" t="s">
        <v>687</v>
      </c>
      <c r="G135" s="82" t="s">
        <v>688</v>
      </c>
      <c r="H135" s="65">
        <f>5089.45/13</f>
        <v>391.49615384615385</v>
      </c>
      <c r="I135" s="65">
        <v>13</v>
      </c>
      <c r="J135" s="65">
        <f t="shared" ref="J135" si="155">I135*8</f>
        <v>104</v>
      </c>
      <c r="K135" s="65">
        <f t="shared" ref="K135" si="156">H135*I135*2</f>
        <v>10178.9</v>
      </c>
      <c r="L135" s="65"/>
      <c r="M135" s="65"/>
      <c r="N135" s="65"/>
      <c r="O135" s="65"/>
      <c r="P135" s="65"/>
      <c r="Q135" s="65"/>
      <c r="R135" s="65"/>
      <c r="S135" s="65"/>
      <c r="T135" s="65"/>
      <c r="U135" s="65"/>
      <c r="V135" s="65"/>
      <c r="W135" s="65"/>
      <c r="X135" s="65"/>
      <c r="Y135" s="65"/>
      <c r="Z135" s="65"/>
      <c r="AA135" s="65">
        <v>419</v>
      </c>
      <c r="AB135" s="65"/>
      <c r="AC135" s="65">
        <v>100</v>
      </c>
      <c r="AD135" s="65">
        <v>125</v>
      </c>
      <c r="AE135" s="65">
        <v>363.3</v>
      </c>
      <c r="AF135" s="65"/>
      <c r="AG135" s="65"/>
      <c r="AH135" s="65"/>
      <c r="AI135" s="65"/>
      <c r="AJ135" s="65">
        <v>9806.76</v>
      </c>
      <c r="AK135" s="65">
        <v>120334.48</v>
      </c>
    </row>
    <row r="136" spans="2:37" ht="12.75" customHeight="1">
      <c r="B136" s="5">
        <v>122</v>
      </c>
      <c r="C136" s="60" t="s">
        <v>377</v>
      </c>
      <c r="D136" s="60" t="s">
        <v>378</v>
      </c>
      <c r="E136" s="60" t="s">
        <v>721</v>
      </c>
      <c r="F136" s="66" t="s">
        <v>687</v>
      </c>
      <c r="G136" s="82" t="s">
        <v>688</v>
      </c>
      <c r="H136" s="65">
        <f>7187.5/13</f>
        <v>552.88461538461536</v>
      </c>
      <c r="I136" s="65">
        <v>13</v>
      </c>
      <c r="J136" s="65">
        <f t="shared" ref="J136" si="157">I136*8</f>
        <v>104</v>
      </c>
      <c r="K136" s="65">
        <f t="shared" ref="K136" si="158">H136*I136*2</f>
        <v>14375</v>
      </c>
      <c r="L136" s="65"/>
      <c r="M136" s="65"/>
      <c r="N136" s="65"/>
      <c r="O136" s="65"/>
      <c r="P136" s="65"/>
      <c r="Q136" s="65"/>
      <c r="R136" s="65"/>
      <c r="S136" s="65"/>
      <c r="T136" s="65"/>
      <c r="U136" s="65"/>
      <c r="V136" s="65"/>
      <c r="W136" s="65"/>
      <c r="X136" s="65"/>
      <c r="Y136" s="65"/>
      <c r="Z136" s="65"/>
      <c r="AA136" s="65">
        <v>656</v>
      </c>
      <c r="AB136" s="65"/>
      <c r="AC136" s="65">
        <v>100</v>
      </c>
      <c r="AD136" s="65">
        <v>175</v>
      </c>
      <c r="AE136" s="65">
        <v>526.79999999999995</v>
      </c>
      <c r="AF136" s="65"/>
      <c r="AG136" s="65"/>
      <c r="AH136" s="65"/>
      <c r="AI136" s="65"/>
      <c r="AJ136" s="65">
        <v>13018.77</v>
      </c>
      <c r="AK136" s="65">
        <v>157265.94</v>
      </c>
    </row>
    <row r="137" spans="2:37" ht="12.75" customHeight="1">
      <c r="B137" s="5">
        <v>123</v>
      </c>
      <c r="C137" s="60" t="s">
        <v>379</v>
      </c>
      <c r="D137" s="60" t="s">
        <v>380</v>
      </c>
      <c r="E137" s="60" t="s">
        <v>721</v>
      </c>
      <c r="F137" s="66" t="s">
        <v>687</v>
      </c>
      <c r="G137" s="82" t="s">
        <v>688</v>
      </c>
      <c r="H137" s="65">
        <f>6395.26/13</f>
        <v>491.94307692307694</v>
      </c>
      <c r="I137" s="65">
        <v>13</v>
      </c>
      <c r="J137" s="65">
        <f t="shared" ref="J137" si="159">I137*8</f>
        <v>104</v>
      </c>
      <c r="K137" s="65">
        <f t="shared" ref="K137" si="160">H137*I137*2</f>
        <v>12790.52</v>
      </c>
      <c r="L137" s="65"/>
      <c r="M137" s="65"/>
      <c r="N137" s="65"/>
      <c r="O137" s="65"/>
      <c r="P137" s="65"/>
      <c r="Q137" s="65"/>
      <c r="R137" s="65"/>
      <c r="S137" s="65"/>
      <c r="T137" s="65"/>
      <c r="U137" s="65"/>
      <c r="V137" s="65"/>
      <c r="W137" s="65"/>
      <c r="X137" s="65"/>
      <c r="Y137" s="65"/>
      <c r="Z137" s="65"/>
      <c r="AA137" s="65">
        <v>512</v>
      </c>
      <c r="AB137" s="65"/>
      <c r="AC137" s="65">
        <v>100</v>
      </c>
      <c r="AD137" s="65">
        <v>150</v>
      </c>
      <c r="AE137" s="65">
        <v>472.3</v>
      </c>
      <c r="AF137" s="65"/>
      <c r="AG137" s="65"/>
      <c r="AH137" s="65"/>
      <c r="AI137" s="65"/>
      <c r="AJ137" s="65">
        <v>12676.21</v>
      </c>
      <c r="AK137" s="65">
        <v>152065.92000000001</v>
      </c>
    </row>
    <row r="138" spans="2:37" ht="12.75" customHeight="1">
      <c r="B138" s="5">
        <v>124</v>
      </c>
      <c r="C138" s="60" t="s">
        <v>381</v>
      </c>
      <c r="D138" s="60" t="s">
        <v>382</v>
      </c>
      <c r="E138" s="60" t="s">
        <v>721</v>
      </c>
      <c r="F138" s="66" t="s">
        <v>687</v>
      </c>
      <c r="G138" s="82" t="s">
        <v>688</v>
      </c>
      <c r="H138" s="65">
        <f>5952.78/13</f>
        <v>457.90615384615381</v>
      </c>
      <c r="I138" s="65">
        <v>13</v>
      </c>
      <c r="J138" s="65">
        <f t="shared" ref="J138" si="161">I138*8</f>
        <v>104</v>
      </c>
      <c r="K138" s="65">
        <f t="shared" ref="K138" si="162">H138*I138*2</f>
        <v>11905.56</v>
      </c>
      <c r="L138" s="65"/>
      <c r="M138" s="65"/>
      <c r="N138" s="65"/>
      <c r="O138" s="65"/>
      <c r="P138" s="65"/>
      <c r="Q138" s="65"/>
      <c r="R138" s="65"/>
      <c r="S138" s="65"/>
      <c r="T138" s="65"/>
      <c r="U138" s="65"/>
      <c r="V138" s="65"/>
      <c r="W138" s="65"/>
      <c r="X138" s="65"/>
      <c r="Y138" s="65"/>
      <c r="Z138" s="65"/>
      <c r="AA138" s="65">
        <f>1000+512</f>
        <v>1512</v>
      </c>
      <c r="AB138" s="65"/>
      <c r="AC138" s="65">
        <v>100</v>
      </c>
      <c r="AD138" s="65">
        <v>137.5</v>
      </c>
      <c r="AE138" s="65">
        <v>436</v>
      </c>
      <c r="AF138" s="65"/>
      <c r="AG138" s="65"/>
      <c r="AH138" s="65"/>
      <c r="AI138" s="65"/>
      <c r="AJ138" s="65">
        <v>6174.98</v>
      </c>
      <c r="AK138" s="65">
        <v>141334.71</v>
      </c>
    </row>
    <row r="139" spans="2:37" ht="12.75" customHeight="1">
      <c r="B139" s="5">
        <v>125</v>
      </c>
      <c r="C139" s="60" t="s">
        <v>383</v>
      </c>
      <c r="D139" s="60" t="s">
        <v>373</v>
      </c>
      <c r="E139" s="60" t="s">
        <v>721</v>
      </c>
      <c r="F139" s="66" t="s">
        <v>687</v>
      </c>
      <c r="G139" s="82" t="s">
        <v>688</v>
      </c>
      <c r="H139" s="65">
        <f>5056.62/13</f>
        <v>388.97076923076924</v>
      </c>
      <c r="I139" s="65">
        <v>13</v>
      </c>
      <c r="J139" s="65">
        <f t="shared" ref="J139" si="163">I139*8</f>
        <v>104</v>
      </c>
      <c r="K139" s="65">
        <f t="shared" ref="K139" si="164">H139*I139*2</f>
        <v>10113.24</v>
      </c>
      <c r="L139" s="65"/>
      <c r="M139" s="65"/>
      <c r="N139" s="65"/>
      <c r="O139" s="65"/>
      <c r="P139" s="65"/>
      <c r="Q139" s="65"/>
      <c r="R139" s="65"/>
      <c r="S139" s="65"/>
      <c r="T139" s="65"/>
      <c r="U139" s="65"/>
      <c r="V139" s="65"/>
      <c r="W139" s="65"/>
      <c r="X139" s="65"/>
      <c r="Y139" s="65"/>
      <c r="Z139" s="65"/>
      <c r="AA139" s="65">
        <v>656</v>
      </c>
      <c r="AB139" s="65"/>
      <c r="AC139" s="65">
        <v>100</v>
      </c>
      <c r="AD139" s="65">
        <v>125</v>
      </c>
      <c r="AE139" s="65">
        <v>363.3</v>
      </c>
      <c r="AF139" s="65"/>
      <c r="AG139" s="65"/>
      <c r="AH139" s="65"/>
      <c r="AI139" s="65"/>
      <c r="AJ139" s="65">
        <v>9998.77</v>
      </c>
      <c r="AK139" s="65">
        <v>119533.86</v>
      </c>
    </row>
    <row r="140" spans="2:37" ht="12.75" customHeight="1">
      <c r="B140" s="5">
        <v>126</v>
      </c>
      <c r="C140" s="60" t="s">
        <v>384</v>
      </c>
      <c r="D140" s="60" t="s">
        <v>373</v>
      </c>
      <c r="E140" s="60" t="s">
        <v>721</v>
      </c>
      <c r="F140" s="66" t="s">
        <v>687</v>
      </c>
      <c r="G140" s="82" t="s">
        <v>688</v>
      </c>
      <c r="H140" s="65">
        <f>5349.67/13</f>
        <v>411.51307692307694</v>
      </c>
      <c r="I140" s="65">
        <v>13</v>
      </c>
      <c r="J140" s="65">
        <f t="shared" ref="J140" si="165">I140*8</f>
        <v>104</v>
      </c>
      <c r="K140" s="65">
        <f t="shared" ref="K140" si="166">H140*I140*2</f>
        <v>10699.34</v>
      </c>
      <c r="L140" s="65"/>
      <c r="M140" s="65"/>
      <c r="N140" s="65"/>
      <c r="O140" s="65"/>
      <c r="P140" s="65"/>
      <c r="Q140" s="65"/>
      <c r="R140" s="65"/>
      <c r="S140" s="65"/>
      <c r="T140" s="65"/>
      <c r="U140" s="65"/>
      <c r="V140" s="65"/>
      <c r="W140" s="65"/>
      <c r="X140" s="65"/>
      <c r="Y140" s="65"/>
      <c r="Z140" s="65"/>
      <c r="AA140" s="65">
        <f>500+512</f>
        <v>1012</v>
      </c>
      <c r="AB140" s="65"/>
      <c r="AC140" s="65">
        <v>100</v>
      </c>
      <c r="AD140" s="65">
        <v>125</v>
      </c>
      <c r="AE140" s="65">
        <v>381.5</v>
      </c>
      <c r="AF140" s="65"/>
      <c r="AG140" s="65"/>
      <c r="AH140" s="65"/>
      <c r="AI140" s="65"/>
      <c r="AJ140" s="65">
        <v>10364.42</v>
      </c>
      <c r="AK140" s="65">
        <v>126675.02</v>
      </c>
    </row>
    <row r="141" spans="2:37" ht="12.75" customHeight="1">
      <c r="B141" s="5">
        <v>127</v>
      </c>
      <c r="C141" s="60" t="s">
        <v>385</v>
      </c>
      <c r="D141" s="60" t="s">
        <v>386</v>
      </c>
      <c r="E141" s="60" t="s">
        <v>722</v>
      </c>
      <c r="F141" s="66" t="s">
        <v>687</v>
      </c>
      <c r="G141" s="82" t="s">
        <v>688</v>
      </c>
      <c r="H141" s="65">
        <f>6145.14/13</f>
        <v>472.70307692307694</v>
      </c>
      <c r="I141" s="65">
        <v>13</v>
      </c>
      <c r="J141" s="65">
        <f t="shared" ref="J141" si="167">I141*8</f>
        <v>104</v>
      </c>
      <c r="K141" s="65">
        <f t="shared" ref="K141" si="168">H141*I141*2</f>
        <v>12290.28</v>
      </c>
      <c r="L141" s="65"/>
      <c r="M141" s="65"/>
      <c r="N141" s="65"/>
      <c r="O141" s="65"/>
      <c r="P141" s="65"/>
      <c r="Q141" s="65"/>
      <c r="R141" s="65"/>
      <c r="S141" s="65"/>
      <c r="T141" s="65"/>
      <c r="U141" s="65"/>
      <c r="V141" s="65"/>
      <c r="W141" s="65"/>
      <c r="X141" s="65"/>
      <c r="Y141" s="65"/>
      <c r="Z141" s="65"/>
      <c r="AA141" s="65">
        <f>894.4+442</f>
        <v>1336.4</v>
      </c>
      <c r="AB141" s="65"/>
      <c r="AC141" s="65">
        <v>100</v>
      </c>
      <c r="AD141" s="65">
        <v>150</v>
      </c>
      <c r="AE141" s="65">
        <v>454.2</v>
      </c>
      <c r="AF141" s="65"/>
      <c r="AG141" s="65"/>
      <c r="AH141" s="65"/>
      <c r="AI141" s="65"/>
      <c r="AJ141" s="65">
        <v>11739.21</v>
      </c>
      <c r="AK141" s="65">
        <v>146002.06</v>
      </c>
    </row>
    <row r="142" spans="2:37" ht="12.75" customHeight="1">
      <c r="B142" s="5">
        <v>128</v>
      </c>
      <c r="C142" s="60" t="s">
        <v>387</v>
      </c>
      <c r="D142" s="60" t="s">
        <v>388</v>
      </c>
      <c r="E142" s="60" t="s">
        <v>722</v>
      </c>
      <c r="F142" s="66" t="s">
        <v>687</v>
      </c>
      <c r="G142" s="82" t="s">
        <v>688</v>
      </c>
      <c r="H142" s="65">
        <f>4940/13</f>
        <v>380</v>
      </c>
      <c r="I142" s="65">
        <v>13</v>
      </c>
      <c r="J142" s="65">
        <f t="shared" ref="J142" si="169">I142*8</f>
        <v>104</v>
      </c>
      <c r="K142" s="65">
        <f t="shared" ref="K142" si="170">H142*I142*2</f>
        <v>9880</v>
      </c>
      <c r="L142" s="65"/>
      <c r="M142" s="65"/>
      <c r="N142" s="65"/>
      <c r="O142" s="65"/>
      <c r="P142" s="65"/>
      <c r="Q142" s="65"/>
      <c r="R142" s="65"/>
      <c r="S142" s="65"/>
      <c r="T142" s="65"/>
      <c r="U142" s="65"/>
      <c r="V142" s="65"/>
      <c r="W142" s="65"/>
      <c r="X142" s="65"/>
      <c r="Y142" s="65"/>
      <c r="Z142" s="65"/>
      <c r="AA142" s="65">
        <v>512</v>
      </c>
      <c r="AB142" s="65"/>
      <c r="AC142" s="65">
        <v>100</v>
      </c>
      <c r="AD142" s="65">
        <v>112.5</v>
      </c>
      <c r="AE142" s="65">
        <v>363.3</v>
      </c>
      <c r="AF142" s="65"/>
      <c r="AG142" s="65"/>
      <c r="AH142" s="65"/>
      <c r="AI142" s="65"/>
      <c r="AJ142" s="65">
        <v>9453.5300000000007</v>
      </c>
      <c r="AK142" s="65">
        <v>116688</v>
      </c>
    </row>
    <row r="143" spans="2:37" ht="12.75" customHeight="1">
      <c r="B143" s="5">
        <v>129</v>
      </c>
      <c r="C143" s="60" t="s">
        <v>389</v>
      </c>
      <c r="D143" s="60" t="s">
        <v>388</v>
      </c>
      <c r="E143" s="60" t="s">
        <v>722</v>
      </c>
      <c r="F143" s="66" t="s">
        <v>687</v>
      </c>
      <c r="G143" s="82" t="s">
        <v>688</v>
      </c>
      <c r="H143" s="65">
        <v>380</v>
      </c>
      <c r="I143" s="65">
        <v>13</v>
      </c>
      <c r="J143" s="65">
        <f t="shared" ref="J143" si="171">I143*8</f>
        <v>104</v>
      </c>
      <c r="K143" s="65">
        <f t="shared" ref="K143" si="172">H143*I143*2</f>
        <v>9880</v>
      </c>
      <c r="L143" s="65"/>
      <c r="M143" s="65"/>
      <c r="N143" s="65"/>
      <c r="O143" s="65"/>
      <c r="P143" s="65"/>
      <c r="Q143" s="65"/>
      <c r="R143" s="65"/>
      <c r="S143" s="65"/>
      <c r="T143" s="65"/>
      <c r="U143" s="65"/>
      <c r="V143" s="65"/>
      <c r="W143" s="65"/>
      <c r="X143" s="65"/>
      <c r="Y143" s="65"/>
      <c r="Z143" s="65"/>
      <c r="AA143" s="65"/>
      <c r="AB143" s="65"/>
      <c r="AC143" s="65">
        <v>100</v>
      </c>
      <c r="AD143" s="65">
        <v>112.5</v>
      </c>
      <c r="AE143" s="65">
        <v>363.3</v>
      </c>
      <c r="AF143" s="65"/>
      <c r="AG143" s="65"/>
      <c r="AH143" s="65"/>
      <c r="AI143" s="65"/>
      <c r="AJ143" s="65">
        <v>9446.36</v>
      </c>
      <c r="AK143" s="65">
        <v>116688</v>
      </c>
    </row>
    <row r="144" spans="2:37" ht="12.75" customHeight="1">
      <c r="B144" s="5">
        <v>130</v>
      </c>
      <c r="C144" s="60" t="s">
        <v>390</v>
      </c>
      <c r="D144" s="60" t="s">
        <v>388</v>
      </c>
      <c r="E144" s="60" t="s">
        <v>722</v>
      </c>
      <c r="F144" s="66" t="s">
        <v>687</v>
      </c>
      <c r="G144" s="82" t="s">
        <v>688</v>
      </c>
      <c r="H144" s="65">
        <v>380</v>
      </c>
      <c r="I144" s="65">
        <v>13</v>
      </c>
      <c r="J144" s="65">
        <f t="shared" ref="J144" si="173">I144*8</f>
        <v>104</v>
      </c>
      <c r="K144" s="65">
        <f t="shared" ref="K144" si="174">H144*I144*2</f>
        <v>9880</v>
      </c>
      <c r="L144" s="65"/>
      <c r="M144" s="65"/>
      <c r="N144" s="65"/>
      <c r="O144" s="65"/>
      <c r="P144" s="65"/>
      <c r="Q144" s="65"/>
      <c r="R144" s="65"/>
      <c r="S144" s="65"/>
      <c r="T144" s="65"/>
      <c r="U144" s="65"/>
      <c r="V144" s="65"/>
      <c r="W144" s="65"/>
      <c r="X144" s="65"/>
      <c r="Y144" s="65"/>
      <c r="Z144" s="65"/>
      <c r="AA144" s="65"/>
      <c r="AB144" s="65"/>
      <c r="AC144" s="65">
        <v>100</v>
      </c>
      <c r="AD144" s="65">
        <v>112.5</v>
      </c>
      <c r="AE144" s="65">
        <v>363.3</v>
      </c>
      <c r="AF144" s="65"/>
      <c r="AG144" s="65"/>
      <c r="AH144" s="65"/>
      <c r="AI144" s="65"/>
      <c r="AJ144" s="65">
        <v>2755</v>
      </c>
      <c r="AK144" s="65">
        <v>34580</v>
      </c>
    </row>
    <row r="145" spans="2:37" ht="12.75" customHeight="1">
      <c r="B145" s="5">
        <v>131</v>
      </c>
      <c r="C145" s="60" t="s">
        <v>698</v>
      </c>
      <c r="D145" s="60" t="s">
        <v>699</v>
      </c>
      <c r="E145" s="60" t="s">
        <v>723</v>
      </c>
      <c r="F145" s="66" t="s">
        <v>689</v>
      </c>
      <c r="G145" s="82" t="s">
        <v>690</v>
      </c>
      <c r="H145" s="65">
        <v>0</v>
      </c>
      <c r="I145" s="65"/>
      <c r="J145" s="65">
        <f t="shared" ref="J145" si="175">I145*8</f>
        <v>0</v>
      </c>
      <c r="K145" s="65">
        <v>52500</v>
      </c>
      <c r="L145" s="65"/>
      <c r="M145" s="65"/>
      <c r="N145" s="65"/>
      <c r="O145" s="65"/>
      <c r="P145" s="65"/>
      <c r="Q145" s="65"/>
      <c r="R145" s="65"/>
      <c r="S145" s="65"/>
      <c r="T145" s="65"/>
      <c r="U145" s="65"/>
      <c r="V145" s="65"/>
      <c r="W145" s="65"/>
      <c r="X145" s="65"/>
      <c r="Y145" s="65"/>
      <c r="Z145" s="65"/>
      <c r="AA145" s="65"/>
      <c r="AB145" s="65"/>
      <c r="AC145" s="65">
        <v>0</v>
      </c>
      <c r="AD145" s="65">
        <v>0</v>
      </c>
      <c r="AE145" s="65">
        <v>0</v>
      </c>
      <c r="AF145" s="65"/>
      <c r="AG145" s="65"/>
      <c r="AH145" s="65"/>
      <c r="AI145" s="65"/>
      <c r="AJ145" s="65">
        <v>52500</v>
      </c>
      <c r="AK145" s="65">
        <v>630000</v>
      </c>
    </row>
    <row r="146" spans="2:37" ht="12.75" customHeight="1">
      <c r="B146" s="5">
        <v>132</v>
      </c>
      <c r="C146" s="60" t="s">
        <v>391</v>
      </c>
      <c r="D146" s="60" t="s">
        <v>392</v>
      </c>
      <c r="E146" s="60" t="s">
        <v>723</v>
      </c>
      <c r="F146" s="66" t="s">
        <v>687</v>
      </c>
      <c r="G146" s="82" t="s">
        <v>688</v>
      </c>
      <c r="H146" s="65">
        <f>6212.69/13</f>
        <v>477.89923076923071</v>
      </c>
      <c r="I146" s="65">
        <v>13</v>
      </c>
      <c r="J146" s="65">
        <f t="shared" ref="J146" si="176">I146*8</f>
        <v>104</v>
      </c>
      <c r="K146" s="65">
        <f t="shared" ref="K146" si="177">H146*I146*2</f>
        <v>12425.38</v>
      </c>
      <c r="L146" s="65"/>
      <c r="M146" s="65"/>
      <c r="N146" s="65"/>
      <c r="O146" s="65"/>
      <c r="P146" s="65"/>
      <c r="Q146" s="65"/>
      <c r="R146" s="65"/>
      <c r="S146" s="65"/>
      <c r="T146" s="65"/>
      <c r="U146" s="65"/>
      <c r="V146" s="65"/>
      <c r="W146" s="65"/>
      <c r="X146" s="65"/>
      <c r="Y146" s="65"/>
      <c r="Z146" s="65"/>
      <c r="AA146" s="65"/>
      <c r="AB146" s="65"/>
      <c r="AC146" s="65">
        <v>100</v>
      </c>
      <c r="AD146" s="65">
        <v>150</v>
      </c>
      <c r="AE146" s="65">
        <v>454.2</v>
      </c>
      <c r="AF146" s="65"/>
      <c r="AG146" s="65"/>
      <c r="AH146" s="65"/>
      <c r="AI146" s="65"/>
      <c r="AJ146" s="65">
        <v>11305.76</v>
      </c>
      <c r="AK146" s="65">
        <v>143240.35</v>
      </c>
    </row>
    <row r="147" spans="2:37" ht="12.75" customHeight="1">
      <c r="B147" s="5">
        <v>133</v>
      </c>
      <c r="C147" s="60" t="s">
        <v>393</v>
      </c>
      <c r="D147" s="60" t="s">
        <v>394</v>
      </c>
      <c r="E147" s="60" t="s">
        <v>723</v>
      </c>
      <c r="F147" s="66" t="s">
        <v>687</v>
      </c>
      <c r="G147" s="82" t="s">
        <v>688</v>
      </c>
      <c r="H147" s="65">
        <f>5678.96/13</f>
        <v>436.84307692307692</v>
      </c>
      <c r="I147" s="65">
        <v>13</v>
      </c>
      <c r="J147" s="65">
        <f t="shared" ref="J147" si="178">I147*8</f>
        <v>104</v>
      </c>
      <c r="K147" s="65">
        <f t="shared" ref="K147" si="179">H147*I147*2</f>
        <v>11357.92</v>
      </c>
      <c r="L147" s="65"/>
      <c r="M147" s="65"/>
      <c r="N147" s="65"/>
      <c r="O147" s="65"/>
      <c r="P147" s="65"/>
      <c r="Q147" s="65"/>
      <c r="R147" s="65"/>
      <c r="S147" s="65"/>
      <c r="T147" s="65"/>
      <c r="U147" s="65"/>
      <c r="V147" s="65"/>
      <c r="W147" s="65"/>
      <c r="X147" s="65"/>
      <c r="Y147" s="65"/>
      <c r="Z147" s="65"/>
      <c r="AA147" s="65"/>
      <c r="AB147" s="65"/>
      <c r="AC147" s="65">
        <v>100</v>
      </c>
      <c r="AD147" s="65">
        <v>137.5</v>
      </c>
      <c r="AE147" s="65">
        <v>417.8</v>
      </c>
      <c r="AF147" s="65"/>
      <c r="AG147" s="65"/>
      <c r="AH147" s="65"/>
      <c r="AI147" s="65"/>
      <c r="AJ147" s="65">
        <v>10552.26</v>
      </c>
      <c r="AK147" s="65">
        <v>130684.32</v>
      </c>
    </row>
    <row r="148" spans="2:37" ht="12.75" customHeight="1">
      <c r="B148" s="5">
        <v>134</v>
      </c>
      <c r="C148" s="60" t="s">
        <v>395</v>
      </c>
      <c r="D148" s="60" t="s">
        <v>396</v>
      </c>
      <c r="E148" s="60" t="s">
        <v>723</v>
      </c>
      <c r="F148" s="66" t="s">
        <v>687</v>
      </c>
      <c r="G148" s="82" t="s">
        <v>688</v>
      </c>
      <c r="H148" s="65">
        <f>10045.65/11</f>
        <v>913.2409090909091</v>
      </c>
      <c r="I148" s="65">
        <v>11</v>
      </c>
      <c r="J148" s="65">
        <f t="shared" ref="J148" si="180">I148*8</f>
        <v>88</v>
      </c>
      <c r="K148" s="65">
        <f t="shared" ref="K148" si="181">H148*I148*2</f>
        <v>20091.3</v>
      </c>
      <c r="L148" s="65"/>
      <c r="M148" s="65"/>
      <c r="N148" s="65"/>
      <c r="O148" s="65"/>
      <c r="P148" s="65"/>
      <c r="Q148" s="65"/>
      <c r="R148" s="65"/>
      <c r="S148" s="65"/>
      <c r="T148" s="65"/>
      <c r="U148" s="65"/>
      <c r="V148" s="65"/>
      <c r="W148" s="65"/>
      <c r="X148" s="65"/>
      <c r="Y148" s="65"/>
      <c r="Z148" s="65"/>
      <c r="AA148" s="65">
        <v>9975</v>
      </c>
      <c r="AB148" s="65"/>
      <c r="AC148" s="65">
        <v>100</v>
      </c>
      <c r="AD148" s="65">
        <v>250</v>
      </c>
      <c r="AE148" s="65">
        <v>581.29999999999995</v>
      </c>
      <c r="AF148" s="65"/>
      <c r="AG148" s="65"/>
      <c r="AH148" s="65"/>
      <c r="AI148" s="65"/>
      <c r="AJ148" s="65">
        <v>37132.879999999997</v>
      </c>
      <c r="AK148" s="65">
        <v>236659.67</v>
      </c>
    </row>
    <row r="149" spans="2:37" ht="12.75" customHeight="1">
      <c r="B149" s="5">
        <v>135</v>
      </c>
      <c r="C149" s="60" t="s">
        <v>404</v>
      </c>
      <c r="D149" s="60" t="s">
        <v>692</v>
      </c>
      <c r="E149" s="60" t="s">
        <v>724</v>
      </c>
      <c r="F149" s="66" t="s">
        <v>691</v>
      </c>
      <c r="G149" s="82" t="s">
        <v>690</v>
      </c>
      <c r="H149" s="65">
        <v>1346</v>
      </c>
      <c r="I149" s="65">
        <v>13</v>
      </c>
      <c r="J149" s="65">
        <f t="shared" ref="J149" si="182">I149*8</f>
        <v>104</v>
      </c>
      <c r="K149" s="65">
        <f t="shared" ref="K149" si="183">H149*I149*2</f>
        <v>34996</v>
      </c>
      <c r="L149" s="65"/>
      <c r="M149" s="65"/>
      <c r="N149" s="65"/>
      <c r="O149" s="65"/>
      <c r="P149" s="65"/>
      <c r="Q149" s="65"/>
      <c r="R149" s="65"/>
      <c r="S149" s="65"/>
      <c r="T149" s="65"/>
      <c r="U149" s="65"/>
      <c r="V149" s="65"/>
      <c r="W149" s="65"/>
      <c r="X149" s="65"/>
      <c r="Y149" s="65"/>
      <c r="Z149" s="65"/>
      <c r="AA149" s="65"/>
      <c r="AB149" s="65"/>
      <c r="AC149" s="65">
        <v>0</v>
      </c>
      <c r="AD149" s="65">
        <v>0</v>
      </c>
      <c r="AE149" s="65">
        <v>0</v>
      </c>
      <c r="AF149" s="65"/>
      <c r="AG149" s="65"/>
      <c r="AH149" s="65"/>
      <c r="AI149" s="65"/>
      <c r="AJ149" s="65">
        <v>35000</v>
      </c>
      <c r="AK149" s="65">
        <v>420000</v>
      </c>
    </row>
    <row r="150" spans="2:37" ht="12.75" customHeight="1">
      <c r="B150" s="5">
        <v>136</v>
      </c>
      <c r="C150" s="60" t="s">
        <v>397</v>
      </c>
      <c r="D150" s="60" t="s">
        <v>398</v>
      </c>
      <c r="E150" s="60" t="s">
        <v>724</v>
      </c>
      <c r="F150" s="66" t="s">
        <v>687</v>
      </c>
      <c r="G150" s="82" t="s">
        <v>688</v>
      </c>
      <c r="H150" s="65">
        <f>5478.96/13</f>
        <v>421.45846153846156</v>
      </c>
      <c r="I150" s="65">
        <v>13</v>
      </c>
      <c r="J150" s="65">
        <f t="shared" ref="J150" si="184">I150*8</f>
        <v>104</v>
      </c>
      <c r="K150" s="65">
        <f t="shared" ref="K150" si="185">H150*I150*2</f>
        <v>10957.92</v>
      </c>
      <c r="L150" s="65"/>
      <c r="M150" s="65"/>
      <c r="N150" s="65"/>
      <c r="O150" s="65"/>
      <c r="P150" s="65"/>
      <c r="Q150" s="65"/>
      <c r="R150" s="65"/>
      <c r="S150" s="65"/>
      <c r="T150" s="65"/>
      <c r="U150" s="65"/>
      <c r="V150" s="65"/>
      <c r="W150" s="65"/>
      <c r="X150" s="65"/>
      <c r="Y150" s="65"/>
      <c r="Z150" s="65"/>
      <c r="AA150" s="65">
        <v>707</v>
      </c>
      <c r="AB150" s="65"/>
      <c r="AC150" s="65">
        <v>100</v>
      </c>
      <c r="AD150" s="65">
        <v>125</v>
      </c>
      <c r="AE150" s="65">
        <v>399.7</v>
      </c>
      <c r="AF150" s="65"/>
      <c r="AG150" s="65"/>
      <c r="AH150" s="65"/>
      <c r="AI150" s="65"/>
      <c r="AJ150" s="65">
        <v>10757.33</v>
      </c>
      <c r="AK150" s="65">
        <v>129821.32</v>
      </c>
    </row>
    <row r="151" spans="2:37" ht="12.75" customHeight="1">
      <c r="B151" s="5">
        <v>137</v>
      </c>
      <c r="C151" s="60" t="s">
        <v>399</v>
      </c>
      <c r="D151" s="60" t="s">
        <v>398</v>
      </c>
      <c r="E151" s="60" t="s">
        <v>724</v>
      </c>
      <c r="F151" s="66" t="s">
        <v>687</v>
      </c>
      <c r="G151" s="82" t="s">
        <v>688</v>
      </c>
      <c r="H151" s="65">
        <v>380</v>
      </c>
      <c r="I151" s="65">
        <v>13</v>
      </c>
      <c r="J151" s="65">
        <f t="shared" ref="J151" si="186">I151*8</f>
        <v>104</v>
      </c>
      <c r="K151" s="65">
        <f t="shared" ref="K151" si="187">H151*I151*2</f>
        <v>9880</v>
      </c>
      <c r="L151" s="65"/>
      <c r="M151" s="65"/>
      <c r="N151" s="65"/>
      <c r="O151" s="65"/>
      <c r="P151" s="65"/>
      <c r="Q151" s="65"/>
      <c r="R151" s="65"/>
      <c r="S151" s="65"/>
      <c r="T151" s="65"/>
      <c r="U151" s="65"/>
      <c r="V151" s="65"/>
      <c r="W151" s="65"/>
      <c r="X151" s="65"/>
      <c r="Y151" s="65"/>
      <c r="Z151" s="65"/>
      <c r="AA151" s="65"/>
      <c r="AB151" s="65"/>
      <c r="AC151" s="65">
        <v>100</v>
      </c>
      <c r="AD151" s="65">
        <v>112.5</v>
      </c>
      <c r="AE151" s="65">
        <v>363.3</v>
      </c>
      <c r="AF151" s="65"/>
      <c r="AG151" s="65"/>
      <c r="AH151" s="65"/>
      <c r="AI151" s="65"/>
      <c r="AJ151" s="65">
        <v>9486.4500000000007</v>
      </c>
      <c r="AK151" s="65">
        <v>116688</v>
      </c>
    </row>
    <row r="152" spans="2:37" ht="12.75" customHeight="1">
      <c r="B152" s="5">
        <v>138</v>
      </c>
      <c r="C152" s="60" t="s">
        <v>400</v>
      </c>
      <c r="D152" s="60" t="s">
        <v>401</v>
      </c>
      <c r="E152" s="60" t="s">
        <v>724</v>
      </c>
      <c r="F152" s="66" t="s">
        <v>687</v>
      </c>
      <c r="G152" s="82" t="s">
        <v>688</v>
      </c>
      <c r="H152" s="65">
        <f>8587.08/13</f>
        <v>660.54461538461533</v>
      </c>
      <c r="I152" s="65">
        <v>13</v>
      </c>
      <c r="J152" s="65">
        <f t="shared" ref="J152" si="188">I152*8</f>
        <v>104</v>
      </c>
      <c r="K152" s="65">
        <f t="shared" ref="K152" si="189">H152*I152*2</f>
        <v>17174.16</v>
      </c>
      <c r="L152" s="65"/>
      <c r="M152" s="65"/>
      <c r="N152" s="65"/>
      <c r="O152" s="65"/>
      <c r="P152" s="65"/>
      <c r="Q152" s="65"/>
      <c r="R152" s="65"/>
      <c r="S152" s="65"/>
      <c r="T152" s="65"/>
      <c r="U152" s="65"/>
      <c r="V152" s="65"/>
      <c r="W152" s="65"/>
      <c r="X152" s="65"/>
      <c r="Y152" s="65"/>
      <c r="Z152" s="65"/>
      <c r="AA152" s="65">
        <v>1073</v>
      </c>
      <c r="AB152" s="65"/>
      <c r="AC152" s="65">
        <v>100</v>
      </c>
      <c r="AD152" s="65">
        <v>212.5</v>
      </c>
      <c r="AE152" s="65">
        <v>581.29999999999995</v>
      </c>
      <c r="AF152" s="65"/>
      <c r="AG152" s="65"/>
      <c r="AH152" s="65"/>
      <c r="AI152" s="65"/>
      <c r="AJ152" s="65">
        <v>17060.12</v>
      </c>
      <c r="AK152" s="65">
        <v>205044.21</v>
      </c>
    </row>
    <row r="153" spans="2:37" ht="12.75" customHeight="1">
      <c r="B153" s="5">
        <v>139</v>
      </c>
      <c r="C153" s="60" t="s">
        <v>402</v>
      </c>
      <c r="D153" s="60" t="s">
        <v>403</v>
      </c>
      <c r="E153" s="60" t="s">
        <v>724</v>
      </c>
      <c r="F153" s="66" t="s">
        <v>687</v>
      </c>
      <c r="G153" s="82" t="s">
        <v>688</v>
      </c>
      <c r="H153" s="65">
        <f>6659.01/13</f>
        <v>512.23153846153843</v>
      </c>
      <c r="I153" s="65">
        <v>13</v>
      </c>
      <c r="J153" s="65">
        <f t="shared" ref="J153" si="190">I153*8</f>
        <v>104</v>
      </c>
      <c r="K153" s="65">
        <f t="shared" ref="K153" si="191">H153*I153*2</f>
        <v>13318.019999999999</v>
      </c>
      <c r="L153" s="65"/>
      <c r="M153" s="65"/>
      <c r="N153" s="65"/>
      <c r="O153" s="65"/>
      <c r="P153" s="65"/>
      <c r="Q153" s="65"/>
      <c r="R153" s="65"/>
      <c r="S153" s="65"/>
      <c r="T153" s="65"/>
      <c r="U153" s="65"/>
      <c r="V153" s="65"/>
      <c r="W153" s="65"/>
      <c r="X153" s="65"/>
      <c r="Y153" s="65"/>
      <c r="Z153" s="65"/>
      <c r="AA153" s="65">
        <f>500+894</f>
        <v>1394</v>
      </c>
      <c r="AB153" s="65"/>
      <c r="AC153" s="65">
        <v>100</v>
      </c>
      <c r="AD153" s="65">
        <v>162.5</v>
      </c>
      <c r="AE153" s="65">
        <v>490.5</v>
      </c>
      <c r="AF153" s="65"/>
      <c r="AG153" s="65"/>
      <c r="AH153" s="65"/>
      <c r="AI153" s="65"/>
      <c r="AJ153" s="65">
        <v>13122.33</v>
      </c>
      <c r="AK153" s="65">
        <v>158454.91</v>
      </c>
    </row>
    <row r="154" spans="2:37" ht="12.75" customHeight="1">
      <c r="B154" s="5">
        <v>140</v>
      </c>
      <c r="C154" s="60" t="s">
        <v>405</v>
      </c>
      <c r="D154" s="60" t="s">
        <v>232</v>
      </c>
      <c r="E154" s="60" t="s">
        <v>725</v>
      </c>
      <c r="F154" s="66" t="s">
        <v>687</v>
      </c>
      <c r="G154" s="82" t="s">
        <v>688</v>
      </c>
      <c r="H154" s="65">
        <f>4248.51/11</f>
        <v>386.22818181818184</v>
      </c>
      <c r="I154" s="65">
        <v>11</v>
      </c>
      <c r="J154" s="65">
        <f t="shared" ref="J154" si="192">I154*8</f>
        <v>88</v>
      </c>
      <c r="K154" s="65">
        <f t="shared" ref="K154" si="193">H154*I154*2</f>
        <v>8497.02</v>
      </c>
      <c r="L154" s="65"/>
      <c r="M154" s="65"/>
      <c r="N154" s="65">
        <v>250</v>
      </c>
      <c r="O154" s="65"/>
      <c r="P154" s="65"/>
      <c r="Q154" s="65"/>
      <c r="R154" s="65"/>
      <c r="S154" s="65"/>
      <c r="T154" s="65"/>
      <c r="U154" s="65"/>
      <c r="V154" s="65">
        <v>125</v>
      </c>
      <c r="W154" s="65"/>
      <c r="X154" s="65"/>
      <c r="Y154" s="65"/>
      <c r="Z154" s="65"/>
      <c r="AA154" s="65">
        <f>442+500+500</f>
        <v>1442</v>
      </c>
      <c r="AB154" s="65"/>
      <c r="AC154" s="65">
        <v>100</v>
      </c>
      <c r="AD154" s="65">
        <v>100</v>
      </c>
      <c r="AE154" s="65">
        <v>308.8</v>
      </c>
      <c r="AF154" s="65"/>
      <c r="AG154" s="65"/>
      <c r="AH154" s="65"/>
      <c r="AI154" s="65"/>
      <c r="AJ154" s="65">
        <v>7929.02</v>
      </c>
      <c r="AK154" s="65">
        <v>100407.93</v>
      </c>
    </row>
    <row r="155" spans="2:37" ht="12.75" customHeight="1">
      <c r="B155" s="5">
        <v>141</v>
      </c>
      <c r="C155" s="60" t="s">
        <v>406</v>
      </c>
      <c r="D155" s="60" t="s">
        <v>407</v>
      </c>
      <c r="E155" s="60" t="s">
        <v>725</v>
      </c>
      <c r="F155" s="66" t="s">
        <v>687</v>
      </c>
      <c r="G155" s="82" t="s">
        <v>688</v>
      </c>
      <c r="H155" s="65">
        <f>4180/11</f>
        <v>380</v>
      </c>
      <c r="I155" s="65">
        <v>11</v>
      </c>
      <c r="J155" s="65">
        <f t="shared" ref="J155" si="194">I155*8</f>
        <v>88</v>
      </c>
      <c r="K155" s="65">
        <f t="shared" ref="K155" si="195">H155*I155*2</f>
        <v>8360</v>
      </c>
      <c r="L155" s="65"/>
      <c r="M155" s="65"/>
      <c r="N155" s="65">
        <v>250</v>
      </c>
      <c r="O155" s="65"/>
      <c r="P155" s="65"/>
      <c r="Q155" s="65"/>
      <c r="R155" s="65"/>
      <c r="S155" s="65"/>
      <c r="T155" s="65"/>
      <c r="U155" s="65"/>
      <c r="V155" s="65">
        <v>125</v>
      </c>
      <c r="W155" s="65"/>
      <c r="X155" s="65"/>
      <c r="Y155" s="65"/>
      <c r="Z155" s="65"/>
      <c r="AA155" s="65">
        <v>500</v>
      </c>
      <c r="AB155" s="65"/>
      <c r="AC155" s="65">
        <v>100</v>
      </c>
      <c r="AD155" s="65">
        <v>100</v>
      </c>
      <c r="AE155" s="65">
        <v>308.8</v>
      </c>
      <c r="AF155" s="65"/>
      <c r="AG155" s="65"/>
      <c r="AH155" s="65"/>
      <c r="AI155" s="65"/>
      <c r="AJ155" s="65">
        <v>5855.48</v>
      </c>
      <c r="AK155" s="65">
        <v>33870.92</v>
      </c>
    </row>
    <row r="156" spans="2:37" ht="12.75" customHeight="1">
      <c r="B156" s="5">
        <v>142</v>
      </c>
      <c r="C156" s="60" t="s">
        <v>408</v>
      </c>
      <c r="D156" s="60" t="s">
        <v>232</v>
      </c>
      <c r="E156" s="60" t="s">
        <v>725</v>
      </c>
      <c r="F156" s="66" t="s">
        <v>687</v>
      </c>
      <c r="G156" s="82" t="s">
        <v>688</v>
      </c>
      <c r="H156" s="65">
        <v>386.23</v>
      </c>
      <c r="I156" s="65">
        <v>11</v>
      </c>
      <c r="J156" s="65">
        <f t="shared" ref="J156" si="196">I156*8</f>
        <v>88</v>
      </c>
      <c r="K156" s="65">
        <f t="shared" ref="K156" si="197">H156*I156*2</f>
        <v>8497.0600000000013</v>
      </c>
      <c r="L156" s="65"/>
      <c r="M156" s="65"/>
      <c r="N156" s="65">
        <v>250</v>
      </c>
      <c r="O156" s="65"/>
      <c r="P156" s="65"/>
      <c r="Q156" s="65"/>
      <c r="R156" s="65"/>
      <c r="S156" s="65"/>
      <c r="T156" s="65"/>
      <c r="U156" s="65"/>
      <c r="V156" s="65">
        <v>125</v>
      </c>
      <c r="W156" s="65"/>
      <c r="X156" s="65"/>
      <c r="Y156" s="65"/>
      <c r="Z156" s="65"/>
      <c r="AA156" s="65">
        <f>500+500</f>
        <v>1000</v>
      </c>
      <c r="AB156" s="65"/>
      <c r="AC156" s="65">
        <v>100</v>
      </c>
      <c r="AD156" s="65">
        <v>100</v>
      </c>
      <c r="AE156" s="65">
        <v>308.8</v>
      </c>
      <c r="AF156" s="65"/>
      <c r="AG156" s="65"/>
      <c r="AH156" s="65"/>
      <c r="AI156" s="65"/>
      <c r="AJ156" s="65">
        <v>5204.8999999999996</v>
      </c>
      <c r="AK156" s="65">
        <v>67803.17</v>
      </c>
    </row>
    <row r="157" spans="2:37" ht="12.75" customHeight="1">
      <c r="B157" s="5">
        <v>143</v>
      </c>
      <c r="C157" s="60" t="s">
        <v>409</v>
      </c>
      <c r="D157" s="60" t="s">
        <v>232</v>
      </c>
      <c r="E157" s="60" t="s">
        <v>725</v>
      </c>
      <c r="F157" s="66" t="s">
        <v>687</v>
      </c>
      <c r="G157" s="82" t="s">
        <v>688</v>
      </c>
      <c r="H157" s="65">
        <v>386.23</v>
      </c>
      <c r="I157" s="65">
        <v>11</v>
      </c>
      <c r="J157" s="65">
        <f t="shared" ref="J157" si="198">I157*8</f>
        <v>88</v>
      </c>
      <c r="K157" s="65">
        <f t="shared" ref="K157" si="199">H157*I157*2</f>
        <v>8497.0600000000013</v>
      </c>
      <c r="L157" s="65"/>
      <c r="M157" s="65"/>
      <c r="N157" s="65">
        <v>250</v>
      </c>
      <c r="O157" s="65"/>
      <c r="P157" s="65"/>
      <c r="Q157" s="65"/>
      <c r="R157" s="65"/>
      <c r="S157" s="65"/>
      <c r="T157" s="65"/>
      <c r="U157" s="65"/>
      <c r="V157" s="65">
        <v>125</v>
      </c>
      <c r="W157" s="65"/>
      <c r="X157" s="65"/>
      <c r="Y157" s="65"/>
      <c r="Z157" s="65"/>
      <c r="AA157" s="65">
        <f>500+500</f>
        <v>1000</v>
      </c>
      <c r="AB157" s="65"/>
      <c r="AC157" s="65">
        <v>100</v>
      </c>
      <c r="AD157" s="65">
        <v>100</v>
      </c>
      <c r="AE157" s="65">
        <v>308.8</v>
      </c>
      <c r="AF157" s="65"/>
      <c r="AG157" s="65"/>
      <c r="AH157" s="65"/>
      <c r="AI157" s="65"/>
      <c r="AJ157" s="65">
        <v>8054.44</v>
      </c>
      <c r="AK157" s="65">
        <v>100407.93</v>
      </c>
    </row>
    <row r="158" spans="2:37" ht="12.75" customHeight="1">
      <c r="B158" s="5">
        <v>144</v>
      </c>
      <c r="C158" s="60" t="s">
        <v>410</v>
      </c>
      <c r="D158" s="60" t="s">
        <v>232</v>
      </c>
      <c r="E158" s="60" t="s">
        <v>725</v>
      </c>
      <c r="F158" s="66" t="s">
        <v>687</v>
      </c>
      <c r="G158" s="82" t="s">
        <v>688</v>
      </c>
      <c r="H158" s="65">
        <v>386.23</v>
      </c>
      <c r="I158" s="65">
        <v>11</v>
      </c>
      <c r="J158" s="65">
        <f t="shared" ref="J158" si="200">I158*8</f>
        <v>88</v>
      </c>
      <c r="K158" s="65">
        <f t="shared" ref="K158" si="201">H158*I158*2</f>
        <v>8497.0600000000013</v>
      </c>
      <c r="L158" s="65"/>
      <c r="M158" s="65"/>
      <c r="N158" s="65">
        <v>250</v>
      </c>
      <c r="O158" s="65"/>
      <c r="P158" s="65"/>
      <c r="Q158" s="65"/>
      <c r="R158" s="65"/>
      <c r="S158" s="65"/>
      <c r="T158" s="65"/>
      <c r="U158" s="65"/>
      <c r="V158" s="65">
        <v>125</v>
      </c>
      <c r="W158" s="65"/>
      <c r="X158" s="65"/>
      <c r="Y158" s="65"/>
      <c r="Z158" s="65"/>
      <c r="AA158" s="65">
        <f>500+500</f>
        <v>1000</v>
      </c>
      <c r="AB158" s="65"/>
      <c r="AC158" s="65">
        <v>100</v>
      </c>
      <c r="AD158" s="65">
        <v>100</v>
      </c>
      <c r="AE158" s="65">
        <v>308.8</v>
      </c>
      <c r="AF158" s="65"/>
      <c r="AG158" s="65"/>
      <c r="AH158" s="65"/>
      <c r="AI158" s="65"/>
      <c r="AJ158" s="65">
        <v>8154.99</v>
      </c>
      <c r="AK158" s="65">
        <v>100407.93</v>
      </c>
    </row>
    <row r="159" spans="2:37" ht="12.75" customHeight="1">
      <c r="B159" s="5">
        <v>145</v>
      </c>
      <c r="C159" s="60" t="s">
        <v>411</v>
      </c>
      <c r="D159" s="60" t="s">
        <v>412</v>
      </c>
      <c r="E159" s="60" t="s">
        <v>725</v>
      </c>
      <c r="F159" s="66" t="s">
        <v>687</v>
      </c>
      <c r="G159" s="82" t="s">
        <v>688</v>
      </c>
      <c r="H159" s="65">
        <f>5060.37/11</f>
        <v>460.03363636363633</v>
      </c>
      <c r="I159" s="65">
        <v>11</v>
      </c>
      <c r="J159" s="65">
        <f t="shared" ref="J159" si="202">I159*8</f>
        <v>88</v>
      </c>
      <c r="K159" s="65">
        <f t="shared" ref="K159" si="203">H159*I159*2</f>
        <v>10120.74</v>
      </c>
      <c r="L159" s="65"/>
      <c r="M159" s="65"/>
      <c r="N159" s="65">
        <v>0</v>
      </c>
      <c r="O159" s="65"/>
      <c r="P159" s="65"/>
      <c r="Q159" s="65"/>
      <c r="R159" s="65"/>
      <c r="S159" s="65"/>
      <c r="T159" s="65"/>
      <c r="U159" s="65"/>
      <c r="V159" s="65">
        <v>0</v>
      </c>
      <c r="W159" s="65"/>
      <c r="X159" s="65"/>
      <c r="Y159" s="65"/>
      <c r="Z159" s="65"/>
      <c r="AA159" s="65">
        <f>566</f>
        <v>566</v>
      </c>
      <c r="AB159" s="65"/>
      <c r="AC159" s="65">
        <v>100</v>
      </c>
      <c r="AD159" s="65">
        <v>125</v>
      </c>
      <c r="AE159" s="65">
        <v>363.3</v>
      </c>
      <c r="AF159" s="65"/>
      <c r="AG159" s="65"/>
      <c r="AH159" s="65"/>
      <c r="AI159" s="65"/>
      <c r="AJ159" s="65">
        <v>9690.42</v>
      </c>
      <c r="AK159" s="65">
        <v>120159</v>
      </c>
    </row>
    <row r="160" spans="2:37" ht="12.75" customHeight="1">
      <c r="B160" s="5">
        <v>146</v>
      </c>
      <c r="C160" s="60" t="s">
        <v>413</v>
      </c>
      <c r="D160" s="60" t="s">
        <v>414</v>
      </c>
      <c r="E160" s="60" t="s">
        <v>725</v>
      </c>
      <c r="F160" s="66" t="s">
        <v>687</v>
      </c>
      <c r="G160" s="82" t="s">
        <v>688</v>
      </c>
      <c r="H160" s="65">
        <v>386.23</v>
      </c>
      <c r="I160" s="65">
        <v>11</v>
      </c>
      <c r="J160" s="65">
        <f t="shared" ref="J160" si="204">I160*8</f>
        <v>88</v>
      </c>
      <c r="K160" s="65">
        <f t="shared" ref="K160" si="205">H160*I160*2</f>
        <v>8497.0600000000013</v>
      </c>
      <c r="L160" s="65"/>
      <c r="M160" s="65"/>
      <c r="N160" s="65">
        <v>250</v>
      </c>
      <c r="O160" s="65"/>
      <c r="P160" s="65"/>
      <c r="Q160" s="65"/>
      <c r="R160" s="65"/>
      <c r="S160" s="65"/>
      <c r="T160" s="65"/>
      <c r="U160" s="65"/>
      <c r="V160" s="65">
        <v>125</v>
      </c>
      <c r="W160" s="65"/>
      <c r="X160" s="65"/>
      <c r="Y160" s="65"/>
      <c r="Z160" s="65"/>
      <c r="AA160" s="65">
        <f>500+500</f>
        <v>1000</v>
      </c>
      <c r="AB160" s="65"/>
      <c r="AC160" s="65">
        <v>100</v>
      </c>
      <c r="AD160" s="65">
        <v>100</v>
      </c>
      <c r="AE160" s="65">
        <v>308.8</v>
      </c>
      <c r="AF160" s="65"/>
      <c r="AG160" s="65"/>
      <c r="AH160" s="65"/>
      <c r="AI160" s="65"/>
      <c r="AJ160" s="65">
        <v>8053.49</v>
      </c>
      <c r="AK160" s="65">
        <v>100407.93</v>
      </c>
    </row>
    <row r="161" spans="2:37" ht="12.75" customHeight="1">
      <c r="B161" s="5">
        <v>147</v>
      </c>
      <c r="C161" s="60" t="s">
        <v>415</v>
      </c>
      <c r="D161" s="60" t="s">
        <v>414</v>
      </c>
      <c r="E161" s="60" t="s">
        <v>725</v>
      </c>
      <c r="F161" s="66" t="s">
        <v>687</v>
      </c>
      <c r="G161" s="82" t="s">
        <v>688</v>
      </c>
      <c r="H161" s="65">
        <v>386.23</v>
      </c>
      <c r="I161" s="65">
        <v>11</v>
      </c>
      <c r="J161" s="65">
        <f t="shared" ref="J161" si="206">I161*8</f>
        <v>88</v>
      </c>
      <c r="K161" s="65">
        <f t="shared" ref="K161" si="207">H161*I161*2</f>
        <v>8497.0600000000013</v>
      </c>
      <c r="L161" s="65"/>
      <c r="M161" s="65"/>
      <c r="N161" s="65">
        <v>250</v>
      </c>
      <c r="O161" s="65"/>
      <c r="P161" s="65"/>
      <c r="Q161" s="65"/>
      <c r="R161" s="65"/>
      <c r="S161" s="65"/>
      <c r="T161" s="65"/>
      <c r="U161" s="65"/>
      <c r="V161" s="65">
        <v>125</v>
      </c>
      <c r="W161" s="65"/>
      <c r="X161" s="65"/>
      <c r="Y161" s="65"/>
      <c r="Z161" s="65"/>
      <c r="AA161" s="65">
        <f>500+500</f>
        <v>1000</v>
      </c>
      <c r="AB161" s="65"/>
      <c r="AC161" s="65">
        <v>100</v>
      </c>
      <c r="AD161" s="65">
        <v>100</v>
      </c>
      <c r="AE161" s="65">
        <v>308.8</v>
      </c>
      <c r="AF161" s="65"/>
      <c r="AG161" s="65"/>
      <c r="AH161" s="65"/>
      <c r="AI161" s="65"/>
      <c r="AJ161" s="65">
        <v>8083.43</v>
      </c>
      <c r="AK161" s="65">
        <v>98262.74</v>
      </c>
    </row>
    <row r="162" spans="2:37" ht="12.75" customHeight="1">
      <c r="B162" s="5">
        <v>148</v>
      </c>
      <c r="C162" s="60" t="s">
        <v>416</v>
      </c>
      <c r="D162" s="60" t="s">
        <v>232</v>
      </c>
      <c r="E162" s="60" t="s">
        <v>725</v>
      </c>
      <c r="F162" s="66" t="s">
        <v>687</v>
      </c>
      <c r="G162" s="82" t="s">
        <v>688</v>
      </c>
      <c r="H162" s="65">
        <v>386.23</v>
      </c>
      <c r="I162" s="65">
        <v>11</v>
      </c>
      <c r="J162" s="65">
        <f t="shared" ref="J162" si="208">I162*8</f>
        <v>88</v>
      </c>
      <c r="K162" s="65">
        <f t="shared" ref="K162" si="209">H162*I162*2</f>
        <v>8497.0600000000013</v>
      </c>
      <c r="L162" s="65"/>
      <c r="M162" s="65"/>
      <c r="N162" s="65">
        <v>250</v>
      </c>
      <c r="O162" s="65"/>
      <c r="P162" s="65"/>
      <c r="Q162" s="65"/>
      <c r="R162" s="65"/>
      <c r="S162" s="65"/>
      <c r="T162" s="65"/>
      <c r="U162" s="65"/>
      <c r="V162" s="65">
        <v>125</v>
      </c>
      <c r="W162" s="65"/>
      <c r="X162" s="65"/>
      <c r="Y162" s="65"/>
      <c r="Z162" s="65"/>
      <c r="AA162" s="65">
        <f>500+500</f>
        <v>1000</v>
      </c>
      <c r="AB162" s="65"/>
      <c r="AC162" s="65">
        <v>100</v>
      </c>
      <c r="AD162" s="65">
        <v>100</v>
      </c>
      <c r="AE162" s="65">
        <v>308.8</v>
      </c>
      <c r="AF162" s="65"/>
      <c r="AG162" s="65"/>
      <c r="AH162" s="65"/>
      <c r="AI162" s="65"/>
      <c r="AJ162" s="65">
        <v>8388.2900000000009</v>
      </c>
      <c r="AK162" s="65">
        <v>100121.55</v>
      </c>
    </row>
    <row r="163" spans="2:37" ht="12.75" customHeight="1">
      <c r="B163" s="5">
        <v>149</v>
      </c>
      <c r="C163" s="60" t="s">
        <v>417</v>
      </c>
      <c r="D163" s="60" t="s">
        <v>407</v>
      </c>
      <c r="E163" s="60" t="s">
        <v>725</v>
      </c>
      <c r="F163" s="66" t="s">
        <v>687</v>
      </c>
      <c r="G163" s="82" t="s">
        <v>688</v>
      </c>
      <c r="H163" s="65">
        <v>380</v>
      </c>
      <c r="I163" s="65">
        <v>11</v>
      </c>
      <c r="J163" s="65">
        <f t="shared" ref="J163" si="210">I163*8</f>
        <v>88</v>
      </c>
      <c r="K163" s="65">
        <f t="shared" ref="K163" si="211">H163*I163*2</f>
        <v>8360</v>
      </c>
      <c r="L163" s="65"/>
      <c r="M163" s="65"/>
      <c r="N163" s="65">
        <v>250</v>
      </c>
      <c r="O163" s="65"/>
      <c r="P163" s="65"/>
      <c r="Q163" s="65"/>
      <c r="R163" s="65"/>
      <c r="S163" s="65"/>
      <c r="T163" s="65"/>
      <c r="U163" s="65"/>
      <c r="V163" s="65">
        <v>125</v>
      </c>
      <c r="W163" s="65"/>
      <c r="X163" s="65"/>
      <c r="Y163" s="65"/>
      <c r="Z163" s="65"/>
      <c r="AA163" s="65">
        <v>500</v>
      </c>
      <c r="AB163" s="65"/>
      <c r="AC163" s="65">
        <v>100</v>
      </c>
      <c r="AD163" s="65">
        <v>100</v>
      </c>
      <c r="AE163" s="65">
        <v>308.8</v>
      </c>
      <c r="AF163" s="65"/>
      <c r="AG163" s="65"/>
      <c r="AH163" s="65"/>
      <c r="AI163" s="65"/>
      <c r="AJ163" s="65">
        <v>8169.62</v>
      </c>
      <c r="AK163" s="65">
        <v>98736</v>
      </c>
    </row>
    <row r="164" spans="2:37" ht="12.75" customHeight="1">
      <c r="B164" s="5">
        <v>150</v>
      </c>
      <c r="C164" s="60" t="s">
        <v>418</v>
      </c>
      <c r="D164" s="60" t="s">
        <v>232</v>
      </c>
      <c r="E164" s="60" t="s">
        <v>725</v>
      </c>
      <c r="F164" s="66" t="s">
        <v>687</v>
      </c>
      <c r="G164" s="82" t="s">
        <v>688</v>
      </c>
      <c r="H164" s="65">
        <v>386.23</v>
      </c>
      <c r="I164" s="65">
        <v>11</v>
      </c>
      <c r="J164" s="65">
        <f t="shared" ref="J164" si="212">I164*8</f>
        <v>88</v>
      </c>
      <c r="K164" s="65">
        <f t="shared" ref="K164" si="213">H164*I164*2</f>
        <v>8497.0600000000013</v>
      </c>
      <c r="L164" s="65"/>
      <c r="M164" s="65"/>
      <c r="N164" s="65"/>
      <c r="O164" s="65"/>
      <c r="P164" s="65"/>
      <c r="Q164" s="65"/>
      <c r="R164" s="65"/>
      <c r="S164" s="65"/>
      <c r="T164" s="65"/>
      <c r="U164" s="65"/>
      <c r="V164" s="65">
        <v>125</v>
      </c>
      <c r="W164" s="65"/>
      <c r="X164" s="65"/>
      <c r="Y164" s="65"/>
      <c r="Z164" s="65"/>
      <c r="AA164" s="65">
        <v>250</v>
      </c>
      <c r="AB164" s="65"/>
      <c r="AC164" s="65">
        <v>100</v>
      </c>
      <c r="AD164" s="65">
        <v>100</v>
      </c>
      <c r="AE164" s="65">
        <v>308.8</v>
      </c>
      <c r="AF164" s="65"/>
      <c r="AG164" s="65"/>
      <c r="AH164" s="65"/>
      <c r="AI164" s="65"/>
      <c r="AJ164" s="65">
        <v>2478.29</v>
      </c>
      <c r="AK164" s="65">
        <v>29739.53</v>
      </c>
    </row>
    <row r="165" spans="2:37" ht="12.75" customHeight="1">
      <c r="B165" s="5">
        <v>151</v>
      </c>
      <c r="C165" s="60" t="s">
        <v>419</v>
      </c>
      <c r="D165" s="60" t="s">
        <v>232</v>
      </c>
      <c r="E165" s="60" t="s">
        <v>725</v>
      </c>
      <c r="F165" s="66" t="s">
        <v>687</v>
      </c>
      <c r="G165" s="82" t="s">
        <v>688</v>
      </c>
      <c r="H165" s="65">
        <v>386.23</v>
      </c>
      <c r="I165" s="65">
        <v>11</v>
      </c>
      <c r="J165" s="65">
        <f t="shared" ref="J165" si="214">I165*8</f>
        <v>88</v>
      </c>
      <c r="K165" s="65">
        <f t="shared" ref="K165" si="215">H165*I165*2</f>
        <v>8497.0600000000013</v>
      </c>
      <c r="L165" s="65"/>
      <c r="M165" s="65"/>
      <c r="N165" s="65">
        <v>250</v>
      </c>
      <c r="O165" s="65"/>
      <c r="P165" s="65"/>
      <c r="Q165" s="65"/>
      <c r="R165" s="65"/>
      <c r="S165" s="65"/>
      <c r="T165" s="65"/>
      <c r="U165" s="65"/>
      <c r="V165" s="65">
        <v>125</v>
      </c>
      <c r="W165" s="65"/>
      <c r="X165" s="65"/>
      <c r="Y165" s="65"/>
      <c r="Z165" s="65"/>
      <c r="AA165" s="65">
        <f>500+353+250</f>
        <v>1103</v>
      </c>
      <c r="AB165" s="65"/>
      <c r="AC165" s="65">
        <v>100</v>
      </c>
      <c r="AD165" s="65">
        <v>100</v>
      </c>
      <c r="AE165" s="65">
        <v>308.8</v>
      </c>
      <c r="AF165" s="65"/>
      <c r="AG165" s="65"/>
      <c r="AH165" s="65"/>
      <c r="AI165" s="65"/>
      <c r="AJ165" s="65">
        <v>8111.95</v>
      </c>
      <c r="AK165" s="65">
        <v>100407.93</v>
      </c>
    </row>
    <row r="166" spans="2:37" ht="12.75" customHeight="1">
      <c r="B166" s="5">
        <v>152</v>
      </c>
      <c r="C166" s="60" t="s">
        <v>420</v>
      </c>
      <c r="D166" s="60" t="s">
        <v>232</v>
      </c>
      <c r="E166" s="60" t="s">
        <v>725</v>
      </c>
      <c r="F166" s="66" t="s">
        <v>687</v>
      </c>
      <c r="G166" s="82" t="s">
        <v>688</v>
      </c>
      <c r="H166" s="65">
        <v>386.23</v>
      </c>
      <c r="I166" s="65">
        <v>11</v>
      </c>
      <c r="J166" s="65">
        <f t="shared" ref="J166" si="216">I166*8</f>
        <v>88</v>
      </c>
      <c r="K166" s="65">
        <f t="shared" ref="K166" si="217">H166*I166*2</f>
        <v>8497.0600000000013</v>
      </c>
      <c r="L166" s="65"/>
      <c r="M166" s="65"/>
      <c r="N166" s="65">
        <v>250</v>
      </c>
      <c r="O166" s="65"/>
      <c r="P166" s="65"/>
      <c r="Q166" s="65"/>
      <c r="R166" s="65"/>
      <c r="S166" s="65"/>
      <c r="T166" s="65"/>
      <c r="U166" s="65"/>
      <c r="V166" s="65">
        <v>125</v>
      </c>
      <c r="W166" s="65"/>
      <c r="X166" s="65"/>
      <c r="Y166" s="65"/>
      <c r="Z166" s="65"/>
      <c r="AA166" s="65">
        <f>500+500</f>
        <v>1000</v>
      </c>
      <c r="AB166" s="65"/>
      <c r="AC166" s="65">
        <v>100</v>
      </c>
      <c r="AD166" s="65">
        <v>100</v>
      </c>
      <c r="AE166" s="65">
        <v>308.8</v>
      </c>
      <c r="AF166" s="65"/>
      <c r="AG166" s="65"/>
      <c r="AH166" s="65"/>
      <c r="AI166" s="65"/>
      <c r="AJ166" s="65">
        <v>8018.41</v>
      </c>
      <c r="AK166" s="65">
        <v>100407.93</v>
      </c>
    </row>
    <row r="167" spans="2:37" ht="12.75" customHeight="1">
      <c r="B167" s="5">
        <v>153</v>
      </c>
      <c r="C167" s="60" t="s">
        <v>421</v>
      </c>
      <c r="D167" s="60" t="s">
        <v>422</v>
      </c>
      <c r="E167" s="60" t="s">
        <v>725</v>
      </c>
      <c r="F167" s="66" t="s">
        <v>687</v>
      </c>
      <c r="G167" s="82" t="s">
        <v>688</v>
      </c>
      <c r="H167" s="65">
        <v>386.23</v>
      </c>
      <c r="I167" s="65">
        <v>11</v>
      </c>
      <c r="J167" s="65">
        <f t="shared" ref="J167" si="218">I167*8</f>
        <v>88</v>
      </c>
      <c r="K167" s="65">
        <f t="shared" ref="K167" si="219">H167*I167*2</f>
        <v>8497.0600000000013</v>
      </c>
      <c r="L167" s="65"/>
      <c r="M167" s="65"/>
      <c r="N167" s="65">
        <v>250</v>
      </c>
      <c r="O167" s="65"/>
      <c r="P167" s="65"/>
      <c r="Q167" s="65"/>
      <c r="R167" s="65"/>
      <c r="S167" s="65"/>
      <c r="T167" s="65"/>
      <c r="U167" s="65"/>
      <c r="V167" s="65">
        <v>125</v>
      </c>
      <c r="W167" s="65"/>
      <c r="X167" s="65"/>
      <c r="Y167" s="65"/>
      <c r="Z167" s="65"/>
      <c r="AA167" s="65">
        <f>625.8+442+500+500</f>
        <v>2067.8000000000002</v>
      </c>
      <c r="AB167" s="65"/>
      <c r="AC167" s="65">
        <v>100</v>
      </c>
      <c r="AD167" s="65">
        <v>100</v>
      </c>
      <c r="AE167" s="65">
        <v>308.8</v>
      </c>
      <c r="AF167" s="65"/>
      <c r="AG167" s="65"/>
      <c r="AH167" s="65"/>
      <c r="AI167" s="65"/>
      <c r="AJ167" s="65">
        <v>8364.6200000000008</v>
      </c>
      <c r="AK167" s="65">
        <v>100407.93</v>
      </c>
    </row>
    <row r="168" spans="2:37" ht="12.75" customHeight="1">
      <c r="B168" s="5">
        <v>154</v>
      </c>
      <c r="C168" s="60" t="s">
        <v>423</v>
      </c>
      <c r="D168" s="60" t="s">
        <v>412</v>
      </c>
      <c r="E168" s="60" t="s">
        <v>725</v>
      </c>
      <c r="F168" s="66" t="s">
        <v>687</v>
      </c>
      <c r="G168" s="82" t="s">
        <v>688</v>
      </c>
      <c r="H168" s="65">
        <f>5161.69/11</f>
        <v>469.2445454545454</v>
      </c>
      <c r="I168" s="65">
        <v>11</v>
      </c>
      <c r="J168" s="65">
        <f t="shared" ref="J168" si="220">I168*8</f>
        <v>88</v>
      </c>
      <c r="K168" s="65">
        <f t="shared" ref="K168" si="221">H168*I168*2</f>
        <v>10323.379999999999</v>
      </c>
      <c r="L168" s="65"/>
      <c r="M168" s="65"/>
      <c r="N168" s="65"/>
      <c r="O168" s="65"/>
      <c r="P168" s="65"/>
      <c r="Q168" s="65"/>
      <c r="R168" s="65"/>
      <c r="S168" s="65"/>
      <c r="T168" s="65"/>
      <c r="U168" s="65"/>
      <c r="V168" s="65">
        <v>0</v>
      </c>
      <c r="W168" s="65"/>
      <c r="X168" s="65"/>
      <c r="Y168" s="65"/>
      <c r="Z168" s="65"/>
      <c r="AA168" s="65"/>
      <c r="AB168" s="65"/>
      <c r="AC168" s="65">
        <v>100</v>
      </c>
      <c r="AD168" s="65">
        <v>125</v>
      </c>
      <c r="AE168" s="65">
        <v>381.5</v>
      </c>
      <c r="AF168" s="65"/>
      <c r="AG168" s="65"/>
      <c r="AH168" s="65"/>
      <c r="AI168" s="65"/>
      <c r="AJ168" s="65">
        <v>10233</v>
      </c>
      <c r="AK168" s="65">
        <v>122617.5</v>
      </c>
    </row>
    <row r="169" spans="2:37" ht="12.75" customHeight="1">
      <c r="B169" s="5">
        <v>155</v>
      </c>
      <c r="C169" s="60" t="s">
        <v>424</v>
      </c>
      <c r="D169" s="60" t="s">
        <v>422</v>
      </c>
      <c r="E169" s="60" t="s">
        <v>725</v>
      </c>
      <c r="F169" s="66" t="s">
        <v>687</v>
      </c>
      <c r="G169" s="82" t="s">
        <v>688</v>
      </c>
      <c r="H169" s="65">
        <f>4996.62/11</f>
        <v>454.23818181818183</v>
      </c>
      <c r="I169" s="65">
        <v>11</v>
      </c>
      <c r="J169" s="65">
        <f t="shared" ref="J169" si="222">I169*8</f>
        <v>88</v>
      </c>
      <c r="K169" s="65">
        <f t="shared" ref="K169" si="223">H169*I169*2</f>
        <v>9993.24</v>
      </c>
      <c r="L169" s="65"/>
      <c r="M169" s="65"/>
      <c r="N169" s="65">
        <v>250</v>
      </c>
      <c r="O169" s="65"/>
      <c r="P169" s="65"/>
      <c r="Q169" s="65"/>
      <c r="R169" s="65"/>
      <c r="S169" s="65"/>
      <c r="T169" s="65"/>
      <c r="U169" s="65"/>
      <c r="V169" s="65">
        <v>125</v>
      </c>
      <c r="W169" s="65"/>
      <c r="X169" s="65"/>
      <c r="Y169" s="65"/>
      <c r="Z169" s="65"/>
      <c r="AA169" s="65">
        <f>894.2+500+500</f>
        <v>1894.2</v>
      </c>
      <c r="AB169" s="65"/>
      <c r="AC169" s="65">
        <v>100</v>
      </c>
      <c r="AD169" s="65">
        <v>112.5</v>
      </c>
      <c r="AE169" s="65">
        <v>363.3</v>
      </c>
      <c r="AF169" s="65"/>
      <c r="AG169" s="65"/>
      <c r="AH169" s="65"/>
      <c r="AI169" s="65"/>
      <c r="AJ169" s="65">
        <v>9611.89</v>
      </c>
      <c r="AK169" s="65">
        <v>118611.54</v>
      </c>
    </row>
    <row r="170" spans="2:37" ht="12.75" customHeight="1">
      <c r="B170" s="5">
        <v>156</v>
      </c>
      <c r="C170" s="60" t="s">
        <v>425</v>
      </c>
      <c r="D170" s="60" t="s">
        <v>407</v>
      </c>
      <c r="E170" s="60" t="s">
        <v>725</v>
      </c>
      <c r="F170" s="66" t="s">
        <v>687</v>
      </c>
      <c r="G170" s="82" t="s">
        <v>688</v>
      </c>
      <c r="H170" s="65">
        <f>4354.93/11</f>
        <v>395.9027272727273</v>
      </c>
      <c r="I170" s="65">
        <v>11</v>
      </c>
      <c r="J170" s="65">
        <f t="shared" ref="J170" si="224">I170*8</f>
        <v>88</v>
      </c>
      <c r="K170" s="65">
        <f t="shared" ref="K170" si="225">H170*I170*2</f>
        <v>8709.86</v>
      </c>
      <c r="L170" s="65"/>
      <c r="M170" s="65"/>
      <c r="N170" s="65">
        <v>250</v>
      </c>
      <c r="O170" s="65"/>
      <c r="P170" s="65"/>
      <c r="Q170" s="65"/>
      <c r="R170" s="65"/>
      <c r="S170" s="65"/>
      <c r="T170" s="65"/>
      <c r="U170" s="65"/>
      <c r="V170" s="65">
        <v>125</v>
      </c>
      <c r="W170" s="65"/>
      <c r="X170" s="65"/>
      <c r="Y170" s="65"/>
      <c r="Z170" s="65"/>
      <c r="AA170" s="65">
        <f>507+500</f>
        <v>1007</v>
      </c>
      <c r="AB170" s="65"/>
      <c r="AC170" s="65">
        <v>100</v>
      </c>
      <c r="AD170" s="65">
        <v>100</v>
      </c>
      <c r="AE170" s="65">
        <v>308.8</v>
      </c>
      <c r="AF170" s="65"/>
      <c r="AG170" s="65"/>
      <c r="AH170" s="65"/>
      <c r="AI170" s="65"/>
      <c r="AJ170" s="65">
        <v>8572.56</v>
      </c>
      <c r="AK170" s="65">
        <v>103003.4</v>
      </c>
    </row>
    <row r="171" spans="2:37" ht="12.75" customHeight="1">
      <c r="B171" s="5">
        <v>157</v>
      </c>
      <c r="C171" s="60" t="s">
        <v>426</v>
      </c>
      <c r="D171" s="60" t="s">
        <v>232</v>
      </c>
      <c r="E171" s="60" t="s">
        <v>725</v>
      </c>
      <c r="F171" s="66" t="s">
        <v>687</v>
      </c>
      <c r="G171" s="82" t="s">
        <v>688</v>
      </c>
      <c r="H171" s="65"/>
      <c r="I171" s="65">
        <v>11</v>
      </c>
      <c r="J171" s="65">
        <f t="shared" ref="J171" si="226">I171*8</f>
        <v>88</v>
      </c>
      <c r="K171" s="65">
        <f t="shared" ref="K171" si="227">H171*I171*2</f>
        <v>0</v>
      </c>
      <c r="L171" s="65"/>
      <c r="M171" s="65"/>
      <c r="N171" s="65">
        <v>250</v>
      </c>
      <c r="O171" s="65"/>
      <c r="P171" s="65"/>
      <c r="Q171" s="65"/>
      <c r="R171" s="65"/>
      <c r="S171" s="65"/>
      <c r="T171" s="65"/>
      <c r="U171" s="65"/>
      <c r="V171" s="65">
        <v>125</v>
      </c>
      <c r="W171" s="65"/>
      <c r="X171" s="65"/>
      <c r="Y171" s="65"/>
      <c r="Z171" s="65"/>
      <c r="AA171" s="65">
        <v>500</v>
      </c>
      <c r="AB171" s="65"/>
      <c r="AC171" s="65">
        <v>100</v>
      </c>
      <c r="AD171" s="65">
        <v>100</v>
      </c>
      <c r="AE171" s="65">
        <v>308.8</v>
      </c>
      <c r="AF171" s="65"/>
      <c r="AG171" s="65"/>
      <c r="AH171" s="65"/>
      <c r="AI171" s="65"/>
      <c r="AJ171" s="65">
        <v>2909</v>
      </c>
      <c r="AK171" s="65">
        <v>33988.04</v>
      </c>
    </row>
    <row r="172" spans="2:37" ht="12.75" customHeight="1">
      <c r="B172" s="5">
        <v>158</v>
      </c>
      <c r="C172" s="60" t="s">
        <v>427</v>
      </c>
      <c r="D172" s="60" t="s">
        <v>232</v>
      </c>
      <c r="E172" s="60" t="s">
        <v>725</v>
      </c>
      <c r="F172" s="66" t="s">
        <v>687</v>
      </c>
      <c r="G172" s="82" t="s">
        <v>688</v>
      </c>
      <c r="H172" s="65">
        <f>4254.51/11</f>
        <v>386.7736363636364</v>
      </c>
      <c r="I172" s="65">
        <v>11</v>
      </c>
      <c r="J172" s="65">
        <f t="shared" ref="J172" si="228">I172*8</f>
        <v>88</v>
      </c>
      <c r="K172" s="65">
        <f t="shared" ref="K172" si="229">H172*I172*2</f>
        <v>8509.02</v>
      </c>
      <c r="L172" s="65"/>
      <c r="M172" s="65"/>
      <c r="N172" s="65">
        <v>250</v>
      </c>
      <c r="O172" s="65"/>
      <c r="P172" s="65"/>
      <c r="Q172" s="65"/>
      <c r="R172" s="65"/>
      <c r="S172" s="65"/>
      <c r="T172" s="65"/>
      <c r="U172" s="65"/>
      <c r="V172" s="65">
        <v>125</v>
      </c>
      <c r="W172" s="65"/>
      <c r="X172" s="65"/>
      <c r="Y172" s="65"/>
      <c r="Z172" s="65"/>
      <c r="AA172" s="65">
        <f>500+500</f>
        <v>1000</v>
      </c>
      <c r="AB172" s="65"/>
      <c r="AC172" s="65">
        <v>100</v>
      </c>
      <c r="AD172" s="65">
        <v>100</v>
      </c>
      <c r="AE172" s="65">
        <v>308.8</v>
      </c>
      <c r="AF172" s="65"/>
      <c r="AG172" s="65"/>
      <c r="AH172" s="65"/>
      <c r="AI172" s="65"/>
      <c r="AJ172" s="65">
        <v>8160.24</v>
      </c>
      <c r="AK172" s="65">
        <v>100407.93</v>
      </c>
    </row>
    <row r="173" spans="2:37" ht="12.75" customHeight="1">
      <c r="B173" s="5">
        <v>159</v>
      </c>
      <c r="C173" s="60" t="s">
        <v>428</v>
      </c>
      <c r="D173" s="60" t="s">
        <v>407</v>
      </c>
      <c r="E173" s="60" t="s">
        <v>725</v>
      </c>
      <c r="F173" s="66" t="s">
        <v>687</v>
      </c>
      <c r="G173" s="82" t="s">
        <v>688</v>
      </c>
      <c r="H173" s="65">
        <v>380</v>
      </c>
      <c r="I173" s="65">
        <v>11</v>
      </c>
      <c r="J173" s="65">
        <f t="shared" ref="J173" si="230">I173*8</f>
        <v>88</v>
      </c>
      <c r="K173" s="65">
        <f t="shared" ref="K173" si="231">H173*I173*2</f>
        <v>8360</v>
      </c>
      <c r="L173" s="65"/>
      <c r="M173" s="65"/>
      <c r="N173" s="65">
        <v>250</v>
      </c>
      <c r="O173" s="65"/>
      <c r="P173" s="65"/>
      <c r="Q173" s="65"/>
      <c r="R173" s="65"/>
      <c r="S173" s="65"/>
      <c r="T173" s="65"/>
      <c r="U173" s="65"/>
      <c r="V173" s="65">
        <v>125</v>
      </c>
      <c r="W173" s="65"/>
      <c r="X173" s="65"/>
      <c r="Y173" s="65"/>
      <c r="Z173" s="65"/>
      <c r="AA173" s="65">
        <f>507+500</f>
        <v>1007</v>
      </c>
      <c r="AB173" s="65"/>
      <c r="AC173" s="65">
        <v>100</v>
      </c>
      <c r="AD173" s="65">
        <v>100</v>
      </c>
      <c r="AE173" s="65">
        <v>308.8</v>
      </c>
      <c r="AF173" s="65"/>
      <c r="AG173" s="65"/>
      <c r="AH173" s="65"/>
      <c r="AI173" s="65"/>
      <c r="AJ173" s="65">
        <v>7960.85</v>
      </c>
      <c r="AK173" s="65">
        <v>98736</v>
      </c>
    </row>
    <row r="174" spans="2:37" ht="12.75" customHeight="1">
      <c r="B174" s="5">
        <v>160</v>
      </c>
      <c r="C174" s="60" t="s">
        <v>429</v>
      </c>
      <c r="D174" s="60" t="s">
        <v>407</v>
      </c>
      <c r="E174" s="60" t="s">
        <v>725</v>
      </c>
      <c r="F174" s="66" t="s">
        <v>687</v>
      </c>
      <c r="G174" s="82" t="s">
        <v>688</v>
      </c>
      <c r="H174" s="65">
        <v>380</v>
      </c>
      <c r="I174" s="65">
        <v>11</v>
      </c>
      <c r="J174" s="65">
        <f t="shared" ref="J174" si="232">I174*8</f>
        <v>88</v>
      </c>
      <c r="K174" s="65">
        <f t="shared" ref="K174" si="233">H174*I174*2</f>
        <v>8360</v>
      </c>
      <c r="L174" s="65"/>
      <c r="M174" s="65"/>
      <c r="N174" s="65">
        <v>250</v>
      </c>
      <c r="O174" s="65"/>
      <c r="P174" s="65"/>
      <c r="Q174" s="65"/>
      <c r="R174" s="65"/>
      <c r="S174" s="65"/>
      <c r="T174" s="65"/>
      <c r="U174" s="65"/>
      <c r="V174" s="65">
        <v>125</v>
      </c>
      <c r="W174" s="65"/>
      <c r="X174" s="65"/>
      <c r="Y174" s="65"/>
      <c r="Z174" s="65"/>
      <c r="AA174" s="65">
        <v>500</v>
      </c>
      <c r="AB174" s="65"/>
      <c r="AC174" s="65">
        <v>100</v>
      </c>
      <c r="AD174" s="65">
        <v>100</v>
      </c>
      <c r="AE174" s="65">
        <v>308.8</v>
      </c>
      <c r="AF174" s="65"/>
      <c r="AG174" s="65"/>
      <c r="AH174" s="65"/>
      <c r="AI174" s="65"/>
      <c r="AJ174" s="65">
        <v>6696.01</v>
      </c>
      <c r="AK174" s="65">
        <v>82016</v>
      </c>
    </row>
    <row r="175" spans="2:37" ht="12.75" customHeight="1">
      <c r="B175" s="5">
        <v>161</v>
      </c>
      <c r="C175" s="60" t="s">
        <v>430</v>
      </c>
      <c r="D175" s="60" t="s">
        <v>412</v>
      </c>
      <c r="E175" s="60" t="s">
        <v>725</v>
      </c>
      <c r="F175" s="66" t="s">
        <v>687</v>
      </c>
      <c r="G175" s="82" t="s">
        <v>688</v>
      </c>
      <c r="H175" s="65">
        <f>5683.34/11</f>
        <v>516.66727272727269</v>
      </c>
      <c r="I175" s="65">
        <v>11</v>
      </c>
      <c r="J175" s="65">
        <f t="shared" ref="J175" si="234">I175*8</f>
        <v>88</v>
      </c>
      <c r="K175" s="65">
        <f t="shared" ref="K175" si="235">H175*I175*2</f>
        <v>11366.679999999998</v>
      </c>
      <c r="L175" s="65"/>
      <c r="M175" s="65"/>
      <c r="N175" s="65"/>
      <c r="O175" s="65"/>
      <c r="P175" s="65"/>
      <c r="Q175" s="65"/>
      <c r="R175" s="65"/>
      <c r="S175" s="65"/>
      <c r="T175" s="65"/>
      <c r="U175" s="65"/>
      <c r="V175" s="65">
        <v>0</v>
      </c>
      <c r="W175" s="65"/>
      <c r="X175" s="65"/>
      <c r="Y175" s="65"/>
      <c r="Z175" s="65"/>
      <c r="AA175" s="65">
        <v>566</v>
      </c>
      <c r="AB175" s="65"/>
      <c r="AC175" s="65">
        <v>100</v>
      </c>
      <c r="AD175" s="65">
        <v>137.5</v>
      </c>
      <c r="AE175" s="65">
        <v>417.8</v>
      </c>
      <c r="AF175" s="65"/>
      <c r="AG175" s="65"/>
      <c r="AH175" s="65"/>
      <c r="AI175" s="65"/>
      <c r="AJ175" s="65">
        <v>11273.83</v>
      </c>
      <c r="AK175" s="65">
        <v>135258.74</v>
      </c>
    </row>
    <row r="176" spans="2:37" ht="12.75" customHeight="1">
      <c r="B176" s="5">
        <v>162</v>
      </c>
      <c r="C176" s="60" t="s">
        <v>431</v>
      </c>
      <c r="D176" s="60" t="s">
        <v>232</v>
      </c>
      <c r="E176" s="60" t="s">
        <v>726</v>
      </c>
      <c r="F176" s="66" t="s">
        <v>687</v>
      </c>
      <c r="G176" s="82" t="s">
        <v>688</v>
      </c>
      <c r="H176" s="65">
        <f>4248.51/11</f>
        <v>386.22818181818184</v>
      </c>
      <c r="I176" s="65">
        <v>11</v>
      </c>
      <c r="J176" s="65">
        <f t="shared" ref="J176" si="236">I176*8</f>
        <v>88</v>
      </c>
      <c r="K176" s="65">
        <f t="shared" ref="K176" si="237">H176*I176*2</f>
        <v>8497.02</v>
      </c>
      <c r="L176" s="65"/>
      <c r="M176" s="65"/>
      <c r="N176" s="65">
        <v>250</v>
      </c>
      <c r="O176" s="65"/>
      <c r="P176" s="65"/>
      <c r="Q176" s="65"/>
      <c r="R176" s="65"/>
      <c r="S176" s="65"/>
      <c r="T176" s="65"/>
      <c r="U176" s="65"/>
      <c r="V176" s="65">
        <v>125</v>
      </c>
      <c r="W176" s="65"/>
      <c r="X176" s="65"/>
      <c r="Y176" s="65"/>
      <c r="Z176" s="65"/>
      <c r="AA176" s="65">
        <f>500+500</f>
        <v>1000</v>
      </c>
      <c r="AB176" s="65"/>
      <c r="AC176" s="65">
        <v>100</v>
      </c>
      <c r="AD176" s="65">
        <v>100</v>
      </c>
      <c r="AE176" s="65">
        <v>308.8</v>
      </c>
      <c r="AF176" s="65"/>
      <c r="AG176" s="65"/>
      <c r="AH176" s="65"/>
      <c r="AI176" s="65"/>
      <c r="AJ176" s="65">
        <v>5580.97</v>
      </c>
      <c r="AK176" s="65">
        <v>67803.17</v>
      </c>
    </row>
    <row r="177" spans="2:37" ht="12.75" customHeight="1">
      <c r="B177" s="5">
        <v>163</v>
      </c>
      <c r="C177" s="60" t="s">
        <v>432</v>
      </c>
      <c r="D177" s="60" t="s">
        <v>232</v>
      </c>
      <c r="E177" s="60" t="s">
        <v>726</v>
      </c>
      <c r="F177" s="66" t="s">
        <v>687</v>
      </c>
      <c r="G177" s="82" t="s">
        <v>688</v>
      </c>
      <c r="H177" s="65">
        <v>386.23</v>
      </c>
      <c r="I177" s="65">
        <v>11</v>
      </c>
      <c r="J177" s="65">
        <f t="shared" ref="J177" si="238">I177*8</f>
        <v>88</v>
      </c>
      <c r="K177" s="65">
        <f t="shared" ref="K177" si="239">H177*I177*2</f>
        <v>8497.0600000000013</v>
      </c>
      <c r="L177" s="65"/>
      <c r="M177" s="65"/>
      <c r="N177" s="65">
        <v>250</v>
      </c>
      <c r="O177" s="65"/>
      <c r="P177" s="65"/>
      <c r="Q177" s="65"/>
      <c r="R177" s="65"/>
      <c r="S177" s="65"/>
      <c r="T177" s="65"/>
      <c r="U177" s="65"/>
      <c r="V177" s="65">
        <v>125</v>
      </c>
      <c r="W177" s="65"/>
      <c r="X177" s="65"/>
      <c r="Y177" s="65"/>
      <c r="Z177" s="65"/>
      <c r="AA177" s="65">
        <f>500+500</f>
        <v>1000</v>
      </c>
      <c r="AB177" s="65"/>
      <c r="AC177" s="65">
        <v>100</v>
      </c>
      <c r="AD177" s="65">
        <v>100</v>
      </c>
      <c r="AE177" s="65">
        <v>308.8</v>
      </c>
      <c r="AF177" s="65"/>
      <c r="AG177" s="65"/>
      <c r="AH177" s="65"/>
      <c r="AI177" s="65"/>
      <c r="AJ177" s="65">
        <v>6455.15</v>
      </c>
      <c r="AK177" s="65">
        <v>80029.95</v>
      </c>
    </row>
    <row r="178" spans="2:37" ht="12.75" customHeight="1">
      <c r="B178" s="5">
        <v>164</v>
      </c>
      <c r="C178" s="60" t="s">
        <v>433</v>
      </c>
      <c r="D178" s="60" t="s">
        <v>434</v>
      </c>
      <c r="E178" s="60" t="s">
        <v>726</v>
      </c>
      <c r="F178" s="66" t="s">
        <v>687</v>
      </c>
      <c r="G178" s="82" t="s">
        <v>688</v>
      </c>
      <c r="H178" s="65">
        <v>380</v>
      </c>
      <c r="I178" s="65">
        <v>11</v>
      </c>
      <c r="J178" s="65">
        <f t="shared" ref="J178" si="240">I178*8</f>
        <v>88</v>
      </c>
      <c r="K178" s="65">
        <f t="shared" ref="K178" si="241">H178*I178*2</f>
        <v>8360</v>
      </c>
      <c r="L178" s="65"/>
      <c r="M178" s="65"/>
      <c r="N178" s="65"/>
      <c r="O178" s="65"/>
      <c r="P178" s="65"/>
      <c r="Q178" s="65"/>
      <c r="R178" s="65"/>
      <c r="S178" s="65"/>
      <c r="T178" s="65"/>
      <c r="U178" s="65"/>
      <c r="V178" s="65">
        <v>125</v>
      </c>
      <c r="W178" s="65"/>
      <c r="X178" s="65"/>
      <c r="Y178" s="65"/>
      <c r="Z178" s="65"/>
      <c r="AA178" s="65">
        <v>0</v>
      </c>
      <c r="AB178" s="65"/>
      <c r="AC178" s="65">
        <v>100</v>
      </c>
      <c r="AD178" s="65">
        <v>100</v>
      </c>
      <c r="AE178" s="65">
        <v>308.8</v>
      </c>
      <c r="AF178" s="65"/>
      <c r="AG178" s="65"/>
      <c r="AH178" s="65"/>
      <c r="AI178" s="65"/>
      <c r="AJ178" s="65">
        <v>3071.67</v>
      </c>
      <c r="AK178" s="65">
        <v>37620</v>
      </c>
    </row>
    <row r="179" spans="2:37" ht="12.75" customHeight="1">
      <c r="B179" s="5">
        <v>165</v>
      </c>
      <c r="C179" s="60" t="s">
        <v>435</v>
      </c>
      <c r="D179" s="60" t="s">
        <v>232</v>
      </c>
      <c r="E179" s="60" t="s">
        <v>726</v>
      </c>
      <c r="F179" s="66" t="s">
        <v>687</v>
      </c>
      <c r="G179" s="82" t="s">
        <v>688</v>
      </c>
      <c r="H179" s="65">
        <v>386.23</v>
      </c>
      <c r="I179" s="65">
        <v>11</v>
      </c>
      <c r="J179" s="65">
        <f t="shared" ref="J179" si="242">I179*8</f>
        <v>88</v>
      </c>
      <c r="K179" s="65">
        <f t="shared" ref="K179" si="243">H179*I179*2</f>
        <v>8497.0600000000013</v>
      </c>
      <c r="L179" s="65"/>
      <c r="M179" s="65"/>
      <c r="N179" s="65"/>
      <c r="O179" s="65"/>
      <c r="P179" s="65"/>
      <c r="Q179" s="65"/>
      <c r="R179" s="65"/>
      <c r="S179" s="65"/>
      <c r="T179" s="65"/>
      <c r="U179" s="65"/>
      <c r="V179" s="65">
        <v>125</v>
      </c>
      <c r="W179" s="65"/>
      <c r="X179" s="65"/>
      <c r="Y179" s="65"/>
      <c r="Z179" s="65"/>
      <c r="AA179" s="65">
        <f>500+250</f>
        <v>750</v>
      </c>
      <c r="AB179" s="65"/>
      <c r="AC179" s="65">
        <v>100</v>
      </c>
      <c r="AD179" s="65">
        <v>100</v>
      </c>
      <c r="AE179" s="65">
        <v>308.8</v>
      </c>
      <c r="AF179" s="65"/>
      <c r="AG179" s="65"/>
      <c r="AH179" s="65"/>
      <c r="AI179" s="65"/>
      <c r="AJ179" s="65">
        <v>3794.53</v>
      </c>
      <c r="AK179" s="65">
        <v>46733.55</v>
      </c>
    </row>
    <row r="180" spans="2:37" ht="12.75" customHeight="1">
      <c r="B180" s="5">
        <v>166</v>
      </c>
      <c r="C180" s="60" t="s">
        <v>436</v>
      </c>
      <c r="D180" s="60" t="s">
        <v>232</v>
      </c>
      <c r="E180" s="60" t="s">
        <v>726</v>
      </c>
      <c r="F180" s="66" t="s">
        <v>687</v>
      </c>
      <c r="G180" s="82" t="s">
        <v>688</v>
      </c>
      <c r="H180" s="65">
        <v>386.23</v>
      </c>
      <c r="I180" s="65">
        <v>11</v>
      </c>
      <c r="J180" s="65">
        <f t="shared" ref="J180" si="244">I180*8</f>
        <v>88</v>
      </c>
      <c r="K180" s="65">
        <f t="shared" ref="K180" si="245">H180*I180*2</f>
        <v>8497.0600000000013</v>
      </c>
      <c r="L180" s="65"/>
      <c r="M180" s="65"/>
      <c r="N180" s="65">
        <v>250</v>
      </c>
      <c r="O180" s="65"/>
      <c r="P180" s="65"/>
      <c r="Q180" s="65"/>
      <c r="R180" s="65"/>
      <c r="S180" s="65"/>
      <c r="T180" s="65"/>
      <c r="U180" s="65"/>
      <c r="V180" s="65">
        <v>125</v>
      </c>
      <c r="W180" s="65"/>
      <c r="X180" s="65"/>
      <c r="Y180" s="65"/>
      <c r="Z180" s="65"/>
      <c r="AA180" s="65">
        <f>500+500</f>
        <v>1000</v>
      </c>
      <c r="AB180" s="65"/>
      <c r="AC180" s="65">
        <v>100</v>
      </c>
      <c r="AD180" s="65">
        <v>100</v>
      </c>
      <c r="AE180" s="65">
        <v>308.8</v>
      </c>
      <c r="AF180" s="65"/>
      <c r="AG180" s="65"/>
      <c r="AH180" s="65"/>
      <c r="AI180" s="65"/>
      <c r="AJ180" s="65">
        <v>5309.43</v>
      </c>
      <c r="AK180" s="65">
        <v>63727.57</v>
      </c>
    </row>
    <row r="181" spans="2:37" ht="12.75" customHeight="1">
      <c r="B181" s="5">
        <v>167</v>
      </c>
      <c r="C181" s="60" t="s">
        <v>437</v>
      </c>
      <c r="D181" s="60" t="s">
        <v>438</v>
      </c>
      <c r="E181" s="60" t="s">
        <v>726</v>
      </c>
      <c r="F181" s="66" t="s">
        <v>687</v>
      </c>
      <c r="G181" s="82" t="s">
        <v>688</v>
      </c>
      <c r="H181" s="65">
        <v>380</v>
      </c>
      <c r="I181" s="65">
        <v>13</v>
      </c>
      <c r="J181" s="65">
        <f t="shared" ref="J181" si="246">I181*8</f>
        <v>104</v>
      </c>
      <c r="K181" s="65">
        <f t="shared" ref="K181" si="247">H181*I181*2</f>
        <v>9880</v>
      </c>
      <c r="L181" s="65"/>
      <c r="M181" s="65"/>
      <c r="N181" s="65"/>
      <c r="O181" s="65"/>
      <c r="P181" s="65"/>
      <c r="Q181" s="65"/>
      <c r="R181" s="65"/>
      <c r="S181" s="65"/>
      <c r="T181" s="65"/>
      <c r="U181" s="65"/>
      <c r="V181" s="65">
        <v>0</v>
      </c>
      <c r="W181" s="65"/>
      <c r="X181" s="65"/>
      <c r="Y181" s="65"/>
      <c r="Z181" s="65"/>
      <c r="AA181" s="65"/>
      <c r="AB181" s="65"/>
      <c r="AC181" s="65">
        <v>100</v>
      </c>
      <c r="AD181" s="65">
        <v>112.5</v>
      </c>
      <c r="AE181" s="65">
        <v>363.3</v>
      </c>
      <c r="AF181" s="65"/>
      <c r="AG181" s="65"/>
      <c r="AH181" s="65"/>
      <c r="AI181" s="65"/>
      <c r="AJ181" s="65">
        <v>8636.1</v>
      </c>
      <c r="AK181" s="65">
        <v>102492</v>
      </c>
    </row>
    <row r="182" spans="2:37" ht="12.75" customHeight="1">
      <c r="B182" s="5">
        <v>168</v>
      </c>
      <c r="C182" s="60" t="s">
        <v>439</v>
      </c>
      <c r="D182" s="60" t="s">
        <v>440</v>
      </c>
      <c r="E182" s="60" t="s">
        <v>726</v>
      </c>
      <c r="F182" s="66" t="s">
        <v>687</v>
      </c>
      <c r="G182" s="82" t="s">
        <v>688</v>
      </c>
      <c r="H182" s="65">
        <v>386.23</v>
      </c>
      <c r="I182" s="65">
        <v>11</v>
      </c>
      <c r="J182" s="65">
        <f t="shared" ref="J182" si="248">I182*8</f>
        <v>88</v>
      </c>
      <c r="K182" s="65">
        <f t="shared" ref="K182" si="249">H182*I182*2</f>
        <v>8497.0600000000013</v>
      </c>
      <c r="L182" s="65"/>
      <c r="M182" s="65"/>
      <c r="N182" s="65">
        <v>250</v>
      </c>
      <c r="O182" s="65"/>
      <c r="P182" s="65"/>
      <c r="Q182" s="65"/>
      <c r="R182" s="65"/>
      <c r="S182" s="65"/>
      <c r="T182" s="65"/>
      <c r="U182" s="65"/>
      <c r="V182" s="65">
        <v>125</v>
      </c>
      <c r="W182" s="65"/>
      <c r="X182" s="65"/>
      <c r="Y182" s="65"/>
      <c r="Z182" s="65"/>
      <c r="AA182" s="65">
        <f>794.4+442+500+500</f>
        <v>2236.4</v>
      </c>
      <c r="AB182" s="65"/>
      <c r="AC182" s="65">
        <v>100</v>
      </c>
      <c r="AD182" s="65">
        <v>100</v>
      </c>
      <c r="AE182" s="65">
        <v>327</v>
      </c>
      <c r="AF182" s="65"/>
      <c r="AG182" s="65"/>
      <c r="AH182" s="65"/>
      <c r="AI182" s="65"/>
      <c r="AJ182" s="65">
        <v>8573.8799999999992</v>
      </c>
      <c r="AK182" s="65">
        <v>104109.44</v>
      </c>
    </row>
    <row r="183" spans="2:37" ht="12.75" customHeight="1">
      <c r="B183" s="5">
        <v>169</v>
      </c>
      <c r="C183" s="60" t="s">
        <v>441</v>
      </c>
      <c r="D183" s="60" t="s">
        <v>232</v>
      </c>
      <c r="E183" s="60" t="s">
        <v>726</v>
      </c>
      <c r="F183" s="66" t="s">
        <v>687</v>
      </c>
      <c r="G183" s="82" t="s">
        <v>688</v>
      </c>
      <c r="H183" s="65">
        <v>386.23</v>
      </c>
      <c r="I183" s="65">
        <v>11</v>
      </c>
      <c r="J183" s="65">
        <f t="shared" ref="J183" si="250">I183*8</f>
        <v>88</v>
      </c>
      <c r="K183" s="65">
        <f t="shared" ref="K183" si="251">H183*I183*2</f>
        <v>8497.0600000000013</v>
      </c>
      <c r="L183" s="65"/>
      <c r="M183" s="65"/>
      <c r="N183" s="65">
        <v>250</v>
      </c>
      <c r="O183" s="65"/>
      <c r="P183" s="65"/>
      <c r="Q183" s="65"/>
      <c r="R183" s="65"/>
      <c r="S183" s="65"/>
      <c r="T183" s="65"/>
      <c r="U183" s="65"/>
      <c r="V183" s="65">
        <v>125</v>
      </c>
      <c r="W183" s="65"/>
      <c r="X183" s="65"/>
      <c r="Y183" s="65"/>
      <c r="Z183" s="65"/>
      <c r="AA183" s="65">
        <f>500+500</f>
        <v>1000</v>
      </c>
      <c r="AB183" s="65"/>
      <c r="AC183" s="65">
        <v>100</v>
      </c>
      <c r="AD183" s="65">
        <v>100</v>
      </c>
      <c r="AE183" s="65">
        <v>308.8</v>
      </c>
      <c r="AF183" s="65"/>
      <c r="AG183" s="65"/>
      <c r="AH183" s="65"/>
      <c r="AI183" s="65"/>
      <c r="AJ183" s="65">
        <v>7014.75</v>
      </c>
      <c r="AK183" s="65">
        <v>84105.55</v>
      </c>
    </row>
    <row r="184" spans="2:37" ht="12.75" customHeight="1">
      <c r="B184" s="5">
        <v>170</v>
      </c>
      <c r="C184" s="60" t="s">
        <v>442</v>
      </c>
      <c r="D184" s="60" t="s">
        <v>232</v>
      </c>
      <c r="E184" s="60" t="s">
        <v>726</v>
      </c>
      <c r="F184" s="66" t="s">
        <v>687</v>
      </c>
      <c r="G184" s="82" t="s">
        <v>688</v>
      </c>
      <c r="H184" s="65">
        <v>386.23</v>
      </c>
      <c r="I184" s="65">
        <v>11</v>
      </c>
      <c r="J184" s="65">
        <f t="shared" ref="J184" si="252">I184*8</f>
        <v>88</v>
      </c>
      <c r="K184" s="65">
        <f t="shared" ref="K184" si="253">H184*I184*2</f>
        <v>8497.0600000000013</v>
      </c>
      <c r="L184" s="65"/>
      <c r="M184" s="65"/>
      <c r="N184" s="65">
        <v>250</v>
      </c>
      <c r="O184" s="65"/>
      <c r="P184" s="65"/>
      <c r="Q184" s="65"/>
      <c r="R184" s="65"/>
      <c r="S184" s="65"/>
      <c r="T184" s="65"/>
      <c r="U184" s="65"/>
      <c r="V184" s="65">
        <v>125</v>
      </c>
      <c r="W184" s="65"/>
      <c r="X184" s="65"/>
      <c r="Y184" s="65"/>
      <c r="Z184" s="65"/>
      <c r="AA184" s="65">
        <f>500+500</f>
        <v>1000</v>
      </c>
      <c r="AB184" s="65"/>
      <c r="AC184" s="65">
        <v>100</v>
      </c>
      <c r="AD184" s="65">
        <v>100</v>
      </c>
      <c r="AE184" s="65">
        <v>308.8</v>
      </c>
      <c r="AF184" s="65"/>
      <c r="AG184" s="65"/>
      <c r="AH184" s="65"/>
      <c r="AI184" s="65"/>
      <c r="AJ184" s="65">
        <v>7197.38</v>
      </c>
      <c r="AK184" s="65">
        <v>87108.55</v>
      </c>
    </row>
    <row r="185" spans="2:37" ht="12.75" customHeight="1">
      <c r="B185" s="5">
        <v>171</v>
      </c>
      <c r="C185" s="60" t="s">
        <v>443</v>
      </c>
      <c r="D185" s="60" t="s">
        <v>414</v>
      </c>
      <c r="E185" s="60" t="s">
        <v>726</v>
      </c>
      <c r="F185" s="66" t="s">
        <v>687</v>
      </c>
      <c r="G185" s="82" t="s">
        <v>688</v>
      </c>
      <c r="H185" s="65">
        <v>386.23</v>
      </c>
      <c r="I185" s="65">
        <v>11</v>
      </c>
      <c r="J185" s="65">
        <f t="shared" ref="J185" si="254">I185*8</f>
        <v>88</v>
      </c>
      <c r="K185" s="65">
        <f t="shared" ref="K185" si="255">H185*I185*2</f>
        <v>8497.0600000000013</v>
      </c>
      <c r="L185" s="65"/>
      <c r="M185" s="65"/>
      <c r="N185" s="65">
        <v>250</v>
      </c>
      <c r="O185" s="65"/>
      <c r="P185" s="65"/>
      <c r="Q185" s="65"/>
      <c r="R185" s="65"/>
      <c r="S185" s="65"/>
      <c r="T185" s="65"/>
      <c r="U185" s="65"/>
      <c r="V185" s="65">
        <v>125</v>
      </c>
      <c r="W185" s="65"/>
      <c r="X185" s="65"/>
      <c r="Y185" s="65"/>
      <c r="Z185" s="65"/>
      <c r="AA185" s="65">
        <f>442+500+500</f>
        <v>1442</v>
      </c>
      <c r="AB185" s="65"/>
      <c r="AC185" s="65">
        <v>100</v>
      </c>
      <c r="AD185" s="65">
        <v>100</v>
      </c>
      <c r="AE185" s="65">
        <v>308.8</v>
      </c>
      <c r="AF185" s="65"/>
      <c r="AG185" s="65"/>
      <c r="AH185" s="65"/>
      <c r="AI185" s="65"/>
      <c r="AJ185" s="65">
        <v>8176.62</v>
      </c>
      <c r="AK185" s="65">
        <v>100407.93</v>
      </c>
    </row>
    <row r="186" spans="2:37" ht="12.75" customHeight="1">
      <c r="B186" s="5">
        <v>172</v>
      </c>
      <c r="C186" s="60" t="s">
        <v>444</v>
      </c>
      <c r="D186" s="60" t="s">
        <v>232</v>
      </c>
      <c r="E186" s="60" t="s">
        <v>726</v>
      </c>
      <c r="F186" s="66" t="s">
        <v>687</v>
      </c>
      <c r="G186" s="82" t="s">
        <v>688</v>
      </c>
      <c r="H186" s="65">
        <v>386.23</v>
      </c>
      <c r="I186" s="65">
        <v>11</v>
      </c>
      <c r="J186" s="65">
        <f t="shared" ref="J186" si="256">I186*8</f>
        <v>88</v>
      </c>
      <c r="K186" s="65">
        <f t="shared" ref="K186" si="257">H186*I186*2</f>
        <v>8497.0600000000013</v>
      </c>
      <c r="L186" s="65"/>
      <c r="M186" s="65"/>
      <c r="N186" s="65">
        <v>250</v>
      </c>
      <c r="O186" s="65"/>
      <c r="P186" s="65"/>
      <c r="Q186" s="65"/>
      <c r="R186" s="65"/>
      <c r="S186" s="65"/>
      <c r="T186" s="65"/>
      <c r="U186" s="65"/>
      <c r="V186" s="65">
        <v>125</v>
      </c>
      <c r="W186" s="65"/>
      <c r="X186" s="65"/>
      <c r="Y186" s="65"/>
      <c r="Z186" s="65"/>
      <c r="AA186" s="65">
        <f>500+500</f>
        <v>1000</v>
      </c>
      <c r="AB186" s="65"/>
      <c r="AC186" s="65">
        <v>100</v>
      </c>
      <c r="AD186" s="65">
        <v>100</v>
      </c>
      <c r="AE186" s="65">
        <v>308.8</v>
      </c>
      <c r="AF186" s="65"/>
      <c r="AG186" s="65"/>
      <c r="AH186" s="65"/>
      <c r="AI186" s="65"/>
      <c r="AJ186" s="65">
        <v>8352.1299999999992</v>
      </c>
      <c r="AK186" s="65">
        <v>100407.93</v>
      </c>
    </row>
    <row r="187" spans="2:37" ht="12.75" customHeight="1">
      <c r="B187" s="5">
        <v>173</v>
      </c>
      <c r="C187" s="60" t="s">
        <v>445</v>
      </c>
      <c r="D187" s="60" t="s">
        <v>407</v>
      </c>
      <c r="E187" s="60" t="s">
        <v>726</v>
      </c>
      <c r="F187" s="66" t="s">
        <v>687</v>
      </c>
      <c r="G187" s="82" t="s">
        <v>688</v>
      </c>
      <c r="H187" s="65">
        <f>5064.31/11</f>
        <v>460.39181818181822</v>
      </c>
      <c r="I187" s="65">
        <v>11</v>
      </c>
      <c r="J187" s="65">
        <f t="shared" ref="J187" si="258">I187*8</f>
        <v>88</v>
      </c>
      <c r="K187" s="65">
        <f t="shared" ref="K187" si="259">H187*I187*2</f>
        <v>10128.620000000001</v>
      </c>
      <c r="L187" s="65"/>
      <c r="M187" s="65"/>
      <c r="N187" s="65">
        <v>250</v>
      </c>
      <c r="O187" s="65"/>
      <c r="P187" s="65"/>
      <c r="Q187" s="65"/>
      <c r="R187" s="65"/>
      <c r="S187" s="65"/>
      <c r="T187" s="65"/>
      <c r="U187" s="65"/>
      <c r="V187" s="65">
        <v>125</v>
      </c>
      <c r="W187" s="65"/>
      <c r="X187" s="65"/>
      <c r="Y187" s="65"/>
      <c r="Z187" s="65"/>
      <c r="AA187" s="65">
        <f>507+500</f>
        <v>1007</v>
      </c>
      <c r="AB187" s="65"/>
      <c r="AC187" s="65">
        <v>100</v>
      </c>
      <c r="AD187" s="65">
        <v>125</v>
      </c>
      <c r="AE187" s="65">
        <v>363.3</v>
      </c>
      <c r="AF187" s="65"/>
      <c r="AG187" s="65"/>
      <c r="AH187" s="65"/>
      <c r="AI187" s="65"/>
      <c r="AJ187" s="65">
        <v>9895.89</v>
      </c>
      <c r="AK187" s="65">
        <v>120254.64</v>
      </c>
    </row>
    <row r="188" spans="2:37" ht="12.75" customHeight="1">
      <c r="B188" s="5">
        <v>174</v>
      </c>
      <c r="C188" s="60" t="s">
        <v>446</v>
      </c>
      <c r="D188" s="60" t="s">
        <v>447</v>
      </c>
      <c r="E188" s="60" t="s">
        <v>726</v>
      </c>
      <c r="F188" s="66" t="s">
        <v>687</v>
      </c>
      <c r="G188" s="82" t="s">
        <v>688</v>
      </c>
      <c r="H188" s="65">
        <v>380</v>
      </c>
      <c r="I188" s="65">
        <v>11</v>
      </c>
      <c r="J188" s="65">
        <f t="shared" ref="J188" si="260">I188*8</f>
        <v>88</v>
      </c>
      <c r="K188" s="65">
        <f t="shared" ref="K188" si="261">H188*I188*2</f>
        <v>8360</v>
      </c>
      <c r="L188" s="65"/>
      <c r="M188" s="65"/>
      <c r="N188" s="65">
        <v>250</v>
      </c>
      <c r="O188" s="65"/>
      <c r="P188" s="65"/>
      <c r="Q188" s="65"/>
      <c r="R188" s="65"/>
      <c r="S188" s="65"/>
      <c r="T188" s="65"/>
      <c r="U188" s="65"/>
      <c r="V188" s="65">
        <v>125</v>
      </c>
      <c r="W188" s="65"/>
      <c r="X188" s="65"/>
      <c r="Y188" s="65"/>
      <c r="Z188" s="65"/>
      <c r="AA188" s="65">
        <v>500</v>
      </c>
      <c r="AB188" s="65"/>
      <c r="AC188" s="65">
        <v>100</v>
      </c>
      <c r="AD188" s="65">
        <v>100</v>
      </c>
      <c r="AE188" s="65">
        <v>308.8</v>
      </c>
      <c r="AF188" s="65"/>
      <c r="AG188" s="65"/>
      <c r="AH188" s="65"/>
      <c r="AI188" s="65"/>
      <c r="AJ188" s="65">
        <v>8230.7099999999991</v>
      </c>
      <c r="AK188" s="65">
        <v>98736</v>
      </c>
    </row>
    <row r="189" spans="2:37" ht="12.75" customHeight="1">
      <c r="B189" s="5">
        <v>175</v>
      </c>
      <c r="C189" s="60" t="s">
        <v>448</v>
      </c>
      <c r="D189" s="60" t="s">
        <v>232</v>
      </c>
      <c r="E189" s="60" t="s">
        <v>726</v>
      </c>
      <c r="F189" s="66" t="s">
        <v>687</v>
      </c>
      <c r="G189" s="82" t="s">
        <v>688</v>
      </c>
      <c r="H189" s="65">
        <v>386.23</v>
      </c>
      <c r="I189" s="65">
        <v>11</v>
      </c>
      <c r="J189" s="65">
        <f t="shared" ref="J189" si="262">I189*8</f>
        <v>88</v>
      </c>
      <c r="K189" s="65">
        <f t="shared" ref="K189" si="263">H189*I189*2</f>
        <v>8497.0600000000013</v>
      </c>
      <c r="L189" s="65"/>
      <c r="M189" s="65"/>
      <c r="N189" s="65">
        <v>0</v>
      </c>
      <c r="O189" s="65"/>
      <c r="P189" s="65"/>
      <c r="Q189" s="65"/>
      <c r="R189" s="65"/>
      <c r="S189" s="65"/>
      <c r="T189" s="65"/>
      <c r="U189" s="65"/>
      <c r="V189" s="65">
        <v>125</v>
      </c>
      <c r="W189" s="65"/>
      <c r="X189" s="65"/>
      <c r="Y189" s="65"/>
      <c r="Z189" s="65"/>
      <c r="AA189" s="65">
        <v>250</v>
      </c>
      <c r="AB189" s="65"/>
      <c r="AC189" s="65">
        <v>100</v>
      </c>
      <c r="AD189" s="65">
        <v>100</v>
      </c>
      <c r="AE189" s="65">
        <v>308.8</v>
      </c>
      <c r="AF189" s="65"/>
      <c r="AG189" s="65"/>
      <c r="AH189" s="65"/>
      <c r="AI189" s="65"/>
      <c r="AJ189" s="65">
        <v>3150.17</v>
      </c>
      <c r="AK189" s="65">
        <v>38236.54</v>
      </c>
    </row>
    <row r="190" spans="2:37" ht="12.75" customHeight="1">
      <c r="B190" s="5">
        <v>176</v>
      </c>
      <c r="C190" s="60" t="s">
        <v>449</v>
      </c>
      <c r="D190" s="60" t="s">
        <v>232</v>
      </c>
      <c r="E190" s="60" t="s">
        <v>726</v>
      </c>
      <c r="F190" s="66" t="s">
        <v>687</v>
      </c>
      <c r="G190" s="82" t="s">
        <v>688</v>
      </c>
      <c r="H190" s="65">
        <v>386.23</v>
      </c>
      <c r="I190" s="65">
        <v>11</v>
      </c>
      <c r="J190" s="65">
        <f t="shared" ref="J190" si="264">I190*8</f>
        <v>88</v>
      </c>
      <c r="K190" s="65">
        <f t="shared" ref="K190" si="265">H190*I190*2</f>
        <v>8497.0600000000013</v>
      </c>
      <c r="L190" s="65"/>
      <c r="M190" s="65"/>
      <c r="N190" s="65">
        <v>250</v>
      </c>
      <c r="O190" s="65"/>
      <c r="P190" s="65"/>
      <c r="Q190" s="65"/>
      <c r="R190" s="65"/>
      <c r="S190" s="65"/>
      <c r="T190" s="65"/>
      <c r="U190" s="65"/>
      <c r="V190" s="65">
        <v>125</v>
      </c>
      <c r="W190" s="65"/>
      <c r="X190" s="65"/>
      <c r="Y190" s="65"/>
      <c r="Z190" s="65"/>
      <c r="AA190" s="65">
        <f>500+500</f>
        <v>1000</v>
      </c>
      <c r="AB190" s="65"/>
      <c r="AC190" s="65">
        <v>100</v>
      </c>
      <c r="AD190" s="65">
        <v>100</v>
      </c>
      <c r="AE190" s="65">
        <v>308.8</v>
      </c>
      <c r="AF190" s="65"/>
      <c r="AG190" s="65"/>
      <c r="AH190" s="65"/>
      <c r="AI190" s="65"/>
      <c r="AJ190" s="65">
        <v>5265.71</v>
      </c>
      <c r="AK190" s="65">
        <v>63727.57</v>
      </c>
    </row>
    <row r="191" spans="2:37" ht="12.75" customHeight="1">
      <c r="B191" s="5">
        <v>177</v>
      </c>
      <c r="C191" s="60" t="s">
        <v>450</v>
      </c>
      <c r="D191" s="60" t="s">
        <v>232</v>
      </c>
      <c r="E191" s="60" t="s">
        <v>726</v>
      </c>
      <c r="F191" s="66" t="s">
        <v>687</v>
      </c>
      <c r="G191" s="82" t="s">
        <v>688</v>
      </c>
      <c r="H191" s="65">
        <v>0</v>
      </c>
      <c r="I191" s="65">
        <v>11</v>
      </c>
      <c r="J191" s="65">
        <f t="shared" ref="J191" si="266">I191*8</f>
        <v>88</v>
      </c>
      <c r="K191" s="65">
        <f t="shared" ref="K191" si="267">H191*I191*2</f>
        <v>0</v>
      </c>
      <c r="L191" s="65"/>
      <c r="M191" s="65"/>
      <c r="N191" s="65"/>
      <c r="O191" s="65"/>
      <c r="P191" s="65"/>
      <c r="Q191" s="65"/>
      <c r="R191" s="65"/>
      <c r="S191" s="65"/>
      <c r="T191" s="65"/>
      <c r="U191" s="65"/>
      <c r="V191" s="65">
        <v>125</v>
      </c>
      <c r="W191" s="65"/>
      <c r="X191" s="65"/>
      <c r="Y191" s="65"/>
      <c r="Z191" s="65"/>
      <c r="AA191" s="65">
        <f>500+250</f>
        <v>750</v>
      </c>
      <c r="AB191" s="65"/>
      <c r="AC191" s="65">
        <v>100</v>
      </c>
      <c r="AD191" s="65">
        <v>100</v>
      </c>
      <c r="AE191" s="65">
        <v>308.8</v>
      </c>
      <c r="AF191" s="65"/>
      <c r="AG191" s="65"/>
      <c r="AH191" s="65"/>
      <c r="AI191" s="65"/>
      <c r="AJ191" s="65">
        <v>3423.9</v>
      </c>
      <c r="AK191" s="65">
        <v>38236.550000000003</v>
      </c>
    </row>
    <row r="192" spans="2:37" ht="12.75" customHeight="1">
      <c r="B192" s="5">
        <v>178</v>
      </c>
      <c r="C192" s="60" t="s">
        <v>451</v>
      </c>
      <c r="D192" s="60" t="s">
        <v>407</v>
      </c>
      <c r="E192" s="60" t="s">
        <v>726</v>
      </c>
      <c r="F192" s="66" t="s">
        <v>687</v>
      </c>
      <c r="G192" s="82" t="s">
        <v>688</v>
      </c>
      <c r="H192" s="65">
        <f>4842.54/11</f>
        <v>440.23090909090911</v>
      </c>
      <c r="I192" s="65">
        <v>11</v>
      </c>
      <c r="J192" s="65">
        <f t="shared" ref="J192" si="268">I192*8</f>
        <v>88</v>
      </c>
      <c r="K192" s="65">
        <f t="shared" ref="K192" si="269">H192*I192*2</f>
        <v>9685.08</v>
      </c>
      <c r="L192" s="65"/>
      <c r="M192" s="65"/>
      <c r="N192" s="65">
        <v>250</v>
      </c>
      <c r="O192" s="65"/>
      <c r="P192" s="65"/>
      <c r="Q192" s="65"/>
      <c r="R192" s="65"/>
      <c r="S192" s="65"/>
      <c r="T192" s="65"/>
      <c r="U192" s="65"/>
      <c r="V192" s="65">
        <v>125</v>
      </c>
      <c r="W192" s="65"/>
      <c r="X192" s="65"/>
      <c r="Y192" s="65"/>
      <c r="Z192" s="65"/>
      <c r="AA192" s="65">
        <f>500+395+500</f>
        <v>1395</v>
      </c>
      <c r="AB192" s="65"/>
      <c r="AC192" s="65">
        <v>100</v>
      </c>
      <c r="AD192" s="65">
        <v>112.5</v>
      </c>
      <c r="AE192" s="65">
        <v>345.2</v>
      </c>
      <c r="AF192" s="65"/>
      <c r="AG192" s="65"/>
      <c r="AH192" s="65"/>
      <c r="AI192" s="65"/>
      <c r="AJ192" s="65">
        <v>9491.5499999999993</v>
      </c>
      <c r="AK192" s="65">
        <v>114869.22</v>
      </c>
    </row>
    <row r="193" spans="2:37" ht="12.75" customHeight="1">
      <c r="B193" s="5">
        <v>179</v>
      </c>
      <c r="C193" s="60" t="s">
        <v>452</v>
      </c>
      <c r="D193" s="60" t="s">
        <v>232</v>
      </c>
      <c r="E193" s="60" t="s">
        <v>726</v>
      </c>
      <c r="F193" s="66" t="s">
        <v>687</v>
      </c>
      <c r="G193" s="82" t="s">
        <v>688</v>
      </c>
      <c r="H193" s="65">
        <v>386.23</v>
      </c>
      <c r="I193" s="65">
        <v>11</v>
      </c>
      <c r="J193" s="65">
        <f t="shared" ref="J193" si="270">I193*8</f>
        <v>88</v>
      </c>
      <c r="K193" s="65">
        <f t="shared" ref="K193" si="271">H193*I193*2</f>
        <v>8497.0600000000013</v>
      </c>
      <c r="L193" s="65"/>
      <c r="M193" s="65"/>
      <c r="N193" s="65">
        <v>250</v>
      </c>
      <c r="O193" s="65"/>
      <c r="P193" s="65"/>
      <c r="Q193" s="65"/>
      <c r="R193" s="65"/>
      <c r="S193" s="65"/>
      <c r="T193" s="65"/>
      <c r="U193" s="65"/>
      <c r="V193" s="65">
        <v>125</v>
      </c>
      <c r="W193" s="65"/>
      <c r="X193" s="65"/>
      <c r="Y193" s="65"/>
      <c r="Z193" s="65"/>
      <c r="AA193" s="65">
        <f>500+500</f>
        <v>1000</v>
      </c>
      <c r="AB193" s="65"/>
      <c r="AC193" s="65">
        <v>100</v>
      </c>
      <c r="AD193" s="65">
        <v>100</v>
      </c>
      <c r="AE193" s="65">
        <v>308.8</v>
      </c>
      <c r="AF193" s="65"/>
      <c r="AG193" s="65"/>
      <c r="AH193" s="65"/>
      <c r="AI193" s="65"/>
      <c r="AJ193" s="65">
        <v>6920.1</v>
      </c>
      <c r="AK193" s="65">
        <v>84105.55</v>
      </c>
    </row>
    <row r="194" spans="2:37" ht="12.75" customHeight="1">
      <c r="B194" s="5">
        <v>180</v>
      </c>
      <c r="C194" s="60" t="s">
        <v>453</v>
      </c>
      <c r="D194" s="60" t="s">
        <v>232</v>
      </c>
      <c r="E194" s="60" t="s">
        <v>726</v>
      </c>
      <c r="F194" s="66" t="s">
        <v>687</v>
      </c>
      <c r="G194" s="82" t="s">
        <v>688</v>
      </c>
      <c r="H194" s="65">
        <v>386.23</v>
      </c>
      <c r="I194" s="65">
        <v>11</v>
      </c>
      <c r="J194" s="65">
        <f t="shared" ref="J194" si="272">I194*8</f>
        <v>88</v>
      </c>
      <c r="K194" s="65">
        <f t="shared" ref="K194" si="273">H194*I194*2</f>
        <v>8497.0600000000013</v>
      </c>
      <c r="L194" s="65"/>
      <c r="M194" s="65"/>
      <c r="N194" s="65">
        <v>250</v>
      </c>
      <c r="O194" s="65"/>
      <c r="P194" s="65"/>
      <c r="Q194" s="65"/>
      <c r="R194" s="65"/>
      <c r="S194" s="65"/>
      <c r="T194" s="65"/>
      <c r="U194" s="65"/>
      <c r="V194" s="65">
        <v>125</v>
      </c>
      <c r="W194" s="65"/>
      <c r="X194" s="65"/>
      <c r="Y194" s="65"/>
      <c r="Z194" s="65"/>
      <c r="AA194" s="65">
        <f>500+500</f>
        <v>1000</v>
      </c>
      <c r="AB194" s="65"/>
      <c r="AC194" s="65">
        <v>100</v>
      </c>
      <c r="AD194" s="65">
        <v>100</v>
      </c>
      <c r="AE194" s="65">
        <v>308.8</v>
      </c>
      <c r="AF194" s="65"/>
      <c r="AG194" s="65"/>
      <c r="AH194" s="65"/>
      <c r="AI194" s="65"/>
      <c r="AJ194" s="65">
        <v>5149.7</v>
      </c>
      <c r="AK194" s="65">
        <v>63727.57</v>
      </c>
    </row>
    <row r="195" spans="2:37" ht="12.75" customHeight="1">
      <c r="B195" s="5">
        <v>181</v>
      </c>
      <c r="C195" s="60" t="s">
        <v>454</v>
      </c>
      <c r="D195" s="60" t="s">
        <v>455</v>
      </c>
      <c r="E195" s="60" t="s">
        <v>726</v>
      </c>
      <c r="F195" s="66" t="s">
        <v>687</v>
      </c>
      <c r="G195" s="82" t="s">
        <v>688</v>
      </c>
      <c r="H195" s="65">
        <f>5500/11</f>
        <v>500</v>
      </c>
      <c r="I195" s="65">
        <v>11</v>
      </c>
      <c r="J195" s="65">
        <f t="shared" ref="J195" si="274">I195*8</f>
        <v>88</v>
      </c>
      <c r="K195" s="65">
        <f t="shared" ref="K195" si="275">H195*I195*2</f>
        <v>11000</v>
      </c>
      <c r="L195" s="65"/>
      <c r="M195" s="65"/>
      <c r="N195" s="65">
        <v>250</v>
      </c>
      <c r="O195" s="65"/>
      <c r="P195" s="65"/>
      <c r="Q195" s="65"/>
      <c r="R195" s="65"/>
      <c r="S195" s="65"/>
      <c r="T195" s="65"/>
      <c r="U195" s="65"/>
      <c r="V195" s="65">
        <v>125</v>
      </c>
      <c r="W195" s="65"/>
      <c r="X195" s="65"/>
      <c r="Y195" s="65"/>
      <c r="Z195" s="65"/>
      <c r="AA195" s="65">
        <f>750+500+250</f>
        <v>1500</v>
      </c>
      <c r="AB195" s="65"/>
      <c r="AC195" s="65">
        <v>100</v>
      </c>
      <c r="AD195" s="65">
        <v>137.5</v>
      </c>
      <c r="AE195" s="65">
        <v>399.7</v>
      </c>
      <c r="AF195" s="65"/>
      <c r="AG195" s="65"/>
      <c r="AH195" s="65"/>
      <c r="AI195" s="65"/>
      <c r="AJ195" s="65">
        <v>4891.93</v>
      </c>
      <c r="AK195" s="65">
        <v>83702.070000000007</v>
      </c>
    </row>
    <row r="196" spans="2:37" ht="12.75" customHeight="1">
      <c r="B196" s="5">
        <v>182</v>
      </c>
      <c r="C196" s="60" t="s">
        <v>456</v>
      </c>
      <c r="D196" s="60" t="s">
        <v>407</v>
      </c>
      <c r="E196" s="60" t="s">
        <v>726</v>
      </c>
      <c r="F196" s="66" t="s">
        <v>687</v>
      </c>
      <c r="G196" s="82" t="s">
        <v>688</v>
      </c>
      <c r="H196" s="65">
        <f>4404.89/11</f>
        <v>400.4445454545455</v>
      </c>
      <c r="I196" s="65">
        <v>11</v>
      </c>
      <c r="J196" s="65">
        <f t="shared" ref="J196" si="276">I196*8</f>
        <v>88</v>
      </c>
      <c r="K196" s="65">
        <f t="shared" ref="K196" si="277">H196*I196*2</f>
        <v>8809.7800000000007</v>
      </c>
      <c r="L196" s="65"/>
      <c r="M196" s="65"/>
      <c r="N196" s="65">
        <v>250</v>
      </c>
      <c r="O196" s="65"/>
      <c r="P196" s="65"/>
      <c r="Q196" s="65"/>
      <c r="R196" s="65"/>
      <c r="S196" s="65"/>
      <c r="T196" s="65"/>
      <c r="U196" s="65"/>
      <c r="V196" s="65">
        <v>125</v>
      </c>
      <c r="W196" s="65"/>
      <c r="X196" s="65"/>
      <c r="Y196" s="65"/>
      <c r="Z196" s="65"/>
      <c r="AA196" s="65">
        <f>507+500</f>
        <v>1007</v>
      </c>
      <c r="AB196" s="65"/>
      <c r="AC196" s="65">
        <v>100</v>
      </c>
      <c r="AD196" s="65">
        <v>100</v>
      </c>
      <c r="AE196" s="65">
        <v>327</v>
      </c>
      <c r="AF196" s="65"/>
      <c r="AG196" s="65"/>
      <c r="AH196" s="65"/>
      <c r="AI196" s="65"/>
      <c r="AJ196" s="65">
        <v>8659.2800000000007</v>
      </c>
      <c r="AK196" s="65">
        <v>104221.07</v>
      </c>
    </row>
    <row r="197" spans="2:37" ht="12.75" customHeight="1">
      <c r="B197" s="5">
        <v>183</v>
      </c>
      <c r="C197" s="60" t="s">
        <v>457</v>
      </c>
      <c r="D197" s="60" t="s">
        <v>232</v>
      </c>
      <c r="E197" s="60" t="s">
        <v>726</v>
      </c>
      <c r="F197" s="66" t="s">
        <v>687</v>
      </c>
      <c r="G197" s="82" t="s">
        <v>688</v>
      </c>
      <c r="H197" s="65">
        <v>386.23</v>
      </c>
      <c r="I197" s="65">
        <v>11</v>
      </c>
      <c r="J197" s="65">
        <f t="shared" ref="J197" si="278">I197*8</f>
        <v>88</v>
      </c>
      <c r="K197" s="65">
        <f t="shared" ref="K197" si="279">H197*I197*2</f>
        <v>8497.0600000000013</v>
      </c>
      <c r="L197" s="65"/>
      <c r="M197" s="65"/>
      <c r="N197" s="65">
        <v>0</v>
      </c>
      <c r="O197" s="65"/>
      <c r="P197" s="65"/>
      <c r="Q197" s="65"/>
      <c r="R197" s="65"/>
      <c r="S197" s="65"/>
      <c r="T197" s="65"/>
      <c r="U197" s="65"/>
      <c r="V197" s="65">
        <v>125</v>
      </c>
      <c r="W197" s="65"/>
      <c r="X197" s="65"/>
      <c r="Y197" s="65"/>
      <c r="Z197" s="65">
        <v>0</v>
      </c>
      <c r="AA197" s="65">
        <v>250</v>
      </c>
      <c r="AB197" s="65"/>
      <c r="AC197" s="65">
        <v>100</v>
      </c>
      <c r="AD197" s="65">
        <v>100</v>
      </c>
      <c r="AE197" s="65">
        <v>308.8</v>
      </c>
      <c r="AF197" s="65"/>
      <c r="AG197" s="65"/>
      <c r="AH197" s="65"/>
      <c r="AI197" s="65"/>
      <c r="AJ197" s="65">
        <v>2218.81</v>
      </c>
      <c r="AK197" s="65">
        <v>25491.03</v>
      </c>
    </row>
    <row r="198" spans="2:37" ht="12.75" customHeight="1">
      <c r="B198" s="5">
        <v>184</v>
      </c>
      <c r="C198" s="60" t="s">
        <v>458</v>
      </c>
      <c r="D198" s="60" t="s">
        <v>232</v>
      </c>
      <c r="E198" s="60" t="s">
        <v>726</v>
      </c>
      <c r="F198" s="66" t="s">
        <v>687</v>
      </c>
      <c r="G198" s="82" t="s">
        <v>688</v>
      </c>
      <c r="H198" s="65">
        <v>386.23</v>
      </c>
      <c r="I198" s="65">
        <v>11</v>
      </c>
      <c r="J198" s="65">
        <f t="shared" ref="J198" si="280">I198*8</f>
        <v>88</v>
      </c>
      <c r="K198" s="65">
        <f t="shared" ref="K198" si="281">H198*I198*2</f>
        <v>8497.0600000000013</v>
      </c>
      <c r="L198" s="65"/>
      <c r="M198" s="65"/>
      <c r="N198" s="65">
        <v>250</v>
      </c>
      <c r="O198" s="65"/>
      <c r="P198" s="65"/>
      <c r="Q198" s="65"/>
      <c r="R198" s="65"/>
      <c r="S198" s="65"/>
      <c r="T198" s="65"/>
      <c r="U198" s="65"/>
      <c r="V198" s="65">
        <v>125</v>
      </c>
      <c r="W198" s="65"/>
      <c r="X198" s="65"/>
      <c r="Y198" s="65"/>
      <c r="Z198" s="65">
        <v>0</v>
      </c>
      <c r="AA198" s="65">
        <f>442+500+500</f>
        <v>1442</v>
      </c>
      <c r="AB198" s="65"/>
      <c r="AC198" s="65">
        <v>100</v>
      </c>
      <c r="AD198" s="65">
        <v>100</v>
      </c>
      <c r="AE198" s="65">
        <v>308.8</v>
      </c>
      <c r="AF198" s="65"/>
      <c r="AG198" s="65"/>
      <c r="AH198" s="65"/>
      <c r="AI198" s="65"/>
      <c r="AJ198" s="65">
        <v>8324.7999999999993</v>
      </c>
      <c r="AK198" s="65">
        <v>100407.93</v>
      </c>
    </row>
    <row r="199" spans="2:37" ht="12.75" customHeight="1">
      <c r="B199" s="5">
        <v>185</v>
      </c>
      <c r="C199" s="60" t="s">
        <v>459</v>
      </c>
      <c r="D199" s="60" t="s">
        <v>232</v>
      </c>
      <c r="E199" s="60" t="s">
        <v>727</v>
      </c>
      <c r="F199" s="66" t="s">
        <v>687</v>
      </c>
      <c r="G199" s="82" t="s">
        <v>688</v>
      </c>
      <c r="H199" s="65">
        <v>386.23</v>
      </c>
      <c r="I199" s="65">
        <v>11</v>
      </c>
      <c r="J199" s="65">
        <f t="shared" ref="J199" si="282">I199*8</f>
        <v>88</v>
      </c>
      <c r="K199" s="65">
        <f t="shared" ref="K199" si="283">H199*I199*2</f>
        <v>8497.0600000000013</v>
      </c>
      <c r="L199" s="65"/>
      <c r="M199" s="65"/>
      <c r="N199" s="65">
        <v>0</v>
      </c>
      <c r="O199" s="65"/>
      <c r="P199" s="65"/>
      <c r="Q199" s="65"/>
      <c r="R199" s="65"/>
      <c r="S199" s="65"/>
      <c r="T199" s="65"/>
      <c r="U199" s="65"/>
      <c r="V199" s="65">
        <v>125</v>
      </c>
      <c r="W199" s="65"/>
      <c r="X199" s="65"/>
      <c r="Y199" s="65"/>
      <c r="Z199" s="65">
        <v>0</v>
      </c>
      <c r="AA199" s="65">
        <v>250</v>
      </c>
      <c r="AB199" s="65"/>
      <c r="AC199" s="65">
        <v>100</v>
      </c>
      <c r="AD199" s="65">
        <v>100</v>
      </c>
      <c r="AE199" s="65">
        <v>308.8</v>
      </c>
      <c r="AF199" s="65"/>
      <c r="AG199" s="65"/>
      <c r="AH199" s="65"/>
      <c r="AI199" s="65"/>
      <c r="AJ199" s="65">
        <v>2798.55</v>
      </c>
      <c r="AK199" s="65">
        <v>29739.53</v>
      </c>
    </row>
    <row r="200" spans="2:37" ht="12.75" customHeight="1">
      <c r="B200" s="5">
        <v>186</v>
      </c>
      <c r="C200" s="60" t="s">
        <v>460</v>
      </c>
      <c r="D200" s="60" t="s">
        <v>407</v>
      </c>
      <c r="E200" s="60" t="s">
        <v>727</v>
      </c>
      <c r="F200" s="66" t="s">
        <v>687</v>
      </c>
      <c r="G200" s="82" t="s">
        <v>688</v>
      </c>
      <c r="H200" s="65">
        <v>380</v>
      </c>
      <c r="I200" s="65">
        <v>11</v>
      </c>
      <c r="J200" s="65">
        <f t="shared" ref="J200" si="284">I200*8</f>
        <v>88</v>
      </c>
      <c r="K200" s="65">
        <f t="shared" ref="K200" si="285">H200*I200*2</f>
        <v>8360</v>
      </c>
      <c r="L200" s="65"/>
      <c r="M200" s="65"/>
      <c r="N200" s="65">
        <v>250</v>
      </c>
      <c r="O200" s="65"/>
      <c r="P200" s="65"/>
      <c r="Q200" s="65"/>
      <c r="R200" s="65"/>
      <c r="S200" s="65"/>
      <c r="T200" s="65"/>
      <c r="U200" s="65"/>
      <c r="V200" s="65">
        <v>125</v>
      </c>
      <c r="W200" s="65"/>
      <c r="X200" s="65"/>
      <c r="Y200" s="65"/>
      <c r="Z200" s="65"/>
      <c r="AA200" s="65">
        <v>500</v>
      </c>
      <c r="AB200" s="65"/>
      <c r="AC200" s="65">
        <v>100</v>
      </c>
      <c r="AD200" s="65">
        <v>100</v>
      </c>
      <c r="AE200" s="65">
        <v>308.8</v>
      </c>
      <c r="AF200" s="65"/>
      <c r="AG200" s="65"/>
      <c r="AH200" s="65"/>
      <c r="AI200" s="65"/>
      <c r="AJ200" s="65">
        <v>8005.83</v>
      </c>
      <c r="AK200" s="65">
        <v>98736</v>
      </c>
    </row>
    <row r="201" spans="2:37" ht="12.75" customHeight="1">
      <c r="B201" s="5">
        <v>187</v>
      </c>
      <c r="C201" s="60" t="s">
        <v>461</v>
      </c>
      <c r="D201" s="60" t="s">
        <v>232</v>
      </c>
      <c r="E201" s="60" t="s">
        <v>727</v>
      </c>
      <c r="F201" s="66" t="s">
        <v>687</v>
      </c>
      <c r="G201" s="82" t="s">
        <v>688</v>
      </c>
      <c r="H201" s="65">
        <v>386.23</v>
      </c>
      <c r="I201" s="65">
        <v>11</v>
      </c>
      <c r="J201" s="65">
        <f t="shared" ref="J201" si="286">I201*8</f>
        <v>88</v>
      </c>
      <c r="K201" s="65">
        <f t="shared" ref="K201" si="287">H201*I201*2</f>
        <v>8497.0600000000013</v>
      </c>
      <c r="L201" s="65"/>
      <c r="M201" s="65"/>
      <c r="N201" s="65">
        <v>250</v>
      </c>
      <c r="O201" s="65"/>
      <c r="P201" s="65"/>
      <c r="Q201" s="65"/>
      <c r="R201" s="65"/>
      <c r="S201" s="65"/>
      <c r="T201" s="65"/>
      <c r="U201" s="65"/>
      <c r="V201" s="65">
        <v>125</v>
      </c>
      <c r="W201" s="65"/>
      <c r="X201" s="65"/>
      <c r="Y201" s="65"/>
      <c r="Z201" s="65"/>
      <c r="AA201" s="65">
        <f>500+500</f>
        <v>1000</v>
      </c>
      <c r="AB201" s="65"/>
      <c r="AC201" s="65">
        <v>100</v>
      </c>
      <c r="AD201" s="65">
        <v>100</v>
      </c>
      <c r="AE201" s="65">
        <v>308.8</v>
      </c>
      <c r="AF201" s="65"/>
      <c r="AG201" s="65"/>
      <c r="AH201" s="65"/>
      <c r="AI201" s="65"/>
      <c r="AJ201" s="65">
        <v>8357.5400000000009</v>
      </c>
      <c r="AK201" s="65">
        <v>100407.93</v>
      </c>
    </row>
    <row r="202" spans="2:37" ht="12.75" customHeight="1">
      <c r="B202" s="5">
        <v>188</v>
      </c>
      <c r="C202" s="60" t="s">
        <v>462</v>
      </c>
      <c r="D202" s="60" t="s">
        <v>232</v>
      </c>
      <c r="E202" s="60" t="s">
        <v>727</v>
      </c>
      <c r="F202" s="66" t="s">
        <v>687</v>
      </c>
      <c r="G202" s="82" t="s">
        <v>688</v>
      </c>
      <c r="H202" s="65">
        <v>386.23</v>
      </c>
      <c r="I202" s="65">
        <v>11</v>
      </c>
      <c r="J202" s="65">
        <f t="shared" ref="J202" si="288">I202*8</f>
        <v>88</v>
      </c>
      <c r="K202" s="65">
        <f t="shared" ref="K202" si="289">H202*I202*2</f>
        <v>8497.0600000000013</v>
      </c>
      <c r="L202" s="65"/>
      <c r="M202" s="65"/>
      <c r="N202" s="65">
        <v>250</v>
      </c>
      <c r="O202" s="65"/>
      <c r="P202" s="65"/>
      <c r="Q202" s="65"/>
      <c r="R202" s="65"/>
      <c r="S202" s="65"/>
      <c r="T202" s="65"/>
      <c r="U202" s="65"/>
      <c r="V202" s="65">
        <v>125</v>
      </c>
      <c r="W202" s="65"/>
      <c r="X202" s="65"/>
      <c r="Y202" s="65"/>
      <c r="Z202" s="65"/>
      <c r="AA202" s="65">
        <f>356+500+500</f>
        <v>1356</v>
      </c>
      <c r="AB202" s="65"/>
      <c r="AC202" s="65">
        <v>100</v>
      </c>
      <c r="AD202" s="65">
        <v>100</v>
      </c>
      <c r="AE202" s="65">
        <v>308.8</v>
      </c>
      <c r="AF202" s="65"/>
      <c r="AG202" s="65"/>
      <c r="AH202" s="65"/>
      <c r="AI202" s="65"/>
      <c r="AJ202" s="65">
        <v>8363.7099999999991</v>
      </c>
      <c r="AK202" s="65">
        <v>96159.43</v>
      </c>
    </row>
    <row r="203" spans="2:37" ht="12.75" customHeight="1">
      <c r="B203" s="5">
        <v>189</v>
      </c>
      <c r="C203" s="60" t="s">
        <v>463</v>
      </c>
      <c r="D203" s="60" t="s">
        <v>440</v>
      </c>
      <c r="E203" s="60" t="s">
        <v>727</v>
      </c>
      <c r="F203" s="66" t="s">
        <v>687</v>
      </c>
      <c r="G203" s="82" t="s">
        <v>688</v>
      </c>
      <c r="H203" s="65">
        <f>4400.31/11</f>
        <v>400.02818181818185</v>
      </c>
      <c r="I203" s="65">
        <v>11</v>
      </c>
      <c r="J203" s="65">
        <f t="shared" ref="J203" si="290">I203*8</f>
        <v>88</v>
      </c>
      <c r="K203" s="65">
        <f t="shared" ref="K203" si="291">H203*I203*2</f>
        <v>8800.6200000000008</v>
      </c>
      <c r="L203" s="65"/>
      <c r="M203" s="65"/>
      <c r="N203" s="65">
        <v>250</v>
      </c>
      <c r="O203" s="65"/>
      <c r="P203" s="65"/>
      <c r="Q203" s="65"/>
      <c r="R203" s="65"/>
      <c r="S203" s="65"/>
      <c r="T203" s="65"/>
      <c r="U203" s="65"/>
      <c r="V203" s="65">
        <v>125</v>
      </c>
      <c r="W203" s="65"/>
      <c r="X203" s="65"/>
      <c r="Y203" s="65"/>
      <c r="Z203" s="65"/>
      <c r="AA203" s="65">
        <f>549.9+442+500+500</f>
        <v>1991.9</v>
      </c>
      <c r="AB203" s="65"/>
      <c r="AC203" s="65">
        <v>100</v>
      </c>
      <c r="AD203" s="65">
        <v>100</v>
      </c>
      <c r="AE203" s="65">
        <v>327</v>
      </c>
      <c r="AF203" s="65"/>
      <c r="AG203" s="65"/>
      <c r="AH203" s="65"/>
      <c r="AI203" s="65"/>
      <c r="AJ203" s="65">
        <v>8616.2199999999993</v>
      </c>
      <c r="AK203" s="65">
        <v>104109.44</v>
      </c>
    </row>
    <row r="204" spans="2:37" ht="12.75" customHeight="1">
      <c r="B204" s="5">
        <v>190</v>
      </c>
      <c r="C204" s="60" t="s">
        <v>464</v>
      </c>
      <c r="D204" s="60" t="s">
        <v>232</v>
      </c>
      <c r="E204" s="60" t="s">
        <v>727</v>
      </c>
      <c r="F204" s="66" t="s">
        <v>687</v>
      </c>
      <c r="G204" s="82" t="s">
        <v>688</v>
      </c>
      <c r="H204" s="65">
        <v>386.23</v>
      </c>
      <c r="I204" s="65">
        <v>11</v>
      </c>
      <c r="J204" s="65">
        <f t="shared" ref="J204" si="292">I204*8</f>
        <v>88</v>
      </c>
      <c r="K204" s="65">
        <f t="shared" ref="K204" si="293">H204*I204*2</f>
        <v>8497.0600000000013</v>
      </c>
      <c r="L204" s="65"/>
      <c r="M204" s="65"/>
      <c r="N204" s="65"/>
      <c r="O204" s="65"/>
      <c r="P204" s="65"/>
      <c r="Q204" s="65"/>
      <c r="R204" s="65"/>
      <c r="S204" s="65"/>
      <c r="T204" s="65"/>
      <c r="U204" s="65"/>
      <c r="V204" s="65">
        <v>125</v>
      </c>
      <c r="W204" s="65"/>
      <c r="X204" s="65"/>
      <c r="Y204" s="65"/>
      <c r="Z204" s="65"/>
      <c r="AA204" s="65">
        <v>250</v>
      </c>
      <c r="AB204" s="65"/>
      <c r="AC204" s="65">
        <v>100</v>
      </c>
      <c r="AD204" s="65">
        <v>100</v>
      </c>
      <c r="AE204" s="65">
        <v>308.8</v>
      </c>
      <c r="AF204" s="65"/>
      <c r="AG204" s="65"/>
      <c r="AH204" s="65"/>
      <c r="AI204" s="65"/>
      <c r="AJ204" s="65">
        <v>2478.29</v>
      </c>
      <c r="AK204" s="65">
        <v>29739.53</v>
      </c>
    </row>
    <row r="205" spans="2:37" ht="12.75" customHeight="1">
      <c r="B205" s="5">
        <v>191</v>
      </c>
      <c r="C205" s="60" t="s">
        <v>465</v>
      </c>
      <c r="D205" s="60" t="s">
        <v>232</v>
      </c>
      <c r="E205" s="60" t="s">
        <v>727</v>
      </c>
      <c r="F205" s="66" t="s">
        <v>687</v>
      </c>
      <c r="G205" s="82" t="s">
        <v>688</v>
      </c>
      <c r="H205" s="65">
        <v>386.23</v>
      </c>
      <c r="I205" s="65">
        <v>11</v>
      </c>
      <c r="J205" s="65">
        <f t="shared" ref="J205" si="294">I205*8</f>
        <v>88</v>
      </c>
      <c r="K205" s="65">
        <f t="shared" ref="K205" si="295">H205*I205*2</f>
        <v>8497.0600000000013</v>
      </c>
      <c r="L205" s="65"/>
      <c r="M205" s="65"/>
      <c r="N205" s="65">
        <v>250</v>
      </c>
      <c r="O205" s="65"/>
      <c r="P205" s="65"/>
      <c r="Q205" s="65"/>
      <c r="R205" s="65"/>
      <c r="S205" s="65"/>
      <c r="T205" s="65"/>
      <c r="U205" s="65"/>
      <c r="V205" s="65">
        <v>125</v>
      </c>
      <c r="W205" s="65"/>
      <c r="X205" s="65"/>
      <c r="Y205" s="65"/>
      <c r="Z205" s="65"/>
      <c r="AA205" s="65">
        <v>500</v>
      </c>
      <c r="AB205" s="65"/>
      <c r="AC205" s="65">
        <v>100</v>
      </c>
      <c r="AD205" s="65">
        <v>100</v>
      </c>
      <c r="AE205" s="65">
        <v>308.8</v>
      </c>
      <c r="AF205" s="65"/>
      <c r="AG205" s="65"/>
      <c r="AH205" s="65"/>
      <c r="AI205" s="65"/>
      <c r="AJ205" s="65">
        <v>8082.53</v>
      </c>
      <c r="AK205" s="65">
        <v>100407.93</v>
      </c>
    </row>
    <row r="206" spans="2:37" ht="12.75" customHeight="1">
      <c r="B206" s="5">
        <v>192</v>
      </c>
      <c r="C206" s="60" t="s">
        <v>466</v>
      </c>
      <c r="D206" s="60" t="s">
        <v>232</v>
      </c>
      <c r="E206" s="60" t="s">
        <v>727</v>
      </c>
      <c r="F206" s="66" t="s">
        <v>687</v>
      </c>
      <c r="G206" s="82" t="s">
        <v>688</v>
      </c>
      <c r="H206" s="65">
        <v>386.23</v>
      </c>
      <c r="I206" s="65">
        <v>11</v>
      </c>
      <c r="J206" s="65">
        <f t="shared" ref="J206" si="296">I206*8</f>
        <v>88</v>
      </c>
      <c r="K206" s="65">
        <f t="shared" ref="K206" si="297">H206*I206*2</f>
        <v>8497.0600000000013</v>
      </c>
      <c r="L206" s="65"/>
      <c r="M206" s="65"/>
      <c r="N206" s="65">
        <v>250</v>
      </c>
      <c r="O206" s="65"/>
      <c r="P206" s="65"/>
      <c r="Q206" s="65"/>
      <c r="R206" s="65"/>
      <c r="S206" s="65"/>
      <c r="T206" s="65"/>
      <c r="U206" s="65"/>
      <c r="V206" s="65">
        <v>125</v>
      </c>
      <c r="W206" s="65"/>
      <c r="X206" s="65"/>
      <c r="Y206" s="65"/>
      <c r="Z206" s="65"/>
      <c r="AA206" s="65">
        <f>500+500</f>
        <v>1000</v>
      </c>
      <c r="AB206" s="65"/>
      <c r="AC206" s="65">
        <v>100</v>
      </c>
      <c r="AD206" s="65">
        <v>100</v>
      </c>
      <c r="AE206" s="65">
        <v>308.8</v>
      </c>
      <c r="AF206" s="65"/>
      <c r="AG206" s="65"/>
      <c r="AH206" s="65"/>
      <c r="AI206" s="65"/>
      <c r="AJ206" s="65">
        <v>8201.52</v>
      </c>
      <c r="AK206" s="65">
        <v>100121.55</v>
      </c>
    </row>
    <row r="207" spans="2:37" ht="12.75" customHeight="1">
      <c r="B207" s="5">
        <v>193</v>
      </c>
      <c r="C207" s="60" t="s">
        <v>467</v>
      </c>
      <c r="D207" s="60" t="s">
        <v>232</v>
      </c>
      <c r="E207" s="60" t="s">
        <v>727</v>
      </c>
      <c r="F207" s="66" t="s">
        <v>687</v>
      </c>
      <c r="G207" s="82" t="s">
        <v>688</v>
      </c>
      <c r="H207" s="65">
        <f>4361.94/11</f>
        <v>396.53999999999996</v>
      </c>
      <c r="I207" s="65">
        <v>11</v>
      </c>
      <c r="J207" s="65">
        <f t="shared" ref="J207" si="298">I207*8</f>
        <v>88</v>
      </c>
      <c r="K207" s="65">
        <f t="shared" ref="K207" si="299">H207*I207*2</f>
        <v>8723.8799999999992</v>
      </c>
      <c r="L207" s="65"/>
      <c r="M207" s="65"/>
      <c r="N207" s="65">
        <v>250</v>
      </c>
      <c r="O207" s="65"/>
      <c r="P207" s="65"/>
      <c r="Q207" s="65"/>
      <c r="R207" s="65"/>
      <c r="S207" s="65"/>
      <c r="T207" s="65"/>
      <c r="U207" s="65"/>
      <c r="V207" s="65">
        <v>125</v>
      </c>
      <c r="W207" s="65"/>
      <c r="X207" s="65"/>
      <c r="Y207" s="65"/>
      <c r="Z207" s="65"/>
      <c r="AA207" s="65">
        <f>356+500+500</f>
        <v>1356</v>
      </c>
      <c r="AB207" s="65"/>
      <c r="AC207" s="65">
        <v>100</v>
      </c>
      <c r="AD207" s="65">
        <v>100</v>
      </c>
      <c r="AE207" s="65">
        <v>308.8</v>
      </c>
      <c r="AF207" s="65"/>
      <c r="AG207" s="65"/>
      <c r="AH207" s="65"/>
      <c r="AI207" s="65"/>
      <c r="AJ207" s="65">
        <v>8559.14</v>
      </c>
      <c r="AK207" s="65">
        <v>103174.29</v>
      </c>
    </row>
    <row r="208" spans="2:37" ht="12.75" customHeight="1">
      <c r="B208" s="5">
        <v>194</v>
      </c>
      <c r="C208" s="60" t="s">
        <v>468</v>
      </c>
      <c r="D208" s="60" t="s">
        <v>232</v>
      </c>
      <c r="E208" s="60" t="s">
        <v>727</v>
      </c>
      <c r="F208" s="66" t="s">
        <v>687</v>
      </c>
      <c r="G208" s="82" t="s">
        <v>688</v>
      </c>
      <c r="H208" s="65">
        <v>386.23</v>
      </c>
      <c r="I208" s="65">
        <v>11</v>
      </c>
      <c r="J208" s="65">
        <f t="shared" ref="J208" si="300">I208*8</f>
        <v>88</v>
      </c>
      <c r="K208" s="65">
        <f t="shared" ref="K208" si="301">H208*I208*2</f>
        <v>8497.0600000000013</v>
      </c>
      <c r="L208" s="65"/>
      <c r="M208" s="65"/>
      <c r="N208" s="65">
        <v>250</v>
      </c>
      <c r="O208" s="65"/>
      <c r="P208" s="65"/>
      <c r="Q208" s="65"/>
      <c r="R208" s="65"/>
      <c r="S208" s="65"/>
      <c r="T208" s="65"/>
      <c r="U208" s="65"/>
      <c r="V208" s="65">
        <v>125</v>
      </c>
      <c r="W208" s="65"/>
      <c r="X208" s="65"/>
      <c r="Y208" s="65"/>
      <c r="Z208" s="65"/>
      <c r="AA208" s="65">
        <f>500+500</f>
        <v>1000</v>
      </c>
      <c r="AB208" s="65"/>
      <c r="AC208" s="65">
        <v>100</v>
      </c>
      <c r="AD208" s="65">
        <v>100</v>
      </c>
      <c r="AE208" s="65">
        <v>308.8</v>
      </c>
      <c r="AF208" s="65"/>
      <c r="AG208" s="65"/>
      <c r="AH208" s="65"/>
      <c r="AI208" s="65"/>
      <c r="AJ208" s="65">
        <v>7698.01</v>
      </c>
      <c r="AK208" s="65">
        <v>100407.93</v>
      </c>
    </row>
    <row r="209" spans="2:37" ht="12.75" customHeight="1">
      <c r="B209" s="5">
        <v>195</v>
      </c>
      <c r="C209" s="60" t="s">
        <v>469</v>
      </c>
      <c r="D209" s="60" t="s">
        <v>407</v>
      </c>
      <c r="E209" s="60" t="s">
        <v>727</v>
      </c>
      <c r="F209" s="66" t="s">
        <v>687</v>
      </c>
      <c r="G209" s="82" t="s">
        <v>688</v>
      </c>
      <c r="H209" s="65">
        <f>4897.55/11</f>
        <v>445.2318181818182</v>
      </c>
      <c r="I209" s="65">
        <v>11</v>
      </c>
      <c r="J209" s="65">
        <f t="shared" ref="J209" si="302">I209*8</f>
        <v>88</v>
      </c>
      <c r="K209" s="65">
        <f t="shared" ref="K209" si="303">H209*I209*2</f>
        <v>9795.1</v>
      </c>
      <c r="L209" s="65"/>
      <c r="M209" s="65"/>
      <c r="N209" s="65">
        <v>250</v>
      </c>
      <c r="O209" s="65"/>
      <c r="P209" s="65"/>
      <c r="Q209" s="65"/>
      <c r="R209" s="65"/>
      <c r="S209" s="65"/>
      <c r="T209" s="65"/>
      <c r="U209" s="65"/>
      <c r="V209" s="65">
        <v>125</v>
      </c>
      <c r="W209" s="65"/>
      <c r="X209" s="65"/>
      <c r="Y209" s="65"/>
      <c r="Z209" s="65"/>
      <c r="AA209" s="65">
        <f>395+500</f>
        <v>895</v>
      </c>
      <c r="AB209" s="65"/>
      <c r="AC209" s="65">
        <v>100</v>
      </c>
      <c r="AD209" s="65">
        <v>112.5</v>
      </c>
      <c r="AE209" s="65">
        <v>363.3</v>
      </c>
      <c r="AF209" s="65"/>
      <c r="AG209" s="65"/>
      <c r="AH209" s="65"/>
      <c r="AI209" s="65"/>
      <c r="AJ209" s="65">
        <v>9410.67</v>
      </c>
      <c r="AK209" s="65">
        <v>116205.74</v>
      </c>
    </row>
    <row r="210" spans="2:37" ht="12.75" customHeight="1">
      <c r="B210" s="5">
        <v>196</v>
      </c>
      <c r="C210" s="60" t="s">
        <v>470</v>
      </c>
      <c r="D210" s="60" t="s">
        <v>232</v>
      </c>
      <c r="E210" s="60" t="s">
        <v>727</v>
      </c>
      <c r="F210" s="66" t="s">
        <v>687</v>
      </c>
      <c r="G210" s="82" t="s">
        <v>688</v>
      </c>
      <c r="H210" s="65">
        <f>4628.75/11</f>
        <v>420.79545454545456</v>
      </c>
      <c r="I210" s="65">
        <v>11</v>
      </c>
      <c r="J210" s="65">
        <f t="shared" ref="J210" si="304">I210*8</f>
        <v>88</v>
      </c>
      <c r="K210" s="65">
        <f t="shared" ref="K210" si="305">H210*I210*2</f>
        <v>9257.5</v>
      </c>
      <c r="L210" s="65"/>
      <c r="M210" s="65"/>
      <c r="N210" s="65">
        <v>250</v>
      </c>
      <c r="O210" s="65"/>
      <c r="P210" s="65"/>
      <c r="Q210" s="65"/>
      <c r="R210" s="65"/>
      <c r="S210" s="65"/>
      <c r="T210" s="65"/>
      <c r="U210" s="65"/>
      <c r="V210" s="65">
        <v>125</v>
      </c>
      <c r="W210" s="65"/>
      <c r="X210" s="65"/>
      <c r="Y210" s="65"/>
      <c r="Z210" s="65"/>
      <c r="AA210" s="65">
        <f>442+500+500</f>
        <v>1442</v>
      </c>
      <c r="AB210" s="65"/>
      <c r="AC210" s="65">
        <v>100</v>
      </c>
      <c r="AD210" s="65">
        <v>112.5</v>
      </c>
      <c r="AE210" s="65">
        <v>345.2</v>
      </c>
      <c r="AF210" s="65"/>
      <c r="AG210" s="65"/>
      <c r="AH210" s="65"/>
      <c r="AI210" s="65"/>
      <c r="AJ210" s="65">
        <v>8007.4</v>
      </c>
      <c r="AK210" s="65">
        <v>100413.9</v>
      </c>
    </row>
    <row r="211" spans="2:37" ht="12.75" customHeight="1">
      <c r="B211" s="5">
        <v>197</v>
      </c>
      <c r="C211" s="60" t="s">
        <v>471</v>
      </c>
      <c r="D211" s="60" t="s">
        <v>407</v>
      </c>
      <c r="E211" s="60" t="s">
        <v>727</v>
      </c>
      <c r="F211" s="66" t="s">
        <v>687</v>
      </c>
      <c r="G211" s="82" t="s">
        <v>688</v>
      </c>
      <c r="H211" s="65">
        <v>380</v>
      </c>
      <c r="I211" s="65">
        <v>11</v>
      </c>
      <c r="J211" s="65">
        <f t="shared" ref="J211" si="306">I211*8</f>
        <v>88</v>
      </c>
      <c r="K211" s="65">
        <f t="shared" ref="K211" si="307">H211*I211*2</f>
        <v>8360</v>
      </c>
      <c r="L211" s="65"/>
      <c r="M211" s="65"/>
      <c r="N211" s="65">
        <v>250</v>
      </c>
      <c r="O211" s="65"/>
      <c r="P211" s="65"/>
      <c r="Q211" s="65"/>
      <c r="R211" s="65"/>
      <c r="S211" s="65"/>
      <c r="T211" s="65"/>
      <c r="U211" s="65"/>
      <c r="V211" s="65">
        <v>125</v>
      </c>
      <c r="W211" s="65"/>
      <c r="X211" s="65"/>
      <c r="Y211" s="65"/>
      <c r="Z211" s="65"/>
      <c r="AA211" s="65">
        <f>507+500</f>
        <v>1007</v>
      </c>
      <c r="AB211" s="65"/>
      <c r="AC211" s="65">
        <v>100</v>
      </c>
      <c r="AD211" s="65">
        <v>100</v>
      </c>
      <c r="AE211" s="65">
        <v>308.8</v>
      </c>
      <c r="AF211" s="65"/>
      <c r="AG211" s="65"/>
      <c r="AH211" s="65"/>
      <c r="AI211" s="65"/>
      <c r="AJ211" s="65">
        <v>7776.78</v>
      </c>
      <c r="AK211" s="65">
        <v>98736</v>
      </c>
    </row>
    <row r="212" spans="2:37" ht="12.75" customHeight="1">
      <c r="B212" s="5">
        <v>198</v>
      </c>
      <c r="C212" s="60" t="s">
        <v>472</v>
      </c>
      <c r="D212" s="60" t="s">
        <v>407</v>
      </c>
      <c r="E212" s="60" t="s">
        <v>727</v>
      </c>
      <c r="F212" s="66" t="s">
        <v>687</v>
      </c>
      <c r="G212" s="82" t="s">
        <v>688</v>
      </c>
      <c r="H212" s="65">
        <v>380</v>
      </c>
      <c r="I212" s="65">
        <v>11</v>
      </c>
      <c r="J212" s="65">
        <f t="shared" ref="J212" si="308">I212*8</f>
        <v>88</v>
      </c>
      <c r="K212" s="65">
        <f t="shared" ref="K212" si="309">H212*I212*2</f>
        <v>8360</v>
      </c>
      <c r="L212" s="65"/>
      <c r="M212" s="65"/>
      <c r="N212" s="65">
        <v>250</v>
      </c>
      <c r="O212" s="65"/>
      <c r="P212" s="65"/>
      <c r="Q212" s="65"/>
      <c r="R212" s="65"/>
      <c r="S212" s="65"/>
      <c r="T212" s="65"/>
      <c r="U212" s="65"/>
      <c r="V212" s="65">
        <v>125</v>
      </c>
      <c r="W212" s="65"/>
      <c r="X212" s="65"/>
      <c r="Y212" s="65"/>
      <c r="Z212" s="65"/>
      <c r="AA212" s="65">
        <v>500</v>
      </c>
      <c r="AB212" s="65"/>
      <c r="AC212" s="65">
        <v>100</v>
      </c>
      <c r="AD212" s="65">
        <v>100</v>
      </c>
      <c r="AE212" s="65">
        <v>308.8</v>
      </c>
      <c r="AF212" s="65"/>
      <c r="AG212" s="65"/>
      <c r="AH212" s="65"/>
      <c r="AI212" s="65"/>
      <c r="AJ212" s="65">
        <v>8016.98</v>
      </c>
      <c r="AK212" s="65">
        <v>98736</v>
      </c>
    </row>
    <row r="213" spans="2:37" ht="12.75" customHeight="1">
      <c r="B213" s="5">
        <v>199</v>
      </c>
      <c r="C213" s="60" t="s">
        <v>473</v>
      </c>
      <c r="D213" s="60" t="s">
        <v>455</v>
      </c>
      <c r="E213" s="60" t="s">
        <v>727</v>
      </c>
      <c r="F213" s="66" t="s">
        <v>687</v>
      </c>
      <c r="G213" s="82" t="s">
        <v>688</v>
      </c>
      <c r="H213" s="65">
        <f>4248.51/11</f>
        <v>386.22818181818184</v>
      </c>
      <c r="I213" s="65">
        <v>11</v>
      </c>
      <c r="J213" s="65">
        <f t="shared" ref="J213" si="310">I213*8</f>
        <v>88</v>
      </c>
      <c r="K213" s="65">
        <f t="shared" ref="K213" si="311">H213*I213*2</f>
        <v>8497.02</v>
      </c>
      <c r="L213" s="65"/>
      <c r="M213" s="65"/>
      <c r="N213" s="65">
        <v>250</v>
      </c>
      <c r="O213" s="65"/>
      <c r="P213" s="65"/>
      <c r="Q213" s="65"/>
      <c r="R213" s="65"/>
      <c r="S213" s="65"/>
      <c r="T213" s="65"/>
      <c r="U213" s="65"/>
      <c r="V213" s="65">
        <v>125</v>
      </c>
      <c r="W213" s="65"/>
      <c r="X213" s="65"/>
      <c r="Y213" s="65"/>
      <c r="Z213" s="65"/>
      <c r="AA213" s="65">
        <f>1376+500+500</f>
        <v>2376</v>
      </c>
      <c r="AB213" s="65"/>
      <c r="AC213" s="65">
        <v>100</v>
      </c>
      <c r="AD213" s="65">
        <v>100</v>
      </c>
      <c r="AE213" s="65">
        <v>308.8</v>
      </c>
      <c r="AF213" s="65"/>
      <c r="AG213" s="65"/>
      <c r="AH213" s="65"/>
      <c r="AI213" s="65"/>
      <c r="AJ213" s="65">
        <v>7953.85</v>
      </c>
      <c r="AK213" s="65">
        <v>100306.9</v>
      </c>
    </row>
    <row r="214" spans="2:37" ht="12.75" customHeight="1">
      <c r="B214" s="5">
        <v>200</v>
      </c>
      <c r="C214" s="60" t="s">
        <v>474</v>
      </c>
      <c r="D214" s="60" t="s">
        <v>407</v>
      </c>
      <c r="E214" s="60" t="s">
        <v>727</v>
      </c>
      <c r="F214" s="66" t="s">
        <v>687</v>
      </c>
      <c r="G214" s="82" t="s">
        <v>688</v>
      </c>
      <c r="H214" s="65">
        <f>4354.93/11</f>
        <v>395.9027272727273</v>
      </c>
      <c r="I214" s="65">
        <v>11</v>
      </c>
      <c r="J214" s="65">
        <f t="shared" ref="J214" si="312">I214*8</f>
        <v>88</v>
      </c>
      <c r="K214" s="65">
        <f t="shared" ref="K214" si="313">H214*I214*2</f>
        <v>8709.86</v>
      </c>
      <c r="L214" s="65"/>
      <c r="M214" s="65"/>
      <c r="N214" s="65">
        <v>250</v>
      </c>
      <c r="O214" s="65"/>
      <c r="P214" s="65"/>
      <c r="Q214" s="65"/>
      <c r="R214" s="65"/>
      <c r="S214" s="65"/>
      <c r="T214" s="65"/>
      <c r="U214" s="65"/>
      <c r="V214" s="65">
        <v>125</v>
      </c>
      <c r="W214" s="65"/>
      <c r="X214" s="65"/>
      <c r="Y214" s="65"/>
      <c r="Z214" s="65"/>
      <c r="AA214" s="65">
        <v>500</v>
      </c>
      <c r="AB214" s="65"/>
      <c r="AC214" s="65">
        <v>100</v>
      </c>
      <c r="AD214" s="65">
        <v>100</v>
      </c>
      <c r="AE214" s="65">
        <v>308.8</v>
      </c>
      <c r="AF214" s="65"/>
      <c r="AG214" s="65"/>
      <c r="AH214" s="65"/>
      <c r="AI214" s="65"/>
      <c r="AJ214" s="65">
        <v>7951.14</v>
      </c>
      <c r="AK214" s="65">
        <v>103003.4</v>
      </c>
    </row>
    <row r="215" spans="2:37" ht="12.75" customHeight="1">
      <c r="B215" s="5">
        <v>201</v>
      </c>
      <c r="C215" s="60" t="s">
        <v>475</v>
      </c>
      <c r="D215" s="60" t="s">
        <v>232</v>
      </c>
      <c r="E215" s="60" t="s">
        <v>727</v>
      </c>
      <c r="F215" s="66" t="s">
        <v>687</v>
      </c>
      <c r="G215" s="82" t="s">
        <v>688</v>
      </c>
      <c r="H215" s="65">
        <v>386.23</v>
      </c>
      <c r="I215" s="65">
        <v>11</v>
      </c>
      <c r="J215" s="65">
        <f t="shared" ref="J215" si="314">I215*8</f>
        <v>88</v>
      </c>
      <c r="K215" s="65">
        <f t="shared" ref="K215" si="315">H215*I215*2</f>
        <v>8497.0600000000013</v>
      </c>
      <c r="L215" s="65"/>
      <c r="M215" s="65"/>
      <c r="N215" s="65">
        <v>250</v>
      </c>
      <c r="O215" s="65"/>
      <c r="P215" s="65"/>
      <c r="Q215" s="65"/>
      <c r="R215" s="65"/>
      <c r="S215" s="65"/>
      <c r="T215" s="65"/>
      <c r="U215" s="65"/>
      <c r="V215" s="65">
        <v>125</v>
      </c>
      <c r="W215" s="65"/>
      <c r="X215" s="65"/>
      <c r="Y215" s="65"/>
      <c r="Z215" s="65"/>
      <c r="AA215" s="65">
        <f>500+500</f>
        <v>1000</v>
      </c>
      <c r="AB215" s="65"/>
      <c r="AC215" s="65">
        <v>100</v>
      </c>
      <c r="AD215" s="65">
        <v>100</v>
      </c>
      <c r="AE215" s="65">
        <v>308.8</v>
      </c>
      <c r="AF215" s="65"/>
      <c r="AG215" s="65"/>
      <c r="AH215" s="65"/>
      <c r="AI215" s="65"/>
      <c r="AJ215" s="65">
        <v>8161.91</v>
      </c>
      <c r="AK215" s="65">
        <v>100121.55</v>
      </c>
    </row>
    <row r="216" spans="2:37" ht="12.75" customHeight="1">
      <c r="B216" s="5">
        <v>202</v>
      </c>
      <c r="C216" s="60" t="s">
        <v>476</v>
      </c>
      <c r="D216" s="60" t="s">
        <v>414</v>
      </c>
      <c r="E216" s="60" t="s">
        <v>727</v>
      </c>
      <c r="F216" s="66" t="s">
        <v>687</v>
      </c>
      <c r="G216" s="82" t="s">
        <v>688</v>
      </c>
      <c r="H216" s="65">
        <f>4455.79/11</f>
        <v>405.07181818181817</v>
      </c>
      <c r="I216" s="65">
        <v>11</v>
      </c>
      <c r="J216" s="65">
        <f t="shared" ref="J216" si="316">I216*8</f>
        <v>88</v>
      </c>
      <c r="K216" s="65">
        <f t="shared" ref="K216" si="317">H216*I216*2</f>
        <v>8911.58</v>
      </c>
      <c r="L216" s="65"/>
      <c r="M216" s="65"/>
      <c r="N216" s="65">
        <v>250</v>
      </c>
      <c r="O216" s="65"/>
      <c r="P216" s="65"/>
      <c r="Q216" s="65"/>
      <c r="R216" s="65"/>
      <c r="S216" s="65"/>
      <c r="T216" s="65"/>
      <c r="U216" s="65"/>
      <c r="V216" s="65">
        <v>125</v>
      </c>
      <c r="W216" s="65"/>
      <c r="X216" s="65"/>
      <c r="Y216" s="65"/>
      <c r="Z216" s="65"/>
      <c r="AA216" s="65">
        <f>522.1+442+500+500</f>
        <v>1964.1</v>
      </c>
      <c r="AB216" s="65"/>
      <c r="AC216" s="65">
        <v>100</v>
      </c>
      <c r="AD216" s="65">
        <v>100</v>
      </c>
      <c r="AE216" s="65">
        <v>327</v>
      </c>
      <c r="AF216" s="65"/>
      <c r="AG216" s="65"/>
      <c r="AH216" s="65"/>
      <c r="AI216" s="65"/>
      <c r="AJ216" s="65">
        <v>8756.7800000000007</v>
      </c>
      <c r="AK216" s="65">
        <v>105461.07</v>
      </c>
    </row>
    <row r="217" spans="2:37" ht="12.75" customHeight="1">
      <c r="B217" s="5">
        <v>203</v>
      </c>
      <c r="C217" s="60" t="s">
        <v>477</v>
      </c>
      <c r="D217" s="60" t="s">
        <v>232</v>
      </c>
      <c r="E217" s="60" t="s">
        <v>727</v>
      </c>
      <c r="F217" s="66" t="s">
        <v>687</v>
      </c>
      <c r="G217" s="82" t="s">
        <v>688</v>
      </c>
      <c r="H217" s="65">
        <v>386.23</v>
      </c>
      <c r="I217" s="65">
        <v>11</v>
      </c>
      <c r="J217" s="65">
        <f t="shared" ref="J217" si="318">I217*8</f>
        <v>88</v>
      </c>
      <c r="K217" s="65">
        <f t="shared" ref="K217" si="319">H217*I217*2</f>
        <v>8497.0600000000013</v>
      </c>
      <c r="L217" s="65"/>
      <c r="M217" s="65"/>
      <c r="N217" s="65"/>
      <c r="O217" s="65"/>
      <c r="P217" s="65"/>
      <c r="Q217" s="65"/>
      <c r="R217" s="65"/>
      <c r="S217" s="65"/>
      <c r="T217" s="65"/>
      <c r="U217" s="65"/>
      <c r="V217" s="65">
        <v>125</v>
      </c>
      <c r="W217" s="65"/>
      <c r="X217" s="65"/>
      <c r="Y217" s="65"/>
      <c r="Z217" s="65"/>
      <c r="AA217" s="65">
        <v>250</v>
      </c>
      <c r="AB217" s="65"/>
      <c r="AC217" s="65">
        <v>100</v>
      </c>
      <c r="AD217" s="65">
        <v>100</v>
      </c>
      <c r="AE217" s="65">
        <v>308.8</v>
      </c>
      <c r="AF217" s="65"/>
      <c r="AG217" s="65"/>
      <c r="AH217" s="65"/>
      <c r="AI217" s="65"/>
      <c r="AJ217" s="65">
        <v>2831.74</v>
      </c>
      <c r="AK217" s="65">
        <v>33988.04</v>
      </c>
    </row>
    <row r="218" spans="2:37" ht="12.75" customHeight="1">
      <c r="B218" s="5">
        <v>204</v>
      </c>
      <c r="C218" s="60" t="s">
        <v>478</v>
      </c>
      <c r="D218" s="60" t="s">
        <v>440</v>
      </c>
      <c r="E218" s="60" t="s">
        <v>728</v>
      </c>
      <c r="F218" s="66" t="s">
        <v>687</v>
      </c>
      <c r="G218" s="82" t="s">
        <v>688</v>
      </c>
      <c r="H218" s="65">
        <f>4400.31/11</f>
        <v>400.02818181818185</v>
      </c>
      <c r="I218" s="65">
        <v>11</v>
      </c>
      <c r="J218" s="65">
        <f t="shared" ref="J218" si="320">I218*8</f>
        <v>88</v>
      </c>
      <c r="K218" s="65">
        <f t="shared" ref="K218" si="321">H218*I218*2</f>
        <v>8800.6200000000008</v>
      </c>
      <c r="L218" s="65"/>
      <c r="M218" s="65"/>
      <c r="N218" s="65">
        <v>250</v>
      </c>
      <c r="O218" s="65"/>
      <c r="P218" s="65"/>
      <c r="Q218" s="65"/>
      <c r="R218" s="65"/>
      <c r="S218" s="65"/>
      <c r="T218" s="65"/>
      <c r="U218" s="65"/>
      <c r="V218" s="65">
        <v>125</v>
      </c>
      <c r="W218" s="65"/>
      <c r="X218" s="65"/>
      <c r="Y218" s="65"/>
      <c r="Z218" s="65"/>
      <c r="AA218" s="65">
        <f>794.4+566+500+500</f>
        <v>2360.4</v>
      </c>
      <c r="AB218" s="65"/>
      <c r="AC218" s="65">
        <v>100</v>
      </c>
      <c r="AD218" s="65">
        <v>100</v>
      </c>
      <c r="AE218" s="65">
        <v>327</v>
      </c>
      <c r="AF218" s="65"/>
      <c r="AG218" s="65"/>
      <c r="AH218" s="65"/>
      <c r="AI218" s="65"/>
      <c r="AJ218" s="65">
        <v>8357.85</v>
      </c>
      <c r="AK218" s="65">
        <v>104109.44</v>
      </c>
    </row>
    <row r="219" spans="2:37" ht="12.75" customHeight="1">
      <c r="B219" s="5">
        <v>205</v>
      </c>
      <c r="C219" s="60" t="s">
        <v>479</v>
      </c>
      <c r="D219" s="60" t="s">
        <v>232</v>
      </c>
      <c r="E219" s="60" t="s">
        <v>728</v>
      </c>
      <c r="F219" s="66" t="s">
        <v>687</v>
      </c>
      <c r="G219" s="82" t="s">
        <v>688</v>
      </c>
      <c r="H219" s="65">
        <f>4361.94/11</f>
        <v>396.53999999999996</v>
      </c>
      <c r="I219" s="65">
        <v>11</v>
      </c>
      <c r="J219" s="65">
        <f t="shared" ref="J219" si="322">I219*8</f>
        <v>88</v>
      </c>
      <c r="K219" s="65">
        <f t="shared" ref="K219" si="323">H219*I219*2</f>
        <v>8723.8799999999992</v>
      </c>
      <c r="L219" s="65"/>
      <c r="M219" s="65"/>
      <c r="N219" s="65">
        <v>250</v>
      </c>
      <c r="O219" s="65"/>
      <c r="P219" s="65"/>
      <c r="Q219" s="65"/>
      <c r="R219" s="65"/>
      <c r="S219" s="65"/>
      <c r="T219" s="65"/>
      <c r="U219" s="65"/>
      <c r="V219" s="65">
        <v>125</v>
      </c>
      <c r="W219" s="65"/>
      <c r="X219" s="65"/>
      <c r="Y219" s="65"/>
      <c r="Z219" s="65"/>
      <c r="AA219" s="65">
        <f>442+500+500</f>
        <v>1442</v>
      </c>
      <c r="AB219" s="65"/>
      <c r="AC219" s="65">
        <v>100</v>
      </c>
      <c r="AD219" s="65">
        <v>100</v>
      </c>
      <c r="AE219" s="65">
        <v>308.8</v>
      </c>
      <c r="AF219" s="65"/>
      <c r="AG219" s="65"/>
      <c r="AH219" s="65"/>
      <c r="AI219" s="65"/>
      <c r="AJ219" s="65">
        <v>8286.8700000000008</v>
      </c>
      <c r="AK219" s="65">
        <v>103174.29</v>
      </c>
    </row>
    <row r="220" spans="2:37" ht="12.75" customHeight="1">
      <c r="B220" s="5">
        <v>206</v>
      </c>
      <c r="C220" s="60" t="s">
        <v>480</v>
      </c>
      <c r="D220" s="60" t="s">
        <v>232</v>
      </c>
      <c r="E220" s="60" t="s">
        <v>728</v>
      </c>
      <c r="F220" s="66" t="s">
        <v>687</v>
      </c>
      <c r="G220" s="82" t="s">
        <v>688</v>
      </c>
      <c r="H220" s="65">
        <f>4248.51/11</f>
        <v>386.22818181818184</v>
      </c>
      <c r="I220" s="65">
        <v>11</v>
      </c>
      <c r="J220" s="65">
        <f t="shared" ref="J220" si="324">I220*8</f>
        <v>88</v>
      </c>
      <c r="K220" s="65">
        <f t="shared" ref="K220" si="325">H220*I220*2</f>
        <v>8497.02</v>
      </c>
      <c r="L220" s="65"/>
      <c r="M220" s="65"/>
      <c r="N220" s="65">
        <v>250</v>
      </c>
      <c r="O220" s="65"/>
      <c r="P220" s="65"/>
      <c r="Q220" s="65"/>
      <c r="R220" s="65"/>
      <c r="S220" s="65"/>
      <c r="T220" s="65"/>
      <c r="U220" s="65"/>
      <c r="V220" s="65">
        <v>125</v>
      </c>
      <c r="W220" s="65"/>
      <c r="X220" s="65"/>
      <c r="Y220" s="65"/>
      <c r="Z220" s="65"/>
      <c r="AA220" s="65">
        <f>500+500</f>
        <v>1000</v>
      </c>
      <c r="AB220" s="65"/>
      <c r="AC220" s="65">
        <v>100</v>
      </c>
      <c r="AD220" s="65">
        <v>100</v>
      </c>
      <c r="AE220" s="65">
        <v>308.8</v>
      </c>
      <c r="AF220" s="65"/>
      <c r="AG220" s="65"/>
      <c r="AH220" s="65"/>
      <c r="AI220" s="65"/>
      <c r="AJ220" s="65">
        <v>8404.18</v>
      </c>
      <c r="AK220" s="65">
        <v>100407.93</v>
      </c>
    </row>
    <row r="221" spans="2:37" ht="12.75" customHeight="1">
      <c r="B221" s="5">
        <v>207</v>
      </c>
      <c r="C221" s="60" t="s">
        <v>481</v>
      </c>
      <c r="D221" s="60" t="s">
        <v>232</v>
      </c>
      <c r="E221" s="60" t="s">
        <v>728</v>
      </c>
      <c r="F221" s="66" t="s">
        <v>687</v>
      </c>
      <c r="G221" s="82" t="s">
        <v>688</v>
      </c>
      <c r="H221" s="65">
        <v>386.23</v>
      </c>
      <c r="I221" s="65">
        <v>11</v>
      </c>
      <c r="J221" s="65">
        <f t="shared" ref="J221" si="326">I221*8</f>
        <v>88</v>
      </c>
      <c r="K221" s="65">
        <f t="shared" ref="K221" si="327">H221*I221*2</f>
        <v>8497.0600000000013</v>
      </c>
      <c r="L221" s="65"/>
      <c r="M221" s="65"/>
      <c r="N221" s="65">
        <v>250</v>
      </c>
      <c r="O221" s="65"/>
      <c r="P221" s="65"/>
      <c r="Q221" s="65"/>
      <c r="R221" s="65"/>
      <c r="S221" s="65"/>
      <c r="T221" s="65"/>
      <c r="U221" s="65"/>
      <c r="V221" s="65">
        <v>125</v>
      </c>
      <c r="W221" s="65"/>
      <c r="X221" s="65"/>
      <c r="Y221" s="65"/>
      <c r="Z221" s="65"/>
      <c r="AA221" s="65">
        <f>442+500+500</f>
        <v>1442</v>
      </c>
      <c r="AB221" s="65"/>
      <c r="AC221" s="65">
        <v>100</v>
      </c>
      <c r="AD221" s="65">
        <v>100</v>
      </c>
      <c r="AE221" s="65">
        <v>308.8</v>
      </c>
      <c r="AF221" s="65"/>
      <c r="AG221" s="65"/>
      <c r="AH221" s="65"/>
      <c r="AI221" s="65"/>
      <c r="AJ221" s="65">
        <v>8275.3799999999992</v>
      </c>
      <c r="AK221" s="65">
        <v>100407.93</v>
      </c>
    </row>
    <row r="222" spans="2:37" ht="12.75" customHeight="1">
      <c r="B222" s="5">
        <v>208</v>
      </c>
      <c r="C222" s="60" t="s">
        <v>482</v>
      </c>
      <c r="D222" s="60" t="s">
        <v>232</v>
      </c>
      <c r="E222" s="60" t="s">
        <v>728</v>
      </c>
      <c r="F222" s="66" t="s">
        <v>687</v>
      </c>
      <c r="G222" s="82" t="s">
        <v>688</v>
      </c>
      <c r="H222" s="65">
        <v>386.23</v>
      </c>
      <c r="I222" s="65">
        <v>11</v>
      </c>
      <c r="J222" s="65">
        <f t="shared" ref="J222" si="328">I222*8</f>
        <v>88</v>
      </c>
      <c r="K222" s="65">
        <f t="shared" ref="K222" si="329">H222*I222*2</f>
        <v>8497.0600000000013</v>
      </c>
      <c r="L222" s="65"/>
      <c r="M222" s="65"/>
      <c r="N222" s="65">
        <v>250</v>
      </c>
      <c r="O222" s="65"/>
      <c r="P222" s="65"/>
      <c r="Q222" s="65"/>
      <c r="R222" s="65"/>
      <c r="S222" s="65"/>
      <c r="T222" s="65"/>
      <c r="U222" s="65"/>
      <c r="V222" s="65">
        <v>125</v>
      </c>
      <c r="W222" s="65"/>
      <c r="X222" s="65"/>
      <c r="Y222" s="65"/>
      <c r="Z222" s="65"/>
      <c r="AA222" s="65">
        <f>442+500+500</f>
        <v>1442</v>
      </c>
      <c r="AB222" s="65"/>
      <c r="AC222" s="65">
        <v>100</v>
      </c>
      <c r="AD222" s="65">
        <v>100</v>
      </c>
      <c r="AE222" s="65">
        <v>308.8</v>
      </c>
      <c r="AF222" s="65"/>
      <c r="AG222" s="65"/>
      <c r="AH222" s="65"/>
      <c r="AI222" s="65"/>
      <c r="AJ222" s="65">
        <v>8362.01</v>
      </c>
      <c r="AK222" s="65">
        <v>100407.93</v>
      </c>
    </row>
    <row r="223" spans="2:37" ht="12.75" customHeight="1">
      <c r="B223" s="5">
        <v>209</v>
      </c>
      <c r="C223" s="60" t="s">
        <v>483</v>
      </c>
      <c r="D223" s="60" t="s">
        <v>407</v>
      </c>
      <c r="E223" s="60" t="s">
        <v>728</v>
      </c>
      <c r="F223" s="66" t="s">
        <v>687</v>
      </c>
      <c r="G223" s="82" t="s">
        <v>688</v>
      </c>
      <c r="H223" s="65">
        <v>380</v>
      </c>
      <c r="I223" s="65">
        <v>11</v>
      </c>
      <c r="J223" s="65">
        <f t="shared" ref="J223" si="330">I223*8</f>
        <v>88</v>
      </c>
      <c r="K223" s="65">
        <f t="shared" ref="K223" si="331">H223*I223*2</f>
        <v>8360</v>
      </c>
      <c r="L223" s="65"/>
      <c r="M223" s="65"/>
      <c r="N223" s="65">
        <v>250</v>
      </c>
      <c r="O223" s="65"/>
      <c r="P223" s="65"/>
      <c r="Q223" s="65"/>
      <c r="R223" s="65"/>
      <c r="S223" s="65"/>
      <c r="T223" s="65"/>
      <c r="U223" s="65"/>
      <c r="V223" s="65">
        <v>125</v>
      </c>
      <c r="W223" s="65"/>
      <c r="X223" s="65"/>
      <c r="Y223" s="65"/>
      <c r="Z223" s="65"/>
      <c r="AA223" s="65">
        <v>500</v>
      </c>
      <c r="AB223" s="65"/>
      <c r="AC223" s="65">
        <v>100</v>
      </c>
      <c r="AD223" s="65">
        <v>100</v>
      </c>
      <c r="AE223" s="65">
        <v>308.8</v>
      </c>
      <c r="AF223" s="65"/>
      <c r="AG223" s="65"/>
      <c r="AH223" s="65"/>
      <c r="AI223" s="65"/>
      <c r="AJ223" s="65">
        <v>6464.28</v>
      </c>
      <c r="AK223" s="65">
        <v>77836</v>
      </c>
    </row>
    <row r="224" spans="2:37" ht="12.75" customHeight="1">
      <c r="B224" s="5">
        <v>210</v>
      </c>
      <c r="C224" s="60" t="s">
        <v>484</v>
      </c>
      <c r="D224" s="60" t="s">
        <v>232</v>
      </c>
      <c r="E224" s="60" t="s">
        <v>728</v>
      </c>
      <c r="F224" s="66" t="s">
        <v>687</v>
      </c>
      <c r="G224" s="82" t="s">
        <v>688</v>
      </c>
      <c r="H224" s="65">
        <v>386.23</v>
      </c>
      <c r="I224" s="65">
        <v>11</v>
      </c>
      <c r="J224" s="65">
        <f t="shared" ref="J224" si="332">I224*8</f>
        <v>88</v>
      </c>
      <c r="K224" s="65">
        <f t="shared" ref="K224" si="333">H224*I224*2</f>
        <v>8497.0600000000013</v>
      </c>
      <c r="L224" s="65"/>
      <c r="M224" s="65"/>
      <c r="N224" s="65">
        <v>250</v>
      </c>
      <c r="O224" s="65"/>
      <c r="P224" s="65"/>
      <c r="Q224" s="65"/>
      <c r="R224" s="65"/>
      <c r="S224" s="65"/>
      <c r="T224" s="65"/>
      <c r="U224" s="65"/>
      <c r="V224" s="65">
        <v>125</v>
      </c>
      <c r="W224" s="65"/>
      <c r="X224" s="65"/>
      <c r="Y224" s="65"/>
      <c r="Z224" s="65"/>
      <c r="AA224" s="65">
        <f>500+500</f>
        <v>1000</v>
      </c>
      <c r="AB224" s="65"/>
      <c r="AC224" s="65">
        <v>100</v>
      </c>
      <c r="AD224" s="65">
        <v>100</v>
      </c>
      <c r="AE224" s="65">
        <v>308.8</v>
      </c>
      <c r="AF224" s="65"/>
      <c r="AG224" s="65"/>
      <c r="AH224" s="65"/>
      <c r="AI224" s="65"/>
      <c r="AJ224" s="65">
        <v>8270.65</v>
      </c>
      <c r="AK224" s="65">
        <v>100121.55</v>
      </c>
    </row>
    <row r="225" spans="2:37" ht="12.75" customHeight="1">
      <c r="B225" s="5">
        <v>211</v>
      </c>
      <c r="C225" s="60" t="s">
        <v>485</v>
      </c>
      <c r="D225" s="60" t="s">
        <v>232</v>
      </c>
      <c r="E225" s="60" t="s">
        <v>728</v>
      </c>
      <c r="F225" s="66" t="s">
        <v>687</v>
      </c>
      <c r="G225" s="82" t="s">
        <v>688</v>
      </c>
      <c r="H225" s="65">
        <v>386.23</v>
      </c>
      <c r="I225" s="65">
        <v>11</v>
      </c>
      <c r="J225" s="65">
        <f t="shared" ref="J225" si="334">I225*8</f>
        <v>88</v>
      </c>
      <c r="K225" s="65">
        <f t="shared" ref="K225" si="335">H225*I225*2</f>
        <v>8497.0600000000013</v>
      </c>
      <c r="L225" s="65"/>
      <c r="M225" s="65"/>
      <c r="N225" s="65">
        <v>250</v>
      </c>
      <c r="O225" s="65"/>
      <c r="P225" s="65"/>
      <c r="Q225" s="65"/>
      <c r="R225" s="65"/>
      <c r="S225" s="65"/>
      <c r="T225" s="65"/>
      <c r="U225" s="65"/>
      <c r="V225" s="65">
        <v>125</v>
      </c>
      <c r="W225" s="65"/>
      <c r="X225" s="65"/>
      <c r="Y225" s="65"/>
      <c r="Z225" s="65"/>
      <c r="AA225" s="65">
        <f>500+500</f>
        <v>1000</v>
      </c>
      <c r="AB225" s="65"/>
      <c r="AC225" s="65">
        <v>100</v>
      </c>
      <c r="AD225" s="65">
        <v>100</v>
      </c>
      <c r="AE225" s="65">
        <v>308.8</v>
      </c>
      <c r="AF225" s="65"/>
      <c r="AG225" s="65"/>
      <c r="AH225" s="65"/>
      <c r="AI225" s="65"/>
      <c r="AJ225" s="65">
        <v>8312.1299999999992</v>
      </c>
      <c r="AK225" s="65">
        <v>100407.93</v>
      </c>
    </row>
    <row r="226" spans="2:37" ht="12.75" customHeight="1">
      <c r="B226" s="5">
        <v>212</v>
      </c>
      <c r="C226" s="60" t="s">
        <v>486</v>
      </c>
      <c r="D226" s="60" t="s">
        <v>440</v>
      </c>
      <c r="E226" s="60" t="s">
        <v>728</v>
      </c>
      <c r="F226" s="66" t="s">
        <v>687</v>
      </c>
      <c r="G226" s="82" t="s">
        <v>688</v>
      </c>
      <c r="H226" s="65">
        <f>4400.31/11</f>
        <v>400.02818181818185</v>
      </c>
      <c r="I226" s="65">
        <v>11</v>
      </c>
      <c r="J226" s="65">
        <f t="shared" ref="J226" si="336">I226*8</f>
        <v>88</v>
      </c>
      <c r="K226" s="65">
        <f t="shared" ref="K226" si="337">H226*I226*2</f>
        <v>8800.6200000000008</v>
      </c>
      <c r="L226" s="65"/>
      <c r="M226" s="65"/>
      <c r="N226" s="65">
        <v>250</v>
      </c>
      <c r="O226" s="65"/>
      <c r="P226" s="65"/>
      <c r="Q226" s="65"/>
      <c r="R226" s="65"/>
      <c r="S226" s="65"/>
      <c r="T226" s="65"/>
      <c r="U226" s="65"/>
      <c r="V226" s="65">
        <v>125</v>
      </c>
      <c r="W226" s="65"/>
      <c r="X226" s="65"/>
      <c r="Y226" s="65"/>
      <c r="Z226" s="65"/>
      <c r="AA226" s="65">
        <f>794.4+442+500+500</f>
        <v>2236.4</v>
      </c>
      <c r="AB226" s="65"/>
      <c r="AC226" s="65">
        <v>100</v>
      </c>
      <c r="AD226" s="65">
        <v>100</v>
      </c>
      <c r="AE226" s="65">
        <v>327</v>
      </c>
      <c r="AF226" s="65"/>
      <c r="AG226" s="65"/>
      <c r="AH226" s="65"/>
      <c r="AI226" s="65"/>
      <c r="AJ226" s="65">
        <v>8208.93</v>
      </c>
      <c r="AK226" s="65">
        <v>104109.44</v>
      </c>
    </row>
    <row r="227" spans="2:37" ht="12.75" customHeight="1">
      <c r="B227" s="5">
        <v>213</v>
      </c>
      <c r="C227" s="60" t="s">
        <v>487</v>
      </c>
      <c r="D227" s="60" t="s">
        <v>232</v>
      </c>
      <c r="E227" s="60" t="s">
        <v>728</v>
      </c>
      <c r="F227" s="66" t="s">
        <v>687</v>
      </c>
      <c r="G227" s="82" t="s">
        <v>688</v>
      </c>
      <c r="H227" s="65">
        <v>386.23</v>
      </c>
      <c r="I227" s="65">
        <v>11</v>
      </c>
      <c r="J227" s="65">
        <f t="shared" ref="J227" si="338">I227*8</f>
        <v>88</v>
      </c>
      <c r="K227" s="65">
        <f t="shared" ref="K227" si="339">H227*I227*2</f>
        <v>8497.0600000000013</v>
      </c>
      <c r="L227" s="65"/>
      <c r="M227" s="65"/>
      <c r="N227" s="65">
        <v>250</v>
      </c>
      <c r="O227" s="65"/>
      <c r="P227" s="65"/>
      <c r="Q227" s="65"/>
      <c r="R227" s="65"/>
      <c r="S227" s="65"/>
      <c r="T227" s="65"/>
      <c r="U227" s="65"/>
      <c r="V227" s="65">
        <v>125</v>
      </c>
      <c r="W227" s="65"/>
      <c r="X227" s="65"/>
      <c r="Y227" s="65"/>
      <c r="Z227" s="65"/>
      <c r="AA227" s="65">
        <f>500+500</f>
        <v>1000</v>
      </c>
      <c r="AB227" s="65"/>
      <c r="AC227" s="65">
        <v>100</v>
      </c>
      <c r="AD227" s="65">
        <v>100</v>
      </c>
      <c r="AE227" s="65">
        <v>308.8</v>
      </c>
      <c r="AF227" s="65"/>
      <c r="AG227" s="65"/>
      <c r="AH227" s="65"/>
      <c r="AI227" s="65"/>
      <c r="AJ227" s="65">
        <v>8342.8700000000008</v>
      </c>
      <c r="AK227" s="65">
        <v>100407.93</v>
      </c>
    </row>
    <row r="228" spans="2:37" ht="12.75" customHeight="1">
      <c r="B228" s="5">
        <v>214</v>
      </c>
      <c r="C228" s="60" t="s">
        <v>488</v>
      </c>
      <c r="D228" s="60" t="s">
        <v>232</v>
      </c>
      <c r="E228" s="60" t="s">
        <v>728</v>
      </c>
      <c r="F228" s="66" t="s">
        <v>687</v>
      </c>
      <c r="G228" s="82" t="s">
        <v>688</v>
      </c>
      <c r="H228" s="65">
        <v>400.03</v>
      </c>
      <c r="I228" s="65">
        <v>11</v>
      </c>
      <c r="J228" s="65">
        <f t="shared" ref="J228" si="340">I228*8</f>
        <v>88</v>
      </c>
      <c r="K228" s="65">
        <f t="shared" ref="K228" si="341">H228*I228*2</f>
        <v>8800.66</v>
      </c>
      <c r="L228" s="65"/>
      <c r="M228" s="65"/>
      <c r="N228" s="65">
        <v>250</v>
      </c>
      <c r="O228" s="65"/>
      <c r="P228" s="65"/>
      <c r="Q228" s="65"/>
      <c r="R228" s="65"/>
      <c r="S228" s="65"/>
      <c r="T228" s="65"/>
      <c r="U228" s="65"/>
      <c r="V228" s="65">
        <v>125</v>
      </c>
      <c r="W228" s="65"/>
      <c r="X228" s="65"/>
      <c r="Y228" s="65"/>
      <c r="Z228" s="65"/>
      <c r="AA228" s="65">
        <f>442+500+500</f>
        <v>1442</v>
      </c>
      <c r="AB228" s="65"/>
      <c r="AC228" s="65">
        <v>100</v>
      </c>
      <c r="AD228" s="65">
        <v>100</v>
      </c>
      <c r="AE228" s="65">
        <v>327</v>
      </c>
      <c r="AF228" s="65"/>
      <c r="AG228" s="65"/>
      <c r="AH228" s="65"/>
      <c r="AI228" s="65"/>
      <c r="AJ228" s="65">
        <v>8616.7900000000009</v>
      </c>
      <c r="AK228" s="65">
        <v>104109.44</v>
      </c>
    </row>
    <row r="229" spans="2:37" ht="12.75" customHeight="1">
      <c r="B229" s="5">
        <v>215</v>
      </c>
      <c r="C229" s="60" t="s">
        <v>489</v>
      </c>
      <c r="D229" s="60" t="s">
        <v>232</v>
      </c>
      <c r="E229" s="60" t="s">
        <v>728</v>
      </c>
      <c r="F229" s="66" t="s">
        <v>687</v>
      </c>
      <c r="G229" s="82" t="s">
        <v>688</v>
      </c>
      <c r="H229" s="65">
        <v>386.23</v>
      </c>
      <c r="I229" s="65">
        <v>11</v>
      </c>
      <c r="J229" s="65">
        <f t="shared" ref="J229" si="342">I229*8</f>
        <v>88</v>
      </c>
      <c r="K229" s="65">
        <f t="shared" ref="K229" si="343">H229*I229*2</f>
        <v>8497.0600000000013</v>
      </c>
      <c r="L229" s="65"/>
      <c r="M229" s="65"/>
      <c r="N229" s="65">
        <v>0</v>
      </c>
      <c r="O229" s="65"/>
      <c r="P229" s="65"/>
      <c r="Q229" s="65"/>
      <c r="R229" s="65"/>
      <c r="S229" s="65"/>
      <c r="T229" s="65"/>
      <c r="U229" s="65"/>
      <c r="V229" s="65">
        <v>125</v>
      </c>
      <c r="W229" s="65"/>
      <c r="X229" s="65"/>
      <c r="Y229" s="65"/>
      <c r="Z229" s="65"/>
      <c r="AA229" s="65">
        <v>250</v>
      </c>
      <c r="AB229" s="65"/>
      <c r="AC229" s="65">
        <v>100</v>
      </c>
      <c r="AD229" s="65">
        <v>100</v>
      </c>
      <c r="AE229" s="65">
        <v>308.8</v>
      </c>
      <c r="AF229" s="65"/>
      <c r="AG229" s="65"/>
      <c r="AH229" s="65"/>
      <c r="AI229" s="65"/>
      <c r="AJ229" s="65">
        <v>3180.22</v>
      </c>
      <c r="AK229" s="65">
        <v>38236.54</v>
      </c>
    </row>
    <row r="230" spans="2:37" ht="12.75" customHeight="1">
      <c r="B230" s="5">
        <v>216</v>
      </c>
      <c r="C230" s="60" t="s">
        <v>490</v>
      </c>
      <c r="D230" s="60" t="s">
        <v>407</v>
      </c>
      <c r="E230" s="60" t="s">
        <v>728</v>
      </c>
      <c r="F230" s="66" t="s">
        <v>687</v>
      </c>
      <c r="G230" s="82" t="s">
        <v>688</v>
      </c>
      <c r="H230" s="65">
        <v>380</v>
      </c>
      <c r="I230" s="65">
        <v>11</v>
      </c>
      <c r="J230" s="65">
        <f t="shared" ref="J230" si="344">I230*8</f>
        <v>88</v>
      </c>
      <c r="K230" s="65">
        <f t="shared" ref="K230" si="345">H230*I230*2</f>
        <v>8360</v>
      </c>
      <c r="L230" s="65"/>
      <c r="M230" s="65"/>
      <c r="N230" s="65">
        <v>250</v>
      </c>
      <c r="O230" s="65"/>
      <c r="P230" s="65"/>
      <c r="Q230" s="65"/>
      <c r="R230" s="65"/>
      <c r="S230" s="65"/>
      <c r="T230" s="65"/>
      <c r="U230" s="65"/>
      <c r="V230" s="65">
        <v>125</v>
      </c>
      <c r="W230" s="65"/>
      <c r="X230" s="65"/>
      <c r="Y230" s="65"/>
      <c r="Z230" s="65"/>
      <c r="AA230" s="65">
        <v>500</v>
      </c>
      <c r="AB230" s="65"/>
      <c r="AC230" s="65">
        <v>100</v>
      </c>
      <c r="AD230" s="65">
        <v>100</v>
      </c>
      <c r="AE230" s="65">
        <v>308.8</v>
      </c>
      <c r="AF230" s="65"/>
      <c r="AG230" s="65"/>
      <c r="AH230" s="65"/>
      <c r="AI230" s="65"/>
      <c r="AJ230" s="65">
        <v>6436.71</v>
      </c>
      <c r="AK230" s="65">
        <v>78716</v>
      </c>
    </row>
    <row r="231" spans="2:37" ht="12.75" customHeight="1">
      <c r="B231" s="5">
        <v>217</v>
      </c>
      <c r="C231" s="60" t="s">
        <v>491</v>
      </c>
      <c r="D231" s="60" t="s">
        <v>455</v>
      </c>
      <c r="E231" s="60" t="s">
        <v>728</v>
      </c>
      <c r="F231" s="66" t="s">
        <v>687</v>
      </c>
      <c r="G231" s="82" t="s">
        <v>688</v>
      </c>
      <c r="H231" s="65">
        <f>7000/11</f>
        <v>636.36363636363637</v>
      </c>
      <c r="I231" s="65">
        <v>11</v>
      </c>
      <c r="J231" s="65">
        <f t="shared" ref="J231" si="346">I231*8</f>
        <v>88</v>
      </c>
      <c r="K231" s="65">
        <f t="shared" ref="K231" si="347">H231*I231*2</f>
        <v>14000</v>
      </c>
      <c r="L231" s="65"/>
      <c r="M231" s="65"/>
      <c r="N231" s="65">
        <v>250</v>
      </c>
      <c r="O231" s="65"/>
      <c r="P231" s="65"/>
      <c r="Q231" s="65"/>
      <c r="R231" s="65"/>
      <c r="S231" s="65"/>
      <c r="T231" s="65"/>
      <c r="U231" s="65"/>
      <c r="V231" s="65">
        <v>125</v>
      </c>
      <c r="W231" s="65"/>
      <c r="X231" s="65"/>
      <c r="Y231" s="65"/>
      <c r="Z231" s="65"/>
      <c r="AA231" s="65">
        <f>835+500+500</f>
        <v>1835</v>
      </c>
      <c r="AB231" s="65"/>
      <c r="AC231" s="65">
        <v>100</v>
      </c>
      <c r="AD231" s="65">
        <v>175</v>
      </c>
      <c r="AE231" s="65">
        <v>508.7</v>
      </c>
      <c r="AF231" s="65"/>
      <c r="AG231" s="65"/>
      <c r="AH231" s="65"/>
      <c r="AI231" s="65"/>
      <c r="AJ231" s="65">
        <v>11870.37</v>
      </c>
      <c r="AK231" s="65">
        <v>151985.75</v>
      </c>
    </row>
    <row r="232" spans="2:37" ht="12.75" customHeight="1">
      <c r="B232" s="5">
        <v>218</v>
      </c>
      <c r="C232" s="60" t="s">
        <v>492</v>
      </c>
      <c r="D232" s="60" t="s">
        <v>232</v>
      </c>
      <c r="E232" s="60" t="s">
        <v>728</v>
      </c>
      <c r="F232" s="66" t="s">
        <v>687</v>
      </c>
      <c r="G232" s="82" t="s">
        <v>688</v>
      </c>
      <c r="H232" s="65">
        <f>4248.51/11</f>
        <v>386.22818181818184</v>
      </c>
      <c r="I232" s="65">
        <v>11</v>
      </c>
      <c r="J232" s="65">
        <f t="shared" ref="J232" si="348">I232*8</f>
        <v>88</v>
      </c>
      <c r="K232" s="65">
        <f t="shared" ref="K232" si="349">H232*I232*2</f>
        <v>8497.02</v>
      </c>
      <c r="L232" s="65"/>
      <c r="M232" s="65"/>
      <c r="N232" s="65">
        <v>250</v>
      </c>
      <c r="O232" s="65"/>
      <c r="P232" s="65"/>
      <c r="Q232" s="65"/>
      <c r="R232" s="65"/>
      <c r="S232" s="65"/>
      <c r="T232" s="65"/>
      <c r="U232" s="65"/>
      <c r="V232" s="65">
        <v>125</v>
      </c>
      <c r="W232" s="65"/>
      <c r="X232" s="65"/>
      <c r="Y232" s="65"/>
      <c r="Z232" s="65"/>
      <c r="AA232" s="65">
        <f>442+500+500</f>
        <v>1442</v>
      </c>
      <c r="AB232" s="65"/>
      <c r="AC232" s="65">
        <v>100</v>
      </c>
      <c r="AD232" s="65">
        <v>100</v>
      </c>
      <c r="AE232" s="65">
        <v>308.8</v>
      </c>
      <c r="AF232" s="65"/>
      <c r="AG232" s="65"/>
      <c r="AH232" s="65"/>
      <c r="AI232" s="65"/>
      <c r="AJ232" s="65">
        <v>8372.34</v>
      </c>
      <c r="AK232" s="65">
        <v>100407.93</v>
      </c>
    </row>
    <row r="233" spans="2:37" ht="12.75" customHeight="1">
      <c r="B233" s="5">
        <v>219</v>
      </c>
      <c r="C233" s="60" t="s">
        <v>493</v>
      </c>
      <c r="D233" s="60" t="s">
        <v>232</v>
      </c>
      <c r="E233" s="60" t="s">
        <v>728</v>
      </c>
      <c r="F233" s="66" t="s">
        <v>687</v>
      </c>
      <c r="G233" s="82" t="s">
        <v>688</v>
      </c>
      <c r="H233" s="65">
        <f>386.23</f>
        <v>386.23</v>
      </c>
      <c r="I233" s="65">
        <v>11</v>
      </c>
      <c r="J233" s="65">
        <f t="shared" ref="J233" si="350">I233*8</f>
        <v>88</v>
      </c>
      <c r="K233" s="65">
        <f t="shared" ref="K233" si="351">H233*I233*2</f>
        <v>8497.0600000000013</v>
      </c>
      <c r="L233" s="65"/>
      <c r="M233" s="65"/>
      <c r="N233" s="65">
        <v>250</v>
      </c>
      <c r="O233" s="65"/>
      <c r="P233" s="65"/>
      <c r="Q233" s="65"/>
      <c r="R233" s="65"/>
      <c r="S233" s="65"/>
      <c r="T233" s="65"/>
      <c r="U233" s="65"/>
      <c r="V233" s="65">
        <v>125</v>
      </c>
      <c r="W233" s="65"/>
      <c r="X233" s="65"/>
      <c r="Y233" s="65"/>
      <c r="Z233" s="65"/>
      <c r="AA233" s="65">
        <f>500+500</f>
        <v>1000</v>
      </c>
      <c r="AB233" s="65"/>
      <c r="AC233" s="65">
        <v>100</v>
      </c>
      <c r="AD233" s="65">
        <v>100</v>
      </c>
      <c r="AE233" s="65">
        <v>308.8</v>
      </c>
      <c r="AF233" s="65"/>
      <c r="AG233" s="65"/>
      <c r="AH233" s="65"/>
      <c r="AI233" s="65"/>
      <c r="AJ233" s="65">
        <v>8958.11</v>
      </c>
      <c r="AK233" s="65">
        <v>100264.74</v>
      </c>
    </row>
    <row r="234" spans="2:37" ht="12.75" customHeight="1">
      <c r="B234" s="5">
        <v>220</v>
      </c>
      <c r="C234" s="60" t="s">
        <v>494</v>
      </c>
      <c r="D234" s="60" t="s">
        <v>232</v>
      </c>
      <c r="E234" s="60" t="s">
        <v>728</v>
      </c>
      <c r="F234" s="66" t="s">
        <v>687</v>
      </c>
      <c r="G234" s="82" t="s">
        <v>688</v>
      </c>
      <c r="H234" s="65">
        <v>386.23</v>
      </c>
      <c r="I234" s="65">
        <v>11</v>
      </c>
      <c r="J234" s="65">
        <f t="shared" ref="J234" si="352">I234*8</f>
        <v>88</v>
      </c>
      <c r="K234" s="65">
        <f t="shared" ref="K234" si="353">H234*I234*2</f>
        <v>8497.0600000000013</v>
      </c>
      <c r="L234" s="65"/>
      <c r="M234" s="65"/>
      <c r="N234" s="65">
        <v>250</v>
      </c>
      <c r="O234" s="65"/>
      <c r="P234" s="65"/>
      <c r="Q234" s="65"/>
      <c r="R234" s="65"/>
      <c r="S234" s="65"/>
      <c r="T234" s="65"/>
      <c r="U234" s="65"/>
      <c r="V234" s="65">
        <v>125</v>
      </c>
      <c r="W234" s="65"/>
      <c r="X234" s="65"/>
      <c r="Y234" s="65"/>
      <c r="Z234" s="65"/>
      <c r="AA234" s="65">
        <f>442+500+500</f>
        <v>1442</v>
      </c>
      <c r="AB234" s="65"/>
      <c r="AC234" s="65">
        <v>100</v>
      </c>
      <c r="AD234" s="65">
        <v>100</v>
      </c>
      <c r="AE234" s="65">
        <v>308.8</v>
      </c>
      <c r="AF234" s="65"/>
      <c r="AG234" s="65"/>
      <c r="AH234" s="65"/>
      <c r="AI234" s="65"/>
      <c r="AJ234" s="65">
        <v>8285.65</v>
      </c>
      <c r="AK234" s="65">
        <v>100407.93</v>
      </c>
    </row>
    <row r="235" spans="2:37" ht="12.75" customHeight="1">
      <c r="B235" s="5">
        <v>221</v>
      </c>
      <c r="C235" s="60" t="s">
        <v>495</v>
      </c>
      <c r="D235" s="60" t="s">
        <v>496</v>
      </c>
      <c r="E235" s="60" t="s">
        <v>729</v>
      </c>
      <c r="F235" s="66" t="s">
        <v>687</v>
      </c>
      <c r="G235" s="82" t="s">
        <v>688</v>
      </c>
      <c r="H235" s="65">
        <f>6683.9/11</f>
        <v>607.62727272727273</v>
      </c>
      <c r="I235" s="65">
        <v>11</v>
      </c>
      <c r="J235" s="65">
        <f t="shared" ref="J235" si="354">I235*8</f>
        <v>88</v>
      </c>
      <c r="K235" s="65">
        <f t="shared" ref="K235" si="355">H235*I235*2</f>
        <v>13367.8</v>
      </c>
      <c r="L235" s="65"/>
      <c r="M235" s="65"/>
      <c r="N235" s="65">
        <v>250</v>
      </c>
      <c r="O235" s="65"/>
      <c r="P235" s="65"/>
      <c r="Q235" s="65"/>
      <c r="R235" s="65"/>
      <c r="S235" s="65"/>
      <c r="T235" s="65"/>
      <c r="U235" s="65"/>
      <c r="V235" s="65">
        <v>125</v>
      </c>
      <c r="W235" s="65"/>
      <c r="X235" s="65"/>
      <c r="Y235" s="65"/>
      <c r="Z235" s="65"/>
      <c r="AA235" s="65">
        <f>1816+1014+500+500</f>
        <v>3830</v>
      </c>
      <c r="AB235" s="65"/>
      <c r="AC235" s="65">
        <v>100</v>
      </c>
      <c r="AD235" s="65">
        <v>162.5</v>
      </c>
      <c r="AE235" s="65">
        <v>490.5</v>
      </c>
      <c r="AF235" s="65"/>
      <c r="AG235" s="65"/>
      <c r="AH235" s="65"/>
      <c r="AI235" s="65"/>
      <c r="AJ235" s="65">
        <v>13224.47</v>
      </c>
      <c r="AK235" s="65">
        <v>159449.25</v>
      </c>
    </row>
    <row r="236" spans="2:37" ht="12.75" customHeight="1">
      <c r="B236" s="5">
        <v>222</v>
      </c>
      <c r="C236" s="60" t="s">
        <v>497</v>
      </c>
      <c r="D236" s="60" t="s">
        <v>498</v>
      </c>
      <c r="E236" s="60" t="s">
        <v>729</v>
      </c>
      <c r="F236" s="66" t="s">
        <v>687</v>
      </c>
      <c r="G236" s="82" t="s">
        <v>688</v>
      </c>
      <c r="H236" s="65">
        <f>6068.44/11</f>
        <v>551.67636363636359</v>
      </c>
      <c r="I236" s="65">
        <v>11</v>
      </c>
      <c r="J236" s="65">
        <f t="shared" ref="J236" si="356">I236*8</f>
        <v>88</v>
      </c>
      <c r="K236" s="65">
        <f t="shared" ref="K236" si="357">H236*I236*2</f>
        <v>12136.88</v>
      </c>
      <c r="L236" s="65"/>
      <c r="M236" s="65"/>
      <c r="N236" s="65">
        <v>250</v>
      </c>
      <c r="O236" s="65"/>
      <c r="P236" s="65"/>
      <c r="Q236" s="65"/>
      <c r="R236" s="65"/>
      <c r="S236" s="65"/>
      <c r="T236" s="65"/>
      <c r="U236" s="65"/>
      <c r="V236" s="65">
        <v>125</v>
      </c>
      <c r="W236" s="65"/>
      <c r="X236" s="65"/>
      <c r="Y236" s="65"/>
      <c r="Z236" s="65"/>
      <c r="AA236" s="65">
        <f>2550+566+500+500</f>
        <v>4116</v>
      </c>
      <c r="AB236" s="65"/>
      <c r="AC236" s="65">
        <v>100</v>
      </c>
      <c r="AD236" s="65">
        <v>150</v>
      </c>
      <c r="AE236" s="65">
        <v>436</v>
      </c>
      <c r="AF236" s="65"/>
      <c r="AG236" s="65"/>
      <c r="AH236" s="65"/>
      <c r="AI236" s="65"/>
      <c r="AJ236" s="65">
        <v>16228.56</v>
      </c>
      <c r="AK236" s="65">
        <v>147013.82999999999</v>
      </c>
    </row>
    <row r="237" spans="2:37" ht="12.75" customHeight="1">
      <c r="B237" s="5">
        <v>223</v>
      </c>
      <c r="C237" s="60" t="s">
        <v>499</v>
      </c>
      <c r="D237" s="60" t="s">
        <v>496</v>
      </c>
      <c r="E237" s="60" t="s">
        <v>729</v>
      </c>
      <c r="F237" s="66" t="s">
        <v>687</v>
      </c>
      <c r="G237" s="82" t="s">
        <v>688</v>
      </c>
      <c r="H237" s="65">
        <f>4248.51/11</f>
        <v>386.22818181818184</v>
      </c>
      <c r="I237" s="65">
        <v>11</v>
      </c>
      <c r="J237" s="65">
        <f t="shared" ref="J237" si="358">I237*8</f>
        <v>88</v>
      </c>
      <c r="K237" s="65">
        <f t="shared" ref="K237" si="359">H237*I237*2</f>
        <v>8497.02</v>
      </c>
      <c r="L237" s="65"/>
      <c r="M237" s="65"/>
      <c r="N237" s="65">
        <v>250</v>
      </c>
      <c r="O237" s="65"/>
      <c r="P237" s="65"/>
      <c r="Q237" s="65"/>
      <c r="R237" s="65"/>
      <c r="S237" s="65"/>
      <c r="T237" s="65"/>
      <c r="U237" s="65"/>
      <c r="V237" s="65">
        <v>125</v>
      </c>
      <c r="W237" s="65"/>
      <c r="X237" s="65"/>
      <c r="Y237" s="65"/>
      <c r="Z237" s="65"/>
      <c r="AA237" s="65">
        <f>2126+442+500+500</f>
        <v>3568</v>
      </c>
      <c r="AB237" s="65"/>
      <c r="AC237" s="65">
        <v>100</v>
      </c>
      <c r="AD237" s="65">
        <v>100</v>
      </c>
      <c r="AE237" s="65">
        <v>308.8</v>
      </c>
      <c r="AF237" s="65"/>
      <c r="AG237" s="65"/>
      <c r="AH237" s="65"/>
      <c r="AI237" s="65"/>
      <c r="AJ237" s="65">
        <v>8317.8700000000008</v>
      </c>
      <c r="AK237" s="65">
        <v>100315.18</v>
      </c>
    </row>
    <row r="238" spans="2:37" ht="12.75" customHeight="1">
      <c r="B238" s="5">
        <v>224</v>
      </c>
      <c r="C238" s="60" t="s">
        <v>500</v>
      </c>
      <c r="D238" s="60" t="s">
        <v>496</v>
      </c>
      <c r="E238" s="60" t="s">
        <v>729</v>
      </c>
      <c r="F238" s="66" t="s">
        <v>687</v>
      </c>
      <c r="G238" s="82" t="s">
        <v>688</v>
      </c>
      <c r="H238" s="65">
        <f>6068.44/11</f>
        <v>551.67636363636359</v>
      </c>
      <c r="I238" s="65">
        <v>11</v>
      </c>
      <c r="J238" s="65">
        <f t="shared" ref="J238" si="360">I238*8</f>
        <v>88</v>
      </c>
      <c r="K238" s="65">
        <f t="shared" ref="K238" si="361">H238*I238*2</f>
        <v>12136.88</v>
      </c>
      <c r="L238" s="65"/>
      <c r="M238" s="65"/>
      <c r="N238" s="65">
        <v>250</v>
      </c>
      <c r="O238" s="65"/>
      <c r="P238" s="65"/>
      <c r="Q238" s="65"/>
      <c r="R238" s="65"/>
      <c r="S238" s="65"/>
      <c r="T238" s="65"/>
      <c r="U238" s="65"/>
      <c r="V238" s="65">
        <v>125</v>
      </c>
      <c r="W238" s="65"/>
      <c r="X238" s="65"/>
      <c r="Y238" s="65"/>
      <c r="Z238" s="65"/>
      <c r="AA238" s="65">
        <f>2550+835+500+500</f>
        <v>4385</v>
      </c>
      <c r="AB238" s="65"/>
      <c r="AC238" s="65">
        <v>100</v>
      </c>
      <c r="AD238" s="65">
        <v>150</v>
      </c>
      <c r="AE238" s="65">
        <v>436</v>
      </c>
      <c r="AF238" s="65"/>
      <c r="AG238" s="65"/>
      <c r="AH238" s="65"/>
      <c r="AI238" s="65"/>
      <c r="AJ238" s="65">
        <v>14162.32</v>
      </c>
      <c r="AK238" s="65">
        <v>121443.95</v>
      </c>
    </row>
    <row r="239" spans="2:37" ht="12.75" customHeight="1">
      <c r="B239" s="5">
        <v>225</v>
      </c>
      <c r="C239" s="60" t="s">
        <v>501</v>
      </c>
      <c r="D239" s="60" t="s">
        <v>502</v>
      </c>
      <c r="E239" s="60" t="s">
        <v>729</v>
      </c>
      <c r="F239" s="66" t="s">
        <v>687</v>
      </c>
      <c r="G239" s="82" t="s">
        <v>688</v>
      </c>
      <c r="H239" s="65">
        <f>4436.96/11</f>
        <v>403.36</v>
      </c>
      <c r="I239" s="65">
        <v>11</v>
      </c>
      <c r="J239" s="65">
        <f t="shared" ref="J239" si="362">I239*8</f>
        <v>88</v>
      </c>
      <c r="K239" s="65">
        <f t="shared" ref="K239" si="363">H239*I239*2</f>
        <v>8873.92</v>
      </c>
      <c r="L239" s="65"/>
      <c r="M239" s="65"/>
      <c r="N239" s="65">
        <v>250</v>
      </c>
      <c r="O239" s="65"/>
      <c r="P239" s="65"/>
      <c r="Q239" s="65"/>
      <c r="R239" s="65"/>
      <c r="S239" s="65"/>
      <c r="T239" s="65"/>
      <c r="U239" s="65"/>
      <c r="V239" s="65">
        <v>0</v>
      </c>
      <c r="W239" s="65"/>
      <c r="X239" s="65"/>
      <c r="Y239" s="65"/>
      <c r="Z239" s="65"/>
      <c r="AA239" s="65"/>
      <c r="AB239" s="65"/>
      <c r="AC239" s="65">
        <v>100</v>
      </c>
      <c r="AD239" s="65">
        <v>100</v>
      </c>
      <c r="AE239" s="65">
        <v>327</v>
      </c>
      <c r="AF239" s="65"/>
      <c r="AG239" s="65"/>
      <c r="AH239" s="65"/>
      <c r="AI239" s="65"/>
      <c r="AJ239" s="65">
        <v>8602.24</v>
      </c>
      <c r="AK239" s="65">
        <v>105002.28</v>
      </c>
    </row>
    <row r="240" spans="2:37" ht="12.75" customHeight="1">
      <c r="B240" s="5">
        <v>226</v>
      </c>
      <c r="C240" s="60" t="s">
        <v>503</v>
      </c>
      <c r="D240" s="60" t="s">
        <v>504</v>
      </c>
      <c r="E240" s="60" t="s">
        <v>729</v>
      </c>
      <c r="F240" s="66" t="s">
        <v>687</v>
      </c>
      <c r="G240" s="82" t="s">
        <v>688</v>
      </c>
      <c r="H240" s="65">
        <f>7100.67/11</f>
        <v>645.51545454545453</v>
      </c>
      <c r="I240" s="65">
        <v>11</v>
      </c>
      <c r="J240" s="65">
        <f t="shared" ref="J240" si="364">I240*8</f>
        <v>88</v>
      </c>
      <c r="K240" s="65">
        <f t="shared" ref="K240" si="365">H240*I240*2</f>
        <v>14201.34</v>
      </c>
      <c r="L240" s="65"/>
      <c r="M240" s="65"/>
      <c r="N240" s="65">
        <v>250</v>
      </c>
      <c r="O240" s="65"/>
      <c r="P240" s="65"/>
      <c r="Q240" s="65"/>
      <c r="R240" s="65"/>
      <c r="S240" s="65"/>
      <c r="T240" s="65"/>
      <c r="U240" s="65"/>
      <c r="V240" s="65">
        <v>125</v>
      </c>
      <c r="W240" s="65"/>
      <c r="X240" s="65"/>
      <c r="Y240" s="65"/>
      <c r="Z240" s="65"/>
      <c r="AA240" s="65">
        <f>566+500+500</f>
        <v>1566</v>
      </c>
      <c r="AB240" s="65"/>
      <c r="AC240" s="65">
        <v>100</v>
      </c>
      <c r="AD240" s="65">
        <v>175</v>
      </c>
      <c r="AE240" s="65">
        <v>508.7</v>
      </c>
      <c r="AF240" s="65"/>
      <c r="AG240" s="65"/>
      <c r="AH240" s="65"/>
      <c r="AI240" s="65"/>
      <c r="AJ240" s="65">
        <v>11943.79</v>
      </c>
      <c r="AK240" s="65">
        <v>150147.10999999999</v>
      </c>
    </row>
    <row r="241" spans="2:37" ht="12.75" customHeight="1">
      <c r="B241" s="5">
        <v>227</v>
      </c>
      <c r="C241" s="60" t="s">
        <v>505</v>
      </c>
      <c r="D241" s="60" t="s">
        <v>506</v>
      </c>
      <c r="E241" s="60" t="s">
        <v>729</v>
      </c>
      <c r="F241" s="66" t="s">
        <v>687</v>
      </c>
      <c r="G241" s="82" t="s">
        <v>688</v>
      </c>
      <c r="H241" s="65">
        <f>14000/11</f>
        <v>1272.7272727272727</v>
      </c>
      <c r="I241" s="65">
        <v>11</v>
      </c>
      <c r="J241" s="65">
        <f t="shared" ref="J241" si="366">I241*8</f>
        <v>88</v>
      </c>
      <c r="K241" s="65">
        <f t="shared" ref="K241" si="367">H241*I241*2</f>
        <v>28000</v>
      </c>
      <c r="L241" s="65"/>
      <c r="M241" s="65"/>
      <c r="N241" s="65"/>
      <c r="O241" s="65"/>
      <c r="P241" s="65"/>
      <c r="Q241" s="65"/>
      <c r="R241" s="65"/>
      <c r="S241" s="65"/>
      <c r="T241" s="65"/>
      <c r="U241" s="65"/>
      <c r="V241" s="65">
        <v>125</v>
      </c>
      <c r="W241" s="65"/>
      <c r="X241" s="65"/>
      <c r="Y241" s="65"/>
      <c r="Z241" s="65"/>
      <c r="AA241" s="65">
        <v>6000</v>
      </c>
      <c r="AB241" s="65"/>
      <c r="AC241" s="65">
        <v>100</v>
      </c>
      <c r="AD241" s="65">
        <v>350</v>
      </c>
      <c r="AE241" s="65">
        <v>581.29999999999995</v>
      </c>
      <c r="AF241" s="65"/>
      <c r="AG241" s="65"/>
      <c r="AH241" s="65"/>
      <c r="AI241" s="65"/>
      <c r="AJ241" s="65">
        <v>31361.38</v>
      </c>
      <c r="AK241" s="65">
        <v>263041.71000000002</v>
      </c>
    </row>
    <row r="242" spans="2:37" ht="12.75" customHeight="1">
      <c r="B242" s="5">
        <v>228</v>
      </c>
      <c r="C242" s="60" t="s">
        <v>507</v>
      </c>
      <c r="D242" s="60" t="s">
        <v>496</v>
      </c>
      <c r="E242" s="60" t="s">
        <v>729</v>
      </c>
      <c r="F242" s="66" t="s">
        <v>687</v>
      </c>
      <c r="G242" s="82" t="s">
        <v>688</v>
      </c>
      <c r="H242" s="65">
        <f>5950/11</f>
        <v>540.90909090909088</v>
      </c>
      <c r="I242" s="65">
        <v>11</v>
      </c>
      <c r="J242" s="65">
        <f t="shared" ref="J242" si="368">I242*8</f>
        <v>88</v>
      </c>
      <c r="K242" s="65">
        <f t="shared" ref="K242" si="369">H242*I242*2</f>
        <v>11900</v>
      </c>
      <c r="L242" s="65"/>
      <c r="M242" s="65"/>
      <c r="N242" s="65">
        <v>250</v>
      </c>
      <c r="O242" s="65"/>
      <c r="P242" s="65"/>
      <c r="Q242" s="65"/>
      <c r="R242" s="65"/>
      <c r="S242" s="65"/>
      <c r="T242" s="65"/>
      <c r="U242" s="65"/>
      <c r="V242" s="65">
        <v>125</v>
      </c>
      <c r="W242" s="65"/>
      <c r="X242" s="65"/>
      <c r="Y242" s="65"/>
      <c r="Z242" s="65"/>
      <c r="AA242" s="65">
        <f>2550+566+500+500</f>
        <v>4116</v>
      </c>
      <c r="AB242" s="65"/>
      <c r="AC242" s="65">
        <v>100</v>
      </c>
      <c r="AD242" s="65">
        <v>137.5</v>
      </c>
      <c r="AE242" s="65">
        <v>436</v>
      </c>
      <c r="AF242" s="65"/>
      <c r="AG242" s="65"/>
      <c r="AH242" s="65"/>
      <c r="AI242" s="65"/>
      <c r="AJ242" s="65">
        <v>13882.09</v>
      </c>
      <c r="AK242" s="65">
        <v>164237.99</v>
      </c>
    </row>
    <row r="243" spans="2:37" ht="12.75" customHeight="1">
      <c r="B243" s="5">
        <v>229</v>
      </c>
      <c r="C243" s="60" t="s">
        <v>508</v>
      </c>
      <c r="D243" s="60" t="s">
        <v>498</v>
      </c>
      <c r="E243" s="60" t="s">
        <v>729</v>
      </c>
      <c r="F243" s="66" t="s">
        <v>687</v>
      </c>
      <c r="G243" s="82" t="s">
        <v>688</v>
      </c>
      <c r="H243" s="65">
        <f>5624.26/11</f>
        <v>511.29636363636365</v>
      </c>
      <c r="I243" s="65">
        <v>11</v>
      </c>
      <c r="J243" s="65">
        <f t="shared" ref="J243" si="370">I243*8</f>
        <v>88</v>
      </c>
      <c r="K243" s="65">
        <f t="shared" ref="K243" si="371">H243*I243*2</f>
        <v>11248.52</v>
      </c>
      <c r="L243" s="65"/>
      <c r="M243" s="65"/>
      <c r="N243" s="65">
        <v>250</v>
      </c>
      <c r="O243" s="65"/>
      <c r="P243" s="65"/>
      <c r="Q243" s="65"/>
      <c r="R243" s="65"/>
      <c r="S243" s="65"/>
      <c r="T243" s="65"/>
      <c r="U243" s="65"/>
      <c r="V243" s="65">
        <v>125</v>
      </c>
      <c r="W243" s="65"/>
      <c r="X243" s="65"/>
      <c r="Y243" s="65"/>
      <c r="Z243" s="65"/>
      <c r="AA243" s="65">
        <f>500+500</f>
        <v>1000</v>
      </c>
      <c r="AB243" s="65"/>
      <c r="AC243" s="65">
        <v>100</v>
      </c>
      <c r="AD243" s="65">
        <v>137.5</v>
      </c>
      <c r="AE243" s="65">
        <v>399.7</v>
      </c>
      <c r="AF243" s="65"/>
      <c r="AG243" s="65"/>
      <c r="AH243" s="65"/>
      <c r="AI243" s="65"/>
      <c r="AJ243" s="65">
        <v>8170.91</v>
      </c>
      <c r="AK243" s="65">
        <v>103159.44</v>
      </c>
    </row>
    <row r="244" spans="2:37" ht="12.75" customHeight="1">
      <c r="B244" s="5">
        <v>230</v>
      </c>
      <c r="C244" s="60" t="s">
        <v>509</v>
      </c>
      <c r="D244" s="60" t="s">
        <v>510</v>
      </c>
      <c r="E244" s="60" t="s">
        <v>729</v>
      </c>
      <c r="F244" s="66" t="s">
        <v>687</v>
      </c>
      <c r="G244" s="82" t="s">
        <v>688</v>
      </c>
      <c r="H244" s="65">
        <f>8830.54/11</f>
        <v>802.77636363636373</v>
      </c>
      <c r="I244" s="65">
        <v>11</v>
      </c>
      <c r="J244" s="65">
        <f t="shared" ref="J244" si="372">I244*8</f>
        <v>88</v>
      </c>
      <c r="K244" s="65">
        <f t="shared" ref="K244" si="373">H244*I244*2</f>
        <v>17661.080000000002</v>
      </c>
      <c r="L244" s="65"/>
      <c r="M244" s="65"/>
      <c r="N244" s="65">
        <v>250</v>
      </c>
      <c r="O244" s="65"/>
      <c r="P244" s="65"/>
      <c r="Q244" s="65"/>
      <c r="R244" s="65"/>
      <c r="S244" s="65"/>
      <c r="T244" s="65"/>
      <c r="U244" s="65"/>
      <c r="V244" s="65">
        <v>125</v>
      </c>
      <c r="W244" s="65"/>
      <c r="X244" s="65"/>
      <c r="Y244" s="65"/>
      <c r="Z244" s="65"/>
      <c r="AA244" s="65">
        <f>442+500</f>
        <v>942</v>
      </c>
      <c r="AB244" s="65"/>
      <c r="AC244" s="65">
        <v>100</v>
      </c>
      <c r="AD244" s="65">
        <v>212.5</v>
      </c>
      <c r="AE244" s="65">
        <v>581.29999999999995</v>
      </c>
      <c r="AF244" s="65"/>
      <c r="AG244" s="65"/>
      <c r="AH244" s="65"/>
      <c r="AI244" s="65"/>
      <c r="AJ244" s="65">
        <v>15835.77</v>
      </c>
      <c r="AK244" s="65">
        <v>198685.86</v>
      </c>
    </row>
    <row r="245" spans="2:37" ht="12.75" customHeight="1">
      <c r="B245" s="5">
        <v>231</v>
      </c>
      <c r="C245" s="60" t="s">
        <v>511</v>
      </c>
      <c r="D245" s="60" t="s">
        <v>512</v>
      </c>
      <c r="E245" s="60" t="s">
        <v>731</v>
      </c>
      <c r="F245" s="66" t="s">
        <v>687</v>
      </c>
      <c r="G245" s="82" t="s">
        <v>688</v>
      </c>
      <c r="H245" s="65">
        <f>4415.82/11</f>
        <v>401.43818181818182</v>
      </c>
      <c r="I245" s="65">
        <v>11</v>
      </c>
      <c r="J245" s="65">
        <f t="shared" ref="J245" si="374">I245*8</f>
        <v>88</v>
      </c>
      <c r="K245" s="65">
        <f t="shared" ref="K245" si="375">H245*I245*2</f>
        <v>8831.64</v>
      </c>
      <c r="L245" s="65"/>
      <c r="M245" s="65"/>
      <c r="N245" s="65">
        <v>250</v>
      </c>
      <c r="O245" s="65"/>
      <c r="P245" s="65"/>
      <c r="Q245" s="65"/>
      <c r="R245" s="65"/>
      <c r="S245" s="65"/>
      <c r="T245" s="65"/>
      <c r="U245" s="65"/>
      <c r="V245" s="65">
        <v>125</v>
      </c>
      <c r="W245" s="65"/>
      <c r="X245" s="65"/>
      <c r="Y245" s="65"/>
      <c r="Z245" s="65"/>
      <c r="AA245" s="65"/>
      <c r="AB245" s="65"/>
      <c r="AC245" s="65">
        <v>100</v>
      </c>
      <c r="AD245" s="65">
        <v>100</v>
      </c>
      <c r="AE245" s="65">
        <v>327</v>
      </c>
      <c r="AF245" s="65"/>
      <c r="AG245" s="65"/>
      <c r="AH245" s="65"/>
      <c r="AI245" s="65"/>
      <c r="AJ245" s="65">
        <v>4037.09</v>
      </c>
      <c r="AK245" s="65">
        <v>48573.96</v>
      </c>
    </row>
    <row r="246" spans="2:37" ht="12.75" customHeight="1">
      <c r="B246" s="5">
        <v>232</v>
      </c>
      <c r="C246" s="60" t="s">
        <v>513</v>
      </c>
      <c r="D246" s="60" t="s">
        <v>512</v>
      </c>
      <c r="E246" s="60" t="s">
        <v>731</v>
      </c>
      <c r="F246" s="66" t="s">
        <v>687</v>
      </c>
      <c r="G246" s="82" t="s">
        <v>688</v>
      </c>
      <c r="H246" s="65">
        <v>401.44</v>
      </c>
      <c r="I246" s="65">
        <v>11</v>
      </c>
      <c r="J246" s="65">
        <f t="shared" ref="J246" si="376">I246*8</f>
        <v>88</v>
      </c>
      <c r="K246" s="65">
        <f t="shared" ref="K246" si="377">H246*I246*2</f>
        <v>8831.68</v>
      </c>
      <c r="L246" s="65"/>
      <c r="M246" s="65"/>
      <c r="N246" s="65">
        <v>250</v>
      </c>
      <c r="O246" s="65"/>
      <c r="P246" s="65"/>
      <c r="Q246" s="65"/>
      <c r="R246" s="65"/>
      <c r="S246" s="65"/>
      <c r="T246" s="65"/>
      <c r="U246" s="65"/>
      <c r="V246" s="65">
        <v>125</v>
      </c>
      <c r="W246" s="65"/>
      <c r="X246" s="65"/>
      <c r="Y246" s="65"/>
      <c r="Z246" s="65"/>
      <c r="AA246" s="65">
        <v>500</v>
      </c>
      <c r="AB246" s="65"/>
      <c r="AC246" s="65">
        <v>100</v>
      </c>
      <c r="AD246" s="65">
        <v>100</v>
      </c>
      <c r="AE246" s="65">
        <v>327</v>
      </c>
      <c r="AF246" s="65"/>
      <c r="AG246" s="65"/>
      <c r="AH246" s="65"/>
      <c r="AI246" s="65"/>
      <c r="AJ246" s="65">
        <v>7240.81</v>
      </c>
      <c r="AK246" s="65">
        <v>86823.96</v>
      </c>
    </row>
    <row r="247" spans="2:37" ht="12.75" customHeight="1">
      <c r="B247" s="5">
        <v>233</v>
      </c>
      <c r="C247" s="60" t="s">
        <v>514</v>
      </c>
      <c r="D247" s="60" t="s">
        <v>440</v>
      </c>
      <c r="E247" s="60" t="s">
        <v>731</v>
      </c>
      <c r="F247" s="66" t="s">
        <v>687</v>
      </c>
      <c r="G247" s="82" t="s">
        <v>688</v>
      </c>
      <c r="H247" s="65">
        <f>4764.06/11</f>
        <v>433.09636363636366</v>
      </c>
      <c r="I247" s="65">
        <v>11</v>
      </c>
      <c r="J247" s="65">
        <f t="shared" ref="J247" si="378">I247*8</f>
        <v>88</v>
      </c>
      <c r="K247" s="65">
        <f t="shared" ref="K247" si="379">H247*I247*2</f>
        <v>9528.1200000000008</v>
      </c>
      <c r="L247" s="65"/>
      <c r="M247" s="65"/>
      <c r="N247" s="65">
        <v>250</v>
      </c>
      <c r="O247" s="65"/>
      <c r="P247" s="65"/>
      <c r="Q247" s="65"/>
      <c r="R247" s="65"/>
      <c r="S247" s="65"/>
      <c r="T247" s="65"/>
      <c r="U247" s="65"/>
      <c r="V247" s="65">
        <v>125</v>
      </c>
      <c r="W247" s="65"/>
      <c r="X247" s="65"/>
      <c r="Y247" s="65"/>
      <c r="Z247" s="65"/>
      <c r="AA247" s="65">
        <f>1132+356+500+500</f>
        <v>2488</v>
      </c>
      <c r="AB247" s="65"/>
      <c r="AC247" s="65">
        <v>100</v>
      </c>
      <c r="AD247" s="65">
        <v>112.5</v>
      </c>
      <c r="AE247" s="65">
        <v>345.2</v>
      </c>
      <c r="AF247" s="65"/>
      <c r="AG247" s="65"/>
      <c r="AH247" s="65"/>
      <c r="AI247" s="65"/>
      <c r="AJ247" s="65">
        <v>9173.66</v>
      </c>
      <c r="AK247" s="65">
        <v>112962.02</v>
      </c>
    </row>
    <row r="248" spans="2:37" ht="12.75" customHeight="1">
      <c r="B248" s="5">
        <v>234</v>
      </c>
      <c r="C248" s="60" t="s">
        <v>515</v>
      </c>
      <c r="D248" s="60" t="s">
        <v>232</v>
      </c>
      <c r="E248" s="60" t="s">
        <v>731</v>
      </c>
      <c r="F248" s="66" t="s">
        <v>687</v>
      </c>
      <c r="G248" s="82" t="s">
        <v>688</v>
      </c>
      <c r="H248" s="65">
        <f>4248.51/11</f>
        <v>386.22818181818184</v>
      </c>
      <c r="I248" s="65">
        <v>11</v>
      </c>
      <c r="J248" s="65">
        <f t="shared" ref="J248" si="380">I248*8</f>
        <v>88</v>
      </c>
      <c r="K248" s="65">
        <f t="shared" ref="K248" si="381">H248*I248*2</f>
        <v>8497.02</v>
      </c>
      <c r="L248" s="65"/>
      <c r="M248" s="65"/>
      <c r="N248" s="65">
        <v>250</v>
      </c>
      <c r="O248" s="65"/>
      <c r="P248" s="65"/>
      <c r="Q248" s="65"/>
      <c r="R248" s="65"/>
      <c r="S248" s="65"/>
      <c r="T248" s="65"/>
      <c r="U248" s="65"/>
      <c r="V248" s="65">
        <v>125</v>
      </c>
      <c r="W248" s="65"/>
      <c r="X248" s="65"/>
      <c r="Y248" s="65"/>
      <c r="Z248" s="65"/>
      <c r="AA248" s="65">
        <f>500+500</f>
        <v>1000</v>
      </c>
      <c r="AB248" s="65"/>
      <c r="AC248" s="65">
        <v>100</v>
      </c>
      <c r="AD248" s="65">
        <v>100</v>
      </c>
      <c r="AE248" s="65">
        <v>308.8</v>
      </c>
      <c r="AF248" s="65"/>
      <c r="AG248" s="65"/>
      <c r="AH248" s="65"/>
      <c r="AI248" s="65"/>
      <c r="AJ248" s="65">
        <v>8076.94</v>
      </c>
      <c r="AK248" s="65">
        <v>96159.43</v>
      </c>
    </row>
    <row r="249" spans="2:37" ht="12.75" customHeight="1">
      <c r="B249" s="5">
        <v>235</v>
      </c>
      <c r="C249" s="60" t="s">
        <v>516</v>
      </c>
      <c r="D249" s="60" t="s">
        <v>512</v>
      </c>
      <c r="E249" s="60" t="s">
        <v>731</v>
      </c>
      <c r="F249" s="66" t="s">
        <v>687</v>
      </c>
      <c r="G249" s="82" t="s">
        <v>688</v>
      </c>
      <c r="H249" s="65">
        <v>401.44</v>
      </c>
      <c r="I249" s="65">
        <v>11</v>
      </c>
      <c r="J249" s="65">
        <f t="shared" ref="J249" si="382">I249*8</f>
        <v>88</v>
      </c>
      <c r="K249" s="65">
        <f t="shared" ref="K249" si="383">H249*I249*2</f>
        <v>8831.68</v>
      </c>
      <c r="L249" s="65"/>
      <c r="M249" s="65"/>
      <c r="N249" s="65">
        <v>250</v>
      </c>
      <c r="O249" s="65"/>
      <c r="P249" s="65"/>
      <c r="Q249" s="65"/>
      <c r="R249" s="65"/>
      <c r="S249" s="65"/>
      <c r="T249" s="65"/>
      <c r="U249" s="65"/>
      <c r="V249" s="65">
        <v>125</v>
      </c>
      <c r="W249" s="65"/>
      <c r="X249" s="65"/>
      <c r="Y249" s="65"/>
      <c r="Z249" s="65"/>
      <c r="AA249" s="65"/>
      <c r="AB249" s="65"/>
      <c r="AC249" s="65">
        <v>100</v>
      </c>
      <c r="AD249" s="65">
        <v>100</v>
      </c>
      <c r="AE249" s="65">
        <v>327</v>
      </c>
      <c r="AF249" s="65"/>
      <c r="AG249" s="65"/>
      <c r="AH249" s="65"/>
      <c r="AI249" s="65"/>
      <c r="AJ249" s="65">
        <v>4314.13</v>
      </c>
      <c r="AK249" s="65">
        <v>52989.78</v>
      </c>
    </row>
    <row r="250" spans="2:37" ht="12.75" customHeight="1">
      <c r="B250" s="5">
        <v>236</v>
      </c>
      <c r="C250" s="60" t="s">
        <v>517</v>
      </c>
      <c r="D250" s="60" t="s">
        <v>407</v>
      </c>
      <c r="E250" s="60" t="s">
        <v>731</v>
      </c>
      <c r="F250" s="66" t="s">
        <v>687</v>
      </c>
      <c r="G250" s="82" t="s">
        <v>688</v>
      </c>
      <c r="H250" s="65">
        <v>380</v>
      </c>
      <c r="I250" s="65">
        <v>11</v>
      </c>
      <c r="J250" s="65">
        <f t="shared" ref="J250" si="384">I250*8</f>
        <v>88</v>
      </c>
      <c r="K250" s="65">
        <f t="shared" ref="K250" si="385">H250*I250*2</f>
        <v>8360</v>
      </c>
      <c r="L250" s="65"/>
      <c r="M250" s="65"/>
      <c r="N250" s="65"/>
      <c r="O250" s="65"/>
      <c r="P250" s="65"/>
      <c r="Q250" s="65"/>
      <c r="R250" s="65"/>
      <c r="S250" s="65"/>
      <c r="T250" s="65"/>
      <c r="U250" s="65"/>
      <c r="V250" s="65">
        <v>125</v>
      </c>
      <c r="W250" s="65"/>
      <c r="X250" s="65"/>
      <c r="Y250" s="65"/>
      <c r="Z250" s="65"/>
      <c r="AA250" s="65"/>
      <c r="AB250" s="65"/>
      <c r="AC250" s="65">
        <v>100</v>
      </c>
      <c r="AD250" s="65">
        <v>100</v>
      </c>
      <c r="AE250" s="65">
        <v>308.8</v>
      </c>
      <c r="AF250" s="65"/>
      <c r="AG250" s="65"/>
      <c r="AH250" s="65"/>
      <c r="AI250" s="65"/>
      <c r="AJ250" s="65">
        <v>3474.18</v>
      </c>
      <c r="AK250" s="65">
        <v>41800</v>
      </c>
    </row>
    <row r="251" spans="2:37" ht="12.75" customHeight="1">
      <c r="B251" s="5">
        <v>237</v>
      </c>
      <c r="C251" s="60" t="s">
        <v>518</v>
      </c>
      <c r="D251" s="60" t="s">
        <v>512</v>
      </c>
      <c r="E251" s="60" t="s">
        <v>731</v>
      </c>
      <c r="F251" s="66" t="s">
        <v>687</v>
      </c>
      <c r="G251" s="82" t="s">
        <v>688</v>
      </c>
      <c r="H251" s="65">
        <f>6130.05/11</f>
        <v>557.2772727272727</v>
      </c>
      <c r="I251" s="65">
        <v>11</v>
      </c>
      <c r="J251" s="65">
        <f t="shared" ref="J251" si="386">I251*8</f>
        <v>88</v>
      </c>
      <c r="K251" s="65">
        <f t="shared" ref="K251" si="387">H251*I251*2</f>
        <v>12260.099999999999</v>
      </c>
      <c r="L251" s="65"/>
      <c r="M251" s="65"/>
      <c r="N251" s="65">
        <v>250</v>
      </c>
      <c r="O251" s="65"/>
      <c r="P251" s="65"/>
      <c r="Q251" s="65"/>
      <c r="R251" s="65"/>
      <c r="S251" s="65"/>
      <c r="T251" s="65"/>
      <c r="U251" s="65"/>
      <c r="V251" s="65">
        <v>125</v>
      </c>
      <c r="W251" s="65"/>
      <c r="X251" s="65"/>
      <c r="Y251" s="65"/>
      <c r="Z251" s="65"/>
      <c r="AA251" s="65">
        <f>500+564+500</f>
        <v>1564</v>
      </c>
      <c r="AB251" s="65"/>
      <c r="AC251" s="65">
        <v>100</v>
      </c>
      <c r="AD251" s="65">
        <v>150</v>
      </c>
      <c r="AE251" s="65">
        <v>454.2</v>
      </c>
      <c r="AF251" s="65"/>
      <c r="AG251" s="65"/>
      <c r="AH251" s="65"/>
      <c r="AI251" s="65"/>
      <c r="AJ251" s="65">
        <v>12062.75</v>
      </c>
      <c r="AK251" s="65">
        <v>146066.28</v>
      </c>
    </row>
    <row r="252" spans="2:37" ht="12.75" customHeight="1">
      <c r="B252" s="5">
        <v>238</v>
      </c>
      <c r="C252" s="60" t="s">
        <v>519</v>
      </c>
      <c r="D252" s="60" t="s">
        <v>232</v>
      </c>
      <c r="E252" s="60" t="s">
        <v>731</v>
      </c>
      <c r="F252" s="66" t="s">
        <v>687</v>
      </c>
      <c r="G252" s="82" t="s">
        <v>688</v>
      </c>
      <c r="H252" s="65">
        <v>386.23</v>
      </c>
      <c r="I252" s="65">
        <v>11</v>
      </c>
      <c r="J252" s="65">
        <f t="shared" ref="J252" si="388">I252*8</f>
        <v>88</v>
      </c>
      <c r="K252" s="65">
        <f t="shared" ref="K252" si="389">H252*I252*2</f>
        <v>8497.0600000000013</v>
      </c>
      <c r="L252" s="65"/>
      <c r="M252" s="65"/>
      <c r="N252" s="65"/>
      <c r="O252" s="65"/>
      <c r="P252" s="65"/>
      <c r="Q252" s="65"/>
      <c r="R252" s="65"/>
      <c r="S252" s="65"/>
      <c r="T252" s="65"/>
      <c r="U252" s="65"/>
      <c r="V252" s="65">
        <v>125</v>
      </c>
      <c r="W252" s="65"/>
      <c r="X252" s="65"/>
      <c r="Y252" s="65"/>
      <c r="Z252" s="65"/>
      <c r="AA252" s="65">
        <v>250</v>
      </c>
      <c r="AB252" s="65"/>
      <c r="AC252" s="65">
        <v>100</v>
      </c>
      <c r="AD252" s="65">
        <v>100</v>
      </c>
      <c r="AE252" s="65">
        <v>308.8</v>
      </c>
      <c r="AF252" s="65"/>
      <c r="AG252" s="65"/>
      <c r="AH252" s="65"/>
      <c r="AI252" s="65"/>
      <c r="AJ252" s="65">
        <v>3154.19</v>
      </c>
      <c r="AK252" s="65">
        <v>38236.54</v>
      </c>
    </row>
    <row r="253" spans="2:37" ht="12.75" customHeight="1">
      <c r="B253" s="5">
        <v>239</v>
      </c>
      <c r="C253" s="60" t="s">
        <v>520</v>
      </c>
      <c r="D253" s="60" t="s">
        <v>232</v>
      </c>
      <c r="E253" s="60" t="s">
        <v>731</v>
      </c>
      <c r="F253" s="66" t="s">
        <v>687</v>
      </c>
      <c r="G253" s="82" t="s">
        <v>688</v>
      </c>
      <c r="H253" s="65">
        <v>386.23</v>
      </c>
      <c r="I253" s="65">
        <v>11</v>
      </c>
      <c r="J253" s="65">
        <f t="shared" ref="J253" si="390">I253*8</f>
        <v>88</v>
      </c>
      <c r="K253" s="65">
        <f t="shared" ref="K253" si="391">H253*I253*2</f>
        <v>8497.0600000000013</v>
      </c>
      <c r="L253" s="65"/>
      <c r="M253" s="65"/>
      <c r="N253" s="65"/>
      <c r="O253" s="65"/>
      <c r="P253" s="65"/>
      <c r="Q253" s="65"/>
      <c r="R253" s="65"/>
      <c r="S253" s="65"/>
      <c r="T253" s="65"/>
      <c r="U253" s="65"/>
      <c r="V253" s="65">
        <v>125</v>
      </c>
      <c r="W253" s="65"/>
      <c r="X253" s="65"/>
      <c r="Y253" s="65"/>
      <c r="Z253" s="65"/>
      <c r="AA253" s="65">
        <v>250</v>
      </c>
      <c r="AB253" s="65"/>
      <c r="AC253" s="65">
        <v>100</v>
      </c>
      <c r="AD253" s="65">
        <v>100</v>
      </c>
      <c r="AE253" s="65">
        <v>308.8</v>
      </c>
      <c r="AF253" s="65"/>
      <c r="AG253" s="65"/>
      <c r="AH253" s="65"/>
      <c r="AI253" s="65"/>
      <c r="AJ253" s="65">
        <v>2220.81</v>
      </c>
      <c r="AK253" s="65">
        <v>25491.03</v>
      </c>
    </row>
    <row r="254" spans="2:37" ht="12.75" customHeight="1">
      <c r="B254" s="5">
        <v>240</v>
      </c>
      <c r="C254" s="60" t="s">
        <v>521</v>
      </c>
      <c r="D254" s="60" t="s">
        <v>232</v>
      </c>
      <c r="E254" s="60" t="s">
        <v>731</v>
      </c>
      <c r="F254" s="66" t="s">
        <v>687</v>
      </c>
      <c r="G254" s="82" t="s">
        <v>688</v>
      </c>
      <c r="H254" s="65">
        <v>386.23</v>
      </c>
      <c r="I254" s="65">
        <v>11</v>
      </c>
      <c r="J254" s="65">
        <f t="shared" ref="J254" si="392">I254*8</f>
        <v>88</v>
      </c>
      <c r="K254" s="65">
        <f t="shared" ref="K254" si="393">H254*I254*2</f>
        <v>8497.0600000000013</v>
      </c>
      <c r="L254" s="65"/>
      <c r="M254" s="65"/>
      <c r="N254" s="65">
        <v>250</v>
      </c>
      <c r="O254" s="65"/>
      <c r="P254" s="65"/>
      <c r="Q254" s="65"/>
      <c r="R254" s="65"/>
      <c r="S254" s="65"/>
      <c r="T254" s="65"/>
      <c r="U254" s="65"/>
      <c r="V254" s="65">
        <v>125</v>
      </c>
      <c r="W254" s="65"/>
      <c r="X254" s="65"/>
      <c r="Y254" s="65"/>
      <c r="Z254" s="65"/>
      <c r="AA254" s="65">
        <f>500+500</f>
        <v>1000</v>
      </c>
      <c r="AB254" s="65"/>
      <c r="AC254" s="65">
        <v>100</v>
      </c>
      <c r="AD254" s="65">
        <v>100</v>
      </c>
      <c r="AE254" s="65">
        <v>308.8</v>
      </c>
      <c r="AF254" s="65"/>
      <c r="AG254" s="65"/>
      <c r="AH254" s="65"/>
      <c r="AI254" s="65"/>
      <c r="AJ254" s="65">
        <v>8141.76</v>
      </c>
      <c r="AK254" s="65">
        <v>100407.93</v>
      </c>
    </row>
    <row r="255" spans="2:37" ht="12.75" customHeight="1">
      <c r="B255" s="5">
        <v>241</v>
      </c>
      <c r="C255" s="60" t="s">
        <v>522</v>
      </c>
      <c r="D255" s="60" t="s">
        <v>232</v>
      </c>
      <c r="E255" s="60" t="s">
        <v>731</v>
      </c>
      <c r="F255" s="66" t="s">
        <v>687</v>
      </c>
      <c r="G255" s="82" t="s">
        <v>688</v>
      </c>
      <c r="H255" s="65">
        <v>386.23</v>
      </c>
      <c r="I255" s="65">
        <v>11</v>
      </c>
      <c r="J255" s="65">
        <f t="shared" ref="J255" si="394">I255*8</f>
        <v>88</v>
      </c>
      <c r="K255" s="65">
        <f t="shared" ref="K255" si="395">H255*I255*2</f>
        <v>8497.0600000000013</v>
      </c>
      <c r="L255" s="65"/>
      <c r="M255" s="65"/>
      <c r="N255" s="65"/>
      <c r="O255" s="65"/>
      <c r="P255" s="65"/>
      <c r="Q255" s="65"/>
      <c r="R255" s="65"/>
      <c r="S255" s="65"/>
      <c r="T255" s="65"/>
      <c r="U255" s="65"/>
      <c r="V255" s="65">
        <v>125</v>
      </c>
      <c r="W255" s="65"/>
      <c r="X255" s="65"/>
      <c r="Y255" s="65"/>
      <c r="Z255" s="65"/>
      <c r="AA255" s="65">
        <f>500+250</f>
        <v>750</v>
      </c>
      <c r="AB255" s="65"/>
      <c r="AC255" s="65">
        <v>100</v>
      </c>
      <c r="AD255" s="65">
        <v>100</v>
      </c>
      <c r="AE255" s="65">
        <v>308.8</v>
      </c>
      <c r="AF255" s="65"/>
      <c r="AG255" s="65"/>
      <c r="AH255" s="65"/>
      <c r="AI255" s="65"/>
      <c r="AJ255" s="65">
        <v>1416.17</v>
      </c>
      <c r="AK255" s="65">
        <v>16994.02</v>
      </c>
    </row>
    <row r="256" spans="2:37" ht="12.75" customHeight="1">
      <c r="B256" s="5">
        <v>242</v>
      </c>
      <c r="C256" s="60" t="s">
        <v>523</v>
      </c>
      <c r="D256" s="60" t="s">
        <v>232</v>
      </c>
      <c r="E256" s="60" t="s">
        <v>731</v>
      </c>
      <c r="F256" s="66" t="s">
        <v>687</v>
      </c>
      <c r="G256" s="82" t="s">
        <v>688</v>
      </c>
      <c r="H256" s="65">
        <v>386.23</v>
      </c>
      <c r="I256" s="65">
        <v>11</v>
      </c>
      <c r="J256" s="65">
        <f t="shared" ref="J256" si="396">I256*8</f>
        <v>88</v>
      </c>
      <c r="K256" s="65">
        <f t="shared" ref="K256" si="397">H256*I256*2</f>
        <v>8497.0600000000013</v>
      </c>
      <c r="L256" s="65"/>
      <c r="M256" s="65"/>
      <c r="N256" s="65">
        <v>250</v>
      </c>
      <c r="O256" s="65"/>
      <c r="P256" s="65"/>
      <c r="Q256" s="65"/>
      <c r="R256" s="65"/>
      <c r="S256" s="65"/>
      <c r="T256" s="65"/>
      <c r="U256" s="65"/>
      <c r="V256" s="65">
        <v>125</v>
      </c>
      <c r="W256" s="65"/>
      <c r="X256" s="65"/>
      <c r="Y256" s="65"/>
      <c r="Z256" s="65"/>
      <c r="AA256" s="65">
        <v>500</v>
      </c>
      <c r="AB256" s="65"/>
      <c r="AC256" s="65">
        <v>100</v>
      </c>
      <c r="AD256" s="65">
        <v>100</v>
      </c>
      <c r="AE256" s="65">
        <v>308.8</v>
      </c>
      <c r="AF256" s="65"/>
      <c r="AG256" s="65"/>
      <c r="AH256" s="65"/>
      <c r="AI256" s="65"/>
      <c r="AJ256" s="65">
        <v>7711.65</v>
      </c>
      <c r="AK256" s="65">
        <v>100407.93</v>
      </c>
    </row>
    <row r="257" spans="2:37" ht="12.75" customHeight="1">
      <c r="B257" s="5">
        <v>243</v>
      </c>
      <c r="C257" s="60" t="s">
        <v>524</v>
      </c>
      <c r="D257" s="60" t="s">
        <v>232</v>
      </c>
      <c r="E257" s="60" t="s">
        <v>731</v>
      </c>
      <c r="F257" s="66" t="s">
        <v>687</v>
      </c>
      <c r="G257" s="82" t="s">
        <v>688</v>
      </c>
      <c r="H257" s="65">
        <v>386.23</v>
      </c>
      <c r="I257" s="65">
        <v>11</v>
      </c>
      <c r="J257" s="65">
        <f t="shared" ref="J257" si="398">I257*8</f>
        <v>88</v>
      </c>
      <c r="K257" s="65">
        <f t="shared" ref="K257" si="399">H257*I257*2</f>
        <v>8497.0600000000013</v>
      </c>
      <c r="L257" s="65"/>
      <c r="M257" s="65"/>
      <c r="N257" s="65">
        <v>250</v>
      </c>
      <c r="O257" s="65"/>
      <c r="P257" s="65"/>
      <c r="Q257" s="65"/>
      <c r="R257" s="65"/>
      <c r="S257" s="65"/>
      <c r="T257" s="65"/>
      <c r="U257" s="65"/>
      <c r="V257" s="65">
        <v>125</v>
      </c>
      <c r="W257" s="65"/>
      <c r="X257" s="65"/>
      <c r="Y257" s="65"/>
      <c r="Z257" s="65"/>
      <c r="AA257" s="65">
        <f>442+500+500</f>
        <v>1442</v>
      </c>
      <c r="AB257" s="65"/>
      <c r="AC257" s="65">
        <v>100</v>
      </c>
      <c r="AD257" s="65">
        <v>100</v>
      </c>
      <c r="AE257" s="65">
        <v>308.8</v>
      </c>
      <c r="AF257" s="65"/>
      <c r="AG257" s="65"/>
      <c r="AH257" s="65"/>
      <c r="AI257" s="65"/>
      <c r="AJ257" s="65">
        <v>7792.19</v>
      </c>
      <c r="AK257" s="65">
        <v>96159.42</v>
      </c>
    </row>
    <row r="258" spans="2:37" ht="12.75" customHeight="1">
      <c r="B258" s="5">
        <v>244</v>
      </c>
      <c r="C258" s="60" t="s">
        <v>525</v>
      </c>
      <c r="D258" s="60" t="s">
        <v>232</v>
      </c>
      <c r="E258" s="60" t="s">
        <v>731</v>
      </c>
      <c r="F258" s="66" t="s">
        <v>687</v>
      </c>
      <c r="G258" s="82" t="s">
        <v>688</v>
      </c>
      <c r="H258" s="65">
        <v>386.23</v>
      </c>
      <c r="I258" s="65">
        <v>11</v>
      </c>
      <c r="J258" s="65">
        <f t="shared" ref="J258" si="400">I258*8</f>
        <v>88</v>
      </c>
      <c r="K258" s="65">
        <f t="shared" ref="K258" si="401">H258*I258*2</f>
        <v>8497.0600000000013</v>
      </c>
      <c r="L258" s="65"/>
      <c r="M258" s="65"/>
      <c r="N258" s="65">
        <v>250</v>
      </c>
      <c r="O258" s="65"/>
      <c r="P258" s="65"/>
      <c r="Q258" s="65"/>
      <c r="R258" s="65"/>
      <c r="S258" s="65"/>
      <c r="T258" s="65"/>
      <c r="U258" s="65"/>
      <c r="V258" s="65">
        <v>125</v>
      </c>
      <c r="W258" s="65"/>
      <c r="X258" s="65"/>
      <c r="Y258" s="65"/>
      <c r="Z258" s="65"/>
      <c r="AA258" s="65">
        <f>500+500</f>
        <v>1000</v>
      </c>
      <c r="AB258" s="65"/>
      <c r="AC258" s="65">
        <v>100</v>
      </c>
      <c r="AD258" s="65">
        <v>100</v>
      </c>
      <c r="AE258" s="65">
        <v>308.8</v>
      </c>
      <c r="AF258" s="65"/>
      <c r="AG258" s="65"/>
      <c r="AH258" s="65"/>
      <c r="AI258" s="65"/>
      <c r="AJ258" s="65">
        <v>8207.26</v>
      </c>
      <c r="AK258" s="65">
        <v>100407.93</v>
      </c>
    </row>
    <row r="259" spans="2:37" ht="12.75" customHeight="1">
      <c r="B259" s="5">
        <v>245</v>
      </c>
      <c r="C259" s="60" t="s">
        <v>526</v>
      </c>
      <c r="D259" s="60" t="s">
        <v>232</v>
      </c>
      <c r="E259" s="60" t="s">
        <v>731</v>
      </c>
      <c r="F259" s="66" t="s">
        <v>687</v>
      </c>
      <c r="G259" s="82" t="s">
        <v>688</v>
      </c>
      <c r="H259" s="65">
        <v>386.23</v>
      </c>
      <c r="I259" s="65">
        <v>11</v>
      </c>
      <c r="J259" s="65">
        <f t="shared" ref="J259" si="402">I259*8</f>
        <v>88</v>
      </c>
      <c r="K259" s="65">
        <f t="shared" ref="K259" si="403">H259*I259*2</f>
        <v>8497.0600000000013</v>
      </c>
      <c r="L259" s="65"/>
      <c r="M259" s="65"/>
      <c r="N259" s="65">
        <v>250</v>
      </c>
      <c r="O259" s="65"/>
      <c r="P259" s="65"/>
      <c r="Q259" s="65"/>
      <c r="R259" s="65"/>
      <c r="S259" s="65"/>
      <c r="T259" s="65"/>
      <c r="U259" s="65"/>
      <c r="V259" s="65">
        <v>125</v>
      </c>
      <c r="W259" s="65"/>
      <c r="X259" s="65"/>
      <c r="Y259" s="65"/>
      <c r="Z259" s="65"/>
      <c r="AA259" s="65">
        <f>500+356+500</f>
        <v>1356</v>
      </c>
      <c r="AB259" s="65"/>
      <c r="AC259" s="65">
        <v>100</v>
      </c>
      <c r="AD259" s="65">
        <v>100</v>
      </c>
      <c r="AE259" s="65">
        <v>308.8</v>
      </c>
      <c r="AF259" s="65"/>
      <c r="AG259" s="65"/>
      <c r="AH259" s="65"/>
      <c r="AI259" s="65"/>
      <c r="AJ259" s="65">
        <v>8346.99</v>
      </c>
      <c r="AK259" s="65">
        <v>100407.93</v>
      </c>
    </row>
    <row r="260" spans="2:37" ht="12.75" customHeight="1">
      <c r="B260" s="5">
        <v>246</v>
      </c>
      <c r="C260" s="60" t="s">
        <v>527</v>
      </c>
      <c r="D260" s="60" t="s">
        <v>528</v>
      </c>
      <c r="E260" s="60" t="s">
        <v>731</v>
      </c>
      <c r="F260" s="66" t="s">
        <v>687</v>
      </c>
      <c r="G260" s="82" t="s">
        <v>688</v>
      </c>
      <c r="H260" s="65">
        <v>380</v>
      </c>
      <c r="I260" s="65">
        <v>11</v>
      </c>
      <c r="J260" s="65">
        <f t="shared" ref="J260" si="404">I260*8</f>
        <v>88</v>
      </c>
      <c r="K260" s="65">
        <f t="shared" ref="K260" si="405">H260*I260*2</f>
        <v>8360</v>
      </c>
      <c r="L260" s="65"/>
      <c r="M260" s="65"/>
      <c r="N260" s="65"/>
      <c r="O260" s="65"/>
      <c r="P260" s="65"/>
      <c r="Q260" s="65"/>
      <c r="R260" s="65"/>
      <c r="S260" s="65"/>
      <c r="T260" s="65"/>
      <c r="U260" s="65"/>
      <c r="V260" s="65">
        <v>125</v>
      </c>
      <c r="W260" s="65"/>
      <c r="X260" s="65"/>
      <c r="Y260" s="65"/>
      <c r="Z260" s="65"/>
      <c r="AA260" s="65"/>
      <c r="AB260" s="65"/>
      <c r="AC260" s="65">
        <v>100</v>
      </c>
      <c r="AD260" s="65">
        <v>100</v>
      </c>
      <c r="AE260" s="65">
        <v>308.8</v>
      </c>
      <c r="AF260" s="65"/>
      <c r="AG260" s="65"/>
      <c r="AH260" s="65"/>
      <c r="AI260" s="65"/>
      <c r="AJ260" s="65">
        <v>8191.36</v>
      </c>
      <c r="AK260" s="65">
        <v>98736</v>
      </c>
    </row>
    <row r="261" spans="2:37" ht="12.75" customHeight="1">
      <c r="B261" s="5">
        <v>247</v>
      </c>
      <c r="C261" s="60" t="s">
        <v>529</v>
      </c>
      <c r="D261" s="60" t="s">
        <v>232</v>
      </c>
      <c r="E261" s="60" t="s">
        <v>731</v>
      </c>
      <c r="F261" s="66" t="s">
        <v>687</v>
      </c>
      <c r="G261" s="82" t="s">
        <v>688</v>
      </c>
      <c r="H261" s="65">
        <v>386.23</v>
      </c>
      <c r="I261" s="65">
        <v>11</v>
      </c>
      <c r="J261" s="65">
        <f t="shared" ref="J261" si="406">I261*8</f>
        <v>88</v>
      </c>
      <c r="K261" s="65">
        <f t="shared" ref="K261" si="407">H261*I261*2</f>
        <v>8497.0600000000013</v>
      </c>
      <c r="L261" s="65"/>
      <c r="M261" s="65"/>
      <c r="N261" s="65"/>
      <c r="O261" s="65"/>
      <c r="P261" s="65"/>
      <c r="Q261" s="65"/>
      <c r="R261" s="65"/>
      <c r="S261" s="65"/>
      <c r="T261" s="65"/>
      <c r="U261" s="65"/>
      <c r="V261" s="65">
        <v>125</v>
      </c>
      <c r="W261" s="65"/>
      <c r="X261" s="65"/>
      <c r="Y261" s="65"/>
      <c r="Z261" s="65"/>
      <c r="AA261" s="65">
        <v>250</v>
      </c>
      <c r="AB261" s="65"/>
      <c r="AC261" s="65">
        <v>100</v>
      </c>
      <c r="AD261" s="65">
        <v>100</v>
      </c>
      <c r="AE261" s="65">
        <v>308.8</v>
      </c>
      <c r="AF261" s="65"/>
      <c r="AG261" s="65"/>
      <c r="AH261" s="65"/>
      <c r="AI261" s="65"/>
      <c r="AJ261" s="65">
        <v>4570.3599999999997</v>
      </c>
      <c r="AK261" s="65">
        <v>55230.559999999998</v>
      </c>
    </row>
    <row r="262" spans="2:37" ht="12.75" customHeight="1">
      <c r="B262" s="5">
        <v>248</v>
      </c>
      <c r="C262" s="60" t="s">
        <v>530</v>
      </c>
      <c r="D262" s="60" t="s">
        <v>407</v>
      </c>
      <c r="E262" s="60" t="s">
        <v>731</v>
      </c>
      <c r="F262" s="66" t="s">
        <v>687</v>
      </c>
      <c r="G262" s="82" t="s">
        <v>688</v>
      </c>
      <c r="H262" s="65">
        <f>4725.66/11</f>
        <v>429.60545454545451</v>
      </c>
      <c r="I262" s="65">
        <v>11</v>
      </c>
      <c r="J262" s="65">
        <f t="shared" ref="J262" si="408">I262*8</f>
        <v>88</v>
      </c>
      <c r="K262" s="65">
        <f t="shared" ref="K262" si="409">H262*I262*2</f>
        <v>9451.32</v>
      </c>
      <c r="L262" s="65"/>
      <c r="M262" s="65"/>
      <c r="N262" s="65">
        <v>250</v>
      </c>
      <c r="O262" s="65"/>
      <c r="P262" s="65"/>
      <c r="Q262" s="65"/>
      <c r="R262" s="65"/>
      <c r="S262" s="65"/>
      <c r="T262" s="65"/>
      <c r="U262" s="65"/>
      <c r="V262" s="65">
        <v>125</v>
      </c>
      <c r="W262" s="65"/>
      <c r="X262" s="65"/>
      <c r="Y262" s="65"/>
      <c r="Z262" s="65"/>
      <c r="AA262" s="65">
        <f>250+395+500</f>
        <v>1145</v>
      </c>
      <c r="AB262" s="65"/>
      <c r="AC262" s="65">
        <v>100</v>
      </c>
      <c r="AD262" s="65">
        <v>112.5</v>
      </c>
      <c r="AE262" s="65">
        <v>345.2</v>
      </c>
      <c r="AF262" s="65"/>
      <c r="AG262" s="65"/>
      <c r="AH262" s="65"/>
      <c r="AI262" s="65"/>
      <c r="AJ262" s="65">
        <v>9036.91</v>
      </c>
      <c r="AK262" s="65">
        <v>112028.37</v>
      </c>
    </row>
    <row r="263" spans="2:37" ht="12.75" customHeight="1">
      <c r="B263" s="5">
        <v>249</v>
      </c>
      <c r="C263" s="60" t="s">
        <v>531</v>
      </c>
      <c r="D263" s="60" t="s">
        <v>512</v>
      </c>
      <c r="E263" s="60" t="s">
        <v>731</v>
      </c>
      <c r="F263" s="66" t="s">
        <v>687</v>
      </c>
      <c r="G263" s="82" t="s">
        <v>688</v>
      </c>
      <c r="H263" s="65">
        <f>4415.82/11</f>
        <v>401.43818181818182</v>
      </c>
      <c r="I263" s="65">
        <v>11</v>
      </c>
      <c r="J263" s="65">
        <f t="shared" ref="J263" si="410">I263*8</f>
        <v>88</v>
      </c>
      <c r="K263" s="65">
        <f t="shared" ref="K263" si="411">H263*I263*2</f>
        <v>8831.64</v>
      </c>
      <c r="L263" s="65"/>
      <c r="M263" s="65"/>
      <c r="N263" s="65"/>
      <c r="O263" s="65"/>
      <c r="P263" s="65"/>
      <c r="Q263" s="65"/>
      <c r="R263" s="65"/>
      <c r="S263" s="65"/>
      <c r="T263" s="65"/>
      <c r="U263" s="65"/>
      <c r="V263" s="65">
        <v>125</v>
      </c>
      <c r="W263" s="65"/>
      <c r="X263" s="65"/>
      <c r="Y263" s="65"/>
      <c r="Z263" s="65"/>
      <c r="AA263" s="65"/>
      <c r="AB263" s="65"/>
      <c r="AC263" s="65">
        <v>100</v>
      </c>
      <c r="AD263" s="65">
        <v>100</v>
      </c>
      <c r="AE263" s="65">
        <v>327</v>
      </c>
      <c r="AF263" s="65"/>
      <c r="AG263" s="65"/>
      <c r="AH263" s="65"/>
      <c r="AI263" s="65"/>
      <c r="AJ263" s="65">
        <v>2556.3000000000002</v>
      </c>
      <c r="AK263" s="65">
        <v>30910.7</v>
      </c>
    </row>
    <row r="264" spans="2:37" ht="12.75" customHeight="1">
      <c r="B264" s="5">
        <v>250</v>
      </c>
      <c r="C264" s="60" t="s">
        <v>532</v>
      </c>
      <c r="D264" s="60" t="s">
        <v>440</v>
      </c>
      <c r="E264" s="60" t="s">
        <v>731</v>
      </c>
      <c r="F264" s="66" t="s">
        <v>687</v>
      </c>
      <c r="G264" s="82" t="s">
        <v>688</v>
      </c>
      <c r="H264" s="65">
        <v>386.23</v>
      </c>
      <c r="I264" s="65">
        <v>11</v>
      </c>
      <c r="J264" s="65">
        <f t="shared" ref="J264" si="412">I264*8</f>
        <v>88</v>
      </c>
      <c r="K264" s="65">
        <f t="shared" ref="K264" si="413">H264*I264*2</f>
        <v>8497.0600000000013</v>
      </c>
      <c r="L264" s="65"/>
      <c r="M264" s="65"/>
      <c r="N264" s="65">
        <v>250</v>
      </c>
      <c r="O264" s="65"/>
      <c r="P264" s="65"/>
      <c r="Q264" s="65"/>
      <c r="R264" s="65"/>
      <c r="S264" s="65"/>
      <c r="T264" s="65"/>
      <c r="U264" s="65"/>
      <c r="V264" s="65">
        <v>125</v>
      </c>
      <c r="W264" s="65"/>
      <c r="X264" s="65"/>
      <c r="Y264" s="65"/>
      <c r="Z264" s="65"/>
      <c r="AA264" s="65">
        <f>712.2+442+500+500</f>
        <v>2154.1999999999998</v>
      </c>
      <c r="AB264" s="65"/>
      <c r="AC264" s="65">
        <v>100</v>
      </c>
      <c r="AD264" s="65">
        <v>100</v>
      </c>
      <c r="AE264" s="65">
        <v>308.8</v>
      </c>
      <c r="AF264" s="65"/>
      <c r="AG264" s="65"/>
      <c r="AH264" s="65"/>
      <c r="AI264" s="65"/>
      <c r="AJ264" s="65">
        <v>8063.6</v>
      </c>
      <c r="AK264" s="65">
        <v>100407.93</v>
      </c>
    </row>
    <row r="265" spans="2:37" ht="12.75" customHeight="1">
      <c r="B265" s="5">
        <v>251</v>
      </c>
      <c r="C265" s="60" t="s">
        <v>533</v>
      </c>
      <c r="D265" s="60" t="s">
        <v>232</v>
      </c>
      <c r="E265" s="60" t="s">
        <v>731</v>
      </c>
      <c r="F265" s="66" t="s">
        <v>687</v>
      </c>
      <c r="G265" s="82" t="s">
        <v>688</v>
      </c>
      <c r="H265" s="65">
        <v>386.23</v>
      </c>
      <c r="I265" s="65">
        <v>11</v>
      </c>
      <c r="J265" s="65">
        <f t="shared" ref="J265" si="414">I265*8</f>
        <v>88</v>
      </c>
      <c r="K265" s="65">
        <f t="shared" ref="K265" si="415">H265*I265*2</f>
        <v>8497.0600000000013</v>
      </c>
      <c r="L265" s="65"/>
      <c r="M265" s="65"/>
      <c r="N265" s="65"/>
      <c r="O265" s="65"/>
      <c r="P265" s="65"/>
      <c r="Q265" s="65"/>
      <c r="R265" s="65"/>
      <c r="S265" s="65"/>
      <c r="T265" s="65"/>
      <c r="U265" s="65"/>
      <c r="V265" s="65">
        <v>125</v>
      </c>
      <c r="W265" s="65"/>
      <c r="X265" s="65"/>
      <c r="Y265" s="65"/>
      <c r="Z265" s="65"/>
      <c r="AA265" s="65">
        <v>250</v>
      </c>
      <c r="AB265" s="65"/>
      <c r="AC265" s="65">
        <v>100</v>
      </c>
      <c r="AD265" s="65">
        <v>100</v>
      </c>
      <c r="AE265" s="65">
        <v>308.8</v>
      </c>
      <c r="AF265" s="65"/>
      <c r="AG265" s="65"/>
      <c r="AH265" s="65"/>
      <c r="AI265" s="65"/>
      <c r="AJ265" s="65">
        <v>2478.29</v>
      </c>
      <c r="AK265" s="65">
        <v>29739.53</v>
      </c>
    </row>
    <row r="266" spans="2:37" ht="12.75" customHeight="1">
      <c r="B266" s="5">
        <v>252</v>
      </c>
      <c r="C266" s="60" t="s">
        <v>534</v>
      </c>
      <c r="D266" s="60" t="s">
        <v>407</v>
      </c>
      <c r="E266" s="60" t="s">
        <v>731</v>
      </c>
      <c r="F266" s="66" t="s">
        <v>687</v>
      </c>
      <c r="G266" s="82" t="s">
        <v>688</v>
      </c>
      <c r="H266" s="65">
        <v>380</v>
      </c>
      <c r="I266" s="65">
        <v>11</v>
      </c>
      <c r="J266" s="65">
        <f t="shared" ref="J266" si="416">I266*8</f>
        <v>88</v>
      </c>
      <c r="K266" s="65">
        <f t="shared" ref="K266" si="417">H266*I266*2</f>
        <v>8360</v>
      </c>
      <c r="L266" s="65"/>
      <c r="M266" s="65"/>
      <c r="N266" s="65"/>
      <c r="O266" s="65"/>
      <c r="P266" s="65"/>
      <c r="Q266" s="65"/>
      <c r="R266" s="65"/>
      <c r="S266" s="65"/>
      <c r="T266" s="65"/>
      <c r="U266" s="65"/>
      <c r="V266" s="65">
        <v>125</v>
      </c>
      <c r="W266" s="65"/>
      <c r="X266" s="65"/>
      <c r="Y266" s="65"/>
      <c r="Z266" s="65"/>
      <c r="AA266" s="65">
        <v>0</v>
      </c>
      <c r="AB266" s="65"/>
      <c r="AC266" s="65">
        <v>100</v>
      </c>
      <c r="AD266" s="65">
        <v>100</v>
      </c>
      <c r="AE266" s="65">
        <v>308.8</v>
      </c>
      <c r="AF266" s="65"/>
      <c r="AG266" s="65"/>
      <c r="AH266" s="65"/>
      <c r="AI266" s="65"/>
      <c r="AJ266" s="65">
        <v>1741.67</v>
      </c>
      <c r="AK266" s="65">
        <v>20900</v>
      </c>
    </row>
    <row r="267" spans="2:37" ht="12.75" customHeight="1">
      <c r="B267" s="5">
        <v>253</v>
      </c>
      <c r="C267" s="60" t="s">
        <v>535</v>
      </c>
      <c r="D267" s="60" t="s">
        <v>536</v>
      </c>
      <c r="E267" s="60" t="s">
        <v>731</v>
      </c>
      <c r="F267" s="66" t="s">
        <v>687</v>
      </c>
      <c r="G267" s="82" t="s">
        <v>688</v>
      </c>
      <c r="H267" s="65">
        <f>4404.89/11</f>
        <v>400.4445454545455</v>
      </c>
      <c r="I267" s="65">
        <v>11</v>
      </c>
      <c r="J267" s="65">
        <f t="shared" ref="J267" si="418">I267*8</f>
        <v>88</v>
      </c>
      <c r="K267" s="65">
        <f t="shared" ref="K267" si="419">H267*I267*2</f>
        <v>8809.7800000000007</v>
      </c>
      <c r="L267" s="65"/>
      <c r="M267" s="65"/>
      <c r="N267" s="65"/>
      <c r="O267" s="65"/>
      <c r="P267" s="65"/>
      <c r="Q267" s="65"/>
      <c r="R267" s="65"/>
      <c r="S267" s="65"/>
      <c r="T267" s="65"/>
      <c r="U267" s="65"/>
      <c r="V267" s="65">
        <v>0</v>
      </c>
      <c r="W267" s="65"/>
      <c r="X267" s="65"/>
      <c r="Y267" s="65"/>
      <c r="Z267" s="65"/>
      <c r="AA267" s="65">
        <f>507</f>
        <v>507</v>
      </c>
      <c r="AB267" s="65"/>
      <c r="AC267" s="65">
        <v>100</v>
      </c>
      <c r="AD267" s="65">
        <v>100</v>
      </c>
      <c r="AE267" s="65">
        <v>327</v>
      </c>
      <c r="AF267" s="65"/>
      <c r="AG267" s="65"/>
      <c r="AH267" s="65"/>
      <c r="AI267" s="65"/>
      <c r="AJ267" s="65">
        <v>8659.2800000000007</v>
      </c>
      <c r="AK267" s="65">
        <v>104221.07</v>
      </c>
    </row>
    <row r="268" spans="2:37" ht="12.75" customHeight="1">
      <c r="B268" s="5">
        <v>254</v>
      </c>
      <c r="C268" s="60" t="s">
        <v>537</v>
      </c>
      <c r="D268" s="60" t="s">
        <v>407</v>
      </c>
      <c r="E268" s="60" t="s">
        <v>731</v>
      </c>
      <c r="F268" s="66" t="s">
        <v>687</v>
      </c>
      <c r="G268" s="82" t="s">
        <v>688</v>
      </c>
      <c r="H268" s="65">
        <v>380</v>
      </c>
      <c r="I268" s="65">
        <v>11</v>
      </c>
      <c r="J268" s="65">
        <f t="shared" ref="J268" si="420">I268*8</f>
        <v>88</v>
      </c>
      <c r="K268" s="65">
        <f t="shared" ref="K268" si="421">H268*I268*2</f>
        <v>8360</v>
      </c>
      <c r="L268" s="65"/>
      <c r="M268" s="65"/>
      <c r="N268" s="65">
        <v>250</v>
      </c>
      <c r="O268" s="65"/>
      <c r="P268" s="65"/>
      <c r="Q268" s="65"/>
      <c r="R268" s="65"/>
      <c r="S268" s="65"/>
      <c r="T268" s="65"/>
      <c r="U268" s="65"/>
      <c r="V268" s="65">
        <v>125</v>
      </c>
      <c r="W268" s="65"/>
      <c r="X268" s="65"/>
      <c r="Y268" s="65"/>
      <c r="Z268" s="65"/>
      <c r="AA268" s="65"/>
      <c r="AB268" s="65"/>
      <c r="AC268" s="65">
        <v>100</v>
      </c>
      <c r="AD268" s="65">
        <v>100</v>
      </c>
      <c r="AE268" s="65">
        <v>308.8</v>
      </c>
      <c r="AF268" s="65"/>
      <c r="AG268" s="65"/>
      <c r="AH268" s="65"/>
      <c r="AI268" s="65"/>
      <c r="AJ268" s="65">
        <v>0</v>
      </c>
      <c r="AK268" s="65">
        <v>8360</v>
      </c>
    </row>
    <row r="269" spans="2:37" ht="12.75" customHeight="1">
      <c r="B269" s="5">
        <v>255</v>
      </c>
      <c r="C269" s="60" t="s">
        <v>538</v>
      </c>
      <c r="D269" s="60" t="s">
        <v>512</v>
      </c>
      <c r="E269" s="60" t="s">
        <v>731</v>
      </c>
      <c r="F269" s="66" t="s">
        <v>687</v>
      </c>
      <c r="G269" s="82" t="s">
        <v>688</v>
      </c>
      <c r="H269" s="65">
        <f>6781.2/11</f>
        <v>616.4727272727273</v>
      </c>
      <c r="I269" s="65">
        <v>11</v>
      </c>
      <c r="J269" s="65">
        <f t="shared" ref="J269" si="422">I269*8</f>
        <v>88</v>
      </c>
      <c r="K269" s="65">
        <f t="shared" ref="K269" si="423">H269*I269*2</f>
        <v>13562.400000000001</v>
      </c>
      <c r="L269" s="65"/>
      <c r="M269" s="65"/>
      <c r="N269" s="65">
        <v>250</v>
      </c>
      <c r="O269" s="65"/>
      <c r="P269" s="65"/>
      <c r="Q269" s="65"/>
      <c r="R269" s="65"/>
      <c r="S269" s="65"/>
      <c r="T269" s="65"/>
      <c r="U269" s="65"/>
      <c r="V269" s="65">
        <v>125</v>
      </c>
      <c r="W269" s="65"/>
      <c r="X269" s="65"/>
      <c r="Y269" s="65"/>
      <c r="Z269" s="65"/>
      <c r="AA269" s="65">
        <f>500+564</f>
        <v>1064</v>
      </c>
      <c r="AB269" s="65"/>
      <c r="AC269" s="65">
        <v>100</v>
      </c>
      <c r="AD269" s="65">
        <v>162.5</v>
      </c>
      <c r="AE269" s="65">
        <v>490.5</v>
      </c>
      <c r="AF269" s="65"/>
      <c r="AG269" s="65"/>
      <c r="AH269" s="65"/>
      <c r="AI269" s="65"/>
      <c r="AJ269" s="65">
        <v>13153.71</v>
      </c>
      <c r="AK269" s="65">
        <v>161798.72</v>
      </c>
    </row>
    <row r="270" spans="2:37" ht="12.75" customHeight="1">
      <c r="B270" s="5">
        <v>256</v>
      </c>
      <c r="C270" s="60" t="s">
        <v>539</v>
      </c>
      <c r="D270" s="60" t="s">
        <v>232</v>
      </c>
      <c r="E270" s="60" t="s">
        <v>731</v>
      </c>
      <c r="F270" s="66" t="s">
        <v>687</v>
      </c>
      <c r="G270" s="82" t="s">
        <v>688</v>
      </c>
      <c r="H270" s="65">
        <v>386.23</v>
      </c>
      <c r="I270" s="65">
        <v>11</v>
      </c>
      <c r="J270" s="65">
        <f t="shared" ref="J270" si="424">I270*8</f>
        <v>88</v>
      </c>
      <c r="K270" s="65">
        <f t="shared" ref="K270" si="425">H270*I270*2</f>
        <v>8497.0600000000013</v>
      </c>
      <c r="L270" s="65"/>
      <c r="M270" s="65"/>
      <c r="N270" s="65">
        <v>250</v>
      </c>
      <c r="O270" s="65"/>
      <c r="P270" s="65"/>
      <c r="Q270" s="65"/>
      <c r="R270" s="65"/>
      <c r="S270" s="65"/>
      <c r="T270" s="65"/>
      <c r="U270" s="65"/>
      <c r="V270" s="65">
        <v>125</v>
      </c>
      <c r="W270" s="65"/>
      <c r="X270" s="65"/>
      <c r="Y270" s="65"/>
      <c r="Z270" s="65"/>
      <c r="AA270" s="65">
        <f>500+500</f>
        <v>1000</v>
      </c>
      <c r="AB270" s="65"/>
      <c r="AC270" s="65">
        <v>100</v>
      </c>
      <c r="AD270" s="65">
        <v>100</v>
      </c>
      <c r="AE270" s="65">
        <v>308.8</v>
      </c>
      <c r="AF270" s="65"/>
      <c r="AG270" s="65"/>
      <c r="AH270" s="65"/>
      <c r="AI270" s="65"/>
      <c r="AJ270" s="65">
        <v>7968.14</v>
      </c>
      <c r="AK270" s="65">
        <v>100407.93</v>
      </c>
    </row>
    <row r="271" spans="2:37" ht="12.75" customHeight="1">
      <c r="B271" s="5">
        <v>257</v>
      </c>
      <c r="C271" s="60" t="s">
        <v>540</v>
      </c>
      <c r="D271" s="60" t="s">
        <v>232</v>
      </c>
      <c r="E271" s="60" t="s">
        <v>731</v>
      </c>
      <c r="F271" s="66" t="s">
        <v>687</v>
      </c>
      <c r="G271" s="82" t="s">
        <v>688</v>
      </c>
      <c r="H271" s="65">
        <v>401.44</v>
      </c>
      <c r="I271" s="65">
        <v>11</v>
      </c>
      <c r="J271" s="65">
        <f t="shared" ref="J271" si="426">I271*8</f>
        <v>88</v>
      </c>
      <c r="K271" s="65">
        <f t="shared" ref="K271" si="427">H271*I271*2</f>
        <v>8831.68</v>
      </c>
      <c r="L271" s="65"/>
      <c r="M271" s="65"/>
      <c r="N271" s="65">
        <v>250</v>
      </c>
      <c r="O271" s="65"/>
      <c r="P271" s="65"/>
      <c r="Q271" s="65"/>
      <c r="R271" s="65"/>
      <c r="S271" s="65"/>
      <c r="T271" s="65"/>
      <c r="U271" s="65"/>
      <c r="V271" s="65">
        <v>125</v>
      </c>
      <c r="W271" s="65"/>
      <c r="X271" s="65"/>
      <c r="Y271" s="65"/>
      <c r="Z271" s="65"/>
      <c r="AA271" s="65">
        <f>500+442+500</f>
        <v>1442</v>
      </c>
      <c r="AB271" s="65"/>
      <c r="AC271" s="65">
        <v>100</v>
      </c>
      <c r="AD271" s="65">
        <v>100</v>
      </c>
      <c r="AE271" s="65">
        <v>327</v>
      </c>
      <c r="AF271" s="65"/>
      <c r="AG271" s="65"/>
      <c r="AH271" s="65"/>
      <c r="AI271" s="65"/>
      <c r="AJ271" s="65">
        <v>8297.89</v>
      </c>
      <c r="AK271" s="65">
        <v>99709.13</v>
      </c>
    </row>
    <row r="272" spans="2:37" ht="12.75" customHeight="1">
      <c r="B272" s="5">
        <v>258</v>
      </c>
      <c r="C272" s="60" t="s">
        <v>541</v>
      </c>
      <c r="D272" s="60" t="s">
        <v>232</v>
      </c>
      <c r="E272" s="60" t="s">
        <v>731</v>
      </c>
      <c r="F272" s="66" t="s">
        <v>687</v>
      </c>
      <c r="G272" s="82" t="s">
        <v>688</v>
      </c>
      <c r="H272" s="65">
        <f>4400.31/11</f>
        <v>400.02818181818185</v>
      </c>
      <c r="I272" s="65">
        <v>11</v>
      </c>
      <c r="J272" s="65">
        <f t="shared" ref="J272" si="428">I272*8</f>
        <v>88</v>
      </c>
      <c r="K272" s="65">
        <f t="shared" ref="K272" si="429">H272*I272*2</f>
        <v>8800.6200000000008</v>
      </c>
      <c r="L272" s="65"/>
      <c r="M272" s="65"/>
      <c r="N272" s="65">
        <v>250</v>
      </c>
      <c r="O272" s="65"/>
      <c r="P272" s="65"/>
      <c r="Q272" s="65"/>
      <c r="R272" s="65"/>
      <c r="S272" s="65"/>
      <c r="T272" s="65"/>
      <c r="U272" s="65"/>
      <c r="V272" s="65">
        <v>125</v>
      </c>
      <c r="W272" s="65"/>
      <c r="X272" s="65"/>
      <c r="Y272" s="65"/>
      <c r="Z272" s="65"/>
      <c r="AA272" s="65">
        <f>500+500</f>
        <v>1000</v>
      </c>
      <c r="AB272" s="65"/>
      <c r="AC272" s="65">
        <v>100</v>
      </c>
      <c r="AD272" s="65">
        <v>100</v>
      </c>
      <c r="AE272" s="65">
        <v>308.8</v>
      </c>
      <c r="AF272" s="65"/>
      <c r="AG272" s="65"/>
      <c r="AH272" s="65"/>
      <c r="AI272" s="65"/>
      <c r="AJ272" s="65">
        <v>8238.82</v>
      </c>
      <c r="AK272" s="65">
        <v>100407.93</v>
      </c>
    </row>
    <row r="273" spans="2:37" ht="12.75" customHeight="1">
      <c r="B273" s="5">
        <v>259</v>
      </c>
      <c r="C273" s="60" t="s">
        <v>542</v>
      </c>
      <c r="D273" s="60" t="s">
        <v>422</v>
      </c>
      <c r="E273" s="60" t="s">
        <v>731</v>
      </c>
      <c r="F273" s="66" t="s">
        <v>687</v>
      </c>
      <c r="G273" s="82" t="s">
        <v>688</v>
      </c>
      <c r="H273" s="65">
        <f>5628.13/11</f>
        <v>511.64818181818185</v>
      </c>
      <c r="I273" s="65">
        <v>11</v>
      </c>
      <c r="J273" s="65">
        <f t="shared" ref="J273" si="430">I273*8</f>
        <v>88</v>
      </c>
      <c r="K273" s="65">
        <f t="shared" ref="K273" si="431">H273*I273*2</f>
        <v>11256.26</v>
      </c>
      <c r="L273" s="65"/>
      <c r="M273" s="65"/>
      <c r="N273" s="65">
        <v>250</v>
      </c>
      <c r="O273" s="65"/>
      <c r="P273" s="65"/>
      <c r="Q273" s="65"/>
      <c r="R273" s="65"/>
      <c r="S273" s="65"/>
      <c r="T273" s="65"/>
      <c r="U273" s="65"/>
      <c r="V273" s="65">
        <v>125</v>
      </c>
      <c r="W273" s="65"/>
      <c r="X273" s="65"/>
      <c r="Y273" s="65"/>
      <c r="Z273" s="65"/>
      <c r="AA273" s="65">
        <f>750+442+500+500</f>
        <v>2192</v>
      </c>
      <c r="AB273" s="65"/>
      <c r="AC273" s="65">
        <v>100</v>
      </c>
      <c r="AD273" s="65">
        <v>137.5</v>
      </c>
      <c r="AE273" s="65">
        <v>417.8</v>
      </c>
      <c r="AF273" s="65"/>
      <c r="AG273" s="65"/>
      <c r="AH273" s="65"/>
      <c r="AI273" s="65"/>
      <c r="AJ273" s="65">
        <v>10858.99</v>
      </c>
      <c r="AK273" s="65">
        <v>132451.17000000001</v>
      </c>
    </row>
    <row r="274" spans="2:37" ht="12.75" customHeight="1">
      <c r="B274" s="5">
        <v>260</v>
      </c>
      <c r="C274" s="60" t="s">
        <v>543</v>
      </c>
      <c r="D274" s="60" t="s">
        <v>440</v>
      </c>
      <c r="E274" s="60" t="s">
        <v>731</v>
      </c>
      <c r="F274" s="66" t="s">
        <v>687</v>
      </c>
      <c r="G274" s="82" t="s">
        <v>688</v>
      </c>
      <c r="H274" s="65">
        <f>6977.5/11</f>
        <v>634.31818181818187</v>
      </c>
      <c r="I274" s="65">
        <v>11</v>
      </c>
      <c r="J274" s="65">
        <f t="shared" ref="J274" si="432">I274*8</f>
        <v>88</v>
      </c>
      <c r="K274" s="65">
        <f t="shared" ref="K274" si="433">H274*I274*2</f>
        <v>13955.000000000002</v>
      </c>
      <c r="L274" s="65"/>
      <c r="M274" s="65"/>
      <c r="N274" s="65">
        <v>250</v>
      </c>
      <c r="O274" s="65"/>
      <c r="P274" s="65"/>
      <c r="Q274" s="65"/>
      <c r="R274" s="65"/>
      <c r="S274" s="65"/>
      <c r="T274" s="65"/>
      <c r="U274" s="65"/>
      <c r="V274" s="65">
        <v>125</v>
      </c>
      <c r="W274" s="65"/>
      <c r="X274" s="65"/>
      <c r="Y274" s="65"/>
      <c r="Z274" s="65"/>
      <c r="AA274" s="65">
        <f>442+500+500</f>
        <v>1442</v>
      </c>
      <c r="AB274" s="65"/>
      <c r="AC274" s="65">
        <v>100</v>
      </c>
      <c r="AD274" s="65">
        <v>162.5</v>
      </c>
      <c r="AE274" s="65">
        <v>508.7</v>
      </c>
      <c r="AF274" s="65"/>
      <c r="AG274" s="65"/>
      <c r="AH274" s="65"/>
      <c r="AI274" s="65"/>
      <c r="AJ274" s="65">
        <v>13120.66</v>
      </c>
      <c r="AK274" s="65">
        <v>159642.14000000001</v>
      </c>
    </row>
    <row r="275" spans="2:37" ht="12.75" customHeight="1">
      <c r="B275" s="5">
        <v>261</v>
      </c>
      <c r="C275" s="60" t="s">
        <v>544</v>
      </c>
      <c r="D275" s="60" t="s">
        <v>232</v>
      </c>
      <c r="E275" s="60" t="s">
        <v>731</v>
      </c>
      <c r="F275" s="66" t="s">
        <v>687</v>
      </c>
      <c r="G275" s="82" t="s">
        <v>688</v>
      </c>
      <c r="H275" s="65">
        <f>4248.51/11</f>
        <v>386.22818181818184</v>
      </c>
      <c r="I275" s="65">
        <v>11</v>
      </c>
      <c r="J275" s="65">
        <f t="shared" ref="J275" si="434">I275*8</f>
        <v>88</v>
      </c>
      <c r="K275" s="65">
        <f t="shared" ref="K275" si="435">H275*I275*2</f>
        <v>8497.02</v>
      </c>
      <c r="L275" s="65"/>
      <c r="M275" s="65"/>
      <c r="N275" s="65">
        <v>250</v>
      </c>
      <c r="O275" s="65"/>
      <c r="P275" s="65"/>
      <c r="Q275" s="65"/>
      <c r="R275" s="65"/>
      <c r="S275" s="65"/>
      <c r="T275" s="65"/>
      <c r="U275" s="65"/>
      <c r="V275" s="65">
        <v>125</v>
      </c>
      <c r="W275" s="65"/>
      <c r="X275" s="65"/>
      <c r="Y275" s="65"/>
      <c r="Z275" s="65"/>
      <c r="AA275" s="65">
        <f>500+500</f>
        <v>1000</v>
      </c>
      <c r="AB275" s="65"/>
      <c r="AC275" s="65">
        <v>100</v>
      </c>
      <c r="AD275" s="65">
        <v>100</v>
      </c>
      <c r="AE275" s="65">
        <v>308.8</v>
      </c>
      <c r="AF275" s="65"/>
      <c r="AG275" s="65"/>
      <c r="AH275" s="65"/>
      <c r="AI275" s="65"/>
      <c r="AJ275" s="65">
        <v>7825.22</v>
      </c>
      <c r="AK275" s="65">
        <v>96159.43</v>
      </c>
    </row>
    <row r="276" spans="2:37" ht="12.75" customHeight="1">
      <c r="B276" s="5">
        <v>262</v>
      </c>
      <c r="C276" s="60" t="s">
        <v>545</v>
      </c>
      <c r="D276" s="60" t="s">
        <v>232</v>
      </c>
      <c r="E276" s="60" t="s">
        <v>731</v>
      </c>
      <c r="F276" s="66" t="s">
        <v>687</v>
      </c>
      <c r="G276" s="82" t="s">
        <v>688</v>
      </c>
      <c r="H276" s="65">
        <v>386.23</v>
      </c>
      <c r="I276" s="65">
        <v>11</v>
      </c>
      <c r="J276" s="65">
        <f t="shared" ref="J276" si="436">I276*8</f>
        <v>88</v>
      </c>
      <c r="K276" s="65">
        <f t="shared" ref="K276" si="437">H276*I276*2</f>
        <v>8497.0600000000013</v>
      </c>
      <c r="L276" s="65"/>
      <c r="M276" s="65"/>
      <c r="N276" s="65"/>
      <c r="O276" s="65"/>
      <c r="P276" s="65"/>
      <c r="Q276" s="65"/>
      <c r="R276" s="65"/>
      <c r="S276" s="65"/>
      <c r="T276" s="65"/>
      <c r="U276" s="65"/>
      <c r="V276" s="65">
        <v>125</v>
      </c>
      <c r="W276" s="65"/>
      <c r="X276" s="65"/>
      <c r="Y276" s="65"/>
      <c r="Z276" s="65"/>
      <c r="AA276" s="65">
        <v>250</v>
      </c>
      <c r="AB276" s="65"/>
      <c r="AC276" s="65">
        <v>100</v>
      </c>
      <c r="AD276" s="65">
        <v>100</v>
      </c>
      <c r="AE276" s="65">
        <v>308.8</v>
      </c>
      <c r="AF276" s="65"/>
      <c r="AG276" s="65"/>
      <c r="AH276" s="65"/>
      <c r="AI276" s="65"/>
      <c r="AJ276" s="65">
        <v>4597.8100000000004</v>
      </c>
      <c r="AK276" s="65">
        <v>55230.559999999998</v>
      </c>
    </row>
    <row r="277" spans="2:37" ht="12.75" customHeight="1">
      <c r="B277" s="5">
        <v>263</v>
      </c>
      <c r="C277" s="60" t="s">
        <v>546</v>
      </c>
      <c r="D277" s="60" t="s">
        <v>232</v>
      </c>
      <c r="E277" s="60" t="s">
        <v>731</v>
      </c>
      <c r="F277" s="66" t="s">
        <v>687</v>
      </c>
      <c r="G277" s="82" t="s">
        <v>688</v>
      </c>
      <c r="H277" s="65">
        <v>386.23</v>
      </c>
      <c r="I277" s="65">
        <v>11</v>
      </c>
      <c r="J277" s="65">
        <f t="shared" ref="J277" si="438">I277*8</f>
        <v>88</v>
      </c>
      <c r="K277" s="65">
        <f t="shared" ref="K277" si="439">H277*I277*2</f>
        <v>8497.0600000000013</v>
      </c>
      <c r="L277" s="65"/>
      <c r="M277" s="65"/>
      <c r="N277" s="65">
        <v>250</v>
      </c>
      <c r="O277" s="65"/>
      <c r="P277" s="65"/>
      <c r="Q277" s="65"/>
      <c r="R277" s="65"/>
      <c r="S277" s="65"/>
      <c r="T277" s="65"/>
      <c r="U277" s="65"/>
      <c r="V277" s="65">
        <v>125</v>
      </c>
      <c r="W277" s="65"/>
      <c r="X277" s="65"/>
      <c r="Y277" s="65"/>
      <c r="Z277" s="65"/>
      <c r="AA277" s="65">
        <f>500+500</f>
        <v>1000</v>
      </c>
      <c r="AB277" s="65"/>
      <c r="AC277" s="65">
        <v>100</v>
      </c>
      <c r="AD277" s="65">
        <v>100</v>
      </c>
      <c r="AE277" s="65">
        <v>308.8</v>
      </c>
      <c r="AF277" s="65"/>
      <c r="AG277" s="65"/>
      <c r="AH277" s="65"/>
      <c r="AI277" s="65"/>
      <c r="AJ277" s="65">
        <v>8361.06</v>
      </c>
      <c r="AK277" s="65">
        <v>100407.93</v>
      </c>
    </row>
    <row r="278" spans="2:37" ht="12.75" customHeight="1">
      <c r="B278" s="5">
        <v>264</v>
      </c>
      <c r="C278" s="60" t="s">
        <v>547</v>
      </c>
      <c r="D278" s="60" t="s">
        <v>512</v>
      </c>
      <c r="E278" s="60" t="s">
        <v>731</v>
      </c>
      <c r="F278" s="66" t="s">
        <v>687</v>
      </c>
      <c r="G278" s="82" t="s">
        <v>688</v>
      </c>
      <c r="H278" s="65">
        <f>4675.44/11</f>
        <v>425.03999999999996</v>
      </c>
      <c r="I278" s="65">
        <v>11</v>
      </c>
      <c r="J278" s="65">
        <f t="shared" ref="J278" si="440">I278*8</f>
        <v>88</v>
      </c>
      <c r="K278" s="65">
        <f t="shared" ref="K278" si="441">H278*I278*2</f>
        <v>9350.8799999999992</v>
      </c>
      <c r="L278" s="65"/>
      <c r="M278" s="65"/>
      <c r="N278" s="65">
        <v>250</v>
      </c>
      <c r="O278" s="65"/>
      <c r="P278" s="65"/>
      <c r="Q278" s="65"/>
      <c r="R278" s="65"/>
      <c r="S278" s="65"/>
      <c r="T278" s="65"/>
      <c r="U278" s="65"/>
      <c r="V278" s="65">
        <v>125</v>
      </c>
      <c r="W278" s="65"/>
      <c r="X278" s="65"/>
      <c r="Y278" s="65"/>
      <c r="Z278" s="65"/>
      <c r="AA278" s="65">
        <v>507</v>
      </c>
      <c r="AB278" s="65"/>
      <c r="AC278" s="65">
        <v>100</v>
      </c>
      <c r="AD278" s="65">
        <v>112.5</v>
      </c>
      <c r="AE278" s="65">
        <v>345.2</v>
      </c>
      <c r="AF278" s="65"/>
      <c r="AG278" s="65"/>
      <c r="AH278" s="65"/>
      <c r="AI278" s="65"/>
      <c r="AJ278" s="65">
        <v>8990.9699999999993</v>
      </c>
      <c r="AK278" s="65">
        <v>106131.8</v>
      </c>
    </row>
    <row r="279" spans="2:37" ht="12.75" customHeight="1">
      <c r="B279" s="5">
        <v>265</v>
      </c>
      <c r="C279" s="60" t="s">
        <v>548</v>
      </c>
      <c r="D279" s="60" t="s">
        <v>455</v>
      </c>
      <c r="E279" s="60" t="s">
        <v>731</v>
      </c>
      <c r="F279" s="66" t="s">
        <v>687</v>
      </c>
      <c r="G279" s="82" t="s">
        <v>688</v>
      </c>
      <c r="H279" s="65">
        <f>6953.07/11</f>
        <v>632.09727272727275</v>
      </c>
      <c r="I279" s="65">
        <v>11</v>
      </c>
      <c r="J279" s="65">
        <f t="shared" ref="J279" si="442">I279*8</f>
        <v>88</v>
      </c>
      <c r="K279" s="65">
        <f t="shared" ref="K279" si="443">H279*I279*2</f>
        <v>13906.140000000001</v>
      </c>
      <c r="L279" s="65"/>
      <c r="M279" s="65"/>
      <c r="N279" s="65">
        <v>250</v>
      </c>
      <c r="O279" s="65"/>
      <c r="P279" s="65"/>
      <c r="Q279" s="65"/>
      <c r="R279" s="65"/>
      <c r="S279" s="65"/>
      <c r="T279" s="65"/>
      <c r="U279" s="65"/>
      <c r="V279" s="65">
        <v>125</v>
      </c>
      <c r="W279" s="65"/>
      <c r="X279" s="65"/>
      <c r="Y279" s="65"/>
      <c r="Z279" s="65"/>
      <c r="AA279" s="65">
        <f>835+500+500</f>
        <v>1835</v>
      </c>
      <c r="AB279" s="65"/>
      <c r="AC279" s="65">
        <v>100</v>
      </c>
      <c r="AD279" s="65">
        <v>162.5</v>
      </c>
      <c r="AE279" s="65">
        <v>508.7</v>
      </c>
      <c r="AF279" s="65"/>
      <c r="AG279" s="65"/>
      <c r="AH279" s="65"/>
      <c r="AI279" s="65"/>
      <c r="AJ279" s="65">
        <v>13656.56</v>
      </c>
      <c r="AK279" s="65">
        <v>165947.81</v>
      </c>
    </row>
    <row r="280" spans="2:37" ht="12.75" customHeight="1">
      <c r="B280" s="5">
        <v>266</v>
      </c>
      <c r="C280" s="60" t="s">
        <v>549</v>
      </c>
      <c r="D280" s="60" t="s">
        <v>407</v>
      </c>
      <c r="E280" s="60" t="s">
        <v>731</v>
      </c>
      <c r="F280" s="66" t="s">
        <v>687</v>
      </c>
      <c r="G280" s="82" t="s">
        <v>688</v>
      </c>
      <c r="H280" s="65">
        <v>380</v>
      </c>
      <c r="I280" s="65">
        <v>11</v>
      </c>
      <c r="J280" s="65">
        <f t="shared" ref="J280" si="444">I280*8</f>
        <v>88</v>
      </c>
      <c r="K280" s="65">
        <f t="shared" ref="K280" si="445">H280*I280*2</f>
        <v>8360</v>
      </c>
      <c r="L280" s="65"/>
      <c r="M280" s="65"/>
      <c r="N280" s="65">
        <v>250</v>
      </c>
      <c r="O280" s="65"/>
      <c r="P280" s="65"/>
      <c r="Q280" s="65"/>
      <c r="R280" s="65"/>
      <c r="S280" s="65"/>
      <c r="T280" s="65"/>
      <c r="U280" s="65"/>
      <c r="V280" s="65">
        <v>125</v>
      </c>
      <c r="W280" s="65"/>
      <c r="X280" s="65"/>
      <c r="Y280" s="65"/>
      <c r="Z280" s="65"/>
      <c r="AA280" s="65">
        <v>500</v>
      </c>
      <c r="AB280" s="65"/>
      <c r="AC280" s="65">
        <v>100</v>
      </c>
      <c r="AD280" s="65">
        <v>100</v>
      </c>
      <c r="AE280" s="65">
        <v>308.8</v>
      </c>
      <c r="AF280" s="65"/>
      <c r="AG280" s="65"/>
      <c r="AH280" s="65"/>
      <c r="AI280" s="65"/>
      <c r="AJ280" s="65">
        <v>6436.03</v>
      </c>
      <c r="AK280" s="65">
        <v>81719</v>
      </c>
    </row>
    <row r="281" spans="2:37" ht="12.75" customHeight="1">
      <c r="B281" s="5">
        <v>267</v>
      </c>
      <c r="C281" s="60" t="s">
        <v>550</v>
      </c>
      <c r="D281" s="60" t="s">
        <v>407</v>
      </c>
      <c r="E281" s="60" t="s">
        <v>731</v>
      </c>
      <c r="F281" s="66" t="s">
        <v>687</v>
      </c>
      <c r="G281" s="82" t="s">
        <v>688</v>
      </c>
      <c r="H281" s="65">
        <v>380</v>
      </c>
      <c r="I281" s="65">
        <v>11</v>
      </c>
      <c r="J281" s="65">
        <f t="shared" ref="J281" si="446">I281*8</f>
        <v>88</v>
      </c>
      <c r="K281" s="65">
        <f t="shared" ref="K281" si="447">H281*I281*2</f>
        <v>8360</v>
      </c>
      <c r="L281" s="65"/>
      <c r="M281" s="65"/>
      <c r="N281" s="65">
        <v>250</v>
      </c>
      <c r="O281" s="65"/>
      <c r="P281" s="65"/>
      <c r="Q281" s="65"/>
      <c r="R281" s="65"/>
      <c r="S281" s="65"/>
      <c r="T281" s="65"/>
      <c r="U281" s="65"/>
      <c r="V281" s="65">
        <v>125</v>
      </c>
      <c r="W281" s="65"/>
      <c r="X281" s="65"/>
      <c r="Y281" s="65"/>
      <c r="Z281" s="65"/>
      <c r="AA281" s="65">
        <v>500</v>
      </c>
      <c r="AB281" s="65"/>
      <c r="AC281" s="65">
        <v>100</v>
      </c>
      <c r="AD281" s="65">
        <v>100</v>
      </c>
      <c r="AE281" s="65">
        <v>308.8</v>
      </c>
      <c r="AF281" s="65"/>
      <c r="AG281" s="65"/>
      <c r="AH281" s="65"/>
      <c r="AI281" s="65"/>
      <c r="AJ281" s="65">
        <v>8234.67</v>
      </c>
      <c r="AK281" s="65">
        <v>98736</v>
      </c>
    </row>
    <row r="282" spans="2:37" ht="12.75" customHeight="1">
      <c r="B282" s="5">
        <v>268</v>
      </c>
      <c r="C282" s="60" t="s">
        <v>551</v>
      </c>
      <c r="D282" s="60" t="s">
        <v>232</v>
      </c>
      <c r="E282" s="60" t="s">
        <v>731</v>
      </c>
      <c r="F282" s="66" t="s">
        <v>687</v>
      </c>
      <c r="G282" s="82" t="s">
        <v>688</v>
      </c>
      <c r="H282" s="65">
        <f>5234.71/11</f>
        <v>475.88272727272727</v>
      </c>
      <c r="I282" s="65">
        <v>11</v>
      </c>
      <c r="J282" s="65">
        <f t="shared" ref="J282" si="448">I282*8</f>
        <v>88</v>
      </c>
      <c r="K282" s="65">
        <f t="shared" ref="K282" si="449">H282*I282*2</f>
        <v>10469.42</v>
      </c>
      <c r="L282" s="65"/>
      <c r="M282" s="65"/>
      <c r="N282" s="65">
        <v>250</v>
      </c>
      <c r="O282" s="65"/>
      <c r="P282" s="65"/>
      <c r="Q282" s="65"/>
      <c r="R282" s="65"/>
      <c r="S282" s="65"/>
      <c r="T282" s="65"/>
      <c r="U282" s="65"/>
      <c r="V282" s="65">
        <v>125</v>
      </c>
      <c r="W282" s="65"/>
      <c r="X282" s="65"/>
      <c r="Y282" s="65"/>
      <c r="Z282" s="65"/>
      <c r="AA282" s="65">
        <f>686+500</f>
        <v>1186</v>
      </c>
      <c r="AB282" s="65"/>
      <c r="AC282" s="65">
        <v>100</v>
      </c>
      <c r="AD282" s="65">
        <v>125</v>
      </c>
      <c r="AE282" s="65">
        <v>381.5</v>
      </c>
      <c r="AF282" s="65"/>
      <c r="AG282" s="65"/>
      <c r="AH282" s="65"/>
      <c r="AI282" s="65"/>
      <c r="AJ282" s="65">
        <v>10168.65</v>
      </c>
      <c r="AK282" s="65">
        <v>124388.57</v>
      </c>
    </row>
    <row r="283" spans="2:37" ht="12.75" customHeight="1">
      <c r="B283" s="5">
        <v>269</v>
      </c>
      <c r="C283" s="60" t="s">
        <v>552</v>
      </c>
      <c r="D283" s="60" t="s">
        <v>407</v>
      </c>
      <c r="E283" s="60" t="s">
        <v>731</v>
      </c>
      <c r="F283" s="66" t="s">
        <v>687</v>
      </c>
      <c r="G283" s="82" t="s">
        <v>688</v>
      </c>
      <c r="H283" s="65">
        <v>380</v>
      </c>
      <c r="I283" s="65">
        <v>11</v>
      </c>
      <c r="J283" s="65">
        <f t="shared" ref="J283" si="450">I283*8</f>
        <v>88</v>
      </c>
      <c r="K283" s="65">
        <f t="shared" ref="K283" si="451">H283*I283*2</f>
        <v>8360</v>
      </c>
      <c r="L283" s="65"/>
      <c r="M283" s="65"/>
      <c r="N283" s="65">
        <v>250</v>
      </c>
      <c r="O283" s="65"/>
      <c r="P283" s="65"/>
      <c r="Q283" s="65"/>
      <c r="R283" s="65"/>
      <c r="S283" s="65"/>
      <c r="T283" s="65"/>
      <c r="U283" s="65"/>
      <c r="V283" s="65">
        <v>125</v>
      </c>
      <c r="W283" s="65"/>
      <c r="X283" s="65"/>
      <c r="Y283" s="65"/>
      <c r="Z283" s="65"/>
      <c r="AA283" s="65">
        <v>500</v>
      </c>
      <c r="AB283" s="65"/>
      <c r="AC283" s="65">
        <v>100</v>
      </c>
      <c r="AD283" s="65">
        <v>100</v>
      </c>
      <c r="AE283" s="65">
        <v>308.8</v>
      </c>
      <c r="AF283" s="65"/>
      <c r="AG283" s="65"/>
      <c r="AH283" s="65"/>
      <c r="AI283" s="65"/>
      <c r="AJ283" s="65">
        <v>8344.9699999999993</v>
      </c>
      <c r="AK283" s="65">
        <v>98736</v>
      </c>
    </row>
    <row r="284" spans="2:37" ht="12.75" customHeight="1">
      <c r="B284" s="5">
        <v>270</v>
      </c>
      <c r="C284" s="60" t="s">
        <v>553</v>
      </c>
      <c r="D284" s="60" t="s">
        <v>440</v>
      </c>
      <c r="E284" s="60" t="s">
        <v>731</v>
      </c>
      <c r="F284" s="66" t="s">
        <v>687</v>
      </c>
      <c r="G284" s="82" t="s">
        <v>688</v>
      </c>
      <c r="H284" s="65">
        <f>5628.13/11</f>
        <v>511.64818181818185</v>
      </c>
      <c r="I284" s="65">
        <v>11</v>
      </c>
      <c r="J284" s="65">
        <f t="shared" ref="J284" si="452">I284*8</f>
        <v>88</v>
      </c>
      <c r="K284" s="65">
        <f t="shared" ref="K284" si="453">H284*I284*2</f>
        <v>11256.26</v>
      </c>
      <c r="L284" s="65"/>
      <c r="M284" s="65"/>
      <c r="N284" s="65">
        <v>250</v>
      </c>
      <c r="O284" s="65"/>
      <c r="P284" s="65"/>
      <c r="Q284" s="65"/>
      <c r="R284" s="65"/>
      <c r="S284" s="65"/>
      <c r="T284" s="65"/>
      <c r="U284" s="65"/>
      <c r="V284" s="65">
        <v>125</v>
      </c>
      <c r="W284" s="65"/>
      <c r="X284" s="65"/>
      <c r="Y284" s="65"/>
      <c r="Z284" s="65"/>
      <c r="AA284" s="65">
        <f>442+500</f>
        <v>942</v>
      </c>
      <c r="AB284" s="65"/>
      <c r="AC284" s="65">
        <v>100</v>
      </c>
      <c r="AD284" s="65">
        <v>137.5</v>
      </c>
      <c r="AE284" s="65">
        <v>417.8</v>
      </c>
      <c r="AF284" s="65"/>
      <c r="AG284" s="65"/>
      <c r="AH284" s="65"/>
      <c r="AI284" s="65"/>
      <c r="AJ284" s="65">
        <v>11045.35</v>
      </c>
      <c r="AK284" s="65">
        <v>132655.82</v>
      </c>
    </row>
    <row r="285" spans="2:37" ht="12.75" customHeight="1">
      <c r="B285" s="5">
        <v>271</v>
      </c>
      <c r="C285" s="60" t="s">
        <v>554</v>
      </c>
      <c r="D285" s="60" t="s">
        <v>232</v>
      </c>
      <c r="E285" s="60" t="s">
        <v>731</v>
      </c>
      <c r="F285" s="66" t="s">
        <v>687</v>
      </c>
      <c r="G285" s="82" t="s">
        <v>688</v>
      </c>
      <c r="H285" s="65">
        <v>386.23</v>
      </c>
      <c r="I285" s="65">
        <v>11</v>
      </c>
      <c r="J285" s="65">
        <f t="shared" ref="J285" si="454">I285*8</f>
        <v>88</v>
      </c>
      <c r="K285" s="65">
        <f t="shared" ref="K285" si="455">H285*I285*2</f>
        <v>8497.0600000000013</v>
      </c>
      <c r="L285" s="65"/>
      <c r="M285" s="65"/>
      <c r="N285" s="65"/>
      <c r="O285" s="65"/>
      <c r="P285" s="65"/>
      <c r="Q285" s="65"/>
      <c r="R285" s="65"/>
      <c r="S285" s="65"/>
      <c r="T285" s="65"/>
      <c r="U285" s="65"/>
      <c r="V285" s="65">
        <v>125</v>
      </c>
      <c r="W285" s="65"/>
      <c r="X285" s="65"/>
      <c r="Y285" s="65"/>
      <c r="Z285" s="65"/>
      <c r="AA285" s="65"/>
      <c r="AB285" s="65"/>
      <c r="AC285" s="65">
        <v>100</v>
      </c>
      <c r="AD285" s="65">
        <v>100</v>
      </c>
      <c r="AE285" s="65">
        <v>308.8</v>
      </c>
      <c r="AF285" s="65"/>
      <c r="AG285" s="65"/>
      <c r="AH285" s="65"/>
      <c r="AI285" s="65"/>
      <c r="AJ285" s="65">
        <v>7799.33</v>
      </c>
      <c r="AK285" s="65">
        <v>87108.55</v>
      </c>
    </row>
    <row r="286" spans="2:37" ht="12.75" customHeight="1">
      <c r="B286" s="5">
        <v>272</v>
      </c>
      <c r="C286" s="60" t="s">
        <v>555</v>
      </c>
      <c r="D286" s="60" t="s">
        <v>232</v>
      </c>
      <c r="E286" s="60" t="s">
        <v>731</v>
      </c>
      <c r="F286" s="66" t="s">
        <v>687</v>
      </c>
      <c r="G286" s="82" t="s">
        <v>688</v>
      </c>
      <c r="H286" s="65">
        <v>386.23</v>
      </c>
      <c r="I286" s="65">
        <v>11</v>
      </c>
      <c r="J286" s="65">
        <f t="shared" ref="J286" si="456">I286*8</f>
        <v>88</v>
      </c>
      <c r="K286" s="65">
        <f t="shared" ref="K286" si="457">H286*I286*2</f>
        <v>8497.0600000000013</v>
      </c>
      <c r="L286" s="65"/>
      <c r="M286" s="65"/>
      <c r="N286" s="65"/>
      <c r="O286" s="65"/>
      <c r="P286" s="65"/>
      <c r="Q286" s="65"/>
      <c r="R286" s="65"/>
      <c r="S286" s="65"/>
      <c r="T286" s="65"/>
      <c r="U286" s="65"/>
      <c r="V286" s="65">
        <v>125</v>
      </c>
      <c r="W286" s="65"/>
      <c r="X286" s="65"/>
      <c r="Y286" s="65"/>
      <c r="Z286" s="65"/>
      <c r="AA286" s="65"/>
      <c r="AB286" s="65"/>
      <c r="AC286" s="65">
        <v>100</v>
      </c>
      <c r="AD286" s="65">
        <v>100</v>
      </c>
      <c r="AE286" s="65">
        <v>308.8</v>
      </c>
      <c r="AF286" s="65"/>
      <c r="AG286" s="65"/>
      <c r="AH286" s="65"/>
      <c r="AI286" s="65"/>
      <c r="AJ286" s="65">
        <v>7697.37</v>
      </c>
      <c r="AK286" s="65">
        <v>93114.55</v>
      </c>
    </row>
    <row r="287" spans="2:37" ht="12.75" customHeight="1">
      <c r="B287" s="5">
        <v>273</v>
      </c>
      <c r="C287" s="60" t="s">
        <v>556</v>
      </c>
      <c r="D287" s="60" t="s">
        <v>407</v>
      </c>
      <c r="E287" s="60" t="s">
        <v>730</v>
      </c>
      <c r="F287" s="66" t="s">
        <v>687</v>
      </c>
      <c r="G287" s="82" t="s">
        <v>688</v>
      </c>
      <c r="H287" s="65">
        <f>4354.93/11</f>
        <v>395.9027272727273</v>
      </c>
      <c r="I287" s="65">
        <v>11</v>
      </c>
      <c r="J287" s="65">
        <f t="shared" ref="J287" si="458">I287*8</f>
        <v>88</v>
      </c>
      <c r="K287" s="65">
        <f t="shared" ref="K287" si="459">H287*I287*2</f>
        <v>8709.86</v>
      </c>
      <c r="L287" s="65"/>
      <c r="M287" s="65"/>
      <c r="N287" s="65">
        <v>250</v>
      </c>
      <c r="O287" s="65"/>
      <c r="P287" s="65"/>
      <c r="Q287" s="65"/>
      <c r="R287" s="65"/>
      <c r="S287" s="65"/>
      <c r="T287" s="65"/>
      <c r="U287" s="65"/>
      <c r="V287" s="65">
        <v>125</v>
      </c>
      <c r="W287" s="65"/>
      <c r="X287" s="65"/>
      <c r="Y287" s="65"/>
      <c r="Z287" s="65"/>
      <c r="AA287" s="65">
        <v>395</v>
      </c>
      <c r="AB287" s="65"/>
      <c r="AC287" s="65">
        <v>100</v>
      </c>
      <c r="AD287" s="65">
        <v>100</v>
      </c>
      <c r="AE287" s="65">
        <v>308.8</v>
      </c>
      <c r="AF287" s="65"/>
      <c r="AG287" s="65"/>
      <c r="AH287" s="65"/>
      <c r="AI287" s="65"/>
      <c r="AJ287" s="65">
        <v>8475.5</v>
      </c>
      <c r="AK287" s="65">
        <v>103003.4</v>
      </c>
    </row>
    <row r="288" spans="2:37" ht="12.75" customHeight="1">
      <c r="B288" s="5">
        <v>274</v>
      </c>
      <c r="C288" s="60" t="s">
        <v>557</v>
      </c>
      <c r="D288" s="60" t="s">
        <v>232</v>
      </c>
      <c r="E288" s="60" t="s">
        <v>730</v>
      </c>
      <c r="F288" s="66" t="s">
        <v>687</v>
      </c>
      <c r="G288" s="82" t="s">
        <v>688</v>
      </c>
      <c r="H288" s="65">
        <v>386.23</v>
      </c>
      <c r="I288" s="65">
        <v>11</v>
      </c>
      <c r="J288" s="65">
        <f t="shared" ref="J288" si="460">I288*8</f>
        <v>88</v>
      </c>
      <c r="K288" s="65">
        <f t="shared" ref="K288" si="461">H288*I288*2</f>
        <v>8497.0600000000013</v>
      </c>
      <c r="L288" s="65"/>
      <c r="M288" s="65"/>
      <c r="N288" s="65">
        <v>250</v>
      </c>
      <c r="O288" s="65"/>
      <c r="P288" s="65"/>
      <c r="Q288" s="65"/>
      <c r="R288" s="65"/>
      <c r="S288" s="65"/>
      <c r="T288" s="65"/>
      <c r="U288" s="65"/>
      <c r="V288" s="65">
        <v>125</v>
      </c>
      <c r="W288" s="65"/>
      <c r="X288" s="65"/>
      <c r="Y288" s="65"/>
      <c r="Z288" s="65"/>
      <c r="AA288" s="65"/>
      <c r="AB288" s="65"/>
      <c r="AC288" s="65">
        <v>100</v>
      </c>
      <c r="AD288" s="65">
        <v>100</v>
      </c>
      <c r="AE288" s="65">
        <v>308.8</v>
      </c>
      <c r="AF288" s="65"/>
      <c r="AG288" s="65"/>
      <c r="AH288" s="65"/>
      <c r="AI288" s="65"/>
      <c r="AJ288" s="65">
        <v>7085.37</v>
      </c>
      <c r="AK288" s="65">
        <v>87376.03</v>
      </c>
    </row>
    <row r="289" spans="2:37" ht="12.75" customHeight="1">
      <c r="B289" s="5">
        <v>275</v>
      </c>
      <c r="C289" s="60" t="s">
        <v>558</v>
      </c>
      <c r="D289" s="60" t="s">
        <v>232</v>
      </c>
      <c r="E289" s="60" t="s">
        <v>730</v>
      </c>
      <c r="F289" s="66" t="s">
        <v>687</v>
      </c>
      <c r="G289" s="82" t="s">
        <v>688</v>
      </c>
      <c r="H289" s="65">
        <v>386.23</v>
      </c>
      <c r="I289" s="65">
        <v>11</v>
      </c>
      <c r="J289" s="65">
        <f t="shared" ref="J289" si="462">I289*8</f>
        <v>88</v>
      </c>
      <c r="K289" s="65">
        <f t="shared" ref="K289" si="463">H289*I289*2</f>
        <v>8497.0600000000013</v>
      </c>
      <c r="L289" s="65"/>
      <c r="M289" s="65"/>
      <c r="N289" s="65">
        <v>250</v>
      </c>
      <c r="O289" s="65"/>
      <c r="P289" s="65"/>
      <c r="Q289" s="65"/>
      <c r="R289" s="65"/>
      <c r="S289" s="65"/>
      <c r="T289" s="65"/>
      <c r="U289" s="65"/>
      <c r="V289" s="65">
        <v>125</v>
      </c>
      <c r="W289" s="65"/>
      <c r="X289" s="65"/>
      <c r="Y289" s="65"/>
      <c r="Z289" s="65"/>
      <c r="AA289" s="65"/>
      <c r="AB289" s="65"/>
      <c r="AC289" s="65">
        <v>100</v>
      </c>
      <c r="AD289" s="65">
        <v>100</v>
      </c>
      <c r="AE289" s="65">
        <v>308.8</v>
      </c>
      <c r="AF289" s="65"/>
      <c r="AG289" s="65"/>
      <c r="AH289" s="65"/>
      <c r="AI289" s="65"/>
      <c r="AJ289" s="65">
        <v>8221.83</v>
      </c>
      <c r="AK289" s="65">
        <v>100407.93</v>
      </c>
    </row>
    <row r="290" spans="2:37" ht="12.75" customHeight="1">
      <c r="B290" s="5">
        <v>276</v>
      </c>
      <c r="C290" s="60" t="s">
        <v>559</v>
      </c>
      <c r="D290" s="60" t="s">
        <v>407</v>
      </c>
      <c r="E290" s="60" t="s">
        <v>730</v>
      </c>
      <c r="F290" s="66" t="s">
        <v>687</v>
      </c>
      <c r="G290" s="82" t="s">
        <v>688</v>
      </c>
      <c r="H290" s="65">
        <v>380</v>
      </c>
      <c r="I290" s="65">
        <v>11</v>
      </c>
      <c r="J290" s="65">
        <f t="shared" ref="J290" si="464">I290*8</f>
        <v>88</v>
      </c>
      <c r="K290" s="65">
        <f t="shared" ref="K290" si="465">H290*I290*2</f>
        <v>8360</v>
      </c>
      <c r="L290" s="65"/>
      <c r="M290" s="65"/>
      <c r="N290" s="65">
        <v>250</v>
      </c>
      <c r="O290" s="65"/>
      <c r="P290" s="65"/>
      <c r="Q290" s="65"/>
      <c r="R290" s="65"/>
      <c r="S290" s="65"/>
      <c r="T290" s="65"/>
      <c r="U290" s="65"/>
      <c r="V290" s="65">
        <v>125</v>
      </c>
      <c r="W290" s="65"/>
      <c r="X290" s="65"/>
      <c r="Y290" s="65"/>
      <c r="Z290" s="65"/>
      <c r="AA290" s="65"/>
      <c r="AB290" s="65"/>
      <c r="AC290" s="65">
        <v>100</v>
      </c>
      <c r="AD290" s="65">
        <v>100</v>
      </c>
      <c r="AE290" s="65">
        <v>308.8</v>
      </c>
      <c r="AF290" s="65"/>
      <c r="AG290" s="65"/>
      <c r="AH290" s="65"/>
      <c r="AI290" s="65"/>
      <c r="AJ290" s="65">
        <v>5167.6499999999996</v>
      </c>
      <c r="AK290" s="65">
        <v>66176</v>
      </c>
    </row>
    <row r="291" spans="2:37" ht="12.75" customHeight="1">
      <c r="B291" s="5">
        <v>277</v>
      </c>
      <c r="C291" s="60" t="s">
        <v>560</v>
      </c>
      <c r="D291" s="60" t="s">
        <v>407</v>
      </c>
      <c r="E291" s="60" t="s">
        <v>730</v>
      </c>
      <c r="F291" s="66" t="s">
        <v>687</v>
      </c>
      <c r="G291" s="82" t="s">
        <v>688</v>
      </c>
      <c r="H291" s="65">
        <v>380</v>
      </c>
      <c r="I291" s="65">
        <v>11</v>
      </c>
      <c r="J291" s="65">
        <f t="shared" ref="J291" si="466">I291*8</f>
        <v>88</v>
      </c>
      <c r="K291" s="65">
        <f t="shared" ref="K291" si="467">H291*I291*2</f>
        <v>8360</v>
      </c>
      <c r="L291" s="65"/>
      <c r="M291" s="65"/>
      <c r="N291" s="65"/>
      <c r="O291" s="65"/>
      <c r="P291" s="65"/>
      <c r="Q291" s="65"/>
      <c r="R291" s="65"/>
      <c r="S291" s="65"/>
      <c r="T291" s="65"/>
      <c r="U291" s="65"/>
      <c r="V291" s="65">
        <v>125</v>
      </c>
      <c r="W291" s="65"/>
      <c r="X291" s="65"/>
      <c r="Y291" s="65"/>
      <c r="Z291" s="65"/>
      <c r="AA291" s="65"/>
      <c r="AB291" s="65"/>
      <c r="AC291" s="65">
        <v>100</v>
      </c>
      <c r="AD291" s="65">
        <v>100</v>
      </c>
      <c r="AE291" s="65">
        <v>308.8</v>
      </c>
      <c r="AF291" s="65"/>
      <c r="AG291" s="65"/>
      <c r="AH291" s="65"/>
      <c r="AI291" s="65"/>
      <c r="AJ291" s="65">
        <v>3388.33</v>
      </c>
      <c r="AK291" s="65">
        <v>41800</v>
      </c>
    </row>
    <row r="292" spans="2:37" ht="12.75" customHeight="1">
      <c r="B292" s="5">
        <v>278</v>
      </c>
      <c r="C292" s="60" t="s">
        <v>561</v>
      </c>
      <c r="D292" s="60" t="s">
        <v>440</v>
      </c>
      <c r="E292" s="60" t="s">
        <v>730</v>
      </c>
      <c r="F292" s="66" t="s">
        <v>687</v>
      </c>
      <c r="G292" s="82" t="s">
        <v>688</v>
      </c>
      <c r="H292" s="65">
        <f>5500/11</f>
        <v>500</v>
      </c>
      <c r="I292" s="65">
        <v>11</v>
      </c>
      <c r="J292" s="65">
        <f t="shared" ref="J292" si="468">I292*8</f>
        <v>88</v>
      </c>
      <c r="K292" s="65">
        <f t="shared" ref="K292" si="469">H292*I292*2</f>
        <v>11000</v>
      </c>
      <c r="L292" s="65"/>
      <c r="M292" s="65"/>
      <c r="N292" s="65">
        <v>250</v>
      </c>
      <c r="O292" s="65"/>
      <c r="P292" s="65"/>
      <c r="Q292" s="65"/>
      <c r="R292" s="65"/>
      <c r="S292" s="65"/>
      <c r="T292" s="65"/>
      <c r="U292" s="65"/>
      <c r="V292" s="65">
        <v>125</v>
      </c>
      <c r="W292" s="65"/>
      <c r="X292" s="65"/>
      <c r="Y292" s="65"/>
      <c r="Z292" s="65"/>
      <c r="AA292" s="65">
        <v>442</v>
      </c>
      <c r="AB292" s="65"/>
      <c r="AC292" s="65">
        <v>100</v>
      </c>
      <c r="AD292" s="65">
        <v>137.5</v>
      </c>
      <c r="AE292" s="65">
        <v>399.7</v>
      </c>
      <c r="AF292" s="65"/>
      <c r="AG292" s="65"/>
      <c r="AH292" s="65"/>
      <c r="AI292" s="65"/>
      <c r="AJ292" s="65">
        <v>8343</v>
      </c>
      <c r="AK292" s="65">
        <v>102910.92</v>
      </c>
    </row>
    <row r="293" spans="2:37" ht="12.75" customHeight="1">
      <c r="B293" s="5">
        <v>279</v>
      </c>
      <c r="C293" s="60" t="s">
        <v>562</v>
      </c>
      <c r="D293" s="60" t="s">
        <v>232</v>
      </c>
      <c r="E293" s="60" t="s">
        <v>730</v>
      </c>
      <c r="F293" s="66" t="s">
        <v>687</v>
      </c>
      <c r="G293" s="82" t="s">
        <v>688</v>
      </c>
      <c r="H293" s="65">
        <v>386.23</v>
      </c>
      <c r="I293" s="65">
        <v>11</v>
      </c>
      <c r="J293" s="65">
        <f t="shared" ref="J293" si="470">I293*8</f>
        <v>88</v>
      </c>
      <c r="K293" s="65">
        <f t="shared" ref="K293" si="471">H293*I293*2</f>
        <v>8497.0600000000013</v>
      </c>
      <c r="L293" s="65"/>
      <c r="M293" s="65"/>
      <c r="N293" s="65">
        <v>250</v>
      </c>
      <c r="O293" s="65"/>
      <c r="P293" s="65"/>
      <c r="Q293" s="65"/>
      <c r="R293" s="65"/>
      <c r="S293" s="65"/>
      <c r="T293" s="65"/>
      <c r="U293" s="65"/>
      <c r="V293" s="65">
        <v>125</v>
      </c>
      <c r="W293" s="65"/>
      <c r="X293" s="65"/>
      <c r="Y293" s="65"/>
      <c r="Z293" s="65"/>
      <c r="AA293" s="65"/>
      <c r="AB293" s="65"/>
      <c r="AC293" s="65">
        <v>100</v>
      </c>
      <c r="AD293" s="65">
        <v>100</v>
      </c>
      <c r="AE293" s="65">
        <v>308.8</v>
      </c>
      <c r="AF293" s="65"/>
      <c r="AG293" s="65"/>
      <c r="AH293" s="65"/>
      <c r="AI293" s="65"/>
      <c r="AJ293" s="65">
        <v>8350.8700000000008</v>
      </c>
      <c r="AK293" s="65">
        <v>100407.93</v>
      </c>
    </row>
    <row r="294" spans="2:37" ht="12.75" customHeight="1">
      <c r="B294" s="5">
        <v>280</v>
      </c>
      <c r="C294" s="60" t="s">
        <v>563</v>
      </c>
      <c r="D294" s="60" t="s">
        <v>440</v>
      </c>
      <c r="E294" s="60" t="s">
        <v>730</v>
      </c>
      <c r="F294" s="66" t="s">
        <v>687</v>
      </c>
      <c r="G294" s="82" t="s">
        <v>688</v>
      </c>
      <c r="H294" s="65">
        <f>5628.13/11</f>
        <v>511.64818181818185</v>
      </c>
      <c r="I294" s="65">
        <v>11</v>
      </c>
      <c r="J294" s="65">
        <f t="shared" ref="J294" si="472">I294*8</f>
        <v>88</v>
      </c>
      <c r="K294" s="65">
        <f t="shared" ref="K294" si="473">H294*I294*2</f>
        <v>11256.26</v>
      </c>
      <c r="L294" s="65"/>
      <c r="M294" s="65"/>
      <c r="N294" s="65">
        <v>250</v>
      </c>
      <c r="O294" s="65"/>
      <c r="P294" s="65"/>
      <c r="Q294" s="65"/>
      <c r="R294" s="65"/>
      <c r="S294" s="65"/>
      <c r="T294" s="65"/>
      <c r="U294" s="65"/>
      <c r="V294" s="65">
        <v>125</v>
      </c>
      <c r="W294" s="65"/>
      <c r="X294" s="65"/>
      <c r="Y294" s="65"/>
      <c r="Z294" s="65"/>
      <c r="AA294" s="65">
        <v>442</v>
      </c>
      <c r="AB294" s="65"/>
      <c r="AC294" s="65">
        <v>100</v>
      </c>
      <c r="AD294" s="65">
        <v>137.5</v>
      </c>
      <c r="AE294" s="65">
        <v>417.8</v>
      </c>
      <c r="AF294" s="65"/>
      <c r="AG294" s="65"/>
      <c r="AH294" s="65"/>
      <c r="AI294" s="65"/>
      <c r="AJ294" s="65">
        <v>10551.19</v>
      </c>
      <c r="AK294" s="65">
        <v>126799.93</v>
      </c>
    </row>
    <row r="295" spans="2:37" ht="12.75" customHeight="1">
      <c r="B295" s="5">
        <v>281</v>
      </c>
      <c r="C295" s="60" t="s">
        <v>564</v>
      </c>
      <c r="D295" s="60" t="s">
        <v>232</v>
      </c>
      <c r="E295" s="60" t="s">
        <v>730</v>
      </c>
      <c r="F295" s="66" t="s">
        <v>687</v>
      </c>
      <c r="G295" s="82" t="s">
        <v>688</v>
      </c>
      <c r="H295" s="65">
        <v>386.23</v>
      </c>
      <c r="I295" s="65">
        <v>11</v>
      </c>
      <c r="J295" s="65">
        <f t="shared" ref="J295" si="474">I295*8</f>
        <v>88</v>
      </c>
      <c r="K295" s="65">
        <f t="shared" ref="K295" si="475">H295*I295*2</f>
        <v>8497.0600000000013</v>
      </c>
      <c r="L295" s="65"/>
      <c r="M295" s="65"/>
      <c r="N295" s="65"/>
      <c r="O295" s="65"/>
      <c r="P295" s="65"/>
      <c r="Q295" s="65"/>
      <c r="R295" s="65"/>
      <c r="S295" s="65"/>
      <c r="T295" s="65"/>
      <c r="U295" s="65"/>
      <c r="V295" s="65">
        <v>125</v>
      </c>
      <c r="W295" s="65"/>
      <c r="X295" s="65"/>
      <c r="Y295" s="65"/>
      <c r="Z295" s="65"/>
      <c r="AA295" s="65"/>
      <c r="AB295" s="65"/>
      <c r="AC295" s="65">
        <v>100</v>
      </c>
      <c r="AD295" s="65">
        <v>100</v>
      </c>
      <c r="AE295" s="65">
        <v>308.8</v>
      </c>
      <c r="AF295" s="65"/>
      <c r="AG295" s="65"/>
      <c r="AH295" s="65"/>
      <c r="AI295" s="65"/>
      <c r="AJ295" s="65">
        <v>3957.77</v>
      </c>
      <c r="AK295" s="65">
        <v>50982.06</v>
      </c>
    </row>
    <row r="296" spans="2:37" ht="12.75" customHeight="1">
      <c r="B296" s="5">
        <v>282</v>
      </c>
      <c r="C296" s="60" t="s">
        <v>565</v>
      </c>
      <c r="D296" s="60" t="s">
        <v>232</v>
      </c>
      <c r="E296" s="60" t="s">
        <v>730</v>
      </c>
      <c r="F296" s="66" t="s">
        <v>687</v>
      </c>
      <c r="G296" s="82" t="s">
        <v>688</v>
      </c>
      <c r="H296" s="65">
        <v>386.23</v>
      </c>
      <c r="I296" s="65">
        <v>11</v>
      </c>
      <c r="J296" s="65">
        <f t="shared" ref="J296" si="476">I296*8</f>
        <v>88</v>
      </c>
      <c r="K296" s="65">
        <f t="shared" ref="K296" si="477">H296*I296*2</f>
        <v>8497.0600000000013</v>
      </c>
      <c r="L296" s="65"/>
      <c r="M296" s="65"/>
      <c r="N296" s="65">
        <v>250</v>
      </c>
      <c r="O296" s="65"/>
      <c r="P296" s="65"/>
      <c r="Q296" s="65"/>
      <c r="R296" s="65"/>
      <c r="S296" s="65"/>
      <c r="T296" s="65"/>
      <c r="U296" s="65"/>
      <c r="V296" s="65">
        <v>125</v>
      </c>
      <c r="W296" s="65"/>
      <c r="X296" s="65"/>
      <c r="Y296" s="65"/>
      <c r="Z296" s="65"/>
      <c r="AA296" s="65"/>
      <c r="AB296" s="65"/>
      <c r="AC296" s="65">
        <v>100</v>
      </c>
      <c r="AD296" s="65">
        <v>100</v>
      </c>
      <c r="AE296" s="65">
        <v>308.8</v>
      </c>
      <c r="AF296" s="65"/>
      <c r="AG296" s="65"/>
      <c r="AH296" s="65"/>
      <c r="AI296" s="65"/>
      <c r="AJ296" s="65">
        <v>6113.4</v>
      </c>
      <c r="AK296" s="65">
        <v>75954.36</v>
      </c>
    </row>
    <row r="297" spans="2:37" ht="12.75" customHeight="1">
      <c r="B297" s="5">
        <v>283</v>
      </c>
      <c r="C297" s="60" t="s">
        <v>566</v>
      </c>
      <c r="D297" s="60" t="s">
        <v>232</v>
      </c>
      <c r="E297" s="60" t="s">
        <v>730</v>
      </c>
      <c r="F297" s="66" t="s">
        <v>687</v>
      </c>
      <c r="G297" s="82" t="s">
        <v>688</v>
      </c>
      <c r="H297" s="65">
        <v>386.23</v>
      </c>
      <c r="I297" s="65">
        <v>11</v>
      </c>
      <c r="J297" s="65">
        <f t="shared" ref="J297" si="478">I297*8</f>
        <v>88</v>
      </c>
      <c r="K297" s="65">
        <f t="shared" ref="K297" si="479">H297*I297*2</f>
        <v>8497.0600000000013</v>
      </c>
      <c r="L297" s="65"/>
      <c r="M297" s="65"/>
      <c r="N297" s="65">
        <v>250</v>
      </c>
      <c r="O297" s="65"/>
      <c r="P297" s="65"/>
      <c r="Q297" s="65"/>
      <c r="R297" s="65"/>
      <c r="S297" s="65"/>
      <c r="T297" s="65"/>
      <c r="U297" s="65"/>
      <c r="V297" s="65">
        <v>125</v>
      </c>
      <c r="W297" s="65"/>
      <c r="X297" s="65"/>
      <c r="Y297" s="65"/>
      <c r="Z297" s="65"/>
      <c r="AA297" s="65"/>
      <c r="AB297" s="65"/>
      <c r="AC297" s="65">
        <v>100</v>
      </c>
      <c r="AD297" s="65">
        <v>100</v>
      </c>
      <c r="AE297" s="65">
        <v>308.8</v>
      </c>
      <c r="AF297" s="65"/>
      <c r="AG297" s="65"/>
      <c r="AH297" s="65"/>
      <c r="AI297" s="65"/>
      <c r="AJ297" s="65">
        <v>8310.68</v>
      </c>
      <c r="AK297" s="65">
        <v>100407.93</v>
      </c>
    </row>
    <row r="298" spans="2:37" ht="12.75" customHeight="1">
      <c r="B298" s="5">
        <v>284</v>
      </c>
      <c r="C298" s="60" t="s">
        <v>567</v>
      </c>
      <c r="D298" s="60" t="s">
        <v>232</v>
      </c>
      <c r="E298" s="60" t="s">
        <v>730</v>
      </c>
      <c r="F298" s="66" t="s">
        <v>687</v>
      </c>
      <c r="G298" s="82" t="s">
        <v>688</v>
      </c>
      <c r="H298" s="65">
        <f>4430.39/11</f>
        <v>402.76272727272732</v>
      </c>
      <c r="I298" s="65">
        <v>11</v>
      </c>
      <c r="J298" s="65">
        <f t="shared" ref="J298" si="480">I298*8</f>
        <v>88</v>
      </c>
      <c r="K298" s="65">
        <f t="shared" ref="K298" si="481">H298*I298*2</f>
        <v>8860.7800000000007</v>
      </c>
      <c r="L298" s="65"/>
      <c r="M298" s="65"/>
      <c r="N298" s="65">
        <v>250</v>
      </c>
      <c r="O298" s="65"/>
      <c r="P298" s="65"/>
      <c r="Q298" s="65"/>
      <c r="R298" s="65"/>
      <c r="S298" s="65"/>
      <c r="T298" s="65"/>
      <c r="U298" s="65"/>
      <c r="V298" s="65">
        <v>125</v>
      </c>
      <c r="W298" s="65"/>
      <c r="X298" s="65"/>
      <c r="Y298" s="65"/>
      <c r="Z298" s="65"/>
      <c r="AA298" s="65">
        <v>564</v>
      </c>
      <c r="AB298" s="65"/>
      <c r="AC298" s="65">
        <v>100</v>
      </c>
      <c r="AD298" s="65">
        <v>100</v>
      </c>
      <c r="AE298" s="65">
        <v>327</v>
      </c>
      <c r="AF298" s="65"/>
      <c r="AG298" s="65"/>
      <c r="AH298" s="65"/>
      <c r="AI298" s="65"/>
      <c r="AJ298" s="65">
        <v>8740.75</v>
      </c>
      <c r="AK298" s="65">
        <v>104842.21</v>
      </c>
    </row>
    <row r="299" spans="2:37" ht="12.75" customHeight="1">
      <c r="B299" s="5">
        <v>285</v>
      </c>
      <c r="C299" s="60" t="s">
        <v>568</v>
      </c>
      <c r="D299" s="60" t="s">
        <v>407</v>
      </c>
      <c r="E299" s="60" t="s">
        <v>730</v>
      </c>
      <c r="F299" s="66" t="s">
        <v>687</v>
      </c>
      <c r="G299" s="82" t="s">
        <v>688</v>
      </c>
      <c r="H299" s="65">
        <v>380</v>
      </c>
      <c r="I299" s="65">
        <v>11</v>
      </c>
      <c r="J299" s="65">
        <f t="shared" ref="J299" si="482">I299*8</f>
        <v>88</v>
      </c>
      <c r="K299" s="65">
        <f t="shared" ref="K299" si="483">H299*I299*2</f>
        <v>8360</v>
      </c>
      <c r="L299" s="65"/>
      <c r="M299" s="65"/>
      <c r="N299" s="65">
        <v>250</v>
      </c>
      <c r="O299" s="65"/>
      <c r="P299" s="65"/>
      <c r="Q299" s="65"/>
      <c r="R299" s="65"/>
      <c r="S299" s="65"/>
      <c r="T299" s="65"/>
      <c r="U299" s="65"/>
      <c r="V299" s="65">
        <v>125</v>
      </c>
      <c r="W299" s="65"/>
      <c r="X299" s="65"/>
      <c r="Y299" s="65"/>
      <c r="Z299" s="65"/>
      <c r="AA299" s="65"/>
      <c r="AB299" s="65"/>
      <c r="AC299" s="65">
        <v>100</v>
      </c>
      <c r="AD299" s="65">
        <v>100</v>
      </c>
      <c r="AE299" s="65">
        <v>308.8</v>
      </c>
      <c r="AF299" s="65"/>
      <c r="AG299" s="65"/>
      <c r="AH299" s="65"/>
      <c r="AI299" s="65"/>
      <c r="AJ299" s="65">
        <v>6252.33</v>
      </c>
      <c r="AK299" s="65">
        <v>78716</v>
      </c>
    </row>
    <row r="300" spans="2:37" ht="12.75" customHeight="1">
      <c r="B300" s="5">
        <v>286</v>
      </c>
      <c r="C300" s="60" t="s">
        <v>569</v>
      </c>
      <c r="D300" s="60" t="s">
        <v>232</v>
      </c>
      <c r="E300" s="60" t="s">
        <v>730</v>
      </c>
      <c r="F300" s="66" t="s">
        <v>687</v>
      </c>
      <c r="G300" s="82" t="s">
        <v>688</v>
      </c>
      <c r="H300" s="65">
        <v>386.23</v>
      </c>
      <c r="I300" s="65">
        <v>11</v>
      </c>
      <c r="J300" s="65">
        <f t="shared" ref="J300" si="484">I300*8</f>
        <v>88</v>
      </c>
      <c r="K300" s="65">
        <f t="shared" ref="K300" si="485">H300*I300*2</f>
        <v>8497.0600000000013</v>
      </c>
      <c r="L300" s="65"/>
      <c r="M300" s="65"/>
      <c r="N300" s="65">
        <v>250</v>
      </c>
      <c r="O300" s="65"/>
      <c r="P300" s="65"/>
      <c r="Q300" s="65"/>
      <c r="R300" s="65"/>
      <c r="S300" s="65"/>
      <c r="T300" s="65"/>
      <c r="U300" s="65"/>
      <c r="V300" s="65">
        <v>125</v>
      </c>
      <c r="W300" s="65"/>
      <c r="X300" s="65"/>
      <c r="Y300" s="65"/>
      <c r="Z300" s="65"/>
      <c r="AA300" s="65"/>
      <c r="AB300" s="65"/>
      <c r="AC300" s="65">
        <v>100</v>
      </c>
      <c r="AD300" s="65">
        <v>100</v>
      </c>
      <c r="AE300" s="65">
        <v>308.8</v>
      </c>
      <c r="AF300" s="65"/>
      <c r="AG300" s="65"/>
      <c r="AH300" s="65"/>
      <c r="AI300" s="65"/>
      <c r="AJ300" s="65">
        <v>8291.0499999999993</v>
      </c>
      <c r="AK300" s="65">
        <v>100407.93</v>
      </c>
    </row>
    <row r="301" spans="2:37" ht="12.75" customHeight="1">
      <c r="B301" s="5">
        <v>287</v>
      </c>
      <c r="C301" s="60" t="s">
        <v>570</v>
      </c>
      <c r="D301" s="60" t="s">
        <v>407</v>
      </c>
      <c r="E301" s="60" t="s">
        <v>730</v>
      </c>
      <c r="F301" s="66" t="s">
        <v>687</v>
      </c>
      <c r="G301" s="82" t="s">
        <v>688</v>
      </c>
      <c r="H301" s="65">
        <v>380</v>
      </c>
      <c r="I301" s="65">
        <v>11</v>
      </c>
      <c r="J301" s="65">
        <f t="shared" ref="J301" si="486">I301*8</f>
        <v>88</v>
      </c>
      <c r="K301" s="65">
        <f t="shared" ref="K301" si="487">H301*I301*2</f>
        <v>8360</v>
      </c>
      <c r="L301" s="65"/>
      <c r="M301" s="65"/>
      <c r="N301" s="65">
        <v>250</v>
      </c>
      <c r="O301" s="65"/>
      <c r="P301" s="65"/>
      <c r="Q301" s="65"/>
      <c r="R301" s="65"/>
      <c r="S301" s="65"/>
      <c r="T301" s="65"/>
      <c r="U301" s="65"/>
      <c r="V301" s="65">
        <v>125</v>
      </c>
      <c r="W301" s="65"/>
      <c r="X301" s="65"/>
      <c r="Y301" s="65"/>
      <c r="Z301" s="65"/>
      <c r="AA301" s="65">
        <v>395</v>
      </c>
      <c r="AB301" s="65"/>
      <c r="AC301" s="65">
        <v>100</v>
      </c>
      <c r="AD301" s="65">
        <v>100</v>
      </c>
      <c r="AE301" s="65">
        <v>308.8</v>
      </c>
      <c r="AF301" s="65"/>
      <c r="AG301" s="65"/>
      <c r="AH301" s="65"/>
      <c r="AI301" s="65"/>
      <c r="AJ301" s="65">
        <v>8234.67</v>
      </c>
      <c r="AK301" s="65">
        <v>98736</v>
      </c>
    </row>
    <row r="302" spans="2:37" ht="12.75" customHeight="1">
      <c r="B302" s="5">
        <v>288</v>
      </c>
      <c r="C302" s="60" t="s">
        <v>571</v>
      </c>
      <c r="D302" s="60" t="s">
        <v>232</v>
      </c>
      <c r="E302" s="60" t="s">
        <v>730</v>
      </c>
      <c r="F302" s="66" t="s">
        <v>687</v>
      </c>
      <c r="G302" s="82" t="s">
        <v>688</v>
      </c>
      <c r="H302" s="65">
        <v>386.23</v>
      </c>
      <c r="I302" s="65">
        <v>11</v>
      </c>
      <c r="J302" s="65">
        <f t="shared" ref="J302" si="488">I302*8</f>
        <v>88</v>
      </c>
      <c r="K302" s="65">
        <f t="shared" ref="K302" si="489">H302*I302*2</f>
        <v>8497.0600000000013</v>
      </c>
      <c r="L302" s="65"/>
      <c r="M302" s="65"/>
      <c r="N302" s="65">
        <v>250</v>
      </c>
      <c r="O302" s="65"/>
      <c r="P302" s="65"/>
      <c r="Q302" s="65"/>
      <c r="R302" s="65"/>
      <c r="S302" s="65"/>
      <c r="T302" s="65"/>
      <c r="U302" s="65"/>
      <c r="V302" s="65">
        <v>125</v>
      </c>
      <c r="W302" s="65"/>
      <c r="X302" s="65"/>
      <c r="Y302" s="65"/>
      <c r="Z302" s="65"/>
      <c r="AA302" s="65"/>
      <c r="AB302" s="65"/>
      <c r="AC302" s="65">
        <v>100</v>
      </c>
      <c r="AD302" s="65">
        <v>100</v>
      </c>
      <c r="AE302" s="65">
        <v>308.8</v>
      </c>
      <c r="AF302" s="65"/>
      <c r="AG302" s="65"/>
      <c r="AH302" s="65"/>
      <c r="AI302" s="65"/>
      <c r="AJ302" s="65">
        <v>8182.89</v>
      </c>
      <c r="AK302" s="65">
        <v>100407.93</v>
      </c>
    </row>
    <row r="303" spans="2:37" ht="12.75" customHeight="1">
      <c r="B303" s="5">
        <v>289</v>
      </c>
      <c r="C303" s="60" t="s">
        <v>572</v>
      </c>
      <c r="D303" s="60" t="s">
        <v>407</v>
      </c>
      <c r="E303" s="60" t="s">
        <v>730</v>
      </c>
      <c r="F303" s="66" t="s">
        <v>687</v>
      </c>
      <c r="G303" s="82" t="s">
        <v>688</v>
      </c>
      <c r="H303" s="65">
        <v>380</v>
      </c>
      <c r="I303" s="65">
        <v>11</v>
      </c>
      <c r="J303" s="65">
        <f t="shared" ref="J303" si="490">I303*8</f>
        <v>88</v>
      </c>
      <c r="K303" s="65">
        <f t="shared" ref="K303" si="491">H303*I303*2</f>
        <v>8360</v>
      </c>
      <c r="L303" s="65"/>
      <c r="M303" s="65"/>
      <c r="N303" s="65">
        <v>250</v>
      </c>
      <c r="O303" s="65"/>
      <c r="P303" s="65"/>
      <c r="Q303" s="65"/>
      <c r="R303" s="65"/>
      <c r="S303" s="65"/>
      <c r="T303" s="65"/>
      <c r="U303" s="65"/>
      <c r="V303" s="65">
        <v>125</v>
      </c>
      <c r="W303" s="65"/>
      <c r="X303" s="65"/>
      <c r="Y303" s="65"/>
      <c r="Z303" s="65"/>
      <c r="AA303" s="65"/>
      <c r="AB303" s="65"/>
      <c r="AC303" s="65">
        <v>100</v>
      </c>
      <c r="AD303" s="65">
        <v>100</v>
      </c>
      <c r="AE303" s="65">
        <v>308.8</v>
      </c>
      <c r="AF303" s="65"/>
      <c r="AG303" s="65"/>
      <c r="AH303" s="65"/>
      <c r="AI303" s="65"/>
      <c r="AJ303" s="65">
        <v>5831.71</v>
      </c>
      <c r="AK303" s="65">
        <v>70708</v>
      </c>
    </row>
    <row r="304" spans="2:37" ht="12.75" customHeight="1">
      <c r="B304" s="5">
        <v>290</v>
      </c>
      <c r="C304" s="60" t="s">
        <v>573</v>
      </c>
      <c r="D304" s="60" t="s">
        <v>407</v>
      </c>
      <c r="E304" s="60" t="s">
        <v>730</v>
      </c>
      <c r="F304" s="66" t="s">
        <v>687</v>
      </c>
      <c r="G304" s="82" t="s">
        <v>688</v>
      </c>
      <c r="H304" s="65">
        <f>4430.39/11</f>
        <v>402.76272727272732</v>
      </c>
      <c r="I304" s="65">
        <v>11</v>
      </c>
      <c r="J304" s="65">
        <f t="shared" ref="J304" si="492">I304*8</f>
        <v>88</v>
      </c>
      <c r="K304" s="65">
        <f t="shared" ref="K304" si="493">H304*I304*2</f>
        <v>8860.7800000000007</v>
      </c>
      <c r="L304" s="65"/>
      <c r="M304" s="65"/>
      <c r="N304" s="65">
        <v>250</v>
      </c>
      <c r="O304" s="65"/>
      <c r="P304" s="65"/>
      <c r="Q304" s="65"/>
      <c r="R304" s="65"/>
      <c r="S304" s="65"/>
      <c r="T304" s="65"/>
      <c r="U304" s="65"/>
      <c r="V304" s="65">
        <v>125</v>
      </c>
      <c r="W304" s="65"/>
      <c r="X304" s="65"/>
      <c r="Y304" s="65"/>
      <c r="Z304" s="65"/>
      <c r="AA304" s="65">
        <v>507</v>
      </c>
      <c r="AB304" s="65"/>
      <c r="AC304" s="65">
        <v>100</v>
      </c>
      <c r="AD304" s="65">
        <v>100</v>
      </c>
      <c r="AE304" s="65">
        <v>327</v>
      </c>
      <c r="AF304" s="65"/>
      <c r="AG304" s="65"/>
      <c r="AH304" s="65"/>
      <c r="AI304" s="65"/>
      <c r="AJ304" s="65">
        <v>7885.48</v>
      </c>
      <c r="AK304" s="65">
        <v>104842.21</v>
      </c>
    </row>
    <row r="305" spans="2:37" ht="12.75" customHeight="1">
      <c r="B305" s="5">
        <v>291</v>
      </c>
      <c r="C305" s="60" t="s">
        <v>574</v>
      </c>
      <c r="D305" s="60" t="s">
        <v>232</v>
      </c>
      <c r="E305" s="60" t="s">
        <v>730</v>
      </c>
      <c r="F305" s="66" t="s">
        <v>687</v>
      </c>
      <c r="G305" s="82" t="s">
        <v>688</v>
      </c>
      <c r="H305" s="65">
        <f>4248.51/11</f>
        <v>386.22818181818184</v>
      </c>
      <c r="I305" s="65">
        <v>11</v>
      </c>
      <c r="J305" s="65">
        <f t="shared" ref="J305" si="494">I305*8</f>
        <v>88</v>
      </c>
      <c r="K305" s="65">
        <f t="shared" ref="K305" si="495">H305*I305*2</f>
        <v>8497.02</v>
      </c>
      <c r="L305" s="65"/>
      <c r="M305" s="65"/>
      <c r="N305" s="65"/>
      <c r="O305" s="65"/>
      <c r="P305" s="65"/>
      <c r="Q305" s="65"/>
      <c r="R305" s="65"/>
      <c r="S305" s="65"/>
      <c r="T305" s="65"/>
      <c r="U305" s="65"/>
      <c r="V305" s="65">
        <v>125</v>
      </c>
      <c r="W305" s="65"/>
      <c r="X305" s="65"/>
      <c r="Y305" s="65"/>
      <c r="Z305" s="65"/>
      <c r="AA305" s="65"/>
      <c r="AB305" s="65"/>
      <c r="AC305" s="65">
        <v>100</v>
      </c>
      <c r="AD305" s="65">
        <v>100</v>
      </c>
      <c r="AE305" s="65">
        <v>308.8</v>
      </c>
      <c r="AF305" s="65"/>
      <c r="AG305" s="65"/>
      <c r="AH305" s="65"/>
      <c r="AI305" s="65"/>
      <c r="AJ305" s="65">
        <v>2870.29</v>
      </c>
      <c r="AK305" s="65">
        <v>33988.04</v>
      </c>
    </row>
    <row r="306" spans="2:37" ht="12.75" customHeight="1">
      <c r="B306" s="5">
        <v>292</v>
      </c>
      <c r="C306" s="60" t="s">
        <v>575</v>
      </c>
      <c r="D306" s="60" t="s">
        <v>455</v>
      </c>
      <c r="E306" s="60" t="s">
        <v>730</v>
      </c>
      <c r="F306" s="66" t="s">
        <v>687</v>
      </c>
      <c r="G306" s="82" t="s">
        <v>688</v>
      </c>
      <c r="H306" s="65">
        <f>4400.31/11</f>
        <v>400.02818181818185</v>
      </c>
      <c r="I306" s="65">
        <v>11</v>
      </c>
      <c r="J306" s="65">
        <f t="shared" ref="J306" si="496">I306*8</f>
        <v>88</v>
      </c>
      <c r="K306" s="65">
        <f t="shared" ref="K306" si="497">H306*I306*2</f>
        <v>8800.6200000000008</v>
      </c>
      <c r="L306" s="65"/>
      <c r="M306" s="65"/>
      <c r="N306" s="65">
        <v>250</v>
      </c>
      <c r="O306" s="65"/>
      <c r="P306" s="65"/>
      <c r="Q306" s="65"/>
      <c r="R306" s="65"/>
      <c r="S306" s="65"/>
      <c r="T306" s="65"/>
      <c r="U306" s="65"/>
      <c r="V306" s="65">
        <v>125</v>
      </c>
      <c r="W306" s="65"/>
      <c r="X306" s="65"/>
      <c r="Y306" s="65"/>
      <c r="Z306" s="65"/>
      <c r="AA306" s="65">
        <f>1383+631</f>
        <v>2014</v>
      </c>
      <c r="AB306" s="65"/>
      <c r="AC306" s="65">
        <v>100</v>
      </c>
      <c r="AD306" s="65">
        <v>100</v>
      </c>
      <c r="AE306" s="65">
        <v>327</v>
      </c>
      <c r="AF306" s="65"/>
      <c r="AG306" s="65"/>
      <c r="AH306" s="65"/>
      <c r="AI306" s="65"/>
      <c r="AJ306" s="65">
        <v>8682.09</v>
      </c>
      <c r="AK306" s="65">
        <v>106709.13</v>
      </c>
    </row>
    <row r="307" spans="2:37" ht="12.75" customHeight="1">
      <c r="B307" s="5">
        <v>293</v>
      </c>
      <c r="C307" s="60" t="s">
        <v>576</v>
      </c>
      <c r="D307" s="60" t="s">
        <v>232</v>
      </c>
      <c r="E307" s="60" t="s">
        <v>732</v>
      </c>
      <c r="F307" s="66" t="s">
        <v>687</v>
      </c>
      <c r="G307" s="82" t="s">
        <v>688</v>
      </c>
      <c r="H307" s="65">
        <v>386.23</v>
      </c>
      <c r="I307" s="65">
        <v>11</v>
      </c>
      <c r="J307" s="65">
        <f t="shared" ref="J307" si="498">I307*8</f>
        <v>88</v>
      </c>
      <c r="K307" s="65">
        <f t="shared" ref="K307" si="499">H307*I307*2</f>
        <v>8497.0600000000013</v>
      </c>
      <c r="L307" s="65"/>
      <c r="M307" s="65"/>
      <c r="N307" s="65">
        <v>250</v>
      </c>
      <c r="O307" s="65"/>
      <c r="P307" s="65"/>
      <c r="Q307" s="65"/>
      <c r="R307" s="65"/>
      <c r="S307" s="65"/>
      <c r="T307" s="65"/>
      <c r="U307" s="65"/>
      <c r="V307" s="65">
        <v>125</v>
      </c>
      <c r="W307" s="65"/>
      <c r="X307" s="65"/>
      <c r="Y307" s="65"/>
      <c r="Z307" s="65"/>
      <c r="AA307" s="65"/>
      <c r="AB307" s="65"/>
      <c r="AC307" s="65">
        <v>100</v>
      </c>
      <c r="AD307" s="65">
        <v>100</v>
      </c>
      <c r="AE307" s="65">
        <v>308.8</v>
      </c>
      <c r="AF307" s="65"/>
      <c r="AG307" s="65"/>
      <c r="AH307" s="65"/>
      <c r="AI307" s="65"/>
      <c r="AJ307" s="65">
        <v>8245.67</v>
      </c>
      <c r="AK307" s="65">
        <v>100407.93</v>
      </c>
    </row>
    <row r="308" spans="2:37" ht="12.75" customHeight="1">
      <c r="B308" s="5">
        <v>294</v>
      </c>
      <c r="C308" s="60" t="s">
        <v>577</v>
      </c>
      <c r="D308" s="60" t="s">
        <v>407</v>
      </c>
      <c r="E308" s="60" t="s">
        <v>732</v>
      </c>
      <c r="F308" s="66" t="s">
        <v>687</v>
      </c>
      <c r="G308" s="82" t="s">
        <v>688</v>
      </c>
      <c r="H308" s="65">
        <f>4321.12/11</f>
        <v>392.82909090909089</v>
      </c>
      <c r="I308" s="65">
        <v>11</v>
      </c>
      <c r="J308" s="65">
        <f t="shared" ref="J308" si="500">I308*8</f>
        <v>88</v>
      </c>
      <c r="K308" s="65">
        <f t="shared" ref="K308" si="501">H308*I308*2</f>
        <v>8642.24</v>
      </c>
      <c r="L308" s="65"/>
      <c r="M308" s="65"/>
      <c r="N308" s="65">
        <v>250</v>
      </c>
      <c r="O308" s="65"/>
      <c r="P308" s="65"/>
      <c r="Q308" s="65"/>
      <c r="R308" s="65"/>
      <c r="S308" s="65"/>
      <c r="T308" s="65"/>
      <c r="U308" s="65"/>
      <c r="V308" s="65">
        <v>125</v>
      </c>
      <c r="W308" s="65"/>
      <c r="X308" s="65"/>
      <c r="Y308" s="65"/>
      <c r="Z308" s="65"/>
      <c r="AA308" s="65">
        <v>319</v>
      </c>
      <c r="AB308" s="65"/>
      <c r="AC308" s="65">
        <v>100</v>
      </c>
      <c r="AD308" s="65">
        <v>100</v>
      </c>
      <c r="AE308" s="65">
        <v>308.8</v>
      </c>
      <c r="AF308" s="65"/>
      <c r="AG308" s="65"/>
      <c r="AH308" s="65"/>
      <c r="AI308" s="65"/>
      <c r="AJ308" s="65">
        <v>8443.0400000000009</v>
      </c>
      <c r="AK308" s="65">
        <v>102179.01</v>
      </c>
    </row>
    <row r="309" spans="2:37" ht="12.75" customHeight="1">
      <c r="B309" s="5">
        <v>295</v>
      </c>
      <c r="C309" s="60" t="s">
        <v>578</v>
      </c>
      <c r="D309" s="60" t="s">
        <v>407</v>
      </c>
      <c r="E309" s="60" t="s">
        <v>732</v>
      </c>
      <c r="F309" s="66" t="s">
        <v>687</v>
      </c>
      <c r="G309" s="82" t="s">
        <v>688</v>
      </c>
      <c r="H309" s="65">
        <f>4897.55/11</f>
        <v>445.2318181818182</v>
      </c>
      <c r="I309" s="65">
        <v>11</v>
      </c>
      <c r="J309" s="65">
        <f t="shared" ref="J309" si="502">I309*8</f>
        <v>88</v>
      </c>
      <c r="K309" s="65">
        <f t="shared" ref="K309" si="503">H309*I309*2</f>
        <v>9795.1</v>
      </c>
      <c r="L309" s="65"/>
      <c r="M309" s="65"/>
      <c r="N309" s="65">
        <v>250</v>
      </c>
      <c r="O309" s="65"/>
      <c r="P309" s="65"/>
      <c r="Q309" s="65"/>
      <c r="R309" s="65"/>
      <c r="S309" s="65"/>
      <c r="T309" s="65"/>
      <c r="U309" s="65"/>
      <c r="V309" s="65">
        <v>125</v>
      </c>
      <c r="W309" s="65"/>
      <c r="X309" s="65"/>
      <c r="Y309" s="65"/>
      <c r="Z309" s="65"/>
      <c r="AA309" s="65">
        <v>395</v>
      </c>
      <c r="AB309" s="65"/>
      <c r="AC309" s="65">
        <v>100</v>
      </c>
      <c r="AD309" s="65">
        <v>112.5</v>
      </c>
      <c r="AE309" s="65">
        <v>363.3</v>
      </c>
      <c r="AF309" s="65"/>
      <c r="AG309" s="65"/>
      <c r="AH309" s="65"/>
      <c r="AI309" s="65"/>
      <c r="AJ309" s="65">
        <v>9308.06</v>
      </c>
      <c r="AK309" s="65">
        <v>116205.74</v>
      </c>
    </row>
    <row r="310" spans="2:37" ht="12.75" customHeight="1">
      <c r="B310" s="5">
        <v>296</v>
      </c>
      <c r="C310" s="60" t="s">
        <v>579</v>
      </c>
      <c r="D310" s="60" t="s">
        <v>414</v>
      </c>
      <c r="E310" s="60" t="s">
        <v>732</v>
      </c>
      <c r="F310" s="66" t="s">
        <v>687</v>
      </c>
      <c r="G310" s="82" t="s">
        <v>688</v>
      </c>
      <c r="H310" s="65">
        <v>386.23</v>
      </c>
      <c r="I310" s="65">
        <v>11</v>
      </c>
      <c r="J310" s="65">
        <f t="shared" ref="J310" si="504">I310*8</f>
        <v>88</v>
      </c>
      <c r="K310" s="65">
        <f t="shared" ref="K310" si="505">H310*I310*2</f>
        <v>8497.0600000000013</v>
      </c>
      <c r="L310" s="65"/>
      <c r="M310" s="65"/>
      <c r="N310" s="65">
        <v>250</v>
      </c>
      <c r="O310" s="65"/>
      <c r="P310" s="65"/>
      <c r="Q310" s="65"/>
      <c r="R310" s="65"/>
      <c r="S310" s="65"/>
      <c r="T310" s="65"/>
      <c r="U310" s="65"/>
      <c r="V310" s="65">
        <v>125</v>
      </c>
      <c r="W310" s="65"/>
      <c r="X310" s="65"/>
      <c r="Y310" s="65"/>
      <c r="Z310" s="65"/>
      <c r="AA310" s="65">
        <v>442</v>
      </c>
      <c r="AB310" s="65"/>
      <c r="AC310" s="65">
        <v>100</v>
      </c>
      <c r="AD310" s="65">
        <v>100</v>
      </c>
      <c r="AE310" s="65">
        <v>308.8</v>
      </c>
      <c r="AF310" s="65"/>
      <c r="AG310" s="65"/>
      <c r="AH310" s="65"/>
      <c r="AI310" s="65"/>
      <c r="AJ310" s="65">
        <v>8013</v>
      </c>
      <c r="AK310" s="65">
        <v>100407.93</v>
      </c>
    </row>
    <row r="311" spans="2:37" ht="12.75" customHeight="1">
      <c r="B311" s="5">
        <v>297</v>
      </c>
      <c r="C311" s="60" t="s">
        <v>580</v>
      </c>
      <c r="D311" s="60" t="s">
        <v>232</v>
      </c>
      <c r="E311" s="60" t="s">
        <v>732</v>
      </c>
      <c r="F311" s="66" t="s">
        <v>687</v>
      </c>
      <c r="G311" s="82" t="s">
        <v>688</v>
      </c>
      <c r="H311" s="65">
        <v>386.23</v>
      </c>
      <c r="I311" s="65">
        <v>11</v>
      </c>
      <c r="J311" s="65">
        <f t="shared" ref="J311" si="506">I311*8</f>
        <v>88</v>
      </c>
      <c r="K311" s="65">
        <f t="shared" ref="K311" si="507">H311*I311*2</f>
        <v>8497.0600000000013</v>
      </c>
      <c r="L311" s="65"/>
      <c r="M311" s="65"/>
      <c r="N311" s="65">
        <v>250</v>
      </c>
      <c r="O311" s="65"/>
      <c r="P311" s="65"/>
      <c r="Q311" s="65"/>
      <c r="R311" s="65"/>
      <c r="S311" s="65"/>
      <c r="T311" s="65"/>
      <c r="U311" s="65"/>
      <c r="V311" s="65">
        <v>125</v>
      </c>
      <c r="W311" s="65"/>
      <c r="X311" s="65"/>
      <c r="Y311" s="65"/>
      <c r="Z311" s="65"/>
      <c r="AA311" s="65"/>
      <c r="AB311" s="65"/>
      <c r="AC311" s="65">
        <v>100</v>
      </c>
      <c r="AD311" s="65">
        <v>100</v>
      </c>
      <c r="AE311" s="65">
        <v>308.8</v>
      </c>
      <c r="AF311" s="65"/>
      <c r="AG311" s="65"/>
      <c r="AH311" s="65"/>
      <c r="AI311" s="65"/>
      <c r="AJ311" s="65">
        <v>6237.46</v>
      </c>
      <c r="AK311" s="65">
        <v>75954.36</v>
      </c>
    </row>
    <row r="312" spans="2:37" ht="12.75" customHeight="1">
      <c r="B312" s="5">
        <v>298</v>
      </c>
      <c r="C312" s="60" t="s">
        <v>581</v>
      </c>
      <c r="D312" s="60" t="s">
        <v>232</v>
      </c>
      <c r="E312" s="60" t="s">
        <v>732</v>
      </c>
      <c r="F312" s="66" t="s">
        <v>687</v>
      </c>
      <c r="G312" s="82" t="s">
        <v>688</v>
      </c>
      <c r="H312" s="65">
        <v>386.23</v>
      </c>
      <c r="I312" s="65">
        <v>11</v>
      </c>
      <c r="J312" s="65">
        <f t="shared" ref="J312" si="508">I312*8</f>
        <v>88</v>
      </c>
      <c r="K312" s="65">
        <f t="shared" ref="K312" si="509">H312*I312*2</f>
        <v>8497.0600000000013</v>
      </c>
      <c r="L312" s="65"/>
      <c r="M312" s="65"/>
      <c r="N312" s="65">
        <v>250</v>
      </c>
      <c r="O312" s="65"/>
      <c r="P312" s="65"/>
      <c r="Q312" s="65"/>
      <c r="R312" s="65"/>
      <c r="S312" s="65"/>
      <c r="T312" s="65"/>
      <c r="U312" s="65"/>
      <c r="V312" s="65">
        <v>125</v>
      </c>
      <c r="W312" s="65"/>
      <c r="X312" s="65"/>
      <c r="Y312" s="65"/>
      <c r="Z312" s="65"/>
      <c r="AA312" s="65"/>
      <c r="AB312" s="65"/>
      <c r="AC312" s="65">
        <v>100</v>
      </c>
      <c r="AD312" s="65">
        <v>100</v>
      </c>
      <c r="AE312" s="65">
        <v>308.8</v>
      </c>
      <c r="AF312" s="65"/>
      <c r="AG312" s="65"/>
      <c r="AH312" s="65"/>
      <c r="AI312" s="65"/>
      <c r="AJ312" s="65">
        <v>8115.53</v>
      </c>
      <c r="AK312" s="65">
        <v>100407.93</v>
      </c>
    </row>
    <row r="313" spans="2:37" ht="12.75" customHeight="1">
      <c r="B313" s="5">
        <v>299</v>
      </c>
      <c r="C313" s="60" t="s">
        <v>582</v>
      </c>
      <c r="D313" s="60" t="s">
        <v>440</v>
      </c>
      <c r="E313" s="60" t="s">
        <v>732</v>
      </c>
      <c r="F313" s="66" t="s">
        <v>687</v>
      </c>
      <c r="G313" s="82" t="s">
        <v>688</v>
      </c>
      <c r="H313" s="65">
        <v>386.23</v>
      </c>
      <c r="I313" s="65">
        <v>11</v>
      </c>
      <c r="J313" s="65">
        <f t="shared" ref="J313" si="510">I313*8</f>
        <v>88</v>
      </c>
      <c r="K313" s="65">
        <f t="shared" ref="K313" si="511">H313*I313*2</f>
        <v>8497.0600000000013</v>
      </c>
      <c r="L313" s="65"/>
      <c r="M313" s="65"/>
      <c r="N313" s="65">
        <v>250</v>
      </c>
      <c r="O313" s="65"/>
      <c r="P313" s="65"/>
      <c r="Q313" s="65"/>
      <c r="R313" s="65"/>
      <c r="S313" s="65"/>
      <c r="T313" s="65"/>
      <c r="U313" s="65"/>
      <c r="V313" s="65">
        <v>125</v>
      </c>
      <c r="W313" s="65"/>
      <c r="X313" s="65"/>
      <c r="Y313" s="65"/>
      <c r="Z313" s="65"/>
      <c r="AA313" s="65">
        <f>712.2+566</f>
        <v>1278.2</v>
      </c>
      <c r="AB313" s="65"/>
      <c r="AC313" s="65">
        <v>100</v>
      </c>
      <c r="AD313" s="65">
        <v>100</v>
      </c>
      <c r="AE313" s="65">
        <v>308.8</v>
      </c>
      <c r="AF313" s="65"/>
      <c r="AG313" s="65"/>
      <c r="AH313" s="65"/>
      <c r="AI313" s="65"/>
      <c r="AJ313" s="65">
        <v>7936.21</v>
      </c>
      <c r="AK313" s="65">
        <v>100407.93</v>
      </c>
    </row>
    <row r="314" spans="2:37" ht="12.75" customHeight="1">
      <c r="B314" s="5">
        <v>300</v>
      </c>
      <c r="C314" s="60" t="s">
        <v>583</v>
      </c>
      <c r="D314" s="60" t="s">
        <v>232</v>
      </c>
      <c r="E314" s="60" t="s">
        <v>732</v>
      </c>
      <c r="F314" s="66" t="s">
        <v>687</v>
      </c>
      <c r="G314" s="82" t="s">
        <v>688</v>
      </c>
      <c r="H314" s="65">
        <v>386.23</v>
      </c>
      <c r="I314" s="65">
        <v>11</v>
      </c>
      <c r="J314" s="65">
        <f t="shared" ref="J314" si="512">I314*8</f>
        <v>88</v>
      </c>
      <c r="K314" s="65">
        <f t="shared" ref="K314" si="513">H314*I314*2</f>
        <v>8497.0600000000013</v>
      </c>
      <c r="L314" s="65"/>
      <c r="M314" s="65"/>
      <c r="N314" s="65">
        <v>250</v>
      </c>
      <c r="O314" s="65"/>
      <c r="P314" s="65"/>
      <c r="Q314" s="65"/>
      <c r="R314" s="65"/>
      <c r="S314" s="65"/>
      <c r="T314" s="65"/>
      <c r="U314" s="65"/>
      <c r="V314" s="65">
        <v>125</v>
      </c>
      <c r="W314" s="65"/>
      <c r="X314" s="65"/>
      <c r="Y314" s="65"/>
      <c r="Z314" s="65"/>
      <c r="AA314" s="65"/>
      <c r="AB314" s="65"/>
      <c r="AC314" s="65">
        <v>100</v>
      </c>
      <c r="AD314" s="65">
        <v>100</v>
      </c>
      <c r="AE314" s="65">
        <v>308.8</v>
      </c>
      <c r="AF314" s="65"/>
      <c r="AG314" s="65"/>
      <c r="AH314" s="65"/>
      <c r="AI314" s="65"/>
      <c r="AJ314" s="65">
        <v>8094.38</v>
      </c>
      <c r="AK314" s="65">
        <v>100407.93</v>
      </c>
    </row>
    <row r="315" spans="2:37" ht="12.75" customHeight="1">
      <c r="B315" s="5">
        <v>301</v>
      </c>
      <c r="C315" s="60" t="s">
        <v>584</v>
      </c>
      <c r="D315" s="60" t="s">
        <v>232</v>
      </c>
      <c r="E315" s="60" t="s">
        <v>732</v>
      </c>
      <c r="F315" s="66" t="s">
        <v>687</v>
      </c>
      <c r="G315" s="82" t="s">
        <v>688</v>
      </c>
      <c r="H315" s="65">
        <v>386.23</v>
      </c>
      <c r="I315" s="65">
        <v>11</v>
      </c>
      <c r="J315" s="65">
        <f t="shared" ref="J315" si="514">I315*8</f>
        <v>88</v>
      </c>
      <c r="K315" s="65">
        <f t="shared" ref="K315" si="515">H315*I315*2</f>
        <v>8497.0600000000013</v>
      </c>
      <c r="L315" s="65"/>
      <c r="M315" s="65"/>
      <c r="N315" s="65"/>
      <c r="O315" s="65"/>
      <c r="P315" s="65"/>
      <c r="Q315" s="65"/>
      <c r="R315" s="65"/>
      <c r="S315" s="65"/>
      <c r="T315" s="65"/>
      <c r="U315" s="65"/>
      <c r="V315" s="65">
        <v>125</v>
      </c>
      <c r="W315" s="65"/>
      <c r="X315" s="65"/>
      <c r="Y315" s="65"/>
      <c r="Z315" s="65"/>
      <c r="AA315" s="65"/>
      <c r="AB315" s="65"/>
      <c r="AC315" s="65">
        <v>100</v>
      </c>
      <c r="AD315" s="65">
        <v>100</v>
      </c>
      <c r="AE315" s="65">
        <v>308.8</v>
      </c>
      <c r="AF315" s="65"/>
      <c r="AG315" s="65"/>
      <c r="AH315" s="65"/>
      <c r="AI315" s="65"/>
      <c r="AJ315" s="65">
        <v>4853.88</v>
      </c>
      <c r="AK315" s="65">
        <v>55230.57</v>
      </c>
    </row>
    <row r="316" spans="2:37" ht="12.75" customHeight="1">
      <c r="B316" s="5">
        <v>302</v>
      </c>
      <c r="C316" s="60" t="s">
        <v>585</v>
      </c>
      <c r="D316" s="60" t="s">
        <v>407</v>
      </c>
      <c r="E316" s="60" t="s">
        <v>732</v>
      </c>
      <c r="F316" s="66" t="s">
        <v>687</v>
      </c>
      <c r="G316" s="82" t="s">
        <v>688</v>
      </c>
      <c r="H316" s="65">
        <v>380</v>
      </c>
      <c r="I316" s="65">
        <v>11</v>
      </c>
      <c r="J316" s="65">
        <f t="shared" ref="J316" si="516">I316*8</f>
        <v>88</v>
      </c>
      <c r="K316" s="65">
        <f t="shared" ref="K316" si="517">H316*I316*2</f>
        <v>8360</v>
      </c>
      <c r="L316" s="65"/>
      <c r="M316" s="65"/>
      <c r="N316" s="65">
        <v>250</v>
      </c>
      <c r="O316" s="65"/>
      <c r="P316" s="65"/>
      <c r="Q316" s="65"/>
      <c r="R316" s="65"/>
      <c r="S316" s="65"/>
      <c r="T316" s="65"/>
      <c r="U316" s="65"/>
      <c r="V316" s="65">
        <v>125</v>
      </c>
      <c r="W316" s="65"/>
      <c r="X316" s="65"/>
      <c r="Y316" s="65"/>
      <c r="Z316" s="65"/>
      <c r="AA316" s="65">
        <v>507</v>
      </c>
      <c r="AB316" s="65"/>
      <c r="AC316" s="65">
        <v>100</v>
      </c>
      <c r="AD316" s="65">
        <v>100</v>
      </c>
      <c r="AE316" s="65">
        <v>308.8</v>
      </c>
      <c r="AF316" s="65"/>
      <c r="AG316" s="65"/>
      <c r="AH316" s="65"/>
      <c r="AI316" s="65"/>
      <c r="AJ316" s="65">
        <v>8202.06</v>
      </c>
      <c r="AK316" s="65">
        <v>98736</v>
      </c>
    </row>
    <row r="317" spans="2:37" ht="12.75" customHeight="1">
      <c r="B317" s="5">
        <v>303</v>
      </c>
      <c r="C317" s="60" t="s">
        <v>586</v>
      </c>
      <c r="D317" s="60" t="s">
        <v>232</v>
      </c>
      <c r="E317" s="60" t="s">
        <v>732</v>
      </c>
      <c r="F317" s="66" t="s">
        <v>687</v>
      </c>
      <c r="G317" s="82" t="s">
        <v>688</v>
      </c>
      <c r="H317" s="65">
        <v>386.23</v>
      </c>
      <c r="I317" s="65">
        <v>11</v>
      </c>
      <c r="J317" s="65">
        <f t="shared" ref="J317" si="518">I317*8</f>
        <v>88</v>
      </c>
      <c r="K317" s="65">
        <f t="shared" ref="K317" si="519">H317*I317*2</f>
        <v>8497.0600000000013</v>
      </c>
      <c r="L317" s="65"/>
      <c r="M317" s="65"/>
      <c r="N317" s="65">
        <v>250</v>
      </c>
      <c r="O317" s="65"/>
      <c r="P317" s="65"/>
      <c r="Q317" s="65"/>
      <c r="R317" s="65"/>
      <c r="S317" s="65"/>
      <c r="T317" s="65"/>
      <c r="U317" s="65"/>
      <c r="V317" s="65">
        <v>125</v>
      </c>
      <c r="W317" s="65"/>
      <c r="X317" s="65"/>
      <c r="Y317" s="65"/>
      <c r="Z317" s="65"/>
      <c r="AA317" s="65"/>
      <c r="AB317" s="65"/>
      <c r="AC317" s="65">
        <v>100</v>
      </c>
      <c r="AD317" s="65">
        <v>100</v>
      </c>
      <c r="AE317" s="65">
        <v>308.8</v>
      </c>
      <c r="AF317" s="65"/>
      <c r="AG317" s="65"/>
      <c r="AH317" s="65"/>
      <c r="AI317" s="65"/>
      <c r="AJ317" s="65">
        <v>7413.73</v>
      </c>
      <c r="AK317" s="65">
        <v>87108.55</v>
      </c>
    </row>
    <row r="318" spans="2:37" ht="12.75" customHeight="1">
      <c r="B318" s="5">
        <v>304</v>
      </c>
      <c r="C318" s="60" t="s">
        <v>587</v>
      </c>
      <c r="D318" s="60" t="s">
        <v>232</v>
      </c>
      <c r="E318" s="60" t="s">
        <v>732</v>
      </c>
      <c r="F318" s="66" t="s">
        <v>687</v>
      </c>
      <c r="G318" s="82" t="s">
        <v>688</v>
      </c>
      <c r="H318" s="65">
        <v>386.23</v>
      </c>
      <c r="I318" s="65">
        <v>11</v>
      </c>
      <c r="J318" s="65">
        <f t="shared" ref="J318" si="520">I318*8</f>
        <v>88</v>
      </c>
      <c r="K318" s="65">
        <f t="shared" ref="K318" si="521">H318*I318*2</f>
        <v>8497.0600000000013</v>
      </c>
      <c r="L318" s="65"/>
      <c r="M318" s="65"/>
      <c r="N318" s="65">
        <v>250</v>
      </c>
      <c r="O318" s="65"/>
      <c r="P318" s="65"/>
      <c r="Q318" s="65"/>
      <c r="R318" s="65"/>
      <c r="S318" s="65"/>
      <c r="T318" s="65"/>
      <c r="U318" s="65"/>
      <c r="V318" s="65">
        <v>125</v>
      </c>
      <c r="W318" s="65"/>
      <c r="X318" s="65"/>
      <c r="Y318" s="65"/>
      <c r="Z318" s="65"/>
      <c r="AA318" s="65"/>
      <c r="AB318" s="65"/>
      <c r="AC318" s="65">
        <v>100</v>
      </c>
      <c r="AD318" s="65">
        <v>100</v>
      </c>
      <c r="AE318" s="65">
        <v>308.8</v>
      </c>
      <c r="AF318" s="65"/>
      <c r="AG318" s="65"/>
      <c r="AH318" s="65"/>
      <c r="AI318" s="65"/>
      <c r="AJ318" s="65">
        <v>8234.81</v>
      </c>
      <c r="AK318" s="65">
        <v>100407.93</v>
      </c>
    </row>
    <row r="319" spans="2:37" ht="12.75" customHeight="1">
      <c r="B319" s="5">
        <v>305</v>
      </c>
      <c r="C319" s="60" t="s">
        <v>588</v>
      </c>
      <c r="D319" s="60" t="s">
        <v>232</v>
      </c>
      <c r="E319" s="60" t="s">
        <v>732</v>
      </c>
      <c r="F319" s="66" t="s">
        <v>687</v>
      </c>
      <c r="G319" s="82" t="s">
        <v>688</v>
      </c>
      <c r="H319" s="65">
        <v>386.23</v>
      </c>
      <c r="I319" s="65">
        <v>11</v>
      </c>
      <c r="J319" s="65">
        <f t="shared" ref="J319" si="522">I319*8</f>
        <v>88</v>
      </c>
      <c r="K319" s="65">
        <f t="shared" ref="K319" si="523">H319*I319*2</f>
        <v>8497.0600000000013</v>
      </c>
      <c r="L319" s="65"/>
      <c r="M319" s="65"/>
      <c r="N319" s="65">
        <v>250</v>
      </c>
      <c r="O319" s="65"/>
      <c r="P319" s="65"/>
      <c r="Q319" s="65"/>
      <c r="R319" s="65"/>
      <c r="S319" s="65"/>
      <c r="T319" s="65"/>
      <c r="U319" s="65"/>
      <c r="V319" s="65">
        <v>125</v>
      </c>
      <c r="W319" s="65"/>
      <c r="X319" s="65"/>
      <c r="Y319" s="65"/>
      <c r="Z319" s="65"/>
      <c r="AA319" s="65"/>
      <c r="AB319" s="65"/>
      <c r="AC319" s="65">
        <v>100</v>
      </c>
      <c r="AD319" s="65">
        <v>100</v>
      </c>
      <c r="AE319" s="65">
        <v>308.8</v>
      </c>
      <c r="AF319" s="65"/>
      <c r="AG319" s="65"/>
      <c r="AH319" s="65"/>
      <c r="AI319" s="65"/>
      <c r="AJ319" s="65">
        <v>6234.5</v>
      </c>
      <c r="AK319" s="65">
        <v>75954.36</v>
      </c>
    </row>
    <row r="320" spans="2:37" ht="12.75" customHeight="1">
      <c r="B320" s="5">
        <v>306</v>
      </c>
      <c r="C320" s="60" t="s">
        <v>589</v>
      </c>
      <c r="D320" s="60" t="s">
        <v>455</v>
      </c>
      <c r="E320" s="60" t="s">
        <v>732</v>
      </c>
      <c r="F320" s="66" t="s">
        <v>687</v>
      </c>
      <c r="G320" s="82" t="s">
        <v>688</v>
      </c>
      <c r="H320" s="65">
        <v>380</v>
      </c>
      <c r="I320" s="65">
        <v>11</v>
      </c>
      <c r="J320" s="65">
        <f t="shared" ref="J320" si="524">I320*8</f>
        <v>88</v>
      </c>
      <c r="K320" s="65">
        <f t="shared" ref="K320" si="525">H320*I320*2</f>
        <v>8360</v>
      </c>
      <c r="L320" s="65"/>
      <c r="M320" s="65"/>
      <c r="N320" s="65">
        <v>250</v>
      </c>
      <c r="O320" s="65"/>
      <c r="P320" s="65"/>
      <c r="Q320" s="65"/>
      <c r="R320" s="65"/>
      <c r="S320" s="65"/>
      <c r="T320" s="65"/>
      <c r="U320" s="65"/>
      <c r="V320" s="65">
        <v>125</v>
      </c>
      <c r="W320" s="65"/>
      <c r="X320" s="65"/>
      <c r="Y320" s="65"/>
      <c r="Z320" s="65"/>
      <c r="AA320" s="65">
        <v>631</v>
      </c>
      <c r="AB320" s="65"/>
      <c r="AC320" s="65">
        <v>100</v>
      </c>
      <c r="AD320" s="65">
        <v>175</v>
      </c>
      <c r="AE320" s="65">
        <v>508.7</v>
      </c>
      <c r="AF320" s="65"/>
      <c r="AG320" s="65"/>
      <c r="AH320" s="65"/>
      <c r="AI320" s="65"/>
      <c r="AJ320" s="65">
        <v>13424.57</v>
      </c>
      <c r="AK320" s="65">
        <v>162204.29999999999</v>
      </c>
    </row>
    <row r="321" spans="2:37" ht="12.75" customHeight="1">
      <c r="B321" s="5">
        <v>307</v>
      </c>
      <c r="C321" s="60" t="s">
        <v>590</v>
      </c>
      <c r="D321" s="60" t="s">
        <v>407</v>
      </c>
      <c r="E321" s="60" t="s">
        <v>732</v>
      </c>
      <c r="F321" s="66" t="s">
        <v>687</v>
      </c>
      <c r="G321" s="82" t="s">
        <v>688</v>
      </c>
      <c r="H321" s="65">
        <v>380</v>
      </c>
      <c r="I321" s="65">
        <v>11</v>
      </c>
      <c r="J321" s="65">
        <f t="shared" ref="J321" si="526">I321*8</f>
        <v>88</v>
      </c>
      <c r="K321" s="65">
        <f t="shared" ref="K321" si="527">H321*I321*2</f>
        <v>8360</v>
      </c>
      <c r="L321" s="65"/>
      <c r="M321" s="65"/>
      <c r="N321" s="65">
        <v>250</v>
      </c>
      <c r="O321" s="65"/>
      <c r="P321" s="65"/>
      <c r="Q321" s="65"/>
      <c r="R321" s="65"/>
      <c r="S321" s="65"/>
      <c r="T321" s="65"/>
      <c r="U321" s="65"/>
      <c r="V321" s="65">
        <v>125</v>
      </c>
      <c r="W321" s="65"/>
      <c r="X321" s="65"/>
      <c r="Y321" s="65"/>
      <c r="Z321" s="65"/>
      <c r="AA321" s="65"/>
      <c r="AB321" s="65"/>
      <c r="AC321" s="65">
        <v>100</v>
      </c>
      <c r="AD321" s="65">
        <v>100</v>
      </c>
      <c r="AE321" s="65">
        <v>308.8</v>
      </c>
      <c r="AF321" s="65"/>
      <c r="AG321" s="65"/>
      <c r="AH321" s="65"/>
      <c r="AI321" s="65"/>
      <c r="AJ321" s="65">
        <v>5832.11</v>
      </c>
      <c r="AK321" s="65">
        <v>70708</v>
      </c>
    </row>
    <row r="322" spans="2:37" ht="12.75" customHeight="1">
      <c r="B322" s="5">
        <v>308</v>
      </c>
      <c r="C322" s="60" t="s">
        <v>591</v>
      </c>
      <c r="D322" s="60" t="s">
        <v>407</v>
      </c>
      <c r="E322" s="60" t="s">
        <v>732</v>
      </c>
      <c r="F322" s="66" t="s">
        <v>687</v>
      </c>
      <c r="G322" s="82" t="s">
        <v>688</v>
      </c>
      <c r="H322" s="65">
        <f>5578.99/11</f>
        <v>507.1809090909091</v>
      </c>
      <c r="I322" s="65">
        <v>11</v>
      </c>
      <c r="J322" s="65">
        <f t="shared" ref="J322" si="528">I322*8</f>
        <v>88</v>
      </c>
      <c r="K322" s="65">
        <f t="shared" ref="K322" si="529">H322*I322*2</f>
        <v>11157.98</v>
      </c>
      <c r="L322" s="65"/>
      <c r="M322" s="65"/>
      <c r="N322" s="65">
        <v>250</v>
      </c>
      <c r="O322" s="65"/>
      <c r="P322" s="65"/>
      <c r="Q322" s="65"/>
      <c r="R322" s="65"/>
      <c r="S322" s="65"/>
      <c r="T322" s="65"/>
      <c r="U322" s="65"/>
      <c r="V322" s="65">
        <v>125</v>
      </c>
      <c r="W322" s="65"/>
      <c r="X322" s="65"/>
      <c r="Y322" s="65"/>
      <c r="Z322" s="65"/>
      <c r="AA322" s="65">
        <v>507</v>
      </c>
      <c r="AB322" s="65"/>
      <c r="AC322" s="65">
        <v>100</v>
      </c>
      <c r="AD322" s="65">
        <v>137.5</v>
      </c>
      <c r="AE322" s="65">
        <v>399.7</v>
      </c>
      <c r="AF322" s="65"/>
      <c r="AG322" s="65"/>
      <c r="AH322" s="65"/>
      <c r="AI322" s="65"/>
      <c r="AJ322" s="65">
        <v>10604.01</v>
      </c>
      <c r="AK322" s="65">
        <v>132731.97</v>
      </c>
    </row>
    <row r="323" spans="2:37" ht="12.75" customHeight="1">
      <c r="B323" s="5">
        <v>309</v>
      </c>
      <c r="C323" s="60" t="s">
        <v>592</v>
      </c>
      <c r="D323" s="60" t="s">
        <v>232</v>
      </c>
      <c r="E323" s="60" t="s">
        <v>732</v>
      </c>
      <c r="F323" s="66" t="s">
        <v>687</v>
      </c>
      <c r="G323" s="82" t="s">
        <v>688</v>
      </c>
      <c r="H323" s="65">
        <v>386.23</v>
      </c>
      <c r="I323" s="65">
        <v>11</v>
      </c>
      <c r="J323" s="65">
        <f t="shared" ref="J323" si="530">I323*8</f>
        <v>88</v>
      </c>
      <c r="K323" s="65">
        <f t="shared" ref="K323" si="531">H323*I323*2</f>
        <v>8497.0600000000013</v>
      </c>
      <c r="L323" s="65"/>
      <c r="M323" s="65"/>
      <c r="N323" s="65">
        <v>250</v>
      </c>
      <c r="O323" s="65"/>
      <c r="P323" s="65"/>
      <c r="Q323" s="65"/>
      <c r="R323" s="65"/>
      <c r="S323" s="65"/>
      <c r="T323" s="65"/>
      <c r="U323" s="65"/>
      <c r="V323" s="65">
        <v>125</v>
      </c>
      <c r="W323" s="65"/>
      <c r="X323" s="65"/>
      <c r="Y323" s="65"/>
      <c r="Z323" s="65"/>
      <c r="AA323" s="65">
        <v>442</v>
      </c>
      <c r="AB323" s="65"/>
      <c r="AC323" s="65">
        <v>100</v>
      </c>
      <c r="AD323" s="65">
        <v>100</v>
      </c>
      <c r="AE323" s="65">
        <v>308.8</v>
      </c>
      <c r="AF323" s="65"/>
      <c r="AG323" s="65"/>
      <c r="AH323" s="65"/>
      <c r="AI323" s="65"/>
      <c r="AJ323" s="65">
        <v>8333.24</v>
      </c>
      <c r="AK323" s="65">
        <v>100407.93</v>
      </c>
    </row>
    <row r="324" spans="2:37" ht="12.75" customHeight="1">
      <c r="B324" s="5">
        <v>310</v>
      </c>
      <c r="C324" s="60" t="s">
        <v>593</v>
      </c>
      <c r="D324" s="60" t="s">
        <v>440</v>
      </c>
      <c r="E324" s="60" t="s">
        <v>732</v>
      </c>
      <c r="F324" s="66" t="s">
        <v>687</v>
      </c>
      <c r="G324" s="82" t="s">
        <v>688</v>
      </c>
      <c r="H324" s="65">
        <f>5628.13/11</f>
        <v>511.64818181818185</v>
      </c>
      <c r="I324" s="65">
        <v>11</v>
      </c>
      <c r="J324" s="65">
        <f t="shared" ref="J324" si="532">I324*8</f>
        <v>88</v>
      </c>
      <c r="K324" s="65">
        <f t="shared" ref="K324" si="533">H324*I324*2</f>
        <v>11256.26</v>
      </c>
      <c r="L324" s="65"/>
      <c r="M324" s="65"/>
      <c r="N324" s="65">
        <v>250</v>
      </c>
      <c r="O324" s="65"/>
      <c r="P324" s="65"/>
      <c r="Q324" s="65"/>
      <c r="R324" s="65"/>
      <c r="S324" s="65"/>
      <c r="T324" s="65"/>
      <c r="U324" s="65"/>
      <c r="V324" s="65">
        <v>125</v>
      </c>
      <c r="W324" s="65"/>
      <c r="X324" s="65"/>
      <c r="Y324" s="65"/>
      <c r="Z324" s="65"/>
      <c r="AA324" s="65">
        <v>566</v>
      </c>
      <c r="AB324" s="65"/>
      <c r="AC324" s="65">
        <v>100</v>
      </c>
      <c r="AD324" s="65">
        <v>137.5</v>
      </c>
      <c r="AE324" s="65">
        <v>417.8</v>
      </c>
      <c r="AF324" s="65"/>
      <c r="AG324" s="65"/>
      <c r="AH324" s="65"/>
      <c r="AI324" s="65"/>
      <c r="AJ324" s="65">
        <v>10485.1</v>
      </c>
      <c r="AK324" s="65">
        <v>126799.93</v>
      </c>
    </row>
    <row r="325" spans="2:37" ht="12.75" customHeight="1">
      <c r="B325" s="5">
        <v>311</v>
      </c>
      <c r="C325" s="60" t="s">
        <v>594</v>
      </c>
      <c r="D325" s="60" t="s">
        <v>232</v>
      </c>
      <c r="E325" s="60" t="s">
        <v>732</v>
      </c>
      <c r="F325" s="66" t="s">
        <v>687</v>
      </c>
      <c r="G325" s="82" t="s">
        <v>688</v>
      </c>
      <c r="H325" s="65">
        <v>386.23</v>
      </c>
      <c r="I325" s="65">
        <v>11</v>
      </c>
      <c r="J325" s="65">
        <f t="shared" ref="J325" si="534">I325*8</f>
        <v>88</v>
      </c>
      <c r="K325" s="65">
        <f t="shared" ref="K325" si="535">H325*I325*2</f>
        <v>8497.0600000000013</v>
      </c>
      <c r="L325" s="65"/>
      <c r="M325" s="65"/>
      <c r="N325" s="65"/>
      <c r="O325" s="65"/>
      <c r="P325" s="65"/>
      <c r="Q325" s="65"/>
      <c r="R325" s="65"/>
      <c r="S325" s="65"/>
      <c r="T325" s="65"/>
      <c r="U325" s="65"/>
      <c r="V325" s="65">
        <v>125</v>
      </c>
      <c r="W325" s="65"/>
      <c r="X325" s="65"/>
      <c r="Y325" s="65"/>
      <c r="Z325" s="65"/>
      <c r="AA325" s="65"/>
      <c r="AB325" s="65"/>
      <c r="AC325" s="65">
        <v>100</v>
      </c>
      <c r="AD325" s="65">
        <v>100</v>
      </c>
      <c r="AE325" s="65">
        <v>308.8</v>
      </c>
      <c r="AF325" s="65"/>
      <c r="AG325" s="65"/>
      <c r="AH325" s="65"/>
      <c r="AI325" s="65"/>
      <c r="AJ325" s="65">
        <v>7168.23</v>
      </c>
      <c r="AK325" s="65">
        <v>87108.55</v>
      </c>
    </row>
    <row r="326" spans="2:37" ht="12.75" customHeight="1">
      <c r="B326" s="5">
        <v>312</v>
      </c>
      <c r="C326" s="60" t="s">
        <v>595</v>
      </c>
      <c r="D326" s="60" t="s">
        <v>232</v>
      </c>
      <c r="E326" s="60" t="s">
        <v>732</v>
      </c>
      <c r="F326" s="66" t="s">
        <v>687</v>
      </c>
      <c r="G326" s="82" t="s">
        <v>688</v>
      </c>
      <c r="H326" s="65">
        <v>386.23</v>
      </c>
      <c r="I326" s="65">
        <v>11</v>
      </c>
      <c r="J326" s="65">
        <f t="shared" ref="J326" si="536">I326*8</f>
        <v>88</v>
      </c>
      <c r="K326" s="65">
        <f t="shared" ref="K326" si="537">H326*I326*2</f>
        <v>8497.0600000000013</v>
      </c>
      <c r="L326" s="65"/>
      <c r="M326" s="65"/>
      <c r="N326" s="65">
        <v>250</v>
      </c>
      <c r="O326" s="65"/>
      <c r="P326" s="65"/>
      <c r="Q326" s="65"/>
      <c r="R326" s="65"/>
      <c r="S326" s="65"/>
      <c r="T326" s="65"/>
      <c r="U326" s="65"/>
      <c r="V326" s="65">
        <v>125</v>
      </c>
      <c r="W326" s="65"/>
      <c r="X326" s="65"/>
      <c r="Y326" s="65"/>
      <c r="Z326" s="65"/>
      <c r="AA326" s="65"/>
      <c r="AB326" s="65"/>
      <c r="AC326" s="65">
        <v>100</v>
      </c>
      <c r="AD326" s="65">
        <v>100</v>
      </c>
      <c r="AE326" s="65">
        <v>308.8</v>
      </c>
      <c r="AF326" s="65"/>
      <c r="AG326" s="65"/>
      <c r="AH326" s="65"/>
      <c r="AI326" s="65"/>
      <c r="AJ326" s="65">
        <v>8216.32</v>
      </c>
      <c r="AK326" s="65">
        <v>100121.55</v>
      </c>
    </row>
    <row r="327" spans="2:37" ht="12.75" customHeight="1">
      <c r="B327" s="5">
        <v>313</v>
      </c>
      <c r="C327" s="60" t="s">
        <v>596</v>
      </c>
      <c r="D327" s="60" t="s">
        <v>407</v>
      </c>
      <c r="E327" s="60" t="s">
        <v>732</v>
      </c>
      <c r="F327" s="66" t="s">
        <v>687</v>
      </c>
      <c r="G327" s="82" t="s">
        <v>688</v>
      </c>
      <c r="H327" s="65">
        <v>380</v>
      </c>
      <c r="I327" s="65">
        <v>11</v>
      </c>
      <c r="J327" s="65">
        <f t="shared" ref="J327" si="538">I327*8</f>
        <v>88</v>
      </c>
      <c r="K327" s="65">
        <f t="shared" ref="K327" si="539">H327*I327*2</f>
        <v>8360</v>
      </c>
      <c r="L327" s="65"/>
      <c r="M327" s="65"/>
      <c r="N327" s="65">
        <v>250</v>
      </c>
      <c r="O327" s="65"/>
      <c r="P327" s="65"/>
      <c r="Q327" s="65"/>
      <c r="R327" s="65"/>
      <c r="S327" s="65"/>
      <c r="T327" s="65"/>
      <c r="U327" s="65"/>
      <c r="V327" s="65">
        <v>125</v>
      </c>
      <c r="W327" s="65"/>
      <c r="X327" s="65"/>
      <c r="Y327" s="65"/>
      <c r="Z327" s="65"/>
      <c r="AA327" s="65"/>
      <c r="AB327" s="65"/>
      <c r="AC327" s="65">
        <v>100</v>
      </c>
      <c r="AD327" s="65">
        <v>100</v>
      </c>
      <c r="AE327" s="65">
        <v>308.8</v>
      </c>
      <c r="AF327" s="65"/>
      <c r="AG327" s="65"/>
      <c r="AH327" s="65"/>
      <c r="AI327" s="65"/>
      <c r="AJ327" s="65">
        <v>8093.27</v>
      </c>
      <c r="AK327" s="65">
        <v>98736</v>
      </c>
    </row>
    <row r="328" spans="2:37" ht="12.75" customHeight="1">
      <c r="B328" s="5">
        <v>314</v>
      </c>
      <c r="C328" s="60" t="s">
        <v>597</v>
      </c>
      <c r="D328" s="60" t="s">
        <v>407</v>
      </c>
      <c r="E328" s="60" t="s">
        <v>733</v>
      </c>
      <c r="F328" s="66" t="s">
        <v>687</v>
      </c>
      <c r="G328" s="82" t="s">
        <v>688</v>
      </c>
      <c r="H328" s="65">
        <v>380</v>
      </c>
      <c r="I328" s="65">
        <v>11</v>
      </c>
      <c r="J328" s="65">
        <f t="shared" ref="J328" si="540">I328*8</f>
        <v>88</v>
      </c>
      <c r="K328" s="65">
        <f t="shared" ref="K328" si="541">H328*I328*2</f>
        <v>8360</v>
      </c>
      <c r="L328" s="65"/>
      <c r="M328" s="65"/>
      <c r="N328" s="65">
        <v>250</v>
      </c>
      <c r="O328" s="65"/>
      <c r="P328" s="65"/>
      <c r="Q328" s="65"/>
      <c r="R328" s="65"/>
      <c r="S328" s="65"/>
      <c r="T328" s="65"/>
      <c r="U328" s="65"/>
      <c r="V328" s="65">
        <v>125</v>
      </c>
      <c r="W328" s="65"/>
      <c r="X328" s="65"/>
      <c r="Y328" s="65"/>
      <c r="Z328" s="65"/>
      <c r="AA328" s="65">
        <v>395</v>
      </c>
      <c r="AB328" s="65"/>
      <c r="AC328" s="65">
        <v>100</v>
      </c>
      <c r="AD328" s="65">
        <v>100</v>
      </c>
      <c r="AE328" s="65">
        <v>308.8</v>
      </c>
      <c r="AF328" s="65"/>
      <c r="AG328" s="65"/>
      <c r="AH328" s="65"/>
      <c r="AI328" s="65"/>
      <c r="AJ328" s="65">
        <v>7639.14</v>
      </c>
      <c r="AK328" s="65">
        <v>98736</v>
      </c>
    </row>
    <row r="329" spans="2:37" ht="12.75" customHeight="1">
      <c r="B329" s="5">
        <v>315</v>
      </c>
      <c r="C329" s="60" t="s">
        <v>598</v>
      </c>
      <c r="D329" s="60" t="s">
        <v>232</v>
      </c>
      <c r="E329" s="60" t="s">
        <v>733</v>
      </c>
      <c r="F329" s="66" t="s">
        <v>687</v>
      </c>
      <c r="G329" s="82" t="s">
        <v>688</v>
      </c>
      <c r="H329" s="65">
        <f>5782.15/11</f>
        <v>525.65</v>
      </c>
      <c r="I329" s="65">
        <v>11</v>
      </c>
      <c r="J329" s="65">
        <f t="shared" ref="J329" si="542">I329*8</f>
        <v>88</v>
      </c>
      <c r="K329" s="65">
        <f t="shared" ref="K329" si="543">H329*I329*2</f>
        <v>11564.3</v>
      </c>
      <c r="L329" s="65"/>
      <c r="M329" s="65"/>
      <c r="N329" s="65">
        <v>250</v>
      </c>
      <c r="O329" s="65"/>
      <c r="P329" s="65"/>
      <c r="Q329" s="65"/>
      <c r="R329" s="65"/>
      <c r="S329" s="65"/>
      <c r="T329" s="65"/>
      <c r="U329" s="65"/>
      <c r="V329" s="65">
        <v>125</v>
      </c>
      <c r="W329" s="65"/>
      <c r="X329" s="65"/>
      <c r="Y329" s="65"/>
      <c r="Z329" s="65"/>
      <c r="AA329" s="65">
        <v>356</v>
      </c>
      <c r="AB329" s="65"/>
      <c r="AC329" s="65">
        <v>100</v>
      </c>
      <c r="AD329" s="65">
        <v>137.5</v>
      </c>
      <c r="AE329" s="65">
        <v>417.8</v>
      </c>
      <c r="AF329" s="65"/>
      <c r="AG329" s="65"/>
      <c r="AH329" s="65"/>
      <c r="AI329" s="65"/>
      <c r="AJ329" s="65">
        <v>11443.6</v>
      </c>
      <c r="AK329" s="65">
        <v>137650.44</v>
      </c>
    </row>
    <row r="330" spans="2:37" ht="12.75" customHeight="1">
      <c r="B330" s="5">
        <v>316</v>
      </c>
      <c r="C330" s="60" t="s">
        <v>599</v>
      </c>
      <c r="D330" s="60" t="s">
        <v>232</v>
      </c>
      <c r="E330" s="60" t="s">
        <v>733</v>
      </c>
      <c r="F330" s="66" t="s">
        <v>687</v>
      </c>
      <c r="G330" s="82" t="s">
        <v>688</v>
      </c>
      <c r="H330" s="65">
        <v>386.23</v>
      </c>
      <c r="I330" s="65">
        <v>11</v>
      </c>
      <c r="J330" s="65">
        <f t="shared" ref="J330" si="544">I330*8</f>
        <v>88</v>
      </c>
      <c r="K330" s="65">
        <f t="shared" ref="K330" si="545">H330*I330*2</f>
        <v>8497.0600000000013</v>
      </c>
      <c r="L330" s="65"/>
      <c r="M330" s="65"/>
      <c r="N330" s="65">
        <v>250</v>
      </c>
      <c r="O330" s="65"/>
      <c r="P330" s="65"/>
      <c r="Q330" s="65"/>
      <c r="R330" s="65"/>
      <c r="S330" s="65"/>
      <c r="T330" s="65"/>
      <c r="U330" s="65"/>
      <c r="V330" s="65">
        <v>125</v>
      </c>
      <c r="W330" s="65"/>
      <c r="X330" s="65"/>
      <c r="Y330" s="65"/>
      <c r="Z330" s="65"/>
      <c r="AA330" s="65"/>
      <c r="AB330" s="65"/>
      <c r="AC330" s="65">
        <v>100</v>
      </c>
      <c r="AD330" s="65">
        <v>100</v>
      </c>
      <c r="AE330" s="65">
        <v>308.8</v>
      </c>
      <c r="AF330" s="65"/>
      <c r="AG330" s="65"/>
      <c r="AH330" s="65"/>
      <c r="AI330" s="65"/>
      <c r="AJ330" s="65">
        <v>6688.62</v>
      </c>
      <c r="AK330" s="65">
        <v>84105.55</v>
      </c>
    </row>
    <row r="331" spans="2:37" ht="12.75" customHeight="1">
      <c r="B331" s="5">
        <v>317</v>
      </c>
      <c r="C331" s="60" t="s">
        <v>600</v>
      </c>
      <c r="D331" s="60" t="s">
        <v>232</v>
      </c>
      <c r="E331" s="60" t="s">
        <v>733</v>
      </c>
      <c r="F331" s="66" t="s">
        <v>687</v>
      </c>
      <c r="G331" s="82" t="s">
        <v>688</v>
      </c>
      <c r="H331" s="65">
        <v>386.23</v>
      </c>
      <c r="I331" s="65">
        <v>11</v>
      </c>
      <c r="J331" s="65">
        <f t="shared" ref="J331" si="546">I331*8</f>
        <v>88</v>
      </c>
      <c r="K331" s="65">
        <f t="shared" ref="K331" si="547">H331*I331*2</f>
        <v>8497.0600000000013</v>
      </c>
      <c r="L331" s="65"/>
      <c r="M331" s="65"/>
      <c r="N331" s="65"/>
      <c r="O331" s="65"/>
      <c r="P331" s="65"/>
      <c r="Q331" s="65"/>
      <c r="R331" s="65"/>
      <c r="S331" s="65"/>
      <c r="T331" s="65"/>
      <c r="U331" s="65"/>
      <c r="V331" s="65">
        <v>125</v>
      </c>
      <c r="W331" s="65"/>
      <c r="X331" s="65"/>
      <c r="Y331" s="65"/>
      <c r="Z331" s="65"/>
      <c r="AA331" s="65"/>
      <c r="AB331" s="65"/>
      <c r="AC331" s="65">
        <v>100</v>
      </c>
      <c r="AD331" s="65">
        <v>100</v>
      </c>
      <c r="AE331" s="65">
        <v>308.8</v>
      </c>
      <c r="AF331" s="65"/>
      <c r="AG331" s="65"/>
      <c r="AH331" s="65"/>
      <c r="AI331" s="65"/>
      <c r="AJ331" s="65">
        <v>2478.29</v>
      </c>
      <c r="AK331" s="65">
        <v>29739.53</v>
      </c>
    </row>
    <row r="332" spans="2:37" ht="12.75" customHeight="1">
      <c r="B332" s="5">
        <v>318</v>
      </c>
      <c r="C332" s="60" t="s">
        <v>601</v>
      </c>
      <c r="D332" s="60" t="s">
        <v>232</v>
      </c>
      <c r="E332" s="60" t="s">
        <v>733</v>
      </c>
      <c r="F332" s="66" t="s">
        <v>687</v>
      </c>
      <c r="G332" s="82" t="s">
        <v>688</v>
      </c>
      <c r="H332" s="65">
        <v>386.23</v>
      </c>
      <c r="I332" s="65">
        <v>11</v>
      </c>
      <c r="J332" s="65">
        <f t="shared" ref="J332" si="548">I332*8</f>
        <v>88</v>
      </c>
      <c r="K332" s="65">
        <f t="shared" ref="K332" si="549">H332*I332*2</f>
        <v>8497.0600000000013</v>
      </c>
      <c r="L332" s="65"/>
      <c r="M332" s="65"/>
      <c r="N332" s="65"/>
      <c r="O332" s="65"/>
      <c r="P332" s="65"/>
      <c r="Q332" s="65"/>
      <c r="R332" s="65"/>
      <c r="S332" s="65"/>
      <c r="T332" s="65"/>
      <c r="U332" s="65"/>
      <c r="V332" s="65">
        <v>125</v>
      </c>
      <c r="W332" s="65"/>
      <c r="X332" s="65"/>
      <c r="Y332" s="65"/>
      <c r="Z332" s="65"/>
      <c r="AA332" s="65"/>
      <c r="AB332" s="65"/>
      <c r="AC332" s="65">
        <v>100</v>
      </c>
      <c r="AD332" s="65">
        <v>100</v>
      </c>
      <c r="AE332" s="65">
        <v>308.8</v>
      </c>
      <c r="AF332" s="65"/>
      <c r="AG332" s="65"/>
      <c r="AH332" s="65"/>
      <c r="AI332" s="65"/>
      <c r="AJ332" s="65">
        <v>2188.62</v>
      </c>
      <c r="AK332" s="65">
        <v>25491.03</v>
      </c>
    </row>
    <row r="333" spans="2:37" ht="12.75" customHeight="1">
      <c r="B333" s="5">
        <v>319</v>
      </c>
      <c r="C333" s="60" t="s">
        <v>602</v>
      </c>
      <c r="D333" s="60" t="s">
        <v>407</v>
      </c>
      <c r="E333" s="60" t="s">
        <v>733</v>
      </c>
      <c r="F333" s="66" t="s">
        <v>687</v>
      </c>
      <c r="G333" s="82" t="s">
        <v>688</v>
      </c>
      <c r="H333" s="65">
        <f>4427.38/11</f>
        <v>402.48909090909092</v>
      </c>
      <c r="I333" s="65">
        <v>11</v>
      </c>
      <c r="J333" s="65">
        <f t="shared" ref="J333" si="550">I333*8</f>
        <v>88</v>
      </c>
      <c r="K333" s="65">
        <f t="shared" ref="K333" si="551">H333*I333*2</f>
        <v>8854.76</v>
      </c>
      <c r="L333" s="65"/>
      <c r="M333" s="65"/>
      <c r="N333" s="65">
        <v>250</v>
      </c>
      <c r="O333" s="65"/>
      <c r="P333" s="65"/>
      <c r="Q333" s="65"/>
      <c r="R333" s="65"/>
      <c r="S333" s="65"/>
      <c r="T333" s="65"/>
      <c r="U333" s="65"/>
      <c r="V333" s="65">
        <v>125</v>
      </c>
      <c r="W333" s="65"/>
      <c r="X333" s="65"/>
      <c r="Y333" s="65"/>
      <c r="Z333" s="65"/>
      <c r="AA333" s="65">
        <v>319</v>
      </c>
      <c r="AB333" s="65"/>
      <c r="AC333" s="65">
        <v>100</v>
      </c>
      <c r="AD333" s="65">
        <v>100</v>
      </c>
      <c r="AE333" s="65">
        <v>327</v>
      </c>
      <c r="AF333" s="65"/>
      <c r="AG333" s="65"/>
      <c r="AH333" s="65"/>
      <c r="AI333" s="65"/>
      <c r="AJ333" s="65">
        <v>8619.6200000000008</v>
      </c>
      <c r="AK333" s="65">
        <v>104768.89</v>
      </c>
    </row>
    <row r="334" spans="2:37" ht="12.75" customHeight="1">
      <c r="B334" s="5">
        <v>320</v>
      </c>
      <c r="C334" s="60" t="s">
        <v>603</v>
      </c>
      <c r="D334" s="60" t="s">
        <v>232</v>
      </c>
      <c r="E334" s="60" t="s">
        <v>733</v>
      </c>
      <c r="F334" s="66" t="s">
        <v>687</v>
      </c>
      <c r="G334" s="82" t="s">
        <v>688</v>
      </c>
      <c r="H334" s="65">
        <v>386.23</v>
      </c>
      <c r="I334" s="65">
        <v>11</v>
      </c>
      <c r="J334" s="65">
        <f t="shared" ref="J334" si="552">I334*8</f>
        <v>88</v>
      </c>
      <c r="K334" s="65">
        <f t="shared" ref="K334" si="553">H334*I334*2</f>
        <v>8497.0600000000013</v>
      </c>
      <c r="L334" s="65"/>
      <c r="M334" s="65"/>
      <c r="N334" s="65"/>
      <c r="O334" s="65"/>
      <c r="P334" s="65"/>
      <c r="Q334" s="65"/>
      <c r="R334" s="65"/>
      <c r="S334" s="65"/>
      <c r="T334" s="65"/>
      <c r="U334" s="65"/>
      <c r="V334" s="65">
        <v>125</v>
      </c>
      <c r="W334" s="65"/>
      <c r="X334" s="65"/>
      <c r="Y334" s="65"/>
      <c r="Z334" s="65"/>
      <c r="AA334" s="65"/>
      <c r="AB334" s="65"/>
      <c r="AC334" s="65">
        <v>100</v>
      </c>
      <c r="AD334" s="65">
        <v>100</v>
      </c>
      <c r="AE334" s="65">
        <v>308.8</v>
      </c>
      <c r="AF334" s="65"/>
      <c r="AG334" s="65"/>
      <c r="AH334" s="65"/>
      <c r="AI334" s="65"/>
      <c r="AJ334" s="65">
        <v>2961.08</v>
      </c>
      <c r="AK334" s="65">
        <v>38236.54</v>
      </c>
    </row>
    <row r="335" spans="2:37" ht="12.75" customHeight="1">
      <c r="B335" s="5">
        <v>321</v>
      </c>
      <c r="C335" s="60" t="s">
        <v>604</v>
      </c>
      <c r="D335" s="60" t="s">
        <v>407</v>
      </c>
      <c r="E335" s="60" t="s">
        <v>733</v>
      </c>
      <c r="F335" s="66" t="s">
        <v>687</v>
      </c>
      <c r="G335" s="82" t="s">
        <v>688</v>
      </c>
      <c r="H335" s="65">
        <v>380</v>
      </c>
      <c r="I335" s="65">
        <v>11</v>
      </c>
      <c r="J335" s="65">
        <f t="shared" ref="J335" si="554">I335*8</f>
        <v>88</v>
      </c>
      <c r="K335" s="65">
        <f t="shared" ref="K335" si="555">H335*I335*2</f>
        <v>8360</v>
      </c>
      <c r="L335" s="65"/>
      <c r="M335" s="65"/>
      <c r="N335" s="65">
        <v>250</v>
      </c>
      <c r="O335" s="65"/>
      <c r="P335" s="65"/>
      <c r="Q335" s="65"/>
      <c r="R335" s="65"/>
      <c r="S335" s="65"/>
      <c r="T335" s="65"/>
      <c r="U335" s="65"/>
      <c r="V335" s="65">
        <v>125</v>
      </c>
      <c r="W335" s="65"/>
      <c r="X335" s="65"/>
      <c r="Y335" s="65"/>
      <c r="Z335" s="65"/>
      <c r="AA335" s="65"/>
      <c r="AB335" s="65"/>
      <c r="AC335" s="65">
        <v>100</v>
      </c>
      <c r="AD335" s="65">
        <v>100</v>
      </c>
      <c r="AE335" s="65">
        <v>308.8</v>
      </c>
      <c r="AF335" s="65"/>
      <c r="AG335" s="65"/>
      <c r="AH335" s="65"/>
      <c r="AI335" s="65"/>
      <c r="AJ335" s="65">
        <v>8203</v>
      </c>
      <c r="AK335" s="65">
        <v>98736</v>
      </c>
    </row>
    <row r="336" spans="2:37" ht="12.75" customHeight="1">
      <c r="B336" s="5">
        <v>322</v>
      </c>
      <c r="C336" s="60" t="s">
        <v>605</v>
      </c>
      <c r="D336" s="60" t="s">
        <v>407</v>
      </c>
      <c r="E336" s="60" t="s">
        <v>733</v>
      </c>
      <c r="F336" s="66" t="s">
        <v>687</v>
      </c>
      <c r="G336" s="82" t="s">
        <v>688</v>
      </c>
      <c r="H336" s="65">
        <v>380</v>
      </c>
      <c r="I336" s="65">
        <v>11</v>
      </c>
      <c r="J336" s="65">
        <f t="shared" ref="J336" si="556">I336*8</f>
        <v>88</v>
      </c>
      <c r="K336" s="65">
        <f t="shared" ref="K336" si="557">H336*I336*2</f>
        <v>8360</v>
      </c>
      <c r="L336" s="65"/>
      <c r="M336" s="65"/>
      <c r="N336" s="65">
        <v>250</v>
      </c>
      <c r="O336" s="65"/>
      <c r="P336" s="65"/>
      <c r="Q336" s="65"/>
      <c r="R336" s="65"/>
      <c r="S336" s="65"/>
      <c r="T336" s="65"/>
      <c r="U336" s="65"/>
      <c r="V336" s="65">
        <v>125</v>
      </c>
      <c r="W336" s="65"/>
      <c r="X336" s="65"/>
      <c r="Y336" s="65"/>
      <c r="Z336" s="65"/>
      <c r="AA336" s="65"/>
      <c r="AB336" s="65"/>
      <c r="AC336" s="65">
        <v>100</v>
      </c>
      <c r="AD336" s="65">
        <v>100</v>
      </c>
      <c r="AE336" s="65">
        <v>308.8</v>
      </c>
      <c r="AF336" s="65"/>
      <c r="AG336" s="65"/>
      <c r="AH336" s="65"/>
      <c r="AI336" s="65"/>
      <c r="AJ336" s="65">
        <v>8049.75</v>
      </c>
      <c r="AK336" s="65">
        <v>98736</v>
      </c>
    </row>
    <row r="337" spans="2:37" ht="12.75" customHeight="1">
      <c r="B337" s="5">
        <v>323</v>
      </c>
      <c r="C337" s="60" t="s">
        <v>606</v>
      </c>
      <c r="D337" s="60" t="s">
        <v>407</v>
      </c>
      <c r="E337" s="60" t="s">
        <v>733</v>
      </c>
      <c r="F337" s="66" t="s">
        <v>687</v>
      </c>
      <c r="G337" s="82" t="s">
        <v>688</v>
      </c>
      <c r="H337" s="65">
        <v>380</v>
      </c>
      <c r="I337" s="65">
        <v>11</v>
      </c>
      <c r="J337" s="65">
        <f t="shared" ref="J337" si="558">I337*8</f>
        <v>88</v>
      </c>
      <c r="K337" s="65">
        <f t="shared" ref="K337" si="559">H337*I337*2</f>
        <v>8360</v>
      </c>
      <c r="L337" s="65"/>
      <c r="M337" s="65"/>
      <c r="N337" s="65">
        <v>250</v>
      </c>
      <c r="O337" s="65"/>
      <c r="P337" s="65"/>
      <c r="Q337" s="65"/>
      <c r="R337" s="65"/>
      <c r="S337" s="65"/>
      <c r="T337" s="65"/>
      <c r="U337" s="65"/>
      <c r="V337" s="65">
        <v>125</v>
      </c>
      <c r="W337" s="65"/>
      <c r="X337" s="65"/>
      <c r="Y337" s="65"/>
      <c r="Z337" s="65"/>
      <c r="AA337" s="65">
        <v>395</v>
      </c>
      <c r="AB337" s="65"/>
      <c r="AC337" s="65">
        <v>100</v>
      </c>
      <c r="AD337" s="65">
        <v>100</v>
      </c>
      <c r="AE337" s="65">
        <v>308.8</v>
      </c>
      <c r="AF337" s="65"/>
      <c r="AG337" s="65"/>
      <c r="AH337" s="65"/>
      <c r="AI337" s="65"/>
      <c r="AJ337" s="65">
        <v>8204.33</v>
      </c>
      <c r="AK337" s="65">
        <v>98736</v>
      </c>
    </row>
    <row r="338" spans="2:37" ht="12.75" customHeight="1">
      <c r="B338" s="5">
        <v>324</v>
      </c>
      <c r="C338" s="60" t="s">
        <v>607</v>
      </c>
      <c r="D338" s="60" t="s">
        <v>407</v>
      </c>
      <c r="E338" s="60" t="s">
        <v>733</v>
      </c>
      <c r="F338" s="66" t="s">
        <v>687</v>
      </c>
      <c r="G338" s="82" t="s">
        <v>688</v>
      </c>
      <c r="H338" s="65">
        <v>380</v>
      </c>
      <c r="I338" s="65">
        <v>11</v>
      </c>
      <c r="J338" s="65">
        <f t="shared" ref="J338" si="560">I338*8</f>
        <v>88</v>
      </c>
      <c r="K338" s="65">
        <f t="shared" ref="K338" si="561">H338*I338*2</f>
        <v>8360</v>
      </c>
      <c r="L338" s="65"/>
      <c r="M338" s="65"/>
      <c r="N338" s="65">
        <v>250</v>
      </c>
      <c r="O338" s="65"/>
      <c r="P338" s="65"/>
      <c r="Q338" s="65"/>
      <c r="R338" s="65"/>
      <c r="S338" s="65"/>
      <c r="T338" s="65"/>
      <c r="U338" s="65"/>
      <c r="V338" s="65">
        <v>125</v>
      </c>
      <c r="W338" s="65"/>
      <c r="X338" s="65"/>
      <c r="Y338" s="65"/>
      <c r="Z338" s="65"/>
      <c r="AA338" s="65"/>
      <c r="AB338" s="65"/>
      <c r="AC338" s="65">
        <v>100</v>
      </c>
      <c r="AD338" s="65">
        <v>100</v>
      </c>
      <c r="AE338" s="65">
        <v>308.8</v>
      </c>
      <c r="AF338" s="65"/>
      <c r="AG338" s="65"/>
      <c r="AH338" s="65"/>
      <c r="AI338" s="65"/>
      <c r="AJ338" s="65">
        <v>7984.87</v>
      </c>
      <c r="AK338" s="65">
        <v>96734</v>
      </c>
    </row>
    <row r="339" spans="2:37" ht="12.75" customHeight="1">
      <c r="B339" s="5">
        <v>325</v>
      </c>
      <c r="C339" s="60" t="s">
        <v>608</v>
      </c>
      <c r="D339" s="60" t="s">
        <v>232</v>
      </c>
      <c r="E339" s="60" t="s">
        <v>733</v>
      </c>
      <c r="F339" s="66" t="s">
        <v>687</v>
      </c>
      <c r="G339" s="82" t="s">
        <v>688</v>
      </c>
      <c r="H339" s="65">
        <v>386.23</v>
      </c>
      <c r="I339" s="65">
        <v>11</v>
      </c>
      <c r="J339" s="65">
        <f t="shared" ref="J339" si="562">I339*8</f>
        <v>88</v>
      </c>
      <c r="K339" s="65">
        <f t="shared" ref="K339" si="563">H339*I339*2</f>
        <v>8497.0600000000013</v>
      </c>
      <c r="L339" s="65"/>
      <c r="M339" s="65"/>
      <c r="N339" s="65">
        <v>250</v>
      </c>
      <c r="O339" s="65"/>
      <c r="P339" s="65"/>
      <c r="Q339" s="65"/>
      <c r="R339" s="65"/>
      <c r="S339" s="65"/>
      <c r="T339" s="65"/>
      <c r="U339" s="65"/>
      <c r="V339" s="65">
        <v>125</v>
      </c>
      <c r="W339" s="65"/>
      <c r="X339" s="65"/>
      <c r="Y339" s="65"/>
      <c r="Z339" s="65"/>
      <c r="AA339" s="65"/>
      <c r="AB339" s="65"/>
      <c r="AC339" s="65">
        <v>100</v>
      </c>
      <c r="AD339" s="65">
        <v>100</v>
      </c>
      <c r="AE339" s="65">
        <v>308.8</v>
      </c>
      <c r="AF339" s="65"/>
      <c r="AG339" s="65"/>
      <c r="AH339" s="65"/>
      <c r="AI339" s="65"/>
      <c r="AJ339" s="65">
        <v>7932.75</v>
      </c>
      <c r="AK339" s="65">
        <v>100407.93</v>
      </c>
    </row>
    <row r="340" spans="2:37" ht="12.75" customHeight="1">
      <c r="B340" s="5">
        <v>326</v>
      </c>
      <c r="C340" s="60" t="s">
        <v>609</v>
      </c>
      <c r="D340" s="60" t="s">
        <v>232</v>
      </c>
      <c r="E340" s="60" t="s">
        <v>733</v>
      </c>
      <c r="F340" s="66" t="s">
        <v>687</v>
      </c>
      <c r="G340" s="82" t="s">
        <v>688</v>
      </c>
      <c r="H340" s="65">
        <v>386.23</v>
      </c>
      <c r="I340" s="65">
        <v>11</v>
      </c>
      <c r="J340" s="65">
        <f t="shared" ref="J340" si="564">I340*8</f>
        <v>88</v>
      </c>
      <c r="K340" s="65">
        <f t="shared" ref="K340" si="565">H340*I340*2</f>
        <v>8497.0600000000013</v>
      </c>
      <c r="L340" s="65"/>
      <c r="M340" s="65"/>
      <c r="N340" s="65">
        <v>250</v>
      </c>
      <c r="O340" s="65"/>
      <c r="P340" s="65"/>
      <c r="Q340" s="65"/>
      <c r="R340" s="65"/>
      <c r="S340" s="65"/>
      <c r="T340" s="65"/>
      <c r="U340" s="65"/>
      <c r="V340" s="65">
        <v>125</v>
      </c>
      <c r="W340" s="65"/>
      <c r="X340" s="65"/>
      <c r="Y340" s="65"/>
      <c r="Z340" s="65"/>
      <c r="AA340" s="65"/>
      <c r="AB340" s="65"/>
      <c r="AC340" s="65">
        <v>100</v>
      </c>
      <c r="AD340" s="65">
        <v>100</v>
      </c>
      <c r="AE340" s="65">
        <v>308.8</v>
      </c>
      <c r="AF340" s="65"/>
      <c r="AG340" s="65"/>
      <c r="AH340" s="65"/>
      <c r="AI340" s="65"/>
      <c r="AJ340" s="65">
        <v>8243.1</v>
      </c>
      <c r="AK340" s="65">
        <v>100407.93</v>
      </c>
    </row>
    <row r="341" spans="2:37" ht="12.75" customHeight="1">
      <c r="B341" s="5">
        <v>327</v>
      </c>
      <c r="C341" s="60" t="s">
        <v>610</v>
      </c>
      <c r="D341" s="60" t="s">
        <v>232</v>
      </c>
      <c r="E341" s="60" t="s">
        <v>733</v>
      </c>
      <c r="F341" s="66" t="s">
        <v>687</v>
      </c>
      <c r="G341" s="82" t="s">
        <v>688</v>
      </c>
      <c r="H341" s="65">
        <v>386.23</v>
      </c>
      <c r="I341" s="65">
        <v>11</v>
      </c>
      <c r="J341" s="65">
        <f t="shared" ref="J341" si="566">I341*8</f>
        <v>88</v>
      </c>
      <c r="K341" s="65">
        <f t="shared" ref="K341" si="567">H341*I341*2</f>
        <v>8497.0600000000013</v>
      </c>
      <c r="L341" s="65"/>
      <c r="M341" s="65"/>
      <c r="N341" s="65"/>
      <c r="O341" s="65"/>
      <c r="P341" s="65"/>
      <c r="Q341" s="65"/>
      <c r="R341" s="65"/>
      <c r="S341" s="65"/>
      <c r="T341" s="65"/>
      <c r="U341" s="65"/>
      <c r="V341" s="65">
        <v>125</v>
      </c>
      <c r="W341" s="65"/>
      <c r="X341" s="65"/>
      <c r="Y341" s="65"/>
      <c r="Z341" s="65"/>
      <c r="AA341" s="65"/>
      <c r="AB341" s="65"/>
      <c r="AC341" s="65">
        <v>100</v>
      </c>
      <c r="AD341" s="65">
        <v>100</v>
      </c>
      <c r="AE341" s="65">
        <v>308.8</v>
      </c>
      <c r="AF341" s="65"/>
      <c r="AG341" s="65"/>
      <c r="AH341" s="65"/>
      <c r="AI341" s="65"/>
      <c r="AJ341" s="65">
        <v>3540.42</v>
      </c>
      <c r="AK341" s="65">
        <v>42485.05</v>
      </c>
    </row>
    <row r="342" spans="2:37" ht="12.75" customHeight="1">
      <c r="B342" s="5">
        <v>328</v>
      </c>
      <c r="C342" s="60" t="s">
        <v>611</v>
      </c>
      <c r="D342" s="60" t="s">
        <v>440</v>
      </c>
      <c r="E342" s="60" t="s">
        <v>733</v>
      </c>
      <c r="F342" s="66" t="s">
        <v>687</v>
      </c>
      <c r="G342" s="82" t="s">
        <v>688</v>
      </c>
      <c r="H342" s="65">
        <f>5628.13/11</f>
        <v>511.64818181818185</v>
      </c>
      <c r="I342" s="65">
        <v>11</v>
      </c>
      <c r="J342" s="65">
        <f t="shared" ref="J342" si="568">I342*8</f>
        <v>88</v>
      </c>
      <c r="K342" s="65">
        <f t="shared" ref="K342" si="569">H342*I342*2</f>
        <v>11256.26</v>
      </c>
      <c r="L342" s="65"/>
      <c r="M342" s="65"/>
      <c r="N342" s="65">
        <v>250</v>
      </c>
      <c r="O342" s="65"/>
      <c r="P342" s="65"/>
      <c r="Q342" s="65"/>
      <c r="R342" s="65"/>
      <c r="S342" s="65"/>
      <c r="T342" s="65"/>
      <c r="U342" s="65"/>
      <c r="V342" s="65">
        <v>125</v>
      </c>
      <c r="W342" s="65"/>
      <c r="X342" s="65"/>
      <c r="Y342" s="65"/>
      <c r="Z342" s="65"/>
      <c r="AA342" s="65">
        <v>442</v>
      </c>
      <c r="AB342" s="65"/>
      <c r="AC342" s="65">
        <v>100</v>
      </c>
      <c r="AD342" s="65">
        <v>137.5</v>
      </c>
      <c r="AE342" s="65">
        <v>417.8</v>
      </c>
      <c r="AF342" s="65"/>
      <c r="AG342" s="65"/>
      <c r="AH342" s="65"/>
      <c r="AI342" s="65"/>
      <c r="AJ342" s="65">
        <v>10432.16</v>
      </c>
      <c r="AK342" s="65">
        <v>126799.93</v>
      </c>
    </row>
    <row r="343" spans="2:37" ht="12.75" customHeight="1">
      <c r="B343" s="5">
        <v>329</v>
      </c>
      <c r="C343" s="60" t="s">
        <v>612</v>
      </c>
      <c r="D343" s="60" t="s">
        <v>232</v>
      </c>
      <c r="E343" s="60" t="s">
        <v>733</v>
      </c>
      <c r="F343" s="66" t="s">
        <v>687</v>
      </c>
      <c r="G343" s="82" t="s">
        <v>688</v>
      </c>
      <c r="H343" s="65">
        <v>386.23</v>
      </c>
      <c r="I343" s="65">
        <v>11</v>
      </c>
      <c r="J343" s="65">
        <f t="shared" ref="J343" si="570">I343*8</f>
        <v>88</v>
      </c>
      <c r="K343" s="65">
        <f t="shared" ref="K343" si="571">H343*I343*2</f>
        <v>8497.0600000000013</v>
      </c>
      <c r="L343" s="65"/>
      <c r="M343" s="65"/>
      <c r="N343" s="65"/>
      <c r="O343" s="65"/>
      <c r="P343" s="65"/>
      <c r="Q343" s="65"/>
      <c r="R343" s="65"/>
      <c r="S343" s="65"/>
      <c r="T343" s="65"/>
      <c r="U343" s="65"/>
      <c r="V343" s="65">
        <v>125</v>
      </c>
      <c r="W343" s="65"/>
      <c r="X343" s="65"/>
      <c r="Y343" s="65"/>
      <c r="Z343" s="65"/>
      <c r="AA343" s="65"/>
      <c r="AB343" s="65"/>
      <c r="AC343" s="65">
        <v>100</v>
      </c>
      <c r="AD343" s="65">
        <v>100</v>
      </c>
      <c r="AE343" s="65">
        <v>308.8</v>
      </c>
      <c r="AF343" s="65"/>
      <c r="AG343" s="65"/>
      <c r="AH343" s="65"/>
      <c r="AI343" s="65"/>
      <c r="AJ343" s="65">
        <v>1062.1300000000001</v>
      </c>
      <c r="AK343" s="65">
        <v>12745.51</v>
      </c>
    </row>
    <row r="344" spans="2:37" ht="12.75" customHeight="1">
      <c r="B344" s="5">
        <v>330</v>
      </c>
      <c r="C344" s="60" t="s">
        <v>613</v>
      </c>
      <c r="D344" s="60" t="s">
        <v>232</v>
      </c>
      <c r="E344" s="60" t="s">
        <v>733</v>
      </c>
      <c r="F344" s="66" t="s">
        <v>687</v>
      </c>
      <c r="G344" s="82" t="s">
        <v>688</v>
      </c>
      <c r="H344" s="65">
        <v>386.23</v>
      </c>
      <c r="I344" s="65">
        <v>11</v>
      </c>
      <c r="J344" s="65">
        <f t="shared" ref="J344" si="572">I344*8</f>
        <v>88</v>
      </c>
      <c r="K344" s="65">
        <f t="shared" ref="K344" si="573">H344*I344*2</f>
        <v>8497.0600000000013</v>
      </c>
      <c r="L344" s="65"/>
      <c r="M344" s="65"/>
      <c r="N344" s="65"/>
      <c r="O344" s="65"/>
      <c r="P344" s="65"/>
      <c r="Q344" s="65"/>
      <c r="R344" s="65"/>
      <c r="S344" s="65"/>
      <c r="T344" s="65"/>
      <c r="U344" s="65"/>
      <c r="V344" s="65">
        <v>125</v>
      </c>
      <c r="W344" s="65"/>
      <c r="X344" s="65"/>
      <c r="Y344" s="65"/>
      <c r="Z344" s="65"/>
      <c r="AA344" s="65"/>
      <c r="AB344" s="65"/>
      <c r="AC344" s="65">
        <v>100</v>
      </c>
      <c r="AD344" s="65">
        <v>100</v>
      </c>
      <c r="AE344" s="65">
        <v>0</v>
      </c>
      <c r="AF344" s="65"/>
      <c r="AG344" s="65"/>
      <c r="AH344" s="65"/>
      <c r="AI344" s="65"/>
      <c r="AJ344" s="65">
        <v>3490.54</v>
      </c>
      <c r="AK344" s="65">
        <v>42485.05</v>
      </c>
    </row>
    <row r="345" spans="2:37" ht="12.75" customHeight="1">
      <c r="B345" s="5">
        <v>331</v>
      </c>
      <c r="C345" s="60" t="s">
        <v>614</v>
      </c>
      <c r="D345" s="60" t="s">
        <v>232</v>
      </c>
      <c r="E345" s="60" t="s">
        <v>733</v>
      </c>
      <c r="F345" s="66" t="s">
        <v>687</v>
      </c>
      <c r="G345" s="82" t="s">
        <v>688</v>
      </c>
      <c r="H345" s="65">
        <v>386.23</v>
      </c>
      <c r="I345" s="65">
        <v>11</v>
      </c>
      <c r="J345" s="65">
        <f t="shared" ref="J345:J392" si="574">I345*8</f>
        <v>88</v>
      </c>
      <c r="K345" s="65">
        <f t="shared" ref="K345:K390" si="575">H345*I345*2</f>
        <v>8497.0600000000013</v>
      </c>
      <c r="L345" s="65"/>
      <c r="M345" s="65"/>
      <c r="N345" s="65">
        <v>250</v>
      </c>
      <c r="O345" s="65"/>
      <c r="P345" s="65"/>
      <c r="Q345" s="65"/>
      <c r="R345" s="65"/>
      <c r="S345" s="65"/>
      <c r="T345" s="65"/>
      <c r="U345" s="65"/>
      <c r="V345" s="65">
        <v>125</v>
      </c>
      <c r="W345" s="65"/>
      <c r="X345" s="65"/>
      <c r="Y345" s="65"/>
      <c r="Z345" s="65"/>
      <c r="AA345" s="65"/>
      <c r="AB345" s="65"/>
      <c r="AC345" s="65">
        <v>100</v>
      </c>
      <c r="AD345" s="65">
        <v>100</v>
      </c>
      <c r="AE345" s="65">
        <v>308.8</v>
      </c>
      <c r="AF345" s="65"/>
      <c r="AG345" s="65"/>
      <c r="AH345" s="65"/>
      <c r="AI345" s="65"/>
      <c r="AJ345" s="65">
        <v>8218.0300000000007</v>
      </c>
      <c r="AK345" s="65">
        <v>100407.93</v>
      </c>
    </row>
    <row r="346" spans="2:37" ht="12.75" customHeight="1">
      <c r="B346" s="5">
        <v>332</v>
      </c>
      <c r="C346" s="60" t="s">
        <v>615</v>
      </c>
      <c r="D346" s="60" t="s">
        <v>232</v>
      </c>
      <c r="E346" s="60" t="s">
        <v>733</v>
      </c>
      <c r="F346" s="66" t="s">
        <v>687</v>
      </c>
      <c r="G346" s="82" t="s">
        <v>688</v>
      </c>
      <c r="H346" s="65">
        <v>386.23</v>
      </c>
      <c r="I346" s="65">
        <v>11</v>
      </c>
      <c r="J346" s="65">
        <f t="shared" si="574"/>
        <v>88</v>
      </c>
      <c r="K346" s="65">
        <f t="shared" si="575"/>
        <v>8497.0600000000013</v>
      </c>
      <c r="L346" s="65"/>
      <c r="M346" s="65"/>
      <c r="N346" s="65"/>
      <c r="O346" s="65"/>
      <c r="P346" s="65"/>
      <c r="Q346" s="65"/>
      <c r="R346" s="65"/>
      <c r="S346" s="65"/>
      <c r="T346" s="65"/>
      <c r="U346" s="65"/>
      <c r="V346" s="65">
        <v>125</v>
      </c>
      <c r="W346" s="65"/>
      <c r="X346" s="65"/>
      <c r="Y346" s="65"/>
      <c r="Z346" s="65"/>
      <c r="AA346" s="65"/>
      <c r="AB346" s="65"/>
      <c r="AC346" s="65">
        <v>100</v>
      </c>
      <c r="AD346" s="65">
        <v>100</v>
      </c>
      <c r="AE346" s="65">
        <v>308.8</v>
      </c>
      <c r="AF346" s="65"/>
      <c r="AG346" s="65"/>
      <c r="AH346" s="65"/>
      <c r="AI346" s="65"/>
      <c r="AJ346" s="65">
        <v>0</v>
      </c>
      <c r="AK346" s="65">
        <v>8497.01</v>
      </c>
    </row>
    <row r="347" spans="2:37" ht="12.75" customHeight="1">
      <c r="B347" s="5">
        <v>333</v>
      </c>
      <c r="C347" s="60" t="s">
        <v>616</v>
      </c>
      <c r="D347" s="60" t="s">
        <v>407</v>
      </c>
      <c r="E347" s="60" t="s">
        <v>733</v>
      </c>
      <c r="F347" s="66" t="s">
        <v>687</v>
      </c>
      <c r="G347" s="82" t="s">
        <v>688</v>
      </c>
      <c r="H347" s="65">
        <v>380</v>
      </c>
      <c r="I347" s="65">
        <v>11</v>
      </c>
      <c r="J347" s="65">
        <f t="shared" si="574"/>
        <v>88</v>
      </c>
      <c r="K347" s="65">
        <f t="shared" si="575"/>
        <v>8360</v>
      </c>
      <c r="L347" s="65"/>
      <c r="M347" s="65"/>
      <c r="N347" s="65">
        <v>250</v>
      </c>
      <c r="O347" s="65"/>
      <c r="P347" s="65"/>
      <c r="Q347" s="65"/>
      <c r="R347" s="65"/>
      <c r="S347" s="65"/>
      <c r="T347" s="65"/>
      <c r="U347" s="65"/>
      <c r="V347" s="65">
        <v>125</v>
      </c>
      <c r="W347" s="65"/>
      <c r="X347" s="65"/>
      <c r="Y347" s="65"/>
      <c r="Z347" s="65"/>
      <c r="AA347" s="65"/>
      <c r="AB347" s="65"/>
      <c r="AC347" s="65">
        <v>100</v>
      </c>
      <c r="AD347" s="65">
        <v>100</v>
      </c>
      <c r="AE347" s="65">
        <v>308.8</v>
      </c>
      <c r="AF347" s="65"/>
      <c r="AG347" s="65"/>
      <c r="AH347" s="65"/>
      <c r="AI347" s="65"/>
      <c r="AJ347" s="65">
        <v>7693.45</v>
      </c>
      <c r="AK347" s="65">
        <v>98736</v>
      </c>
    </row>
    <row r="348" spans="2:37" ht="12.75" customHeight="1">
      <c r="B348" s="5">
        <v>334</v>
      </c>
      <c r="C348" s="60" t="s">
        <v>617</v>
      </c>
      <c r="D348" s="60" t="s">
        <v>440</v>
      </c>
      <c r="E348" s="60" t="s">
        <v>733</v>
      </c>
      <c r="F348" s="66" t="s">
        <v>687</v>
      </c>
      <c r="G348" s="82" t="s">
        <v>688</v>
      </c>
      <c r="H348" s="65">
        <f>5628.13/11</f>
        <v>511.64818181818185</v>
      </c>
      <c r="I348" s="65">
        <v>11</v>
      </c>
      <c r="J348" s="65">
        <f t="shared" si="574"/>
        <v>88</v>
      </c>
      <c r="K348" s="65">
        <f t="shared" si="575"/>
        <v>11256.26</v>
      </c>
      <c r="L348" s="65"/>
      <c r="M348" s="65"/>
      <c r="N348" s="65">
        <v>250</v>
      </c>
      <c r="O348" s="65"/>
      <c r="P348" s="65"/>
      <c r="Q348" s="65"/>
      <c r="R348" s="65"/>
      <c r="S348" s="65"/>
      <c r="T348" s="65"/>
      <c r="U348" s="65"/>
      <c r="V348" s="65">
        <v>125</v>
      </c>
      <c r="W348" s="65"/>
      <c r="X348" s="65"/>
      <c r="Y348" s="65"/>
      <c r="Z348" s="65"/>
      <c r="AA348" s="65">
        <v>442</v>
      </c>
      <c r="AB348" s="65"/>
      <c r="AC348" s="65">
        <v>100</v>
      </c>
      <c r="AD348" s="65">
        <v>137.5</v>
      </c>
      <c r="AE348" s="65">
        <v>417.8</v>
      </c>
      <c r="AF348" s="65"/>
      <c r="AG348" s="65"/>
      <c r="AH348" s="65"/>
      <c r="AI348" s="65"/>
      <c r="AJ348" s="65">
        <v>10540.64</v>
      </c>
      <c r="AK348" s="65">
        <v>126799.93</v>
      </c>
    </row>
    <row r="349" spans="2:37" ht="12.75" customHeight="1">
      <c r="B349" s="5">
        <v>335</v>
      </c>
      <c r="C349" s="60" t="s">
        <v>618</v>
      </c>
      <c r="D349" s="60" t="s">
        <v>455</v>
      </c>
      <c r="E349" s="60" t="s">
        <v>733</v>
      </c>
      <c r="F349" s="66" t="s">
        <v>687</v>
      </c>
      <c r="G349" s="82" t="s">
        <v>688</v>
      </c>
      <c r="H349" s="65">
        <f>7100.68/11</f>
        <v>645.51636363636362</v>
      </c>
      <c r="I349" s="65">
        <v>11</v>
      </c>
      <c r="J349" s="65">
        <f t="shared" si="574"/>
        <v>88</v>
      </c>
      <c r="K349" s="65">
        <f t="shared" si="575"/>
        <v>14201.36</v>
      </c>
      <c r="L349" s="65"/>
      <c r="M349" s="65"/>
      <c r="N349" s="65">
        <v>250</v>
      </c>
      <c r="O349" s="65"/>
      <c r="P349" s="65"/>
      <c r="Q349" s="65"/>
      <c r="R349" s="65"/>
      <c r="S349" s="65"/>
      <c r="T349" s="65"/>
      <c r="U349" s="65"/>
      <c r="V349" s="65">
        <v>125</v>
      </c>
      <c r="W349" s="65"/>
      <c r="X349" s="65"/>
      <c r="Y349" s="65"/>
      <c r="Z349" s="65"/>
      <c r="AA349" s="65">
        <v>442</v>
      </c>
      <c r="AB349" s="65"/>
      <c r="AC349" s="65">
        <v>100</v>
      </c>
      <c r="AD349" s="65">
        <v>175</v>
      </c>
      <c r="AE349" s="65">
        <v>508.7</v>
      </c>
      <c r="AF349" s="65"/>
      <c r="AG349" s="65"/>
      <c r="AH349" s="65"/>
      <c r="AI349" s="65"/>
      <c r="AJ349" s="65">
        <v>13376.34</v>
      </c>
      <c r="AK349" s="65">
        <v>162089.76</v>
      </c>
    </row>
    <row r="350" spans="2:37" ht="12.75" customHeight="1">
      <c r="B350" s="5">
        <v>336</v>
      </c>
      <c r="C350" s="60" t="s">
        <v>619</v>
      </c>
      <c r="D350" s="60" t="s">
        <v>232</v>
      </c>
      <c r="E350" s="60" t="s">
        <v>734</v>
      </c>
      <c r="F350" s="66" t="s">
        <v>687</v>
      </c>
      <c r="G350" s="82" t="s">
        <v>688</v>
      </c>
      <c r="H350" s="65">
        <v>386.23</v>
      </c>
      <c r="I350" s="65">
        <v>11</v>
      </c>
      <c r="J350" s="65">
        <f t="shared" si="574"/>
        <v>88</v>
      </c>
      <c r="K350" s="65">
        <f t="shared" si="575"/>
        <v>8497.0600000000013</v>
      </c>
      <c r="L350" s="65"/>
      <c r="M350" s="65"/>
      <c r="N350" s="65">
        <v>250</v>
      </c>
      <c r="O350" s="65"/>
      <c r="P350" s="65"/>
      <c r="Q350" s="65"/>
      <c r="R350" s="65"/>
      <c r="S350" s="65"/>
      <c r="T350" s="65"/>
      <c r="U350" s="65"/>
      <c r="V350" s="65">
        <v>125</v>
      </c>
      <c r="W350" s="65"/>
      <c r="X350" s="65"/>
      <c r="Y350" s="65"/>
      <c r="Z350" s="65"/>
      <c r="AA350" s="65">
        <v>442</v>
      </c>
      <c r="AB350" s="65"/>
      <c r="AC350" s="65">
        <v>100</v>
      </c>
      <c r="AD350" s="65">
        <v>100</v>
      </c>
      <c r="AE350" s="65">
        <v>308.8</v>
      </c>
      <c r="AF350" s="65"/>
      <c r="AG350" s="65"/>
      <c r="AH350" s="65"/>
      <c r="AI350" s="65"/>
      <c r="AJ350" s="65">
        <v>8340.18</v>
      </c>
      <c r="AK350" s="65">
        <v>100407.93</v>
      </c>
    </row>
    <row r="351" spans="2:37" ht="12.75" customHeight="1">
      <c r="B351" s="5">
        <v>337</v>
      </c>
      <c r="C351" s="60" t="s">
        <v>620</v>
      </c>
      <c r="D351" s="60" t="s">
        <v>407</v>
      </c>
      <c r="E351" s="60" t="s">
        <v>734</v>
      </c>
      <c r="F351" s="66" t="s">
        <v>687</v>
      </c>
      <c r="G351" s="82" t="s">
        <v>688</v>
      </c>
      <c r="H351" s="65">
        <f>4628.57/11</f>
        <v>420.77909090909088</v>
      </c>
      <c r="I351" s="65">
        <v>11</v>
      </c>
      <c r="J351" s="65">
        <f t="shared" si="574"/>
        <v>88</v>
      </c>
      <c r="K351" s="65">
        <f t="shared" si="575"/>
        <v>9257.14</v>
      </c>
      <c r="L351" s="65"/>
      <c r="M351" s="65"/>
      <c r="N351" s="65">
        <v>250</v>
      </c>
      <c r="O351" s="65"/>
      <c r="P351" s="65"/>
      <c r="Q351" s="65"/>
      <c r="R351" s="65"/>
      <c r="S351" s="65"/>
      <c r="T351" s="65"/>
      <c r="U351" s="65"/>
      <c r="V351" s="65">
        <v>125</v>
      </c>
      <c r="W351" s="65"/>
      <c r="X351" s="65"/>
      <c r="Y351" s="65"/>
      <c r="Z351" s="65"/>
      <c r="AA351" s="65">
        <v>395</v>
      </c>
      <c r="AB351" s="65"/>
      <c r="AC351" s="65">
        <v>100</v>
      </c>
      <c r="AD351" s="65">
        <v>112.5</v>
      </c>
      <c r="AE351" s="65">
        <v>345.2</v>
      </c>
      <c r="AF351" s="65"/>
      <c r="AG351" s="65"/>
      <c r="AH351" s="65"/>
      <c r="AI351" s="65"/>
      <c r="AJ351" s="65">
        <v>9075.92</v>
      </c>
      <c r="AK351" s="65">
        <v>109667.1</v>
      </c>
    </row>
    <row r="352" spans="2:37" ht="12.75" customHeight="1">
      <c r="B352" s="5">
        <v>338</v>
      </c>
      <c r="C352" s="60" t="s">
        <v>621</v>
      </c>
      <c r="D352" s="60" t="s">
        <v>422</v>
      </c>
      <c r="E352" s="60" t="s">
        <v>734</v>
      </c>
      <c r="F352" s="66" t="s">
        <v>687</v>
      </c>
      <c r="G352" s="82" t="s">
        <v>688</v>
      </c>
      <c r="H352" s="65">
        <f>7084.9</f>
        <v>7084.9</v>
      </c>
      <c r="I352" s="65">
        <v>11</v>
      </c>
      <c r="J352" s="65">
        <f t="shared" si="574"/>
        <v>88</v>
      </c>
      <c r="K352" s="65">
        <f t="shared" si="575"/>
        <v>155867.79999999999</v>
      </c>
      <c r="L352" s="65"/>
      <c r="M352" s="65"/>
      <c r="N352" s="65">
        <v>250</v>
      </c>
      <c r="O352" s="65"/>
      <c r="P352" s="65"/>
      <c r="Q352" s="65"/>
      <c r="R352" s="65"/>
      <c r="S352" s="65"/>
      <c r="T352" s="65"/>
      <c r="U352" s="65"/>
      <c r="V352" s="65">
        <v>125</v>
      </c>
      <c r="W352" s="65"/>
      <c r="X352" s="65"/>
      <c r="Y352" s="65"/>
      <c r="Z352" s="65"/>
      <c r="AA352" s="65">
        <v>442</v>
      </c>
      <c r="AB352" s="65"/>
      <c r="AC352" s="65">
        <v>100</v>
      </c>
      <c r="AD352" s="65">
        <v>175</v>
      </c>
      <c r="AE352" s="65">
        <v>508.7</v>
      </c>
      <c r="AF352" s="65"/>
      <c r="AG352" s="65"/>
      <c r="AH352" s="65"/>
      <c r="AI352" s="65"/>
      <c r="AJ352" s="65">
        <v>11659.15</v>
      </c>
      <c r="AK352" s="65">
        <v>135451.57999999999</v>
      </c>
    </row>
    <row r="353" spans="2:37" ht="12.75" customHeight="1">
      <c r="B353" s="5">
        <v>339</v>
      </c>
      <c r="C353" s="60" t="s">
        <v>622</v>
      </c>
      <c r="D353" s="60" t="s">
        <v>407</v>
      </c>
      <c r="E353" s="60" t="s">
        <v>734</v>
      </c>
      <c r="F353" s="66" t="s">
        <v>687</v>
      </c>
      <c r="G353" s="82" t="s">
        <v>688</v>
      </c>
      <c r="H353" s="65">
        <v>380</v>
      </c>
      <c r="I353" s="65">
        <v>11</v>
      </c>
      <c r="J353" s="65">
        <f t="shared" si="574"/>
        <v>88</v>
      </c>
      <c r="K353" s="65">
        <f t="shared" si="575"/>
        <v>8360</v>
      </c>
      <c r="L353" s="65"/>
      <c r="M353" s="65"/>
      <c r="N353" s="65">
        <v>250</v>
      </c>
      <c r="O353" s="65"/>
      <c r="P353" s="65"/>
      <c r="Q353" s="65"/>
      <c r="R353" s="65"/>
      <c r="S353" s="65"/>
      <c r="T353" s="65"/>
      <c r="U353" s="65"/>
      <c r="V353" s="65">
        <v>125</v>
      </c>
      <c r="W353" s="65"/>
      <c r="X353" s="65"/>
      <c r="Y353" s="65"/>
      <c r="Z353" s="65"/>
      <c r="AA353" s="65"/>
      <c r="AB353" s="65"/>
      <c r="AC353" s="65">
        <v>100</v>
      </c>
      <c r="AD353" s="65">
        <v>100</v>
      </c>
      <c r="AE353" s="65">
        <v>308.8</v>
      </c>
      <c r="AF353" s="65"/>
      <c r="AG353" s="65"/>
      <c r="AH353" s="65"/>
      <c r="AI353" s="65"/>
      <c r="AJ353" s="65">
        <v>8355.7999999999993</v>
      </c>
      <c r="AK353" s="65">
        <v>98736</v>
      </c>
    </row>
    <row r="354" spans="2:37" ht="12.75" customHeight="1">
      <c r="B354" s="5">
        <v>340</v>
      </c>
      <c r="C354" s="60" t="s">
        <v>623</v>
      </c>
      <c r="D354" s="60" t="s">
        <v>407</v>
      </c>
      <c r="E354" s="60" t="s">
        <v>734</v>
      </c>
      <c r="F354" s="66" t="s">
        <v>687</v>
      </c>
      <c r="G354" s="82" t="s">
        <v>688</v>
      </c>
      <c r="H354" s="65">
        <v>386.23</v>
      </c>
      <c r="I354" s="65">
        <v>11</v>
      </c>
      <c r="J354" s="65">
        <f t="shared" si="574"/>
        <v>88</v>
      </c>
      <c r="K354" s="65">
        <f t="shared" si="575"/>
        <v>8497.0600000000013</v>
      </c>
      <c r="L354" s="65"/>
      <c r="M354" s="65"/>
      <c r="N354" s="65">
        <v>250</v>
      </c>
      <c r="O354" s="65"/>
      <c r="P354" s="65"/>
      <c r="Q354" s="65"/>
      <c r="R354" s="65"/>
      <c r="S354" s="65"/>
      <c r="T354" s="65"/>
      <c r="U354" s="65"/>
      <c r="V354" s="65">
        <v>125</v>
      </c>
      <c r="W354" s="65"/>
      <c r="X354" s="65"/>
      <c r="Y354" s="65"/>
      <c r="Z354" s="65"/>
      <c r="AA354" s="65"/>
      <c r="AB354" s="65"/>
      <c r="AC354" s="65">
        <v>100</v>
      </c>
      <c r="AD354" s="65">
        <v>100</v>
      </c>
      <c r="AE354" s="65">
        <v>308.8</v>
      </c>
      <c r="AF354" s="65"/>
      <c r="AG354" s="65"/>
      <c r="AH354" s="65"/>
      <c r="AI354" s="65"/>
      <c r="AJ354" s="65">
        <v>8286.9500000000007</v>
      </c>
      <c r="AK354" s="65">
        <v>100121.55</v>
      </c>
    </row>
    <row r="355" spans="2:37" ht="12.75" customHeight="1">
      <c r="B355" s="5">
        <v>341</v>
      </c>
      <c r="C355" s="60" t="s">
        <v>624</v>
      </c>
      <c r="D355" s="60" t="s">
        <v>407</v>
      </c>
      <c r="E355" s="60" t="s">
        <v>734</v>
      </c>
      <c r="F355" s="66" t="s">
        <v>687</v>
      </c>
      <c r="G355" s="82" t="s">
        <v>688</v>
      </c>
      <c r="H355" s="65">
        <v>380</v>
      </c>
      <c r="I355" s="65">
        <v>11</v>
      </c>
      <c r="J355" s="65">
        <f t="shared" si="574"/>
        <v>88</v>
      </c>
      <c r="K355" s="65">
        <f t="shared" si="575"/>
        <v>8360</v>
      </c>
      <c r="L355" s="65"/>
      <c r="M355" s="65"/>
      <c r="N355" s="65">
        <v>250</v>
      </c>
      <c r="O355" s="65"/>
      <c r="P355" s="65"/>
      <c r="Q355" s="65"/>
      <c r="R355" s="65"/>
      <c r="S355" s="65"/>
      <c r="T355" s="65"/>
      <c r="U355" s="65"/>
      <c r="V355" s="65">
        <v>125</v>
      </c>
      <c r="W355" s="65"/>
      <c r="X355" s="65"/>
      <c r="Y355" s="65"/>
      <c r="Z355" s="65"/>
      <c r="AA355" s="65"/>
      <c r="AB355" s="65"/>
      <c r="AC355" s="65">
        <v>100</v>
      </c>
      <c r="AD355" s="65">
        <v>100</v>
      </c>
      <c r="AE355" s="65">
        <v>308.8</v>
      </c>
      <c r="AF355" s="65"/>
      <c r="AG355" s="65"/>
      <c r="AH355" s="65"/>
      <c r="AI355" s="65"/>
      <c r="AJ355" s="65">
        <v>6464.65</v>
      </c>
      <c r="AK355" s="65">
        <v>78716</v>
      </c>
    </row>
    <row r="356" spans="2:37" ht="12.75" customHeight="1">
      <c r="B356" s="5">
        <v>342</v>
      </c>
      <c r="C356" s="60" t="s">
        <v>625</v>
      </c>
      <c r="D356" s="60" t="s">
        <v>232</v>
      </c>
      <c r="E356" s="60" t="s">
        <v>734</v>
      </c>
      <c r="F356" s="66" t="s">
        <v>687</v>
      </c>
      <c r="G356" s="82" t="s">
        <v>688</v>
      </c>
      <c r="H356" s="65">
        <v>386.23</v>
      </c>
      <c r="I356" s="65">
        <v>11</v>
      </c>
      <c r="J356" s="65">
        <f t="shared" si="574"/>
        <v>88</v>
      </c>
      <c r="K356" s="65">
        <f t="shared" si="575"/>
        <v>8497.0600000000013</v>
      </c>
      <c r="L356" s="65"/>
      <c r="M356" s="65"/>
      <c r="N356" s="65">
        <v>250</v>
      </c>
      <c r="O356" s="65"/>
      <c r="P356" s="65"/>
      <c r="Q356" s="65"/>
      <c r="R356" s="65"/>
      <c r="S356" s="65"/>
      <c r="T356" s="65"/>
      <c r="U356" s="65"/>
      <c r="V356" s="65">
        <v>125</v>
      </c>
      <c r="W356" s="65"/>
      <c r="X356" s="65"/>
      <c r="Y356" s="65"/>
      <c r="Z356" s="65"/>
      <c r="AA356" s="65"/>
      <c r="AB356" s="65"/>
      <c r="AC356" s="65">
        <v>100</v>
      </c>
      <c r="AD356" s="65">
        <v>100</v>
      </c>
      <c r="AE356" s="65">
        <v>308.8</v>
      </c>
      <c r="AF356" s="65"/>
      <c r="AG356" s="65"/>
      <c r="AH356" s="65"/>
      <c r="AI356" s="65"/>
      <c r="AJ356" s="65">
        <v>6916.94</v>
      </c>
      <c r="AK356" s="65">
        <v>84105.55</v>
      </c>
    </row>
    <row r="357" spans="2:37" ht="12.75" customHeight="1">
      <c r="B357" s="5">
        <v>343</v>
      </c>
      <c r="C357" s="60" t="s">
        <v>626</v>
      </c>
      <c r="D357" s="60" t="s">
        <v>232</v>
      </c>
      <c r="E357" s="60" t="s">
        <v>734</v>
      </c>
      <c r="F357" s="66" t="s">
        <v>687</v>
      </c>
      <c r="G357" s="82" t="s">
        <v>688</v>
      </c>
      <c r="H357" s="65">
        <v>386.23</v>
      </c>
      <c r="I357" s="65">
        <v>11</v>
      </c>
      <c r="J357" s="65">
        <f t="shared" si="574"/>
        <v>88</v>
      </c>
      <c r="K357" s="65">
        <f t="shared" si="575"/>
        <v>8497.0600000000013</v>
      </c>
      <c r="L357" s="65"/>
      <c r="M357" s="65"/>
      <c r="N357" s="65">
        <v>250</v>
      </c>
      <c r="O357" s="65"/>
      <c r="P357" s="65"/>
      <c r="Q357" s="65"/>
      <c r="R357" s="65"/>
      <c r="S357" s="65"/>
      <c r="T357" s="65"/>
      <c r="U357" s="65"/>
      <c r="V357" s="65">
        <v>125</v>
      </c>
      <c r="W357" s="65"/>
      <c r="X357" s="65"/>
      <c r="Y357" s="65"/>
      <c r="Z357" s="65"/>
      <c r="AA357" s="65"/>
      <c r="AB357" s="65"/>
      <c r="AC357" s="65">
        <v>100</v>
      </c>
      <c r="AD357" s="65">
        <v>100</v>
      </c>
      <c r="AE357" s="65">
        <v>308.8</v>
      </c>
      <c r="AF357" s="65"/>
      <c r="AG357" s="65"/>
      <c r="AH357" s="65"/>
      <c r="AI357" s="65"/>
      <c r="AJ357" s="65">
        <v>8484.66</v>
      </c>
      <c r="AK357" s="65">
        <v>100121.55</v>
      </c>
    </row>
    <row r="358" spans="2:37" ht="12.75" customHeight="1">
      <c r="B358" s="5">
        <v>344</v>
      </c>
      <c r="C358" s="60" t="s">
        <v>627</v>
      </c>
      <c r="D358" s="60" t="s">
        <v>232</v>
      </c>
      <c r="E358" s="60" t="s">
        <v>734</v>
      </c>
      <c r="F358" s="66" t="s">
        <v>687</v>
      </c>
      <c r="G358" s="82" t="s">
        <v>688</v>
      </c>
      <c r="H358" s="65">
        <v>386.23</v>
      </c>
      <c r="I358" s="65">
        <v>11</v>
      </c>
      <c r="J358" s="65">
        <f t="shared" si="574"/>
        <v>88</v>
      </c>
      <c r="K358" s="65">
        <f t="shared" si="575"/>
        <v>8497.0600000000013</v>
      </c>
      <c r="L358" s="65"/>
      <c r="M358" s="65"/>
      <c r="N358" s="65">
        <v>250</v>
      </c>
      <c r="O358" s="65"/>
      <c r="P358" s="65"/>
      <c r="Q358" s="65"/>
      <c r="R358" s="65"/>
      <c r="S358" s="65"/>
      <c r="T358" s="65"/>
      <c r="U358" s="65"/>
      <c r="V358" s="65">
        <v>125</v>
      </c>
      <c r="W358" s="65"/>
      <c r="X358" s="65"/>
      <c r="Y358" s="65"/>
      <c r="Z358" s="65"/>
      <c r="AA358" s="65"/>
      <c r="AB358" s="65"/>
      <c r="AC358" s="65">
        <v>100</v>
      </c>
      <c r="AD358" s="65">
        <v>100</v>
      </c>
      <c r="AE358" s="65">
        <v>308.8</v>
      </c>
      <c r="AF358" s="65"/>
      <c r="AG358" s="65"/>
      <c r="AH358" s="65"/>
      <c r="AI358" s="65"/>
      <c r="AJ358" s="65">
        <v>8245.5499999999993</v>
      </c>
      <c r="AK358" s="65">
        <v>100407.93</v>
      </c>
    </row>
    <row r="359" spans="2:37" ht="12.75" customHeight="1">
      <c r="B359" s="5">
        <v>345</v>
      </c>
      <c r="C359" s="60" t="s">
        <v>628</v>
      </c>
      <c r="D359" s="60" t="s">
        <v>232</v>
      </c>
      <c r="E359" s="60" t="s">
        <v>734</v>
      </c>
      <c r="F359" s="66" t="s">
        <v>687</v>
      </c>
      <c r="G359" s="82" t="s">
        <v>688</v>
      </c>
      <c r="H359" s="65">
        <v>386.23</v>
      </c>
      <c r="I359" s="65">
        <v>11</v>
      </c>
      <c r="J359" s="65">
        <f t="shared" si="574"/>
        <v>88</v>
      </c>
      <c r="K359" s="65">
        <f t="shared" si="575"/>
        <v>8497.0600000000013</v>
      </c>
      <c r="L359" s="65"/>
      <c r="M359" s="65"/>
      <c r="N359" s="65">
        <v>250</v>
      </c>
      <c r="O359" s="65"/>
      <c r="P359" s="65"/>
      <c r="Q359" s="65"/>
      <c r="R359" s="65"/>
      <c r="S359" s="65"/>
      <c r="T359" s="65"/>
      <c r="U359" s="65"/>
      <c r="V359" s="65">
        <v>125</v>
      </c>
      <c r="W359" s="65"/>
      <c r="X359" s="65"/>
      <c r="Y359" s="65"/>
      <c r="Z359" s="65"/>
      <c r="AA359" s="65"/>
      <c r="AB359" s="65"/>
      <c r="AC359" s="65">
        <v>100</v>
      </c>
      <c r="AD359" s="65">
        <v>100</v>
      </c>
      <c r="AE359" s="65">
        <v>308.8</v>
      </c>
      <c r="AF359" s="65"/>
      <c r="AG359" s="65"/>
      <c r="AH359" s="65"/>
      <c r="AI359" s="65"/>
      <c r="AJ359" s="65">
        <v>8373.8799999999992</v>
      </c>
      <c r="AK359" s="65">
        <v>100407.93</v>
      </c>
    </row>
    <row r="360" spans="2:37" ht="12.75" customHeight="1">
      <c r="B360" s="5">
        <v>346</v>
      </c>
      <c r="C360" s="60" t="s">
        <v>629</v>
      </c>
      <c r="D360" s="60" t="s">
        <v>232</v>
      </c>
      <c r="E360" s="60" t="s">
        <v>734</v>
      </c>
      <c r="F360" s="66" t="s">
        <v>687</v>
      </c>
      <c r="G360" s="82" t="s">
        <v>688</v>
      </c>
      <c r="H360" s="65">
        <v>386.23</v>
      </c>
      <c r="I360" s="65">
        <v>11</v>
      </c>
      <c r="J360" s="65">
        <f t="shared" si="574"/>
        <v>88</v>
      </c>
      <c r="K360" s="65">
        <f t="shared" si="575"/>
        <v>8497.0600000000013</v>
      </c>
      <c r="L360" s="65"/>
      <c r="M360" s="65"/>
      <c r="N360" s="65"/>
      <c r="O360" s="65"/>
      <c r="P360" s="65"/>
      <c r="Q360" s="65"/>
      <c r="R360" s="65"/>
      <c r="S360" s="65"/>
      <c r="T360" s="65"/>
      <c r="U360" s="65"/>
      <c r="V360" s="65">
        <v>125</v>
      </c>
      <c r="W360" s="65"/>
      <c r="X360" s="65"/>
      <c r="Y360" s="65"/>
      <c r="Z360" s="65"/>
      <c r="AA360" s="65"/>
      <c r="AB360" s="65"/>
      <c r="AC360" s="65">
        <v>100</v>
      </c>
      <c r="AD360" s="65">
        <v>100</v>
      </c>
      <c r="AE360" s="65">
        <v>308.8</v>
      </c>
      <c r="AF360" s="65"/>
      <c r="AG360" s="65"/>
      <c r="AH360" s="65"/>
      <c r="AI360" s="65"/>
      <c r="AJ360" s="65">
        <v>4215.92</v>
      </c>
      <c r="AK360" s="65">
        <v>46733.56</v>
      </c>
    </row>
    <row r="361" spans="2:37" ht="12.75" customHeight="1">
      <c r="B361" s="5">
        <v>347</v>
      </c>
      <c r="C361" s="60" t="s">
        <v>630</v>
      </c>
      <c r="D361" s="60" t="s">
        <v>232</v>
      </c>
      <c r="E361" s="60" t="s">
        <v>734</v>
      </c>
      <c r="F361" s="66" t="s">
        <v>687</v>
      </c>
      <c r="G361" s="82" t="s">
        <v>688</v>
      </c>
      <c r="H361" s="65">
        <v>386.23</v>
      </c>
      <c r="I361" s="65">
        <v>11</v>
      </c>
      <c r="J361" s="65">
        <f t="shared" si="574"/>
        <v>88</v>
      </c>
      <c r="K361" s="65">
        <f t="shared" si="575"/>
        <v>8497.0600000000013</v>
      </c>
      <c r="L361" s="65"/>
      <c r="M361" s="65"/>
      <c r="N361" s="65">
        <v>250</v>
      </c>
      <c r="O361" s="65"/>
      <c r="P361" s="65"/>
      <c r="Q361" s="65"/>
      <c r="R361" s="65"/>
      <c r="S361" s="65"/>
      <c r="T361" s="65"/>
      <c r="U361" s="65"/>
      <c r="V361" s="65">
        <v>125</v>
      </c>
      <c r="W361" s="65"/>
      <c r="X361" s="65"/>
      <c r="Y361" s="65"/>
      <c r="Z361" s="65"/>
      <c r="AA361" s="65">
        <v>442</v>
      </c>
      <c r="AB361" s="65"/>
      <c r="AC361" s="65">
        <v>100</v>
      </c>
      <c r="AD361" s="65">
        <v>100</v>
      </c>
      <c r="AE361" s="65">
        <v>308.8</v>
      </c>
      <c r="AF361" s="65"/>
      <c r="AG361" s="65"/>
      <c r="AH361" s="65"/>
      <c r="AI361" s="65"/>
      <c r="AJ361" s="65">
        <v>8113.06</v>
      </c>
      <c r="AK361" s="65">
        <v>100407.93</v>
      </c>
    </row>
    <row r="362" spans="2:37" ht="12.75" customHeight="1">
      <c r="B362" s="5">
        <v>348</v>
      </c>
      <c r="C362" s="60" t="s">
        <v>631</v>
      </c>
      <c r="D362" s="60" t="s">
        <v>407</v>
      </c>
      <c r="E362" s="60" t="s">
        <v>734</v>
      </c>
      <c r="F362" s="66" t="s">
        <v>687</v>
      </c>
      <c r="G362" s="82" t="s">
        <v>688</v>
      </c>
      <c r="H362" s="65">
        <v>380</v>
      </c>
      <c r="I362" s="65">
        <v>11</v>
      </c>
      <c r="J362" s="65">
        <f t="shared" si="574"/>
        <v>88</v>
      </c>
      <c r="K362" s="65">
        <f t="shared" si="575"/>
        <v>8360</v>
      </c>
      <c r="L362" s="65"/>
      <c r="M362" s="65"/>
      <c r="N362" s="65">
        <v>250</v>
      </c>
      <c r="O362" s="65"/>
      <c r="P362" s="65"/>
      <c r="Q362" s="65"/>
      <c r="R362" s="65"/>
      <c r="S362" s="65"/>
      <c r="T362" s="65"/>
      <c r="U362" s="65"/>
      <c r="V362" s="65">
        <v>125</v>
      </c>
      <c r="W362" s="65"/>
      <c r="X362" s="65"/>
      <c r="Y362" s="65"/>
      <c r="Z362" s="65"/>
      <c r="AA362" s="65"/>
      <c r="AB362" s="65"/>
      <c r="AC362" s="65">
        <v>100</v>
      </c>
      <c r="AD362" s="65">
        <v>100</v>
      </c>
      <c r="AE362" s="65">
        <v>308.8</v>
      </c>
      <c r="AF362" s="65"/>
      <c r="AG362" s="65"/>
      <c r="AH362" s="65"/>
      <c r="AI362" s="65"/>
      <c r="AJ362" s="65">
        <v>8000.13</v>
      </c>
      <c r="AK362" s="65">
        <v>98736</v>
      </c>
    </row>
    <row r="363" spans="2:37" ht="12.75" customHeight="1">
      <c r="B363" s="5">
        <v>349</v>
      </c>
      <c r="C363" s="60" t="s">
        <v>632</v>
      </c>
      <c r="D363" s="60" t="s">
        <v>232</v>
      </c>
      <c r="E363" s="60" t="s">
        <v>734</v>
      </c>
      <c r="F363" s="66" t="s">
        <v>687</v>
      </c>
      <c r="G363" s="82" t="s">
        <v>688</v>
      </c>
      <c r="H363" s="65">
        <v>386.23</v>
      </c>
      <c r="I363" s="65">
        <v>11</v>
      </c>
      <c r="J363" s="65">
        <f t="shared" si="574"/>
        <v>88</v>
      </c>
      <c r="K363" s="65">
        <f t="shared" si="575"/>
        <v>8497.0600000000013</v>
      </c>
      <c r="L363" s="65"/>
      <c r="M363" s="65"/>
      <c r="N363" s="65">
        <v>250</v>
      </c>
      <c r="O363" s="65"/>
      <c r="P363" s="65"/>
      <c r="Q363" s="65"/>
      <c r="R363" s="65"/>
      <c r="S363" s="65"/>
      <c r="T363" s="65"/>
      <c r="U363" s="65"/>
      <c r="V363" s="65">
        <v>125</v>
      </c>
      <c r="W363" s="65"/>
      <c r="X363" s="65"/>
      <c r="Y363" s="65"/>
      <c r="Z363" s="65"/>
      <c r="AA363" s="65"/>
      <c r="AB363" s="65"/>
      <c r="AC363" s="65">
        <v>100</v>
      </c>
      <c r="AD363" s="65">
        <v>100</v>
      </c>
      <c r="AE363" s="65">
        <v>308.8</v>
      </c>
      <c r="AF363" s="65"/>
      <c r="AG363" s="65"/>
      <c r="AH363" s="65"/>
      <c r="AI363" s="65"/>
      <c r="AJ363" s="65">
        <v>8302.31</v>
      </c>
      <c r="AK363" s="65">
        <v>100407.93</v>
      </c>
    </row>
    <row r="364" spans="2:37" ht="12.75" customHeight="1">
      <c r="B364" s="5">
        <v>350</v>
      </c>
      <c r="C364" s="60" t="s">
        <v>633</v>
      </c>
      <c r="D364" s="60" t="s">
        <v>440</v>
      </c>
      <c r="E364" s="60" t="s">
        <v>734</v>
      </c>
      <c r="F364" s="66" t="s">
        <v>687</v>
      </c>
      <c r="G364" s="82" t="s">
        <v>688</v>
      </c>
      <c r="H364" s="65">
        <v>500</v>
      </c>
      <c r="I364" s="65">
        <v>11</v>
      </c>
      <c r="J364" s="65">
        <f t="shared" si="574"/>
        <v>88</v>
      </c>
      <c r="K364" s="65">
        <f t="shared" si="575"/>
        <v>11000</v>
      </c>
      <c r="L364" s="65"/>
      <c r="M364" s="65"/>
      <c r="N364" s="65">
        <v>250</v>
      </c>
      <c r="O364" s="65"/>
      <c r="P364" s="65"/>
      <c r="Q364" s="65"/>
      <c r="R364" s="65"/>
      <c r="S364" s="65"/>
      <c r="T364" s="65"/>
      <c r="U364" s="65"/>
      <c r="V364" s="65">
        <v>125</v>
      </c>
      <c r="W364" s="65"/>
      <c r="X364" s="65"/>
      <c r="Y364" s="65"/>
      <c r="Z364" s="65"/>
      <c r="AA364" s="65">
        <v>566</v>
      </c>
      <c r="AB364" s="65"/>
      <c r="AC364" s="65">
        <v>100</v>
      </c>
      <c r="AD364" s="65">
        <v>137.5</v>
      </c>
      <c r="AE364" s="65">
        <v>399.7</v>
      </c>
      <c r="AF364" s="65"/>
      <c r="AG364" s="65"/>
      <c r="AH364" s="65"/>
      <c r="AI364" s="65"/>
      <c r="AJ364" s="65">
        <v>9501.2099999999991</v>
      </c>
      <c r="AK364" s="65">
        <v>114006.65</v>
      </c>
    </row>
    <row r="365" spans="2:37" ht="12.75" customHeight="1">
      <c r="B365" s="5">
        <v>351</v>
      </c>
      <c r="C365" s="60" t="s">
        <v>634</v>
      </c>
      <c r="D365" s="60" t="s">
        <v>407</v>
      </c>
      <c r="E365" s="60" t="s">
        <v>734</v>
      </c>
      <c r="F365" s="66" t="s">
        <v>687</v>
      </c>
      <c r="G365" s="82" t="s">
        <v>688</v>
      </c>
      <c r="H365" s="65">
        <f>4427.38/11</f>
        <v>402.48909090909092</v>
      </c>
      <c r="I365" s="65">
        <v>11</v>
      </c>
      <c r="J365" s="65">
        <f t="shared" si="574"/>
        <v>88</v>
      </c>
      <c r="K365" s="65">
        <f t="shared" si="575"/>
        <v>8854.76</v>
      </c>
      <c r="L365" s="65"/>
      <c r="M365" s="65"/>
      <c r="N365" s="65">
        <v>250</v>
      </c>
      <c r="O365" s="65"/>
      <c r="P365" s="65"/>
      <c r="Q365" s="65"/>
      <c r="R365" s="65"/>
      <c r="S365" s="65"/>
      <c r="T365" s="65"/>
      <c r="U365" s="65"/>
      <c r="V365" s="65">
        <v>125</v>
      </c>
      <c r="W365" s="65"/>
      <c r="X365" s="65"/>
      <c r="Y365" s="65"/>
      <c r="Z365" s="65"/>
      <c r="AA365" s="65">
        <v>507</v>
      </c>
      <c r="AB365" s="65"/>
      <c r="AC365" s="65">
        <v>100</v>
      </c>
      <c r="AD365" s="65">
        <v>100</v>
      </c>
      <c r="AE365" s="65">
        <v>327</v>
      </c>
      <c r="AF365" s="65"/>
      <c r="AG365" s="65"/>
      <c r="AH365" s="65"/>
      <c r="AI365" s="65"/>
      <c r="AJ365" s="65">
        <v>8713.57</v>
      </c>
      <c r="AK365" s="65">
        <v>104768.89</v>
      </c>
    </row>
    <row r="366" spans="2:37" ht="12.75" customHeight="1">
      <c r="B366" s="5">
        <v>352</v>
      </c>
      <c r="C366" s="60" t="s">
        <v>635</v>
      </c>
      <c r="D366" s="60" t="s">
        <v>232</v>
      </c>
      <c r="E366" s="60" t="s">
        <v>734</v>
      </c>
      <c r="F366" s="66" t="s">
        <v>687</v>
      </c>
      <c r="G366" s="82" t="s">
        <v>688</v>
      </c>
      <c r="H366" s="65">
        <v>386.23</v>
      </c>
      <c r="I366" s="65">
        <v>11</v>
      </c>
      <c r="J366" s="65">
        <f t="shared" si="574"/>
        <v>88</v>
      </c>
      <c r="K366" s="65">
        <f t="shared" si="575"/>
        <v>8497.0600000000013</v>
      </c>
      <c r="L366" s="65"/>
      <c r="M366" s="65"/>
      <c r="N366" s="65">
        <v>250</v>
      </c>
      <c r="O366" s="65"/>
      <c r="P366" s="65"/>
      <c r="Q366" s="65"/>
      <c r="R366" s="65"/>
      <c r="S366" s="65"/>
      <c r="T366" s="65"/>
      <c r="U366" s="65"/>
      <c r="V366" s="65">
        <v>125</v>
      </c>
      <c r="W366" s="65"/>
      <c r="X366" s="65"/>
      <c r="Y366" s="65"/>
      <c r="Z366" s="65"/>
      <c r="AA366" s="65"/>
      <c r="AB366" s="65"/>
      <c r="AC366" s="65">
        <v>100</v>
      </c>
      <c r="AD366" s="65">
        <v>100</v>
      </c>
      <c r="AE366" s="65">
        <v>308.8</v>
      </c>
      <c r="AF366" s="65"/>
      <c r="AG366" s="65"/>
      <c r="AH366" s="65"/>
      <c r="AI366" s="65"/>
      <c r="AJ366" s="65">
        <v>7489.04</v>
      </c>
      <c r="AK366" s="65">
        <v>95873.05</v>
      </c>
    </row>
    <row r="367" spans="2:37" ht="12.75" customHeight="1">
      <c r="B367" s="5">
        <v>353</v>
      </c>
      <c r="C367" s="60" t="s">
        <v>636</v>
      </c>
      <c r="D367" s="60" t="s">
        <v>232</v>
      </c>
      <c r="E367" s="60" t="s">
        <v>734</v>
      </c>
      <c r="F367" s="66" t="s">
        <v>687</v>
      </c>
      <c r="G367" s="82" t="s">
        <v>688</v>
      </c>
      <c r="H367" s="65">
        <v>386.23</v>
      </c>
      <c r="I367" s="65">
        <v>11</v>
      </c>
      <c r="J367" s="65">
        <f t="shared" si="574"/>
        <v>88</v>
      </c>
      <c r="K367" s="65">
        <f t="shared" si="575"/>
        <v>8497.0600000000013</v>
      </c>
      <c r="L367" s="65"/>
      <c r="M367" s="65"/>
      <c r="N367" s="65"/>
      <c r="O367" s="65"/>
      <c r="P367" s="65"/>
      <c r="Q367" s="65"/>
      <c r="R367" s="65"/>
      <c r="S367" s="65"/>
      <c r="T367" s="65"/>
      <c r="U367" s="65"/>
      <c r="V367" s="65">
        <v>125</v>
      </c>
      <c r="W367" s="65"/>
      <c r="X367" s="65"/>
      <c r="Y367" s="65"/>
      <c r="Z367" s="65"/>
      <c r="AA367" s="65"/>
      <c r="AB367" s="65"/>
      <c r="AC367" s="65">
        <v>100</v>
      </c>
      <c r="AD367" s="65">
        <v>100</v>
      </c>
      <c r="AE367" s="65">
        <v>308.8</v>
      </c>
      <c r="AF367" s="65"/>
      <c r="AG367" s="65"/>
      <c r="AH367" s="65"/>
      <c r="AI367" s="65"/>
      <c r="AJ367" s="65">
        <v>1416.17</v>
      </c>
      <c r="AK367" s="65">
        <v>16994.02</v>
      </c>
    </row>
    <row r="368" spans="2:37" ht="12.75" customHeight="1">
      <c r="B368" s="5">
        <v>354</v>
      </c>
      <c r="C368" s="60" t="s">
        <v>637</v>
      </c>
      <c r="D368" s="60" t="s">
        <v>440</v>
      </c>
      <c r="E368" s="60" t="s">
        <v>734</v>
      </c>
      <c r="F368" s="66" t="s">
        <v>687</v>
      </c>
      <c r="G368" s="82" t="s">
        <v>688</v>
      </c>
      <c r="H368" s="65">
        <v>500</v>
      </c>
      <c r="I368" s="65">
        <v>11</v>
      </c>
      <c r="J368" s="65">
        <f t="shared" si="574"/>
        <v>88</v>
      </c>
      <c r="K368" s="65">
        <f t="shared" si="575"/>
        <v>11000</v>
      </c>
      <c r="L368" s="65"/>
      <c r="M368" s="65"/>
      <c r="N368" s="65">
        <v>250</v>
      </c>
      <c r="O368" s="65"/>
      <c r="P368" s="65"/>
      <c r="Q368" s="65"/>
      <c r="R368" s="65"/>
      <c r="S368" s="65"/>
      <c r="T368" s="65"/>
      <c r="U368" s="65"/>
      <c r="V368" s="65">
        <v>125</v>
      </c>
      <c r="W368" s="65"/>
      <c r="X368" s="65"/>
      <c r="Y368" s="65"/>
      <c r="Z368" s="65"/>
      <c r="AA368" s="65">
        <v>442</v>
      </c>
      <c r="AB368" s="65"/>
      <c r="AC368" s="65">
        <v>100</v>
      </c>
      <c r="AD368" s="65">
        <v>137.5</v>
      </c>
      <c r="AE368" s="65">
        <v>399.7</v>
      </c>
      <c r="AF368" s="65"/>
      <c r="AG368" s="65"/>
      <c r="AH368" s="65"/>
      <c r="AI368" s="65"/>
      <c r="AJ368" s="65">
        <v>9272.42</v>
      </c>
      <c r="AK368" s="65">
        <v>111671.39</v>
      </c>
    </row>
    <row r="369" spans="2:37" ht="12.75" customHeight="1">
      <c r="B369" s="5">
        <v>355</v>
      </c>
      <c r="C369" s="60" t="s">
        <v>638</v>
      </c>
      <c r="D369" s="60" t="s">
        <v>407</v>
      </c>
      <c r="E369" s="60" t="s">
        <v>734</v>
      </c>
      <c r="F369" s="66" t="s">
        <v>687</v>
      </c>
      <c r="G369" s="82" t="s">
        <v>688</v>
      </c>
      <c r="H369" s="65">
        <v>380</v>
      </c>
      <c r="I369" s="65">
        <v>11</v>
      </c>
      <c r="J369" s="65">
        <f t="shared" si="574"/>
        <v>88</v>
      </c>
      <c r="K369" s="65">
        <f t="shared" si="575"/>
        <v>8360</v>
      </c>
      <c r="L369" s="65"/>
      <c r="M369" s="65"/>
      <c r="N369" s="65"/>
      <c r="O369" s="65"/>
      <c r="P369" s="65"/>
      <c r="Q369" s="65"/>
      <c r="R369" s="65"/>
      <c r="S369" s="65"/>
      <c r="T369" s="65"/>
      <c r="U369" s="65"/>
      <c r="V369" s="65">
        <v>125</v>
      </c>
      <c r="W369" s="65"/>
      <c r="X369" s="65"/>
      <c r="Y369" s="65"/>
      <c r="Z369" s="65"/>
      <c r="AA369" s="65"/>
      <c r="AB369" s="65"/>
      <c r="AC369" s="65">
        <v>100</v>
      </c>
      <c r="AD369" s="65">
        <v>100</v>
      </c>
      <c r="AE369" s="65">
        <v>308.8</v>
      </c>
      <c r="AF369" s="65"/>
      <c r="AG369" s="65"/>
      <c r="AH369" s="65"/>
      <c r="AI369" s="65"/>
      <c r="AJ369" s="65">
        <v>5557.81</v>
      </c>
      <c r="AK369" s="65">
        <v>66704</v>
      </c>
    </row>
    <row r="370" spans="2:37" ht="12.75" customHeight="1">
      <c r="B370" s="5">
        <v>356</v>
      </c>
      <c r="C370" s="60" t="s">
        <v>639</v>
      </c>
      <c r="D370" s="60" t="s">
        <v>232</v>
      </c>
      <c r="E370" s="60" t="s">
        <v>734</v>
      </c>
      <c r="F370" s="66" t="s">
        <v>687</v>
      </c>
      <c r="G370" s="82" t="s">
        <v>688</v>
      </c>
      <c r="H370" s="65">
        <v>386.23</v>
      </c>
      <c r="I370" s="65">
        <v>11</v>
      </c>
      <c r="J370" s="65">
        <f t="shared" si="574"/>
        <v>88</v>
      </c>
      <c r="K370" s="65">
        <f t="shared" si="575"/>
        <v>8497.0600000000013</v>
      </c>
      <c r="L370" s="65"/>
      <c r="M370" s="65"/>
      <c r="N370" s="65"/>
      <c r="O370" s="65"/>
      <c r="P370" s="65"/>
      <c r="Q370" s="65"/>
      <c r="R370" s="65"/>
      <c r="S370" s="65"/>
      <c r="T370" s="65"/>
      <c r="U370" s="65"/>
      <c r="V370" s="65">
        <v>125</v>
      </c>
      <c r="W370" s="65"/>
      <c r="X370" s="65"/>
      <c r="Y370" s="65"/>
      <c r="Z370" s="65"/>
      <c r="AA370" s="65"/>
      <c r="AB370" s="65"/>
      <c r="AC370" s="65">
        <v>100</v>
      </c>
      <c r="AD370" s="65">
        <v>100</v>
      </c>
      <c r="AE370" s="65">
        <v>308.8</v>
      </c>
      <c r="AF370" s="65"/>
      <c r="AG370" s="65"/>
      <c r="AH370" s="65"/>
      <c r="AI370" s="65"/>
      <c r="AJ370" s="65">
        <v>2800.15</v>
      </c>
      <c r="AK370" s="65">
        <v>25491.03</v>
      </c>
    </row>
    <row r="371" spans="2:37" ht="12.75" customHeight="1">
      <c r="B371" s="5">
        <v>357</v>
      </c>
      <c r="C371" s="60" t="s">
        <v>640</v>
      </c>
      <c r="D371" s="60" t="s">
        <v>232</v>
      </c>
      <c r="E371" s="60" t="s">
        <v>735</v>
      </c>
      <c r="F371" s="66" t="s">
        <v>687</v>
      </c>
      <c r="G371" s="82" t="s">
        <v>688</v>
      </c>
      <c r="H371" s="65">
        <v>386.23</v>
      </c>
      <c r="I371" s="65">
        <v>11</v>
      </c>
      <c r="J371" s="65">
        <f t="shared" si="574"/>
        <v>88</v>
      </c>
      <c r="K371" s="65">
        <f t="shared" si="575"/>
        <v>8497.0600000000013</v>
      </c>
      <c r="L371" s="65"/>
      <c r="M371" s="65"/>
      <c r="N371" s="65">
        <v>250</v>
      </c>
      <c r="O371" s="65"/>
      <c r="P371" s="65"/>
      <c r="Q371" s="65"/>
      <c r="R371" s="65"/>
      <c r="S371" s="65"/>
      <c r="T371" s="65"/>
      <c r="U371" s="65"/>
      <c r="V371" s="65">
        <v>125</v>
      </c>
      <c r="W371" s="65"/>
      <c r="X371" s="65"/>
      <c r="Y371" s="65"/>
      <c r="Z371" s="65"/>
      <c r="AA371" s="65">
        <v>356</v>
      </c>
      <c r="AB371" s="65"/>
      <c r="AC371" s="65">
        <v>100</v>
      </c>
      <c r="AD371" s="65">
        <v>100</v>
      </c>
      <c r="AE371" s="65">
        <v>308.8</v>
      </c>
      <c r="AF371" s="65"/>
      <c r="AG371" s="65"/>
      <c r="AH371" s="65"/>
      <c r="AI371" s="65"/>
      <c r="AJ371" s="65">
        <v>8358.0400000000009</v>
      </c>
      <c r="AK371" s="65">
        <v>100407.93</v>
      </c>
    </row>
    <row r="372" spans="2:37" ht="12.75" customHeight="1">
      <c r="B372" s="5">
        <v>358</v>
      </c>
      <c r="C372" s="60" t="s">
        <v>641</v>
      </c>
      <c r="D372" s="60" t="s">
        <v>455</v>
      </c>
      <c r="E372" s="60" t="s">
        <v>735</v>
      </c>
      <c r="F372" s="66" t="s">
        <v>687</v>
      </c>
      <c r="G372" s="82" t="s">
        <v>688</v>
      </c>
      <c r="H372" s="65">
        <f>7100.68/11</f>
        <v>645.51636363636362</v>
      </c>
      <c r="I372" s="65">
        <v>11</v>
      </c>
      <c r="J372" s="65">
        <f t="shared" si="574"/>
        <v>88</v>
      </c>
      <c r="K372" s="65">
        <f t="shared" si="575"/>
        <v>14201.36</v>
      </c>
      <c r="L372" s="65"/>
      <c r="M372" s="65"/>
      <c r="N372" s="65">
        <v>250</v>
      </c>
      <c r="O372" s="65"/>
      <c r="P372" s="65"/>
      <c r="Q372" s="65"/>
      <c r="R372" s="65"/>
      <c r="S372" s="65"/>
      <c r="T372" s="65"/>
      <c r="U372" s="65"/>
      <c r="V372" s="65">
        <v>125</v>
      </c>
      <c r="W372" s="65"/>
      <c r="X372" s="65"/>
      <c r="Y372" s="65"/>
      <c r="Z372" s="65"/>
      <c r="AA372" s="65">
        <v>566</v>
      </c>
      <c r="AB372" s="65"/>
      <c r="AC372" s="65">
        <v>100</v>
      </c>
      <c r="AD372" s="65">
        <v>175</v>
      </c>
      <c r="AE372" s="65">
        <v>508.7</v>
      </c>
      <c r="AF372" s="65"/>
      <c r="AG372" s="65"/>
      <c r="AH372" s="65"/>
      <c r="AI372" s="65"/>
      <c r="AJ372" s="65">
        <v>12632.66</v>
      </c>
      <c r="AK372" s="65">
        <v>158676.44</v>
      </c>
    </row>
    <row r="373" spans="2:37" ht="12.75" customHeight="1">
      <c r="B373" s="5">
        <v>359</v>
      </c>
      <c r="C373" s="60" t="s">
        <v>642</v>
      </c>
      <c r="D373" s="60" t="s">
        <v>440</v>
      </c>
      <c r="E373" s="60" t="s">
        <v>735</v>
      </c>
      <c r="F373" s="66" t="s">
        <v>687</v>
      </c>
      <c r="G373" s="82" t="s">
        <v>688</v>
      </c>
      <c r="H373" s="65">
        <v>386.23</v>
      </c>
      <c r="I373" s="65">
        <v>11</v>
      </c>
      <c r="J373" s="65">
        <f t="shared" si="574"/>
        <v>88</v>
      </c>
      <c r="K373" s="65">
        <f t="shared" si="575"/>
        <v>8497.0600000000013</v>
      </c>
      <c r="L373" s="65"/>
      <c r="M373" s="65"/>
      <c r="N373" s="65">
        <v>250</v>
      </c>
      <c r="O373" s="65"/>
      <c r="P373" s="65"/>
      <c r="Q373" s="65"/>
      <c r="R373" s="65"/>
      <c r="S373" s="65"/>
      <c r="T373" s="65"/>
      <c r="U373" s="65"/>
      <c r="V373" s="65">
        <v>125</v>
      </c>
      <c r="W373" s="65"/>
      <c r="X373" s="65"/>
      <c r="Y373" s="65"/>
      <c r="Z373" s="65"/>
      <c r="AA373" s="65">
        <f>626+442</f>
        <v>1068</v>
      </c>
      <c r="AB373" s="65"/>
      <c r="AC373" s="65">
        <v>100</v>
      </c>
      <c r="AD373" s="65">
        <v>100</v>
      </c>
      <c r="AE373" s="65">
        <v>308.8</v>
      </c>
      <c r="AF373" s="65"/>
      <c r="AG373" s="65"/>
      <c r="AH373" s="65"/>
      <c r="AI373" s="65"/>
      <c r="AJ373" s="65">
        <v>8305</v>
      </c>
      <c r="AK373" s="65">
        <v>100407.93</v>
      </c>
    </row>
    <row r="374" spans="2:37" ht="12.75" customHeight="1">
      <c r="B374" s="5">
        <v>360</v>
      </c>
      <c r="C374" s="60" t="s">
        <v>643</v>
      </c>
      <c r="D374" s="60" t="s">
        <v>407</v>
      </c>
      <c r="E374" s="60" t="s">
        <v>735</v>
      </c>
      <c r="F374" s="66" t="s">
        <v>687</v>
      </c>
      <c r="G374" s="82" t="s">
        <v>688</v>
      </c>
      <c r="H374" s="65">
        <v>380</v>
      </c>
      <c r="I374" s="65">
        <v>11</v>
      </c>
      <c r="J374" s="65">
        <f t="shared" si="574"/>
        <v>88</v>
      </c>
      <c r="K374" s="65">
        <f t="shared" si="575"/>
        <v>8360</v>
      </c>
      <c r="L374" s="65"/>
      <c r="M374" s="65"/>
      <c r="N374" s="65">
        <v>250</v>
      </c>
      <c r="O374" s="65"/>
      <c r="P374" s="65"/>
      <c r="Q374" s="65"/>
      <c r="R374" s="65"/>
      <c r="S374" s="65"/>
      <c r="T374" s="65"/>
      <c r="U374" s="65"/>
      <c r="V374" s="65">
        <v>125</v>
      </c>
      <c r="W374" s="65"/>
      <c r="X374" s="65"/>
      <c r="Y374" s="65"/>
      <c r="Z374" s="65"/>
      <c r="AA374" s="65">
        <f>564</f>
        <v>564</v>
      </c>
      <c r="AB374" s="65"/>
      <c r="AC374" s="65">
        <v>100</v>
      </c>
      <c r="AD374" s="65">
        <v>100</v>
      </c>
      <c r="AE374" s="65">
        <v>308.8</v>
      </c>
      <c r="AF374" s="65"/>
      <c r="AG374" s="65"/>
      <c r="AH374" s="65"/>
      <c r="AI374" s="65"/>
      <c r="AJ374" s="65">
        <v>8170.38</v>
      </c>
      <c r="AK374" s="65">
        <v>98736</v>
      </c>
    </row>
    <row r="375" spans="2:37" ht="12.75" customHeight="1">
      <c r="B375" s="5">
        <v>361</v>
      </c>
      <c r="C375" s="60" t="s">
        <v>644</v>
      </c>
      <c r="D375" s="60" t="s">
        <v>407</v>
      </c>
      <c r="E375" s="60" t="s">
        <v>735</v>
      </c>
      <c r="F375" s="66" t="s">
        <v>687</v>
      </c>
      <c r="G375" s="82" t="s">
        <v>688</v>
      </c>
      <c r="H375" s="65">
        <v>380</v>
      </c>
      <c r="I375" s="65">
        <v>11</v>
      </c>
      <c r="J375" s="65">
        <f t="shared" si="574"/>
        <v>88</v>
      </c>
      <c r="K375" s="65">
        <f t="shared" si="575"/>
        <v>8360</v>
      </c>
      <c r="L375" s="65"/>
      <c r="M375" s="65"/>
      <c r="N375" s="65">
        <v>250</v>
      </c>
      <c r="O375" s="65"/>
      <c r="P375" s="65"/>
      <c r="Q375" s="65"/>
      <c r="R375" s="65"/>
      <c r="S375" s="65"/>
      <c r="T375" s="65"/>
      <c r="U375" s="65"/>
      <c r="V375" s="65">
        <v>125</v>
      </c>
      <c r="W375" s="65"/>
      <c r="X375" s="65"/>
      <c r="Y375" s="65"/>
      <c r="Z375" s="65"/>
      <c r="AA375" s="65">
        <v>395</v>
      </c>
      <c r="AB375" s="65"/>
      <c r="AC375" s="65">
        <v>100</v>
      </c>
      <c r="AD375" s="65">
        <v>100</v>
      </c>
      <c r="AE375" s="65">
        <v>308.8</v>
      </c>
      <c r="AF375" s="65"/>
      <c r="AG375" s="65"/>
      <c r="AH375" s="65"/>
      <c r="AI375" s="65"/>
      <c r="AJ375" s="65">
        <v>8061.68</v>
      </c>
      <c r="AK375" s="65">
        <v>98736</v>
      </c>
    </row>
    <row r="376" spans="2:37" ht="12.75" customHeight="1">
      <c r="B376" s="5">
        <v>362</v>
      </c>
      <c r="C376" s="60" t="s">
        <v>645</v>
      </c>
      <c r="D376" s="60" t="s">
        <v>232</v>
      </c>
      <c r="E376" s="60" t="s">
        <v>735</v>
      </c>
      <c r="F376" s="66" t="s">
        <v>687</v>
      </c>
      <c r="G376" s="82" t="s">
        <v>688</v>
      </c>
      <c r="H376" s="65">
        <v>386.23</v>
      </c>
      <c r="I376" s="65">
        <v>11</v>
      </c>
      <c r="J376" s="65">
        <f t="shared" si="574"/>
        <v>88</v>
      </c>
      <c r="K376" s="65">
        <f t="shared" si="575"/>
        <v>8497.0600000000013</v>
      </c>
      <c r="L376" s="65"/>
      <c r="M376" s="65"/>
      <c r="N376" s="65">
        <v>250</v>
      </c>
      <c r="O376" s="65"/>
      <c r="P376" s="65"/>
      <c r="Q376" s="65"/>
      <c r="R376" s="65"/>
      <c r="S376" s="65"/>
      <c r="T376" s="65"/>
      <c r="U376" s="65"/>
      <c r="V376" s="65">
        <v>125</v>
      </c>
      <c r="W376" s="65"/>
      <c r="X376" s="65"/>
      <c r="Y376" s="65"/>
      <c r="Z376" s="65"/>
      <c r="AA376" s="65"/>
      <c r="AB376" s="65"/>
      <c r="AC376" s="65">
        <v>100</v>
      </c>
      <c r="AD376" s="65">
        <v>100</v>
      </c>
      <c r="AE376" s="65">
        <v>308.8</v>
      </c>
      <c r="AF376" s="65"/>
      <c r="AG376" s="65"/>
      <c r="AH376" s="65"/>
      <c r="AI376" s="65"/>
      <c r="AJ376" s="65">
        <v>8245.2099999999991</v>
      </c>
      <c r="AK376" s="65">
        <v>100407.93</v>
      </c>
    </row>
    <row r="377" spans="2:37" ht="12.75" customHeight="1">
      <c r="B377" s="5">
        <v>363</v>
      </c>
      <c r="C377" s="60" t="s">
        <v>646</v>
      </c>
      <c r="D377" s="60" t="s">
        <v>232</v>
      </c>
      <c r="E377" s="60" t="s">
        <v>735</v>
      </c>
      <c r="F377" s="66" t="s">
        <v>687</v>
      </c>
      <c r="G377" s="82" t="s">
        <v>688</v>
      </c>
      <c r="H377" s="65">
        <v>386.23</v>
      </c>
      <c r="I377" s="65">
        <v>11</v>
      </c>
      <c r="J377" s="65">
        <f t="shared" si="574"/>
        <v>88</v>
      </c>
      <c r="K377" s="65">
        <f t="shared" si="575"/>
        <v>8497.0600000000013</v>
      </c>
      <c r="L377" s="65"/>
      <c r="M377" s="65"/>
      <c r="N377" s="65">
        <v>250</v>
      </c>
      <c r="O377" s="65"/>
      <c r="P377" s="65"/>
      <c r="Q377" s="65"/>
      <c r="R377" s="65"/>
      <c r="S377" s="65"/>
      <c r="T377" s="65"/>
      <c r="U377" s="65"/>
      <c r="V377" s="65">
        <v>125</v>
      </c>
      <c r="W377" s="65"/>
      <c r="X377" s="65"/>
      <c r="Y377" s="65"/>
      <c r="Z377" s="65"/>
      <c r="AA377" s="65"/>
      <c r="AB377" s="65"/>
      <c r="AC377" s="65">
        <v>100</v>
      </c>
      <c r="AD377" s="65">
        <v>100</v>
      </c>
      <c r="AE377" s="65">
        <v>308.8</v>
      </c>
      <c r="AF377" s="65"/>
      <c r="AG377" s="65"/>
      <c r="AH377" s="65"/>
      <c r="AI377" s="65"/>
      <c r="AJ377" s="65">
        <v>8278.6299999999992</v>
      </c>
      <c r="AK377" s="65">
        <v>100407.93</v>
      </c>
    </row>
    <row r="378" spans="2:37" ht="12.75" customHeight="1">
      <c r="B378" s="5">
        <v>364</v>
      </c>
      <c r="C378" s="60" t="s">
        <v>647</v>
      </c>
      <c r="D378" s="60" t="s">
        <v>407</v>
      </c>
      <c r="E378" s="60" t="s">
        <v>735</v>
      </c>
      <c r="F378" s="66" t="s">
        <v>687</v>
      </c>
      <c r="G378" s="82" t="s">
        <v>688</v>
      </c>
      <c r="H378" s="65">
        <v>380</v>
      </c>
      <c r="I378" s="65">
        <v>11</v>
      </c>
      <c r="J378" s="65">
        <f t="shared" si="574"/>
        <v>88</v>
      </c>
      <c r="K378" s="65">
        <f t="shared" si="575"/>
        <v>8360</v>
      </c>
      <c r="L378" s="65"/>
      <c r="M378" s="65"/>
      <c r="N378" s="65">
        <v>250</v>
      </c>
      <c r="O378" s="65"/>
      <c r="P378" s="65"/>
      <c r="Q378" s="65"/>
      <c r="R378" s="65"/>
      <c r="S378" s="65"/>
      <c r="T378" s="65"/>
      <c r="U378" s="65"/>
      <c r="V378" s="65">
        <v>125</v>
      </c>
      <c r="W378" s="65"/>
      <c r="X378" s="65"/>
      <c r="Y378" s="65"/>
      <c r="Z378" s="65"/>
      <c r="AA378" s="65">
        <v>395</v>
      </c>
      <c r="AB378" s="65"/>
      <c r="AC378" s="65">
        <v>100</v>
      </c>
      <c r="AD378" s="65">
        <v>100</v>
      </c>
      <c r="AE378" s="65">
        <v>308.8</v>
      </c>
      <c r="AF378" s="65"/>
      <c r="AG378" s="65"/>
      <c r="AH378" s="65"/>
      <c r="AI378" s="65"/>
      <c r="AJ378" s="65">
        <v>8201.16</v>
      </c>
      <c r="AK378" s="65">
        <v>98736</v>
      </c>
    </row>
    <row r="379" spans="2:37" ht="12.75" customHeight="1">
      <c r="B379" s="5">
        <v>365</v>
      </c>
      <c r="C379" s="60" t="s">
        <v>648</v>
      </c>
      <c r="D379" s="60" t="s">
        <v>232</v>
      </c>
      <c r="E379" s="60" t="s">
        <v>735</v>
      </c>
      <c r="F379" s="66" t="s">
        <v>687</v>
      </c>
      <c r="G379" s="82" t="s">
        <v>688</v>
      </c>
      <c r="H379" s="65">
        <v>386.23</v>
      </c>
      <c r="I379" s="65">
        <v>11</v>
      </c>
      <c r="J379" s="65">
        <f t="shared" si="574"/>
        <v>88</v>
      </c>
      <c r="K379" s="65">
        <f t="shared" si="575"/>
        <v>8497.0600000000013</v>
      </c>
      <c r="L379" s="65"/>
      <c r="M379" s="65"/>
      <c r="N379" s="65">
        <v>250</v>
      </c>
      <c r="O379" s="65"/>
      <c r="P379" s="65"/>
      <c r="Q379" s="65"/>
      <c r="R379" s="65"/>
      <c r="S379" s="65"/>
      <c r="T379" s="65"/>
      <c r="U379" s="65"/>
      <c r="V379" s="65">
        <v>125</v>
      </c>
      <c r="W379" s="65"/>
      <c r="X379" s="65"/>
      <c r="Y379" s="65"/>
      <c r="Z379" s="65"/>
      <c r="AA379" s="65">
        <v>442</v>
      </c>
      <c r="AB379" s="65"/>
      <c r="AC379" s="65">
        <v>100</v>
      </c>
      <c r="AD379" s="65">
        <v>100</v>
      </c>
      <c r="AE379" s="65">
        <v>308.8</v>
      </c>
      <c r="AF379" s="65"/>
      <c r="AG379" s="65"/>
      <c r="AH379" s="65"/>
      <c r="AI379" s="65"/>
      <c r="AJ379" s="65">
        <v>8369.5300000000007</v>
      </c>
      <c r="AK379" s="65">
        <v>100407.93</v>
      </c>
    </row>
    <row r="380" spans="2:37" ht="12.75" customHeight="1">
      <c r="B380" s="5">
        <v>366</v>
      </c>
      <c r="C380" s="60" t="s">
        <v>649</v>
      </c>
      <c r="D380" s="60" t="s">
        <v>440</v>
      </c>
      <c r="E380" s="60" t="s">
        <v>735</v>
      </c>
      <c r="F380" s="66" t="s">
        <v>687</v>
      </c>
      <c r="G380" s="82" t="s">
        <v>688</v>
      </c>
      <c r="H380" s="65">
        <v>500</v>
      </c>
      <c r="I380" s="65">
        <v>11</v>
      </c>
      <c r="J380" s="65">
        <f t="shared" si="574"/>
        <v>88</v>
      </c>
      <c r="K380" s="65">
        <f t="shared" si="575"/>
        <v>11000</v>
      </c>
      <c r="L380" s="65"/>
      <c r="M380" s="65"/>
      <c r="N380" s="65">
        <v>250</v>
      </c>
      <c r="O380" s="65"/>
      <c r="P380" s="65"/>
      <c r="Q380" s="65"/>
      <c r="R380" s="65"/>
      <c r="S380" s="65"/>
      <c r="T380" s="65"/>
      <c r="U380" s="65"/>
      <c r="V380" s="65">
        <v>125</v>
      </c>
      <c r="W380" s="65"/>
      <c r="X380" s="65"/>
      <c r="Y380" s="65"/>
      <c r="Z380" s="65"/>
      <c r="AA380" s="65">
        <v>442</v>
      </c>
      <c r="AB380" s="65"/>
      <c r="AC380" s="65">
        <v>100</v>
      </c>
      <c r="AD380" s="65">
        <v>137.5</v>
      </c>
      <c r="AE380" s="65">
        <v>399.7</v>
      </c>
      <c r="AF380" s="65"/>
      <c r="AG380" s="65"/>
      <c r="AH380" s="65"/>
      <c r="AI380" s="65"/>
      <c r="AJ380" s="65">
        <v>9010.74</v>
      </c>
      <c r="AK380" s="65">
        <v>115425.87</v>
      </c>
    </row>
    <row r="381" spans="2:37" ht="12.75" customHeight="1">
      <c r="B381" s="5">
        <v>367</v>
      </c>
      <c r="C381" s="60" t="s">
        <v>650</v>
      </c>
      <c r="D381" s="60" t="s">
        <v>232</v>
      </c>
      <c r="E381" s="60" t="s">
        <v>735</v>
      </c>
      <c r="F381" s="66" t="s">
        <v>687</v>
      </c>
      <c r="G381" s="82" t="s">
        <v>688</v>
      </c>
      <c r="H381" s="65">
        <v>386.23</v>
      </c>
      <c r="I381" s="65">
        <v>11</v>
      </c>
      <c r="J381" s="65">
        <f t="shared" si="574"/>
        <v>88</v>
      </c>
      <c r="K381" s="65">
        <f t="shared" si="575"/>
        <v>8497.0600000000013</v>
      </c>
      <c r="L381" s="65"/>
      <c r="M381" s="65"/>
      <c r="N381" s="65"/>
      <c r="O381" s="65"/>
      <c r="P381" s="65"/>
      <c r="Q381" s="65"/>
      <c r="R381" s="65"/>
      <c r="S381" s="65"/>
      <c r="T381" s="65"/>
      <c r="U381" s="65"/>
      <c r="V381" s="65">
        <v>125</v>
      </c>
      <c r="W381" s="65"/>
      <c r="X381" s="65"/>
      <c r="Y381" s="65"/>
      <c r="Z381" s="65"/>
      <c r="AA381" s="65"/>
      <c r="AB381" s="65"/>
      <c r="AC381" s="65">
        <v>100</v>
      </c>
      <c r="AD381" s="65">
        <v>100</v>
      </c>
      <c r="AE381" s="65">
        <v>308.8</v>
      </c>
      <c r="AF381" s="65"/>
      <c r="AG381" s="65"/>
      <c r="AH381" s="65"/>
      <c r="AI381" s="65"/>
      <c r="AJ381" s="65">
        <v>3186.18</v>
      </c>
      <c r="AK381" s="65">
        <v>38236.54</v>
      </c>
    </row>
    <row r="382" spans="2:37" ht="12.75" customHeight="1">
      <c r="B382" s="5">
        <v>368</v>
      </c>
      <c r="C382" s="60" t="s">
        <v>651</v>
      </c>
      <c r="D382" s="60" t="s">
        <v>232</v>
      </c>
      <c r="E382" s="60" t="s">
        <v>735</v>
      </c>
      <c r="F382" s="66" t="s">
        <v>687</v>
      </c>
      <c r="G382" s="82" t="s">
        <v>688</v>
      </c>
      <c r="H382" s="65">
        <v>386.23</v>
      </c>
      <c r="I382" s="65">
        <v>11</v>
      </c>
      <c r="J382" s="65">
        <f t="shared" si="574"/>
        <v>88</v>
      </c>
      <c r="K382" s="65">
        <f t="shared" si="575"/>
        <v>8497.0600000000013</v>
      </c>
      <c r="L382" s="65"/>
      <c r="M382" s="65"/>
      <c r="N382" s="65">
        <v>250</v>
      </c>
      <c r="O382" s="65"/>
      <c r="P382" s="65"/>
      <c r="Q382" s="65"/>
      <c r="R382" s="65"/>
      <c r="S382" s="65"/>
      <c r="T382" s="65"/>
      <c r="U382" s="65"/>
      <c r="V382" s="65">
        <v>125</v>
      </c>
      <c r="W382" s="65"/>
      <c r="X382" s="65"/>
      <c r="Y382" s="65"/>
      <c r="Z382" s="65"/>
      <c r="AA382" s="65"/>
      <c r="AB382" s="65"/>
      <c r="AC382" s="65">
        <v>100</v>
      </c>
      <c r="AD382" s="65">
        <v>100</v>
      </c>
      <c r="AE382" s="65">
        <v>308.8</v>
      </c>
      <c r="AF382" s="65"/>
      <c r="AG382" s="65"/>
      <c r="AH382" s="65"/>
      <c r="AI382" s="65"/>
      <c r="AJ382" s="65">
        <v>5882.24</v>
      </c>
      <c r="AK382" s="65">
        <v>132451.17000000001</v>
      </c>
    </row>
    <row r="383" spans="2:37" ht="12.75" customHeight="1">
      <c r="B383" s="5">
        <v>369</v>
      </c>
      <c r="C383" s="60" t="s">
        <v>652</v>
      </c>
      <c r="D383" s="60" t="s">
        <v>232</v>
      </c>
      <c r="E383" s="60" t="s">
        <v>735</v>
      </c>
      <c r="F383" s="66" t="s">
        <v>687</v>
      </c>
      <c r="G383" s="82" t="s">
        <v>688</v>
      </c>
      <c r="H383" s="65">
        <v>386.23</v>
      </c>
      <c r="I383" s="65">
        <v>11</v>
      </c>
      <c r="J383" s="65">
        <f t="shared" si="574"/>
        <v>88</v>
      </c>
      <c r="K383" s="65">
        <f t="shared" si="575"/>
        <v>8497.0600000000013</v>
      </c>
      <c r="L383" s="65"/>
      <c r="M383" s="65"/>
      <c r="N383" s="65">
        <v>250</v>
      </c>
      <c r="O383" s="65"/>
      <c r="P383" s="65"/>
      <c r="Q383" s="65"/>
      <c r="R383" s="65"/>
      <c r="S383" s="65"/>
      <c r="T383" s="65"/>
      <c r="U383" s="65"/>
      <c r="V383" s="65">
        <v>125</v>
      </c>
      <c r="W383" s="65"/>
      <c r="X383" s="65"/>
      <c r="Y383" s="65"/>
      <c r="Z383" s="65"/>
      <c r="AA383" s="65"/>
      <c r="AB383" s="65"/>
      <c r="AC383" s="65">
        <v>100</v>
      </c>
      <c r="AD383" s="65">
        <v>100</v>
      </c>
      <c r="AE383" s="65">
        <v>308.8</v>
      </c>
      <c r="AF383" s="65"/>
      <c r="AG383" s="65"/>
      <c r="AH383" s="65"/>
      <c r="AI383" s="65"/>
      <c r="AJ383" s="65">
        <v>6845.18</v>
      </c>
      <c r="AK383" s="65">
        <v>84105.55</v>
      </c>
    </row>
    <row r="384" spans="2:37" ht="12.75" customHeight="1">
      <c r="B384" s="5">
        <v>370</v>
      </c>
      <c r="C384" s="60" t="s">
        <v>653</v>
      </c>
      <c r="D384" s="60" t="s">
        <v>232</v>
      </c>
      <c r="E384" s="60" t="s">
        <v>735</v>
      </c>
      <c r="F384" s="66" t="s">
        <v>687</v>
      </c>
      <c r="G384" s="82" t="s">
        <v>688</v>
      </c>
      <c r="H384" s="65">
        <v>380</v>
      </c>
      <c r="I384" s="65">
        <v>11</v>
      </c>
      <c r="J384" s="65">
        <f t="shared" si="574"/>
        <v>88</v>
      </c>
      <c r="K384" s="65">
        <f t="shared" si="575"/>
        <v>8360</v>
      </c>
      <c r="L384" s="65"/>
      <c r="M384" s="65"/>
      <c r="N384" s="65">
        <v>250</v>
      </c>
      <c r="O384" s="65"/>
      <c r="P384" s="65"/>
      <c r="Q384" s="65"/>
      <c r="R384" s="65"/>
      <c r="S384" s="65"/>
      <c r="T384" s="65"/>
      <c r="U384" s="65"/>
      <c r="V384" s="65">
        <v>125</v>
      </c>
      <c r="W384" s="65"/>
      <c r="X384" s="65"/>
      <c r="Y384" s="65"/>
      <c r="Z384" s="65"/>
      <c r="AA384" s="65"/>
      <c r="AB384" s="65"/>
      <c r="AC384" s="65">
        <v>100</v>
      </c>
      <c r="AD384" s="65">
        <v>100</v>
      </c>
      <c r="AE384" s="65">
        <v>308.8</v>
      </c>
      <c r="AF384" s="65"/>
      <c r="AG384" s="65"/>
      <c r="AH384" s="65"/>
      <c r="AI384" s="65"/>
      <c r="AJ384" s="65">
        <v>8018.59</v>
      </c>
      <c r="AK384" s="65">
        <v>96734</v>
      </c>
    </row>
    <row r="385" spans="2:37" ht="12.75" customHeight="1">
      <c r="B385" s="5">
        <v>371</v>
      </c>
      <c r="C385" s="60" t="s">
        <v>654</v>
      </c>
      <c r="D385" s="60" t="s">
        <v>232</v>
      </c>
      <c r="E385" s="60" t="s">
        <v>735</v>
      </c>
      <c r="F385" s="66" t="s">
        <v>687</v>
      </c>
      <c r="G385" s="82" t="s">
        <v>688</v>
      </c>
      <c r="H385" s="65">
        <v>386.23</v>
      </c>
      <c r="I385" s="65">
        <v>11</v>
      </c>
      <c r="J385" s="65">
        <f t="shared" si="574"/>
        <v>88</v>
      </c>
      <c r="K385" s="65">
        <f t="shared" si="575"/>
        <v>8497.0600000000013</v>
      </c>
      <c r="L385" s="65"/>
      <c r="M385" s="65"/>
      <c r="N385" s="65">
        <v>250</v>
      </c>
      <c r="O385" s="65"/>
      <c r="P385" s="65"/>
      <c r="Q385" s="65"/>
      <c r="R385" s="65"/>
      <c r="S385" s="65"/>
      <c r="T385" s="65"/>
      <c r="U385" s="65"/>
      <c r="V385" s="65">
        <v>125</v>
      </c>
      <c r="W385" s="65"/>
      <c r="X385" s="65"/>
      <c r="Y385" s="65"/>
      <c r="Z385" s="65"/>
      <c r="AA385" s="65"/>
      <c r="AB385" s="65"/>
      <c r="AC385" s="65">
        <v>100</v>
      </c>
      <c r="AD385" s="65">
        <v>100</v>
      </c>
      <c r="AE385" s="65">
        <v>308.8</v>
      </c>
      <c r="AF385" s="65"/>
      <c r="AG385" s="65"/>
      <c r="AH385" s="65"/>
      <c r="AI385" s="65"/>
      <c r="AJ385" s="65">
        <v>5964.26</v>
      </c>
      <c r="AK385" s="65">
        <v>71878.759999999995</v>
      </c>
    </row>
    <row r="386" spans="2:37" ht="12.75" customHeight="1">
      <c r="B386" s="5">
        <v>372</v>
      </c>
      <c r="C386" s="60" t="s">
        <v>655</v>
      </c>
      <c r="D386" s="60" t="s">
        <v>232</v>
      </c>
      <c r="E386" s="60" t="s">
        <v>735</v>
      </c>
      <c r="F386" s="66" t="s">
        <v>687</v>
      </c>
      <c r="G386" s="82" t="s">
        <v>688</v>
      </c>
      <c r="H386" s="65">
        <v>386.23</v>
      </c>
      <c r="I386" s="65">
        <v>11</v>
      </c>
      <c r="J386" s="65">
        <f t="shared" si="574"/>
        <v>88</v>
      </c>
      <c r="K386" s="65">
        <f t="shared" si="575"/>
        <v>8497.0600000000013</v>
      </c>
      <c r="L386" s="65"/>
      <c r="M386" s="65"/>
      <c r="N386" s="65"/>
      <c r="O386" s="65"/>
      <c r="P386" s="65"/>
      <c r="Q386" s="65"/>
      <c r="R386" s="65"/>
      <c r="S386" s="65"/>
      <c r="T386" s="65"/>
      <c r="U386" s="65"/>
      <c r="V386" s="65">
        <v>125</v>
      </c>
      <c r="W386" s="65"/>
      <c r="X386" s="65"/>
      <c r="Y386" s="65"/>
      <c r="Z386" s="65"/>
      <c r="AA386" s="65"/>
      <c r="AB386" s="65"/>
      <c r="AC386" s="65">
        <v>100</v>
      </c>
      <c r="AD386" s="65">
        <v>100</v>
      </c>
      <c r="AE386" s="65">
        <v>308.8</v>
      </c>
      <c r="AF386" s="65"/>
      <c r="AG386" s="65"/>
      <c r="AH386" s="65"/>
      <c r="AI386" s="65"/>
      <c r="AJ386" s="65">
        <v>3535.22</v>
      </c>
      <c r="AK386" s="65">
        <v>42485.05</v>
      </c>
    </row>
    <row r="387" spans="2:37" ht="12.75" customHeight="1">
      <c r="B387" s="5">
        <v>373</v>
      </c>
      <c r="C387" s="60" t="s">
        <v>656</v>
      </c>
      <c r="D387" s="60" t="s">
        <v>407</v>
      </c>
      <c r="E387" s="60" t="s">
        <v>735</v>
      </c>
      <c r="F387" s="66" t="s">
        <v>687</v>
      </c>
      <c r="G387" s="82" t="s">
        <v>688</v>
      </c>
      <c r="H387" s="65">
        <v>380</v>
      </c>
      <c r="I387" s="65">
        <v>11</v>
      </c>
      <c r="J387" s="65">
        <f t="shared" si="574"/>
        <v>88</v>
      </c>
      <c r="K387" s="65">
        <f t="shared" si="575"/>
        <v>8360</v>
      </c>
      <c r="L387" s="65"/>
      <c r="M387" s="65"/>
      <c r="N387" s="65">
        <v>250</v>
      </c>
      <c r="O387" s="65"/>
      <c r="P387" s="65"/>
      <c r="Q387" s="65"/>
      <c r="R387" s="65"/>
      <c r="S387" s="65"/>
      <c r="T387" s="65"/>
      <c r="U387" s="65"/>
      <c r="V387" s="65">
        <v>125</v>
      </c>
      <c r="W387" s="65"/>
      <c r="X387" s="65"/>
      <c r="Y387" s="65"/>
      <c r="Z387" s="65"/>
      <c r="AA387" s="65"/>
      <c r="AB387" s="65"/>
      <c r="AC387" s="65">
        <v>100</v>
      </c>
      <c r="AD387" s="65">
        <v>100</v>
      </c>
      <c r="AE387" s="65">
        <v>308.8</v>
      </c>
      <c r="AF387" s="65"/>
      <c r="AG387" s="65"/>
      <c r="AH387" s="65"/>
      <c r="AI387" s="65"/>
      <c r="AJ387" s="65">
        <v>7601.69</v>
      </c>
      <c r="AK387" s="65">
        <v>98736</v>
      </c>
    </row>
    <row r="388" spans="2:37" ht="12.75" customHeight="1">
      <c r="B388" s="5">
        <v>374</v>
      </c>
      <c r="C388" s="60" t="s">
        <v>657</v>
      </c>
      <c r="D388" s="60" t="s">
        <v>407</v>
      </c>
      <c r="E388" s="60" t="s">
        <v>735</v>
      </c>
      <c r="F388" s="66" t="s">
        <v>687</v>
      </c>
      <c r="G388" s="82" t="s">
        <v>688</v>
      </c>
      <c r="H388" s="65">
        <v>380</v>
      </c>
      <c r="I388" s="65">
        <v>11</v>
      </c>
      <c r="J388" s="65">
        <f t="shared" si="574"/>
        <v>88</v>
      </c>
      <c r="K388" s="65">
        <f t="shared" si="575"/>
        <v>8360</v>
      </c>
      <c r="L388" s="65"/>
      <c r="M388" s="65"/>
      <c r="N388" s="65">
        <v>250</v>
      </c>
      <c r="O388" s="65"/>
      <c r="P388" s="65"/>
      <c r="Q388" s="65"/>
      <c r="R388" s="65"/>
      <c r="S388" s="65"/>
      <c r="T388" s="65"/>
      <c r="U388" s="65"/>
      <c r="V388" s="65">
        <v>125</v>
      </c>
      <c r="W388" s="65"/>
      <c r="X388" s="65"/>
      <c r="Y388" s="65"/>
      <c r="Z388" s="65"/>
      <c r="AA388" s="65"/>
      <c r="AB388" s="65"/>
      <c r="AC388" s="65">
        <v>100</v>
      </c>
      <c r="AD388" s="65">
        <v>100</v>
      </c>
      <c r="AE388" s="65">
        <v>308.8</v>
      </c>
      <c r="AF388" s="65"/>
      <c r="AG388" s="65"/>
      <c r="AH388" s="65"/>
      <c r="AI388" s="65"/>
      <c r="AJ388" s="65">
        <v>1868.33</v>
      </c>
      <c r="AK388" s="65">
        <v>20900</v>
      </c>
    </row>
    <row r="389" spans="2:37" ht="12.75" customHeight="1">
      <c r="B389" s="5">
        <v>375</v>
      </c>
      <c r="C389" s="60" t="s">
        <v>658</v>
      </c>
      <c r="D389" s="60" t="s">
        <v>234</v>
      </c>
      <c r="E389" s="60" t="s">
        <v>736</v>
      </c>
      <c r="F389" s="66" t="s">
        <v>687</v>
      </c>
      <c r="G389" s="82" t="s">
        <v>688</v>
      </c>
      <c r="H389" s="65">
        <v>649.39</v>
      </c>
      <c r="I389" s="65">
        <v>11</v>
      </c>
      <c r="J389" s="65">
        <f t="shared" si="574"/>
        <v>88</v>
      </c>
      <c r="K389" s="65">
        <f t="shared" si="575"/>
        <v>14286.58</v>
      </c>
      <c r="L389" s="65"/>
      <c r="M389" s="65"/>
      <c r="N389" s="65"/>
      <c r="O389" s="65"/>
      <c r="P389" s="65"/>
      <c r="Q389" s="65"/>
      <c r="R389" s="65"/>
      <c r="S389" s="65"/>
      <c r="T389" s="65"/>
      <c r="U389" s="65"/>
      <c r="V389" s="65"/>
      <c r="W389" s="65"/>
      <c r="X389" s="65"/>
      <c r="Y389" s="65"/>
      <c r="Z389" s="65"/>
      <c r="AA389" s="65"/>
      <c r="AB389" s="65"/>
      <c r="AC389" s="65">
        <v>100</v>
      </c>
      <c r="AD389" s="65">
        <v>175</v>
      </c>
      <c r="AE389" s="65">
        <v>526.79999999999995</v>
      </c>
      <c r="AF389" s="65"/>
      <c r="AG389" s="65"/>
      <c r="AH389" s="65"/>
      <c r="AI389" s="65"/>
      <c r="AJ389" s="65">
        <v>13647.45</v>
      </c>
      <c r="AK389" s="65">
        <v>170537.51</v>
      </c>
    </row>
    <row r="390" spans="2:37" ht="12.75" customHeight="1">
      <c r="B390" s="5">
        <v>376</v>
      </c>
      <c r="C390" s="60" t="s">
        <v>659</v>
      </c>
      <c r="D390" s="60" t="s">
        <v>660</v>
      </c>
      <c r="E390" s="60" t="s">
        <v>736</v>
      </c>
      <c r="F390" s="66" t="s">
        <v>687</v>
      </c>
      <c r="G390" s="82" t="s">
        <v>688</v>
      </c>
      <c r="H390" s="65">
        <f>5750/11</f>
        <v>522.72727272727275</v>
      </c>
      <c r="I390" s="65">
        <v>11</v>
      </c>
      <c r="J390" s="65">
        <f t="shared" si="574"/>
        <v>88</v>
      </c>
      <c r="K390" s="65">
        <f t="shared" si="575"/>
        <v>11500</v>
      </c>
      <c r="L390" s="65"/>
      <c r="M390" s="65"/>
      <c r="N390" s="65"/>
      <c r="O390" s="65"/>
      <c r="P390" s="65"/>
      <c r="Q390" s="65"/>
      <c r="R390" s="65"/>
      <c r="S390" s="65"/>
      <c r="T390" s="65"/>
      <c r="U390" s="65"/>
      <c r="V390" s="65"/>
      <c r="W390" s="65"/>
      <c r="X390" s="65"/>
      <c r="Y390" s="65"/>
      <c r="Z390" s="65"/>
      <c r="AA390" s="65">
        <f>500+395</f>
        <v>895</v>
      </c>
      <c r="AB390" s="65"/>
      <c r="AC390" s="65">
        <v>100</v>
      </c>
      <c r="AD390" s="65">
        <v>137.5</v>
      </c>
      <c r="AE390" s="65">
        <v>417.8</v>
      </c>
      <c r="AF390" s="65"/>
      <c r="AG390" s="65"/>
      <c r="AH390" s="65"/>
      <c r="AI390" s="65"/>
      <c r="AJ390" s="65">
        <v>7649.41</v>
      </c>
      <c r="AK390" s="65">
        <v>93575.24</v>
      </c>
    </row>
    <row r="391" spans="2:37" ht="12.75" customHeight="1">
      <c r="B391" s="5">
        <v>377</v>
      </c>
      <c r="C391" s="60" t="s">
        <v>662</v>
      </c>
      <c r="D391" s="60" t="s">
        <v>661</v>
      </c>
      <c r="E391" s="60" t="s">
        <v>736</v>
      </c>
      <c r="F391" s="66" t="s">
        <v>689</v>
      </c>
      <c r="G391" s="82" t="s">
        <v>690</v>
      </c>
      <c r="H391" s="65">
        <v>0</v>
      </c>
      <c r="I391" s="65">
        <v>0</v>
      </c>
      <c r="J391" s="65">
        <f t="shared" si="574"/>
        <v>0</v>
      </c>
      <c r="K391" s="65">
        <v>128000</v>
      </c>
      <c r="L391" s="65"/>
      <c r="M391" s="65"/>
      <c r="N391" s="65"/>
      <c r="O391" s="65"/>
      <c r="P391" s="65"/>
      <c r="Q391" s="65"/>
      <c r="R391" s="65"/>
      <c r="S391" s="65"/>
      <c r="T391" s="65"/>
      <c r="U391" s="65"/>
      <c r="V391" s="65"/>
      <c r="W391" s="65"/>
      <c r="X391" s="65"/>
      <c r="Y391" s="65"/>
      <c r="Z391" s="65"/>
      <c r="AA391" s="65"/>
      <c r="AB391" s="65"/>
      <c r="AC391" s="65">
        <v>0</v>
      </c>
      <c r="AD391" s="65">
        <v>0</v>
      </c>
      <c r="AE391" s="65">
        <v>0</v>
      </c>
      <c r="AF391" s="65"/>
      <c r="AG391" s="65"/>
      <c r="AH391" s="65"/>
      <c r="AI391" s="65"/>
      <c r="AJ391" s="65">
        <v>128000</v>
      </c>
      <c r="AK391" s="65">
        <v>1536000</v>
      </c>
    </row>
    <row r="392" spans="2:37" ht="12.75" customHeight="1">
      <c r="B392" s="5">
        <v>378</v>
      </c>
      <c r="C392" s="60" t="s">
        <v>703</v>
      </c>
      <c r="D392" s="60" t="s">
        <v>702</v>
      </c>
      <c r="E392" s="60" t="s">
        <v>737</v>
      </c>
      <c r="F392" s="66" t="s">
        <v>687</v>
      </c>
      <c r="G392" s="82" t="s">
        <v>688</v>
      </c>
      <c r="H392" s="65">
        <v>0</v>
      </c>
      <c r="I392" s="65">
        <v>0</v>
      </c>
      <c r="J392" s="65">
        <f t="shared" si="574"/>
        <v>0</v>
      </c>
      <c r="K392" s="65">
        <v>40000</v>
      </c>
      <c r="L392" s="65"/>
      <c r="M392" s="65"/>
      <c r="N392" s="65"/>
      <c r="O392" s="65"/>
      <c r="P392" s="65"/>
      <c r="Q392" s="65"/>
      <c r="R392" s="65"/>
      <c r="S392" s="65"/>
      <c r="T392" s="65"/>
      <c r="U392" s="65"/>
      <c r="V392" s="65"/>
      <c r="W392" s="65"/>
      <c r="X392" s="65"/>
      <c r="Y392" s="65"/>
      <c r="Z392" s="65"/>
      <c r="AA392" s="65"/>
      <c r="AB392" s="65"/>
      <c r="AC392" s="65">
        <v>100</v>
      </c>
      <c r="AD392" s="65">
        <v>437.5</v>
      </c>
      <c r="AE392" s="65">
        <v>581.29999999999995</v>
      </c>
      <c r="AF392" s="65"/>
      <c r="AG392" s="65"/>
      <c r="AH392" s="65"/>
      <c r="AI392" s="65"/>
      <c r="AJ392" s="65">
        <v>35353.760000000002</v>
      </c>
      <c r="AK392" s="65">
        <v>466668</v>
      </c>
    </row>
    <row r="393" spans="2:37" ht="12.75" customHeight="1">
      <c r="B393" s="5">
        <v>379</v>
      </c>
      <c r="C393" s="60" t="s">
        <v>663</v>
      </c>
      <c r="D393" s="60" t="s">
        <v>664</v>
      </c>
      <c r="E393" s="60" t="s">
        <v>738</v>
      </c>
      <c r="F393" s="66" t="s">
        <v>687</v>
      </c>
      <c r="G393" s="82" t="s">
        <v>688</v>
      </c>
      <c r="H393" s="65">
        <v>380</v>
      </c>
      <c r="I393" s="65">
        <v>13</v>
      </c>
      <c r="J393" s="65">
        <f t="shared" ref="J393:J409" si="576">I393*8</f>
        <v>104</v>
      </c>
      <c r="K393" s="65">
        <f t="shared" ref="K393:K409" si="577">H393*I393*2</f>
        <v>9880</v>
      </c>
      <c r="L393" s="65"/>
      <c r="M393" s="65"/>
      <c r="N393" s="65"/>
      <c r="O393" s="65"/>
      <c r="P393" s="65"/>
      <c r="Q393" s="65"/>
      <c r="R393" s="65"/>
      <c r="S393" s="65"/>
      <c r="T393" s="65"/>
      <c r="U393" s="65"/>
      <c r="V393" s="65"/>
      <c r="W393" s="65"/>
      <c r="X393" s="65"/>
      <c r="Y393" s="65"/>
      <c r="Z393" s="65"/>
      <c r="AA393" s="65"/>
      <c r="AB393" s="65"/>
      <c r="AC393" s="65">
        <v>100</v>
      </c>
      <c r="AD393" s="65">
        <v>112.5</v>
      </c>
      <c r="AE393" s="65">
        <v>363.3</v>
      </c>
      <c r="AF393" s="65"/>
      <c r="AG393" s="65"/>
      <c r="AH393" s="65"/>
      <c r="AI393" s="65"/>
      <c r="AJ393" s="65">
        <v>9508.7800000000007</v>
      </c>
      <c r="AK393" s="65">
        <v>116688</v>
      </c>
    </row>
    <row r="394" spans="2:37" ht="12.75" customHeight="1">
      <c r="B394" s="5">
        <v>380</v>
      </c>
      <c r="C394" s="60" t="s">
        <v>665</v>
      </c>
      <c r="D394" s="60" t="s">
        <v>664</v>
      </c>
      <c r="E394" s="60" t="s">
        <v>738</v>
      </c>
      <c r="F394" s="66" t="s">
        <v>687</v>
      </c>
      <c r="G394" s="82" t="s">
        <v>688</v>
      </c>
      <c r="H394" s="65">
        <v>380</v>
      </c>
      <c r="I394" s="65">
        <v>13</v>
      </c>
      <c r="J394" s="65">
        <f t="shared" si="576"/>
        <v>104</v>
      </c>
      <c r="K394" s="65">
        <f t="shared" si="577"/>
        <v>9880</v>
      </c>
      <c r="L394" s="65"/>
      <c r="M394" s="65"/>
      <c r="N394" s="65"/>
      <c r="O394" s="65"/>
      <c r="P394" s="65"/>
      <c r="Q394" s="65"/>
      <c r="R394" s="65"/>
      <c r="S394" s="65"/>
      <c r="T394" s="65"/>
      <c r="U394" s="65"/>
      <c r="V394" s="65"/>
      <c r="W394" s="65"/>
      <c r="X394" s="65"/>
      <c r="Y394" s="65"/>
      <c r="Z394" s="65"/>
      <c r="AA394" s="65"/>
      <c r="AB394" s="65"/>
      <c r="AC394" s="65">
        <v>100</v>
      </c>
      <c r="AD394" s="65">
        <v>112.5</v>
      </c>
      <c r="AE394" s="65">
        <v>363.3</v>
      </c>
      <c r="AF394" s="65"/>
      <c r="AG394" s="65"/>
      <c r="AH394" s="65"/>
      <c r="AI394" s="65"/>
      <c r="AJ394" s="65">
        <v>9609.33</v>
      </c>
      <c r="AK394" s="65">
        <v>116688</v>
      </c>
    </row>
    <row r="395" spans="2:37" ht="12.75" customHeight="1">
      <c r="B395" s="5">
        <v>381</v>
      </c>
      <c r="C395" s="60" t="s">
        <v>666</v>
      </c>
      <c r="D395" s="60" t="s">
        <v>664</v>
      </c>
      <c r="E395" s="60" t="s">
        <v>738</v>
      </c>
      <c r="F395" s="66" t="s">
        <v>687</v>
      </c>
      <c r="G395" s="82" t="s">
        <v>688</v>
      </c>
      <c r="H395" s="65">
        <v>380</v>
      </c>
      <c r="I395" s="65">
        <v>13</v>
      </c>
      <c r="J395" s="65">
        <f t="shared" si="576"/>
        <v>104</v>
      </c>
      <c r="K395" s="65">
        <f t="shared" si="577"/>
        <v>9880</v>
      </c>
      <c r="L395" s="65"/>
      <c r="M395" s="65"/>
      <c r="N395" s="65"/>
      <c r="O395" s="65"/>
      <c r="P395" s="65"/>
      <c r="Q395" s="65"/>
      <c r="R395" s="65"/>
      <c r="S395" s="65"/>
      <c r="T395" s="65"/>
      <c r="U395" s="65"/>
      <c r="V395" s="65"/>
      <c r="W395" s="65"/>
      <c r="X395" s="65"/>
      <c r="Y395" s="65"/>
      <c r="Z395" s="65"/>
      <c r="AA395" s="65"/>
      <c r="AB395" s="65"/>
      <c r="AC395" s="65">
        <v>100</v>
      </c>
      <c r="AD395" s="65">
        <v>112.5</v>
      </c>
      <c r="AE395" s="65">
        <v>363.3</v>
      </c>
      <c r="AF395" s="65"/>
      <c r="AG395" s="65"/>
      <c r="AH395" s="65"/>
      <c r="AI395" s="65"/>
      <c r="AJ395" s="65">
        <v>9664.1200000000008</v>
      </c>
      <c r="AK395" s="65">
        <v>116688</v>
      </c>
    </row>
    <row r="396" spans="2:37" ht="12.75" customHeight="1">
      <c r="B396" s="5">
        <v>382</v>
      </c>
      <c r="C396" s="60" t="s">
        <v>667</v>
      </c>
      <c r="D396" s="60" t="s">
        <v>664</v>
      </c>
      <c r="E396" s="60" t="s">
        <v>738</v>
      </c>
      <c r="F396" s="66" t="s">
        <v>687</v>
      </c>
      <c r="G396" s="82" t="s">
        <v>688</v>
      </c>
      <c r="H396" s="65">
        <v>380</v>
      </c>
      <c r="I396" s="65">
        <v>13</v>
      </c>
      <c r="J396" s="65">
        <f t="shared" si="576"/>
        <v>104</v>
      </c>
      <c r="K396" s="65">
        <f t="shared" si="577"/>
        <v>9880</v>
      </c>
      <c r="L396" s="65"/>
      <c r="M396" s="65"/>
      <c r="N396" s="65"/>
      <c r="O396" s="65"/>
      <c r="P396" s="65"/>
      <c r="Q396" s="65"/>
      <c r="R396" s="65"/>
      <c r="S396" s="65"/>
      <c r="T396" s="65"/>
      <c r="U396" s="65"/>
      <c r="V396" s="65"/>
      <c r="W396" s="65"/>
      <c r="X396" s="65"/>
      <c r="Y396" s="65"/>
      <c r="Z396" s="65"/>
      <c r="AA396" s="65">
        <v>395</v>
      </c>
      <c r="AB396" s="65"/>
      <c r="AC396" s="65">
        <v>100</v>
      </c>
      <c r="AD396" s="65">
        <v>112.5</v>
      </c>
      <c r="AE396" s="65">
        <v>363.3</v>
      </c>
      <c r="AF396" s="65"/>
      <c r="AG396" s="65"/>
      <c r="AH396" s="65"/>
      <c r="AI396" s="65"/>
      <c r="AJ396" s="65">
        <v>9730.67</v>
      </c>
      <c r="AK396" s="65">
        <v>116688</v>
      </c>
    </row>
    <row r="397" spans="2:37" ht="12.75" customHeight="1">
      <c r="B397" s="5">
        <v>383</v>
      </c>
      <c r="C397" s="60" t="s">
        <v>668</v>
      </c>
      <c r="D397" s="60" t="s">
        <v>664</v>
      </c>
      <c r="E397" s="60" t="s">
        <v>738</v>
      </c>
      <c r="F397" s="66" t="s">
        <v>687</v>
      </c>
      <c r="G397" s="82" t="s">
        <v>688</v>
      </c>
      <c r="H397" s="65">
        <v>380</v>
      </c>
      <c r="I397" s="65">
        <v>13</v>
      </c>
      <c r="J397" s="65">
        <f t="shared" si="576"/>
        <v>104</v>
      </c>
      <c r="K397" s="65">
        <f t="shared" si="577"/>
        <v>9880</v>
      </c>
      <c r="L397" s="65"/>
      <c r="M397" s="65"/>
      <c r="N397" s="65"/>
      <c r="O397" s="65"/>
      <c r="P397" s="65"/>
      <c r="Q397" s="65"/>
      <c r="R397" s="65"/>
      <c r="S397" s="65"/>
      <c r="T397" s="65"/>
      <c r="U397" s="65"/>
      <c r="V397" s="65"/>
      <c r="W397" s="65"/>
      <c r="X397" s="65"/>
      <c r="Y397" s="65"/>
      <c r="Z397" s="65"/>
      <c r="AA397" s="65"/>
      <c r="AB397" s="65"/>
      <c r="AC397" s="65">
        <v>100</v>
      </c>
      <c r="AD397" s="65">
        <v>112.5</v>
      </c>
      <c r="AE397" s="65">
        <v>363.3</v>
      </c>
      <c r="AF397" s="65"/>
      <c r="AG397" s="65"/>
      <c r="AH397" s="65"/>
      <c r="AI397" s="65"/>
      <c r="AJ397" s="65">
        <v>9684.19</v>
      </c>
      <c r="AK397" s="65">
        <v>116688</v>
      </c>
    </row>
    <row r="398" spans="2:37" ht="12.75" customHeight="1">
      <c r="B398" s="5">
        <v>384</v>
      </c>
      <c r="C398" s="60" t="s">
        <v>669</v>
      </c>
      <c r="D398" s="60" t="s">
        <v>664</v>
      </c>
      <c r="E398" s="60" t="s">
        <v>738</v>
      </c>
      <c r="F398" s="66" t="s">
        <v>687</v>
      </c>
      <c r="G398" s="82" t="s">
        <v>688</v>
      </c>
      <c r="H398" s="65">
        <v>380</v>
      </c>
      <c r="I398" s="65">
        <v>13</v>
      </c>
      <c r="J398" s="65">
        <f t="shared" si="576"/>
        <v>104</v>
      </c>
      <c r="K398" s="65">
        <f t="shared" si="577"/>
        <v>9880</v>
      </c>
      <c r="L398" s="65"/>
      <c r="M398" s="65"/>
      <c r="N398" s="65"/>
      <c r="O398" s="65"/>
      <c r="P398" s="65"/>
      <c r="Q398" s="65"/>
      <c r="R398" s="65"/>
      <c r="S398" s="65"/>
      <c r="T398" s="65"/>
      <c r="U398" s="65"/>
      <c r="V398" s="65"/>
      <c r="W398" s="65"/>
      <c r="X398" s="65"/>
      <c r="Y398" s="65"/>
      <c r="Z398" s="65"/>
      <c r="AA398" s="65">
        <v>395</v>
      </c>
      <c r="AB398" s="65"/>
      <c r="AC398" s="65">
        <v>100</v>
      </c>
      <c r="AD398" s="65">
        <v>112.5</v>
      </c>
      <c r="AE398" s="65">
        <v>363.3</v>
      </c>
      <c r="AF398" s="65"/>
      <c r="AG398" s="65"/>
      <c r="AH398" s="65"/>
      <c r="AI398" s="65"/>
      <c r="AJ398" s="65">
        <v>9626.64</v>
      </c>
      <c r="AK398" s="65">
        <v>116688</v>
      </c>
    </row>
    <row r="399" spans="2:37" ht="12.75" customHeight="1">
      <c r="B399" s="5">
        <v>385</v>
      </c>
      <c r="C399" s="60" t="s">
        <v>670</v>
      </c>
      <c r="D399" s="60" t="s">
        <v>664</v>
      </c>
      <c r="E399" s="60" t="s">
        <v>738</v>
      </c>
      <c r="F399" s="66" t="s">
        <v>687</v>
      </c>
      <c r="G399" s="82" t="s">
        <v>688</v>
      </c>
      <c r="H399" s="65">
        <v>380</v>
      </c>
      <c r="I399" s="65">
        <v>13</v>
      </c>
      <c r="J399" s="65">
        <f t="shared" si="576"/>
        <v>104</v>
      </c>
      <c r="K399" s="65">
        <f t="shared" si="577"/>
        <v>9880</v>
      </c>
      <c r="L399" s="65"/>
      <c r="M399" s="65"/>
      <c r="N399" s="65"/>
      <c r="O399" s="65"/>
      <c r="P399" s="65"/>
      <c r="Q399" s="65"/>
      <c r="R399" s="65"/>
      <c r="S399" s="65"/>
      <c r="T399" s="65"/>
      <c r="U399" s="65"/>
      <c r="V399" s="65"/>
      <c r="W399" s="65"/>
      <c r="X399" s="65"/>
      <c r="Y399" s="65"/>
      <c r="Z399" s="65"/>
      <c r="AA399" s="65">
        <v>395</v>
      </c>
      <c r="AB399" s="65"/>
      <c r="AC399" s="65">
        <v>100</v>
      </c>
      <c r="AD399" s="65">
        <v>112.5</v>
      </c>
      <c r="AE399" s="65">
        <v>363.3</v>
      </c>
      <c r="AF399" s="65"/>
      <c r="AG399" s="65"/>
      <c r="AH399" s="65"/>
      <c r="AI399" s="65"/>
      <c r="AJ399" s="65">
        <v>9169.8700000000008</v>
      </c>
      <c r="AK399" s="65">
        <v>116688</v>
      </c>
    </row>
    <row r="400" spans="2:37" ht="12.75" customHeight="1">
      <c r="B400" s="5">
        <v>386</v>
      </c>
      <c r="C400" s="60" t="s">
        <v>671</v>
      </c>
      <c r="D400" s="60" t="s">
        <v>664</v>
      </c>
      <c r="E400" s="60" t="s">
        <v>738</v>
      </c>
      <c r="F400" s="66" t="s">
        <v>687</v>
      </c>
      <c r="G400" s="82" t="s">
        <v>688</v>
      </c>
      <c r="H400" s="65">
        <v>380</v>
      </c>
      <c r="I400" s="65">
        <v>13</v>
      </c>
      <c r="J400" s="65">
        <f t="shared" si="576"/>
        <v>104</v>
      </c>
      <c r="K400" s="65">
        <f t="shared" si="577"/>
        <v>9880</v>
      </c>
      <c r="L400" s="65"/>
      <c r="M400" s="65"/>
      <c r="N400" s="65"/>
      <c r="O400" s="65"/>
      <c r="P400" s="65"/>
      <c r="Q400" s="65"/>
      <c r="R400" s="65"/>
      <c r="S400" s="65"/>
      <c r="T400" s="65"/>
      <c r="U400" s="65"/>
      <c r="V400" s="65"/>
      <c r="W400" s="65"/>
      <c r="X400" s="65"/>
      <c r="Y400" s="65"/>
      <c r="Z400" s="65"/>
      <c r="AA400" s="65"/>
      <c r="AB400" s="65"/>
      <c r="AC400" s="65">
        <v>100</v>
      </c>
      <c r="AD400" s="65">
        <v>112.5</v>
      </c>
      <c r="AE400" s="65">
        <v>363.3</v>
      </c>
      <c r="AF400" s="65"/>
      <c r="AG400" s="65"/>
      <c r="AH400" s="65"/>
      <c r="AI400" s="65"/>
      <c r="AJ400" s="65">
        <v>9730.67</v>
      </c>
      <c r="AK400" s="65">
        <v>116688</v>
      </c>
    </row>
    <row r="401" spans="2:37" ht="12.75" customHeight="1">
      <c r="B401" s="5">
        <v>387</v>
      </c>
      <c r="C401" s="60" t="s">
        <v>672</v>
      </c>
      <c r="D401" s="60" t="s">
        <v>673</v>
      </c>
      <c r="E401" s="60" t="s">
        <v>738</v>
      </c>
      <c r="F401" s="66" t="s">
        <v>687</v>
      </c>
      <c r="G401" s="82" t="s">
        <v>688</v>
      </c>
      <c r="H401" s="65">
        <v>380</v>
      </c>
      <c r="I401" s="65">
        <v>13</v>
      </c>
      <c r="J401" s="65">
        <f t="shared" si="576"/>
        <v>104</v>
      </c>
      <c r="K401" s="65">
        <f t="shared" si="577"/>
        <v>9880</v>
      </c>
      <c r="L401" s="65"/>
      <c r="M401" s="65"/>
      <c r="N401" s="65"/>
      <c r="O401" s="65"/>
      <c r="P401" s="65"/>
      <c r="Q401" s="65"/>
      <c r="R401" s="65"/>
      <c r="S401" s="65"/>
      <c r="T401" s="65"/>
      <c r="U401" s="65"/>
      <c r="V401" s="65"/>
      <c r="W401" s="65"/>
      <c r="X401" s="65"/>
      <c r="Y401" s="65"/>
      <c r="Z401" s="65"/>
      <c r="AA401" s="65">
        <f>750+395</f>
        <v>1145</v>
      </c>
      <c r="AB401" s="65"/>
      <c r="AC401" s="65">
        <v>100</v>
      </c>
      <c r="AD401" s="65">
        <v>112.5</v>
      </c>
      <c r="AE401" s="65">
        <v>363.3</v>
      </c>
      <c r="AF401" s="65"/>
      <c r="AG401" s="65"/>
      <c r="AH401" s="65"/>
      <c r="AI401" s="65"/>
      <c r="AJ401" s="65">
        <v>9556.5</v>
      </c>
      <c r="AK401" s="65">
        <v>116688</v>
      </c>
    </row>
    <row r="402" spans="2:37" ht="12.75" customHeight="1">
      <c r="B402" s="5">
        <v>388</v>
      </c>
      <c r="C402" s="60" t="s">
        <v>674</v>
      </c>
      <c r="D402" s="60" t="s">
        <v>664</v>
      </c>
      <c r="E402" s="60" t="s">
        <v>738</v>
      </c>
      <c r="F402" s="66" t="s">
        <v>687</v>
      </c>
      <c r="G402" s="82" t="s">
        <v>688</v>
      </c>
      <c r="H402" s="65">
        <v>380</v>
      </c>
      <c r="I402" s="65">
        <v>13</v>
      </c>
      <c r="J402" s="65">
        <f t="shared" si="576"/>
        <v>104</v>
      </c>
      <c r="K402" s="65">
        <f t="shared" si="577"/>
        <v>9880</v>
      </c>
      <c r="L402" s="65"/>
      <c r="M402" s="65"/>
      <c r="N402" s="65"/>
      <c r="O402" s="65"/>
      <c r="P402" s="65"/>
      <c r="Q402" s="65"/>
      <c r="R402" s="65"/>
      <c r="S402" s="65"/>
      <c r="T402" s="65"/>
      <c r="U402" s="65"/>
      <c r="V402" s="65"/>
      <c r="W402" s="65"/>
      <c r="X402" s="65"/>
      <c r="Y402" s="65"/>
      <c r="Z402" s="65"/>
      <c r="AA402" s="65"/>
      <c r="AB402" s="65"/>
      <c r="AC402" s="65">
        <v>100</v>
      </c>
      <c r="AD402" s="65">
        <v>112.5</v>
      </c>
      <c r="AE402" s="65">
        <v>363.3</v>
      </c>
      <c r="AF402" s="65"/>
      <c r="AG402" s="65"/>
      <c r="AH402" s="65"/>
      <c r="AI402" s="65"/>
      <c r="AJ402" s="65">
        <v>9669.31</v>
      </c>
      <c r="AK402" s="65">
        <v>116688</v>
      </c>
    </row>
    <row r="403" spans="2:37" ht="12.75" customHeight="1">
      <c r="B403" s="5">
        <v>389</v>
      </c>
      <c r="C403" s="60" t="s">
        <v>675</v>
      </c>
      <c r="D403" s="60" t="s">
        <v>664</v>
      </c>
      <c r="E403" s="60" t="s">
        <v>738</v>
      </c>
      <c r="F403" s="66" t="s">
        <v>687</v>
      </c>
      <c r="G403" s="82" t="s">
        <v>688</v>
      </c>
      <c r="H403" s="65">
        <v>380</v>
      </c>
      <c r="I403" s="65">
        <v>13</v>
      </c>
      <c r="J403" s="65">
        <f t="shared" si="576"/>
        <v>104</v>
      </c>
      <c r="K403" s="65">
        <f t="shared" si="577"/>
        <v>9880</v>
      </c>
      <c r="L403" s="65"/>
      <c r="M403" s="65"/>
      <c r="N403" s="65"/>
      <c r="O403" s="65"/>
      <c r="P403" s="65"/>
      <c r="Q403" s="65"/>
      <c r="R403" s="65"/>
      <c r="S403" s="65"/>
      <c r="T403" s="65"/>
      <c r="U403" s="65"/>
      <c r="V403" s="65"/>
      <c r="W403" s="65"/>
      <c r="X403" s="65"/>
      <c r="Y403" s="65"/>
      <c r="Z403" s="65"/>
      <c r="AA403" s="65"/>
      <c r="AB403" s="65"/>
      <c r="AC403" s="65">
        <v>100</v>
      </c>
      <c r="AD403" s="65">
        <v>112.5</v>
      </c>
      <c r="AE403" s="65">
        <v>363.3</v>
      </c>
      <c r="AF403" s="65"/>
      <c r="AG403" s="65"/>
      <c r="AH403" s="65"/>
      <c r="AI403" s="65"/>
      <c r="AJ403" s="65">
        <v>9450.8700000000008</v>
      </c>
      <c r="AK403" s="65">
        <v>116688</v>
      </c>
    </row>
    <row r="404" spans="2:37" ht="12.75" customHeight="1">
      <c r="B404" s="5">
        <v>390</v>
      </c>
      <c r="C404" s="60" t="s">
        <v>676</v>
      </c>
      <c r="D404" s="60" t="s">
        <v>677</v>
      </c>
      <c r="E404" s="60" t="s">
        <v>739</v>
      </c>
      <c r="F404" s="66" t="s">
        <v>687</v>
      </c>
      <c r="G404" s="82" t="s">
        <v>688</v>
      </c>
      <c r="H404" s="65">
        <f>5477.14/13</f>
        <v>421.31846153846158</v>
      </c>
      <c r="I404" s="65">
        <v>13</v>
      </c>
      <c r="J404" s="65">
        <f t="shared" si="576"/>
        <v>104</v>
      </c>
      <c r="K404" s="65">
        <f t="shared" si="577"/>
        <v>10954.28</v>
      </c>
      <c r="L404" s="65"/>
      <c r="M404" s="65"/>
      <c r="N404" s="65"/>
      <c r="O404" s="65"/>
      <c r="P404" s="65"/>
      <c r="Q404" s="65"/>
      <c r="R404" s="65"/>
      <c r="S404" s="65"/>
      <c r="T404" s="65"/>
      <c r="U404" s="65"/>
      <c r="V404" s="65"/>
      <c r="W404" s="65"/>
      <c r="X404" s="65"/>
      <c r="Y404" s="65"/>
      <c r="Z404" s="65"/>
      <c r="AA404" s="65">
        <v>413</v>
      </c>
      <c r="AB404" s="65"/>
      <c r="AC404" s="65">
        <v>100</v>
      </c>
      <c r="AD404" s="65">
        <v>125</v>
      </c>
      <c r="AE404" s="65">
        <v>399.7</v>
      </c>
      <c r="AF404" s="65"/>
      <c r="AG404" s="65"/>
      <c r="AH404" s="65"/>
      <c r="AI404" s="65"/>
      <c r="AJ404" s="65">
        <v>10649.94</v>
      </c>
      <c r="AK404" s="65">
        <v>129777.06</v>
      </c>
    </row>
    <row r="405" spans="2:37" ht="12.75" customHeight="1">
      <c r="B405" s="5">
        <v>391</v>
      </c>
      <c r="C405" s="60" t="s">
        <v>678</v>
      </c>
      <c r="D405" s="60" t="s">
        <v>679</v>
      </c>
      <c r="E405" s="60" t="s">
        <v>739</v>
      </c>
      <c r="F405" s="66" t="s">
        <v>687</v>
      </c>
      <c r="G405" s="82" t="s">
        <v>688</v>
      </c>
      <c r="H405" s="65">
        <f>6284.66/13</f>
        <v>483.43538461538458</v>
      </c>
      <c r="I405" s="65">
        <v>13</v>
      </c>
      <c r="J405" s="65">
        <f t="shared" si="576"/>
        <v>104</v>
      </c>
      <c r="K405" s="65">
        <f t="shared" si="577"/>
        <v>12569.32</v>
      </c>
      <c r="L405" s="65"/>
      <c r="M405" s="65"/>
      <c r="N405" s="65"/>
      <c r="O405" s="65"/>
      <c r="P405" s="65"/>
      <c r="Q405" s="65"/>
      <c r="R405" s="65"/>
      <c r="S405" s="65"/>
      <c r="T405" s="65"/>
      <c r="U405" s="65"/>
      <c r="V405" s="65"/>
      <c r="W405" s="65"/>
      <c r="X405" s="65"/>
      <c r="Y405" s="65"/>
      <c r="Z405" s="65"/>
      <c r="AA405" s="65">
        <v>894</v>
      </c>
      <c r="AB405" s="65"/>
      <c r="AC405" s="65">
        <v>100</v>
      </c>
      <c r="AD405" s="65">
        <v>150</v>
      </c>
      <c r="AE405" s="65">
        <v>454.2</v>
      </c>
      <c r="AF405" s="65"/>
      <c r="AG405" s="65"/>
      <c r="AH405" s="65"/>
      <c r="AI405" s="65"/>
      <c r="AJ405" s="65">
        <v>12451</v>
      </c>
      <c r="AK405" s="65">
        <v>149385.32</v>
      </c>
    </row>
    <row r="406" spans="2:37" ht="12.75" customHeight="1">
      <c r="B406" s="5">
        <v>392</v>
      </c>
      <c r="C406" s="60" t="s">
        <v>680</v>
      </c>
      <c r="D406" s="60" t="s">
        <v>681</v>
      </c>
      <c r="E406" s="60" t="s">
        <v>739</v>
      </c>
      <c r="F406" s="66" t="s">
        <v>687</v>
      </c>
      <c r="G406" s="82" t="s">
        <v>688</v>
      </c>
      <c r="H406" s="65">
        <f>5166.88/13</f>
        <v>397.45230769230773</v>
      </c>
      <c r="I406" s="65">
        <v>13</v>
      </c>
      <c r="J406" s="65">
        <f t="shared" si="576"/>
        <v>104</v>
      </c>
      <c r="K406" s="65">
        <f t="shared" si="577"/>
        <v>10333.76</v>
      </c>
      <c r="L406" s="65"/>
      <c r="M406" s="65"/>
      <c r="N406" s="65"/>
      <c r="O406" s="65"/>
      <c r="P406" s="65"/>
      <c r="Q406" s="65"/>
      <c r="R406" s="65"/>
      <c r="S406" s="65"/>
      <c r="T406" s="65"/>
      <c r="U406" s="65"/>
      <c r="V406" s="65"/>
      <c r="W406" s="65"/>
      <c r="X406" s="65"/>
      <c r="Y406" s="65"/>
      <c r="Z406" s="65"/>
      <c r="AA406" s="65">
        <v>656</v>
      </c>
      <c r="AB406" s="65"/>
      <c r="AC406" s="65">
        <v>100</v>
      </c>
      <c r="AD406" s="65">
        <v>125</v>
      </c>
      <c r="AE406" s="65">
        <v>381.5</v>
      </c>
      <c r="AF406" s="65"/>
      <c r="AG406" s="65"/>
      <c r="AH406" s="65"/>
      <c r="AI406" s="65"/>
      <c r="AJ406" s="65">
        <v>10191.530000000001</v>
      </c>
      <c r="AK406" s="65">
        <v>122222.19</v>
      </c>
    </row>
    <row r="407" spans="2:37" ht="12.75" customHeight="1">
      <c r="B407" s="5">
        <v>393</v>
      </c>
      <c r="C407" s="60" t="s">
        <v>682</v>
      </c>
      <c r="D407" s="60" t="s">
        <v>681</v>
      </c>
      <c r="E407" s="60" t="s">
        <v>739</v>
      </c>
      <c r="F407" s="66" t="s">
        <v>687</v>
      </c>
      <c r="G407" s="82" t="s">
        <v>688</v>
      </c>
      <c r="H407" s="65">
        <f>6329.33/13</f>
        <v>486.87153846153848</v>
      </c>
      <c r="I407" s="65">
        <v>13</v>
      </c>
      <c r="J407" s="65">
        <f t="shared" si="576"/>
        <v>104</v>
      </c>
      <c r="K407" s="65">
        <f t="shared" si="577"/>
        <v>12658.66</v>
      </c>
      <c r="L407" s="65"/>
      <c r="M407" s="65"/>
      <c r="N407" s="65"/>
      <c r="O407" s="65"/>
      <c r="P407" s="65"/>
      <c r="Q407" s="65"/>
      <c r="R407" s="65"/>
      <c r="S407" s="65"/>
      <c r="T407" s="65"/>
      <c r="U407" s="65"/>
      <c r="V407" s="65"/>
      <c r="W407" s="65"/>
      <c r="X407" s="65"/>
      <c r="Y407" s="65"/>
      <c r="Z407" s="65"/>
      <c r="AA407" s="65">
        <v>512</v>
      </c>
      <c r="AB407" s="65"/>
      <c r="AC407" s="65">
        <v>100</v>
      </c>
      <c r="AD407" s="65">
        <v>150</v>
      </c>
      <c r="AE407" s="65">
        <v>454.2</v>
      </c>
      <c r="AF407" s="65"/>
      <c r="AG407" s="65"/>
      <c r="AH407" s="65"/>
      <c r="AI407" s="65"/>
      <c r="AJ407" s="65">
        <v>12544.13</v>
      </c>
      <c r="AK407" s="65">
        <v>150468.15</v>
      </c>
    </row>
    <row r="408" spans="2:37" ht="12.75" customHeight="1">
      <c r="B408" s="5">
        <v>394</v>
      </c>
      <c r="C408" s="60" t="s">
        <v>683</v>
      </c>
      <c r="D408" s="60" t="s">
        <v>684</v>
      </c>
      <c r="E408" s="60" t="s">
        <v>739</v>
      </c>
      <c r="F408" s="66" t="s">
        <v>687</v>
      </c>
      <c r="G408" s="82" t="s">
        <v>688</v>
      </c>
      <c r="H408" s="65">
        <f>7000/13</f>
        <v>538.46153846153845</v>
      </c>
      <c r="I408" s="65">
        <v>13</v>
      </c>
      <c r="J408" s="65">
        <f t="shared" si="576"/>
        <v>104</v>
      </c>
      <c r="K408" s="65">
        <f t="shared" si="577"/>
        <v>14000</v>
      </c>
      <c r="L408" s="65"/>
      <c r="M408" s="65"/>
      <c r="N408" s="65"/>
      <c r="O408" s="65"/>
      <c r="P408" s="65"/>
      <c r="Q408" s="65"/>
      <c r="R408" s="65"/>
      <c r="S408" s="65"/>
      <c r="T408" s="65"/>
      <c r="U408" s="65"/>
      <c r="V408" s="65"/>
      <c r="W408" s="65"/>
      <c r="X408" s="65"/>
      <c r="Y408" s="65"/>
      <c r="Z408" s="65"/>
      <c r="AA408" s="65"/>
      <c r="AB408" s="65"/>
      <c r="AC408" s="65">
        <v>100</v>
      </c>
      <c r="AD408" s="65">
        <v>175</v>
      </c>
      <c r="AE408" s="65">
        <v>508.7</v>
      </c>
      <c r="AF408" s="65"/>
      <c r="AG408" s="65"/>
      <c r="AH408" s="65"/>
      <c r="AI408" s="65"/>
      <c r="AJ408" s="65">
        <v>5474.36</v>
      </c>
      <c r="AK408" s="65">
        <v>63000</v>
      </c>
    </row>
    <row r="409" spans="2:37" ht="12.75" customHeight="1">
      <c r="B409" s="5">
        <v>395</v>
      </c>
      <c r="C409" s="60" t="s">
        <v>696</v>
      </c>
      <c r="D409" s="60" t="s">
        <v>697</v>
      </c>
      <c r="E409" s="60" t="s">
        <v>739</v>
      </c>
      <c r="F409" s="66" t="s">
        <v>689</v>
      </c>
      <c r="G409" s="82" t="s">
        <v>690</v>
      </c>
      <c r="H409" s="65">
        <v>688.05</v>
      </c>
      <c r="I409" s="65">
        <v>11</v>
      </c>
      <c r="J409" s="65">
        <f t="shared" si="576"/>
        <v>88</v>
      </c>
      <c r="K409" s="65">
        <f t="shared" si="577"/>
        <v>15137.099999999999</v>
      </c>
      <c r="L409" s="65"/>
      <c r="M409" s="65"/>
      <c r="N409" s="65"/>
      <c r="O409" s="65"/>
      <c r="P409" s="65"/>
      <c r="Q409" s="65"/>
      <c r="R409" s="65"/>
      <c r="S409" s="65"/>
      <c r="T409" s="65"/>
      <c r="U409" s="65"/>
      <c r="V409" s="65"/>
      <c r="W409" s="65"/>
      <c r="X409" s="65"/>
      <c r="Y409" s="65"/>
      <c r="Z409" s="65"/>
      <c r="AA409" s="65"/>
      <c r="AB409" s="65"/>
      <c r="AC409" s="65"/>
      <c r="AD409" s="65"/>
      <c r="AE409" s="65"/>
      <c r="AF409" s="65"/>
      <c r="AG409" s="65"/>
      <c r="AH409" s="65"/>
      <c r="AI409" s="65"/>
      <c r="AJ409" s="65">
        <v>15136.84</v>
      </c>
      <c r="AK409" s="65">
        <v>15136.84</v>
      </c>
    </row>
    <row r="410" spans="2:37" ht="15.75" customHeight="1"/>
    <row r="411" spans="2:37" ht="15.75" customHeight="1"/>
    <row r="412" spans="2:37" ht="15.75" customHeight="1"/>
    <row r="413" spans="2:37" ht="15.75" customHeight="1"/>
    <row r="414" spans="2:37" ht="15.75" customHeight="1"/>
    <row r="415" spans="2:37" ht="15.75" customHeight="1"/>
    <row r="416" spans="2:37"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row r="1020" ht="15.75" customHeight="1"/>
    <row r="1021" ht="15.75" customHeight="1"/>
    <row r="1022" ht="15.75" customHeight="1"/>
    <row r="1023" ht="15.75" customHeight="1"/>
    <row r="1024" ht="15.75" customHeight="1"/>
    <row r="1025" ht="15.75" customHeight="1"/>
    <row r="1026" ht="15.75" customHeight="1"/>
    <row r="1027" ht="15.75" customHeight="1"/>
    <row r="1028" ht="15.75" customHeight="1"/>
    <row r="1029" ht="15.75" customHeight="1"/>
    <row r="1030" ht="15.75" customHeight="1"/>
    <row r="1031" ht="15.75" customHeight="1"/>
    <row r="1032" ht="15.75" customHeight="1"/>
    <row r="1033" ht="15.75" customHeight="1"/>
    <row r="1034" ht="15.75" customHeight="1"/>
    <row r="1035" ht="15.75" customHeight="1"/>
    <row r="1036" ht="15.75" customHeight="1"/>
    <row r="1037" ht="15.75" customHeight="1"/>
    <row r="1038" ht="15.75" customHeight="1"/>
    <row r="1039" ht="15.75" customHeight="1"/>
    <row r="1040" ht="15.75" customHeight="1"/>
    <row r="1041" ht="15.75" customHeight="1"/>
    <row r="1042" ht="15.75" customHeight="1"/>
    <row r="1043" ht="15.75" customHeight="1"/>
    <row r="1044" ht="15.75" customHeight="1"/>
    <row r="1045" ht="15.75" customHeight="1"/>
    <row r="1046" ht="15.75" customHeight="1"/>
    <row r="1047" ht="15.75" customHeight="1"/>
    <row r="1048" ht="15.75" customHeight="1"/>
    <row r="1049" ht="15.75" customHeight="1"/>
    <row r="1050" ht="15.75" customHeight="1"/>
    <row r="1051" ht="15.75" customHeight="1"/>
    <row r="1052" ht="15.75" customHeight="1"/>
    <row r="1053" ht="15.75" customHeight="1"/>
    <row r="1054" ht="15.75" customHeight="1"/>
    <row r="1055" ht="15.75" customHeight="1"/>
    <row r="1056" ht="15.75" customHeight="1"/>
    <row r="1057" ht="15.75" customHeight="1"/>
    <row r="1058" ht="15.75" customHeight="1"/>
    <row r="1059" ht="15.75" customHeight="1"/>
    <row r="1060" ht="15.75" customHeight="1"/>
    <row r="1061" ht="15.75" customHeight="1"/>
    <row r="1062" ht="15.75" customHeight="1"/>
    <row r="1063" ht="15.75" customHeight="1"/>
    <row r="1064" ht="15.75" customHeight="1"/>
    <row r="1065" ht="15.75" customHeight="1"/>
    <row r="1066" ht="15.75" customHeight="1"/>
    <row r="1067" ht="15.75" customHeight="1"/>
    <row r="1068" ht="15.75" customHeight="1"/>
    <row r="1069" ht="15.75" customHeight="1"/>
    <row r="1070" ht="15.75" customHeight="1"/>
    <row r="1071" ht="15.75" customHeight="1"/>
    <row r="1072" ht="15.75" customHeight="1"/>
    <row r="1073" ht="15.75" customHeight="1"/>
    <row r="1074" ht="15.75" customHeight="1"/>
    <row r="1075" ht="15.75" customHeight="1"/>
    <row r="1076" ht="15.75" customHeight="1"/>
    <row r="1077" ht="15.75" customHeight="1"/>
    <row r="1078" ht="15.75" customHeight="1"/>
    <row r="1079" ht="15.75" customHeight="1"/>
    <row r="1080" ht="15.75" customHeight="1"/>
    <row r="1081" ht="15.75" customHeight="1"/>
    <row r="1082" ht="15.75" customHeight="1"/>
    <row r="1083" ht="15.75" customHeight="1"/>
    <row r="1084" ht="15.75" customHeight="1"/>
    <row r="1085" ht="15.75" customHeight="1"/>
    <row r="1086" ht="15.75" customHeight="1"/>
    <row r="1087" ht="15.75" customHeight="1"/>
    <row r="1088" ht="15.75" customHeight="1"/>
    <row r="1089" ht="15.75" customHeight="1"/>
    <row r="1090" ht="15.75" customHeight="1"/>
    <row r="1091" ht="15.75" customHeight="1"/>
    <row r="1092" ht="15.75" customHeight="1"/>
    <row r="1093" ht="15.75" customHeight="1"/>
    <row r="1094" ht="15.75" customHeight="1"/>
    <row r="1095" ht="15.75" customHeight="1"/>
    <row r="1096" ht="15.75" customHeight="1"/>
    <row r="1097" ht="15.75" customHeight="1"/>
    <row r="1098" ht="15.75" customHeight="1"/>
    <row r="1099" ht="15.75" customHeight="1"/>
    <row r="1100" ht="15.75" customHeight="1"/>
    <row r="1101" ht="15.75" customHeight="1"/>
    <row r="1102" ht="15.75" customHeight="1"/>
    <row r="1103" ht="15.75" customHeight="1"/>
    <row r="1104" ht="15.75" customHeight="1"/>
    <row r="1105" ht="15.75" customHeight="1"/>
    <row r="1106" ht="15.75" customHeight="1"/>
    <row r="1107" ht="15.75" customHeight="1"/>
    <row r="1108" ht="15.75" customHeight="1"/>
    <row r="1109" ht="15.75" customHeight="1"/>
    <row r="1110" ht="15.75" customHeight="1"/>
    <row r="1111" ht="15.75" customHeight="1"/>
    <row r="1112" ht="15.75" customHeight="1"/>
    <row r="1113" ht="15.75" customHeight="1"/>
    <row r="1114" ht="15.75" customHeight="1"/>
    <row r="1115" ht="15.75" customHeight="1"/>
    <row r="1116" ht="15.75" customHeight="1"/>
    <row r="1117" ht="15.75" customHeight="1"/>
    <row r="1118" ht="15.75" customHeight="1"/>
    <row r="1119" ht="15.75" customHeight="1"/>
    <row r="1120" ht="15.75" customHeight="1"/>
    <row r="1121" ht="15.75" customHeight="1"/>
    <row r="1122" ht="15.75" customHeight="1"/>
    <row r="1123" ht="15.75" customHeight="1"/>
    <row r="1124" ht="15.75" customHeight="1"/>
    <row r="1125" ht="15.75" customHeight="1"/>
    <row r="1126" ht="15.75" customHeight="1"/>
    <row r="1127" ht="15.75" customHeight="1"/>
    <row r="1128" ht="15.75" customHeight="1"/>
    <row r="1129" ht="15.75" customHeight="1"/>
    <row r="1130" ht="15.75" customHeight="1"/>
    <row r="1131" ht="15.75" customHeight="1"/>
    <row r="1132" ht="15.75" customHeight="1"/>
    <row r="1133" ht="15.75" customHeight="1"/>
    <row r="1134" ht="15.75" customHeight="1"/>
    <row r="1135" ht="15.75" customHeight="1"/>
    <row r="1136" ht="15.75" customHeight="1"/>
    <row r="1137" ht="15.75" customHeight="1"/>
    <row r="1138" ht="15.75" customHeight="1"/>
    <row r="1139" ht="15.75" customHeight="1"/>
    <row r="1140" ht="15.75" customHeight="1"/>
    <row r="1141" ht="15.75" customHeight="1"/>
    <row r="1142" ht="15.75" customHeight="1"/>
    <row r="1143" ht="15.75" customHeight="1"/>
    <row r="1144" ht="15.75" customHeight="1"/>
    <row r="1145" ht="15.75" customHeight="1"/>
    <row r="1146" ht="15.75" customHeight="1"/>
    <row r="1147" ht="15.75" customHeight="1"/>
    <row r="1148" ht="15.75" customHeight="1"/>
    <row r="1149" ht="15.75" customHeight="1"/>
    <row r="1150" ht="15.75" customHeight="1"/>
    <row r="1151" ht="15.75" customHeight="1"/>
    <row r="1152" ht="15.75" customHeight="1"/>
    <row r="1153" ht="15.75" customHeight="1"/>
    <row r="1154" ht="15.75" customHeight="1"/>
    <row r="1155" ht="15.75" customHeight="1"/>
    <row r="1156" ht="15.75" customHeight="1"/>
    <row r="1157" ht="15.75" customHeight="1"/>
    <row r="1158" ht="15.75" customHeight="1"/>
    <row r="1159" ht="15.75" customHeight="1"/>
    <row r="1160" ht="15.75" customHeight="1"/>
    <row r="1161" ht="15.75" customHeight="1"/>
    <row r="1162" ht="15.75" customHeight="1"/>
    <row r="1163" ht="15.75" customHeight="1"/>
    <row r="1164" ht="15.75" customHeight="1"/>
    <row r="1165" ht="15.75" customHeight="1"/>
    <row r="1166" ht="15.75" customHeight="1"/>
    <row r="1167" ht="15.75" customHeight="1"/>
    <row r="1168" ht="15.75" customHeight="1"/>
    <row r="1169" ht="15.75" customHeight="1"/>
    <row r="1170" ht="15.75" customHeight="1"/>
    <row r="1171" ht="15.75" customHeight="1"/>
    <row r="1172" ht="15.75" customHeight="1"/>
    <row r="1173" ht="15.75" customHeight="1"/>
    <row r="1174" ht="15.75" customHeight="1"/>
    <row r="1175" ht="15.75" customHeight="1"/>
    <row r="1176" ht="15.75" customHeight="1"/>
    <row r="1177" ht="15.75" customHeight="1"/>
    <row r="1178" ht="15.75" customHeight="1"/>
    <row r="1179" ht="15.75" customHeight="1"/>
    <row r="1180" ht="15.75" customHeight="1"/>
    <row r="1181" ht="15.75" customHeight="1"/>
    <row r="1182" ht="15.75" customHeight="1"/>
    <row r="1183" ht="15.75" customHeight="1"/>
    <row r="1184" ht="15.75" customHeight="1"/>
    <row r="1185" ht="15.75" customHeight="1"/>
    <row r="1186" ht="15.75" customHeight="1"/>
    <row r="1187" ht="15.75" customHeight="1"/>
    <row r="1188" ht="15.75" customHeight="1"/>
    <row r="1189" ht="15.75" customHeight="1"/>
    <row r="1190" ht="15.75" customHeight="1"/>
    <row r="1191" ht="15.75" customHeight="1"/>
    <row r="1192" ht="15.75" customHeight="1"/>
    <row r="1193" ht="15.75" customHeight="1"/>
    <row r="1194" ht="15.75" customHeight="1"/>
    <row r="1195" ht="15.75" customHeight="1"/>
    <row r="1196" ht="15.75" customHeight="1"/>
    <row r="1197" ht="15.75" customHeight="1"/>
    <row r="1198" ht="15.75" customHeight="1"/>
    <row r="1199" ht="15.75" customHeight="1"/>
    <row r="1200" ht="15.75" customHeight="1"/>
    <row r="1201" ht="15.75" customHeight="1"/>
    <row r="1202" ht="15.75" customHeight="1"/>
    <row r="1203" ht="15.75" customHeight="1"/>
    <row r="1204" ht="15.75" customHeight="1"/>
    <row r="1205" ht="15.75" customHeight="1"/>
    <row r="1206" ht="15.75" customHeight="1"/>
    <row r="1207" ht="15.75" customHeight="1"/>
    <row r="1208" ht="15.75" customHeight="1"/>
    <row r="1209" ht="15.75" customHeight="1"/>
    <row r="1210" ht="15.75" customHeight="1"/>
    <row r="1211" ht="15.75" customHeight="1"/>
  </sheetData>
  <sheetProtection formatColumns="0" formatRows="0" sort="0" autoFilter="0"/>
  <dataValidations count="2">
    <dataValidation type="list" allowBlank="1" showInputMessage="1" showErrorMessage="1" sqref="C12">
      <formula1>"Level I, Level II and III"</formula1>
    </dataValidation>
    <dataValidation type="list" allowBlank="1" showInputMessage="1" showErrorMessage="1" sqref="G15:G409">
      <formula1>"Permament, Contractual, JO"</formula1>
    </dataValidation>
  </dataValidations>
  <pageMargins left="0.7" right="0.7" top="0.75" bottom="0.75" header="0" footer="0"/>
  <pageSetup orientation="landscape" r:id="rId1"/>
  <legacyDrawing r:id="rId2"/>
  <extLst xmlns:x14="http://schemas.microsoft.com/office/spreadsheetml/2009/9/main">
    <ext uri="{CCE6A557-97BC-4b89-ADB6-D9C93CAAB3DF}">
      <x14:dataValidations xmlns:xm="http://schemas.microsoft.com/office/excel/2006/main" count="1">
        <x14:dataValidation type="list" allowBlank="1" showInputMessage="1" showErrorMessage="1">
          <x14:formula1>
            <xm:f>SelectDept!$B$2:$B$67</xm:f>
          </x14:formula1>
          <xm:sqref>E15:E27</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2">
    <tabColor rgb="FF0070C0"/>
  </sheetPr>
  <dimension ref="A1:DQ1004"/>
  <sheetViews>
    <sheetView topLeftCell="A9" workbookViewId="0">
      <selection activeCell="A9" sqref="A9"/>
    </sheetView>
  </sheetViews>
  <sheetFormatPr defaultColWidth="14.42578125" defaultRowHeight="15" customHeight="1"/>
  <cols>
    <col min="1" max="1" width="3.7109375" style="3" customWidth="1"/>
    <col min="2" max="2" width="55.28515625" style="3" customWidth="1"/>
    <col min="3" max="3" width="38.85546875" style="3" customWidth="1"/>
    <col min="4" max="5" width="8.7109375" style="3" customWidth="1"/>
    <col min="6" max="6" width="58" style="3" customWidth="1"/>
    <col min="7" max="13" width="8.7109375" style="3" customWidth="1"/>
    <col min="14" max="16384" width="14.42578125" style="3"/>
  </cols>
  <sheetData>
    <row r="1" spans="1:121" ht="12.75" customHeight="1">
      <c r="A1" s="1"/>
      <c r="B1" s="1"/>
      <c r="C1" s="1"/>
      <c r="D1" s="1"/>
      <c r="E1" s="1"/>
      <c r="F1" s="1"/>
      <c r="G1" s="1"/>
      <c r="H1" s="1"/>
      <c r="I1" s="1"/>
      <c r="J1" s="1"/>
      <c r="K1" s="1"/>
      <c r="L1" s="1"/>
      <c r="M1" s="1"/>
    </row>
    <row r="2" spans="1:121" s="61" customFormat="1" ht="16.5">
      <c r="B2" s="62" t="s">
        <v>0</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1:121" ht="12.75" customHeight="1">
      <c r="A3" s="1"/>
      <c r="B3" s="2"/>
      <c r="C3" s="1"/>
      <c r="D3" s="1"/>
      <c r="E3" s="1"/>
      <c r="F3" s="1"/>
      <c r="G3" s="1"/>
      <c r="H3" s="1"/>
      <c r="I3" s="1"/>
      <c r="J3" s="1"/>
      <c r="K3" s="1"/>
      <c r="L3" s="1"/>
      <c r="M3" s="1"/>
    </row>
    <row r="4" spans="1:121" ht="12.75" customHeight="1">
      <c r="A4" s="1"/>
      <c r="B4" s="83" t="s">
        <v>115</v>
      </c>
      <c r="C4" s="84"/>
      <c r="D4" s="1"/>
      <c r="E4" s="1"/>
      <c r="F4" s="1"/>
      <c r="G4" s="1"/>
      <c r="H4" s="1"/>
      <c r="I4" s="1"/>
      <c r="J4" s="1"/>
      <c r="K4" s="1"/>
      <c r="L4" s="1"/>
      <c r="M4" s="1"/>
    </row>
    <row r="5" spans="1:121" ht="28.15" customHeight="1">
      <c r="A5" s="1"/>
      <c r="B5" s="85" t="s">
        <v>117</v>
      </c>
      <c r="C5" s="86"/>
      <c r="D5" s="1"/>
      <c r="E5" s="1"/>
      <c r="F5" s="1"/>
      <c r="G5" s="1"/>
      <c r="H5" s="1"/>
      <c r="I5" s="1"/>
      <c r="J5" s="1"/>
      <c r="K5" s="1"/>
      <c r="L5" s="1"/>
      <c r="M5" s="1"/>
    </row>
    <row r="6" spans="1:121" ht="12.75" customHeight="1">
      <c r="A6" s="1"/>
      <c r="B6" s="85" t="s">
        <v>116</v>
      </c>
      <c r="C6" s="86"/>
      <c r="D6" s="1"/>
      <c r="E6" s="1"/>
      <c r="F6" s="1"/>
      <c r="G6" s="1"/>
      <c r="H6" s="1"/>
      <c r="I6" s="1"/>
      <c r="J6" s="1"/>
      <c r="K6" s="1"/>
      <c r="L6" s="1"/>
      <c r="M6" s="1"/>
    </row>
    <row r="7" spans="1:121" ht="29.85" customHeight="1">
      <c r="A7" s="1"/>
      <c r="B7" s="87" t="s">
        <v>206</v>
      </c>
      <c r="C7" s="88"/>
      <c r="D7" s="1"/>
      <c r="E7" s="1"/>
      <c r="F7" s="1"/>
      <c r="G7" s="1"/>
      <c r="H7" s="1"/>
      <c r="I7" s="1"/>
      <c r="J7" s="1"/>
      <c r="K7" s="1"/>
      <c r="L7" s="1"/>
      <c r="M7" s="1"/>
    </row>
    <row r="8" spans="1:121" ht="12.75" customHeight="1">
      <c r="A8" s="1"/>
      <c r="B8" s="1"/>
      <c r="C8" s="1"/>
      <c r="D8" s="1"/>
      <c r="E8" s="1"/>
      <c r="F8" s="1"/>
      <c r="G8" s="1"/>
      <c r="H8" s="1"/>
      <c r="I8" s="1"/>
      <c r="J8" s="1"/>
      <c r="K8" s="1"/>
      <c r="L8" s="1"/>
      <c r="M8" s="1"/>
    </row>
    <row r="9" spans="1:121" ht="12.75" customHeight="1">
      <c r="A9" s="1"/>
      <c r="B9" s="1"/>
      <c r="C9" s="1"/>
      <c r="D9" s="1"/>
      <c r="E9" s="1"/>
      <c r="F9" s="1"/>
      <c r="G9" s="1"/>
      <c r="H9" s="1"/>
      <c r="I9" s="1"/>
      <c r="J9" s="1"/>
      <c r="K9" s="1"/>
      <c r="L9" s="1"/>
      <c r="M9" s="1"/>
    </row>
    <row r="10" spans="1:121" ht="24.75" customHeight="1">
      <c r="A10" s="1"/>
      <c r="B10" s="14" t="s">
        <v>121</v>
      </c>
      <c r="C10" s="4" t="s">
        <v>6</v>
      </c>
      <c r="D10" s="1"/>
      <c r="E10" s="1"/>
      <c r="F10" s="1"/>
      <c r="G10" s="1"/>
      <c r="H10" s="1"/>
      <c r="I10" s="1"/>
      <c r="J10" s="1"/>
      <c r="K10" s="1"/>
      <c r="L10" s="1"/>
      <c r="M10" s="1"/>
    </row>
    <row r="11" spans="1:121" ht="12.75" customHeight="1">
      <c r="A11" s="1"/>
      <c r="B11" s="5" t="s">
        <v>7</v>
      </c>
      <c r="C11" s="65"/>
      <c r="D11" s="1"/>
      <c r="E11" s="1"/>
      <c r="F11" s="1"/>
      <c r="G11" s="1"/>
      <c r="H11" s="1"/>
      <c r="I11" s="1"/>
      <c r="J11" s="1"/>
      <c r="K11" s="1"/>
      <c r="L11" s="1"/>
      <c r="M11" s="1"/>
    </row>
    <row r="12" spans="1:121" ht="12.75" customHeight="1">
      <c r="A12" s="1"/>
      <c r="B12" s="5" t="s">
        <v>8</v>
      </c>
      <c r="C12" s="65"/>
      <c r="D12" s="1"/>
      <c r="E12" s="1"/>
      <c r="F12" s="1"/>
      <c r="G12" s="1"/>
      <c r="H12" s="1"/>
      <c r="I12" s="1"/>
      <c r="J12" s="1"/>
      <c r="K12" s="1"/>
      <c r="L12" s="1"/>
      <c r="M12" s="1"/>
    </row>
    <row r="13" spans="1:121" ht="12.75" customHeight="1">
      <c r="A13" s="1"/>
      <c r="B13" s="5" t="s">
        <v>9</v>
      </c>
      <c r="C13" s="65"/>
      <c r="D13" s="1"/>
      <c r="E13" s="1"/>
      <c r="F13" s="1"/>
      <c r="G13" s="1"/>
      <c r="H13" s="1"/>
      <c r="I13" s="1"/>
      <c r="J13" s="1"/>
      <c r="K13" s="1"/>
      <c r="L13" s="1"/>
      <c r="M13" s="1"/>
    </row>
    <row r="14" spans="1:121" ht="12.75" customHeight="1">
      <c r="A14" s="1"/>
      <c r="B14" s="5" t="s">
        <v>10</v>
      </c>
      <c r="C14" s="65"/>
      <c r="D14" s="1"/>
      <c r="E14" s="1"/>
      <c r="F14" s="1"/>
      <c r="G14" s="1"/>
      <c r="H14" s="1"/>
      <c r="I14" s="1"/>
      <c r="J14" s="1"/>
      <c r="K14" s="1"/>
      <c r="L14" s="1"/>
      <c r="M14" s="1"/>
    </row>
    <row r="15" spans="1:121" ht="12.75" customHeight="1">
      <c r="A15" s="1"/>
      <c r="B15" s="6" t="s">
        <v>11</v>
      </c>
      <c r="C15" s="65"/>
      <c r="D15" s="1"/>
      <c r="E15" s="1"/>
      <c r="F15" s="1"/>
      <c r="G15" s="1"/>
      <c r="H15" s="1"/>
      <c r="I15" s="1"/>
      <c r="J15" s="1"/>
      <c r="K15" s="1"/>
      <c r="L15" s="1"/>
      <c r="M15" s="1"/>
    </row>
    <row r="16" spans="1:121" ht="12.75" customHeight="1">
      <c r="A16" s="1"/>
      <c r="B16" s="6" t="s">
        <v>35</v>
      </c>
      <c r="C16" s="65"/>
      <c r="D16" s="1"/>
      <c r="E16" s="1"/>
      <c r="F16" s="1"/>
      <c r="G16" s="1"/>
      <c r="H16" s="1"/>
      <c r="I16" s="1"/>
      <c r="J16" s="1"/>
      <c r="K16" s="1"/>
      <c r="L16" s="1"/>
      <c r="M16" s="1"/>
    </row>
    <row r="17" spans="1:13" ht="12.75" customHeight="1">
      <c r="A17" s="1"/>
      <c r="B17" s="6" t="s">
        <v>41</v>
      </c>
      <c r="C17" s="65"/>
      <c r="D17" s="1"/>
      <c r="E17" s="1"/>
      <c r="F17" s="1"/>
      <c r="G17" s="1"/>
      <c r="H17" s="1"/>
      <c r="I17" s="1"/>
      <c r="J17" s="1"/>
      <c r="K17" s="1"/>
      <c r="L17" s="1"/>
      <c r="M17" s="1"/>
    </row>
    <row r="18" spans="1:13" ht="12.75" customHeight="1">
      <c r="A18" s="1"/>
      <c r="B18" s="6" t="s">
        <v>46</v>
      </c>
      <c r="C18" s="65"/>
      <c r="D18" s="1"/>
      <c r="E18" s="1"/>
      <c r="F18" s="1"/>
      <c r="G18" s="1"/>
      <c r="H18" s="1"/>
      <c r="I18" s="1"/>
      <c r="J18" s="1"/>
      <c r="K18" s="1"/>
      <c r="L18" s="1"/>
      <c r="M18" s="1"/>
    </row>
    <row r="19" spans="1:13" ht="12.75" customHeight="1">
      <c r="A19" s="1"/>
      <c r="B19" s="5" t="s">
        <v>47</v>
      </c>
      <c r="C19" s="65"/>
      <c r="D19" s="1"/>
      <c r="E19" s="1"/>
      <c r="F19" s="1"/>
      <c r="G19" s="1"/>
      <c r="H19" s="1"/>
      <c r="I19" s="1"/>
      <c r="J19" s="1"/>
      <c r="K19" s="1"/>
      <c r="L19" s="1"/>
      <c r="M19" s="1"/>
    </row>
    <row r="20" spans="1:13" ht="12.75" customHeight="1">
      <c r="A20" s="1"/>
      <c r="B20" s="5" t="s">
        <v>48</v>
      </c>
      <c r="C20" s="65"/>
      <c r="D20" s="1"/>
      <c r="E20" s="1"/>
      <c r="F20" s="1"/>
      <c r="G20" s="1"/>
      <c r="H20" s="1"/>
      <c r="I20" s="1"/>
      <c r="J20" s="1"/>
      <c r="K20" s="1"/>
      <c r="L20" s="1"/>
      <c r="M20" s="1"/>
    </row>
    <row r="21" spans="1:13" ht="12.75" customHeight="1">
      <c r="A21" s="1"/>
      <c r="B21" s="5" t="s">
        <v>49</v>
      </c>
      <c r="C21" s="65"/>
      <c r="D21" s="1"/>
      <c r="E21" s="1"/>
      <c r="F21" s="1"/>
      <c r="G21" s="1"/>
      <c r="H21" s="1"/>
      <c r="I21" s="1"/>
      <c r="J21" s="1"/>
      <c r="K21" s="1"/>
      <c r="L21" s="1"/>
      <c r="M21" s="1"/>
    </row>
    <row r="22" spans="1:13" ht="12.75" customHeight="1">
      <c r="A22" s="1"/>
      <c r="B22" s="5" t="s">
        <v>50</v>
      </c>
      <c r="C22" s="65"/>
      <c r="D22" s="1"/>
      <c r="E22" s="1"/>
      <c r="F22" s="1"/>
      <c r="G22" s="1"/>
      <c r="H22" s="1"/>
      <c r="I22" s="1"/>
      <c r="J22" s="1"/>
      <c r="K22" s="1"/>
      <c r="L22" s="1"/>
      <c r="M22" s="1"/>
    </row>
    <row r="23" spans="1:13" ht="12.75" customHeight="1">
      <c r="A23" s="1"/>
      <c r="B23" s="5" t="s">
        <v>51</v>
      </c>
      <c r="C23" s="65"/>
      <c r="D23" s="1"/>
      <c r="E23" s="1"/>
      <c r="F23" s="1"/>
      <c r="G23" s="1"/>
      <c r="H23" s="1"/>
      <c r="I23" s="1"/>
      <c r="J23" s="1"/>
      <c r="K23" s="1"/>
      <c r="L23" s="1"/>
      <c r="M23" s="1"/>
    </row>
    <row r="24" spans="1:13" ht="12.75" customHeight="1">
      <c r="A24" s="1"/>
      <c r="B24" s="5" t="s">
        <v>52</v>
      </c>
      <c r="C24" s="65"/>
      <c r="D24" s="1"/>
      <c r="E24" s="1"/>
      <c r="F24" s="1"/>
      <c r="G24" s="1"/>
      <c r="H24" s="1"/>
      <c r="I24" s="1"/>
      <c r="J24" s="1"/>
      <c r="K24" s="1"/>
      <c r="L24" s="1"/>
      <c r="M24" s="1"/>
    </row>
    <row r="25" spans="1:13" ht="12.75" customHeight="1">
      <c r="A25" s="1"/>
      <c r="B25" s="5" t="s">
        <v>53</v>
      </c>
      <c r="C25" s="65"/>
      <c r="D25" s="1"/>
      <c r="E25" s="1"/>
      <c r="F25" s="1"/>
      <c r="G25" s="1"/>
      <c r="H25" s="1"/>
      <c r="I25" s="1"/>
      <c r="J25" s="1"/>
      <c r="K25" s="1"/>
      <c r="L25" s="1"/>
      <c r="M25" s="1"/>
    </row>
    <row r="26" spans="1:13" ht="12.75" customHeight="1">
      <c r="A26" s="1"/>
      <c r="B26" s="5" t="s">
        <v>54</v>
      </c>
      <c r="C26" s="65"/>
      <c r="D26" s="1"/>
      <c r="E26" s="1"/>
      <c r="F26" s="1"/>
      <c r="G26" s="1"/>
      <c r="H26" s="1"/>
      <c r="I26" s="1"/>
      <c r="J26" s="1"/>
      <c r="K26" s="1"/>
      <c r="L26" s="1"/>
      <c r="M26" s="1"/>
    </row>
    <row r="27" spans="1:13" ht="12.75" customHeight="1">
      <c r="A27" s="1"/>
      <c r="B27" s="5" t="s">
        <v>55</v>
      </c>
      <c r="C27" s="65"/>
      <c r="D27" s="1"/>
      <c r="E27" s="1"/>
      <c r="F27" s="1"/>
      <c r="G27" s="1"/>
      <c r="H27" s="1"/>
      <c r="I27" s="1"/>
      <c r="J27" s="1"/>
      <c r="K27" s="1"/>
      <c r="L27" s="1"/>
      <c r="M27" s="1"/>
    </row>
    <row r="28" spans="1:13" ht="12.75" customHeight="1">
      <c r="A28" s="1"/>
      <c r="B28" s="5" t="s">
        <v>56</v>
      </c>
      <c r="C28" s="65"/>
      <c r="D28" s="1"/>
      <c r="E28" s="1"/>
      <c r="F28" s="1"/>
      <c r="G28" s="1"/>
      <c r="H28" s="1"/>
      <c r="I28" s="1"/>
      <c r="J28" s="1"/>
      <c r="K28" s="1"/>
      <c r="L28" s="1"/>
      <c r="M28" s="1"/>
    </row>
    <row r="29" spans="1:13" ht="12.75" customHeight="1">
      <c r="A29" s="1"/>
      <c r="B29" s="5" t="s">
        <v>57</v>
      </c>
      <c r="C29" s="65"/>
      <c r="D29" s="1"/>
      <c r="E29" s="1"/>
      <c r="F29" s="1"/>
      <c r="G29" s="1"/>
      <c r="H29" s="1"/>
      <c r="I29" s="1"/>
      <c r="J29" s="1"/>
      <c r="K29" s="1"/>
      <c r="L29" s="1"/>
      <c r="M29" s="1"/>
    </row>
    <row r="30" spans="1:13" ht="12.75" customHeight="1">
      <c r="A30" s="1"/>
      <c r="B30" s="60"/>
      <c r="C30" s="65"/>
      <c r="D30" s="1"/>
      <c r="E30" s="1"/>
      <c r="F30" s="1"/>
      <c r="G30" s="1"/>
      <c r="H30" s="1"/>
      <c r="I30" s="1"/>
      <c r="J30" s="1"/>
      <c r="K30" s="1"/>
      <c r="L30" s="1"/>
      <c r="M30" s="1"/>
    </row>
    <row r="31" spans="1:13" ht="12.75" customHeight="1">
      <c r="A31" s="1"/>
      <c r="B31" s="60"/>
      <c r="C31" s="65"/>
      <c r="D31" s="1"/>
      <c r="E31" s="1"/>
      <c r="F31" s="1"/>
      <c r="G31" s="1"/>
      <c r="H31" s="1"/>
      <c r="I31" s="1"/>
      <c r="J31" s="1"/>
      <c r="K31" s="1"/>
      <c r="L31" s="1"/>
      <c r="M31" s="1"/>
    </row>
    <row r="32" spans="1:13" ht="12.75" customHeight="1">
      <c r="A32" s="1"/>
      <c r="B32" s="60"/>
      <c r="C32" s="65"/>
      <c r="D32" s="1"/>
      <c r="E32" s="1"/>
      <c r="F32" s="1"/>
      <c r="G32" s="1"/>
      <c r="H32" s="1"/>
      <c r="I32" s="1"/>
      <c r="J32" s="1"/>
      <c r="K32" s="1"/>
      <c r="L32" s="1"/>
      <c r="M32" s="1"/>
    </row>
    <row r="33" spans="1:13" ht="12.75" customHeight="1">
      <c r="A33" s="1"/>
      <c r="B33" s="60"/>
      <c r="C33" s="65"/>
      <c r="D33" s="1"/>
      <c r="E33" s="1"/>
      <c r="F33" s="1"/>
      <c r="G33" s="1"/>
      <c r="H33" s="1"/>
      <c r="I33" s="1"/>
      <c r="J33" s="1"/>
      <c r="K33" s="1"/>
      <c r="L33" s="1"/>
      <c r="M33" s="1"/>
    </row>
    <row r="34" spans="1:13" ht="12.75" customHeight="1">
      <c r="A34" s="1"/>
      <c r="B34" s="8" t="s">
        <v>58</v>
      </c>
      <c r="C34" s="65"/>
      <c r="D34" s="1"/>
      <c r="E34" s="1"/>
      <c r="F34" s="1"/>
      <c r="G34" s="1"/>
      <c r="H34" s="1"/>
      <c r="I34" s="1"/>
      <c r="J34" s="1"/>
      <c r="K34" s="1"/>
      <c r="L34" s="1"/>
      <c r="M34" s="1"/>
    </row>
    <row r="35" spans="1:13" ht="12.75" customHeight="1">
      <c r="A35" s="1"/>
      <c r="B35" s="1"/>
      <c r="C35" s="1"/>
      <c r="D35" s="1"/>
      <c r="E35" s="1"/>
      <c r="F35" s="1"/>
      <c r="G35" s="1"/>
      <c r="H35" s="1"/>
      <c r="I35" s="1"/>
      <c r="J35" s="1"/>
      <c r="K35" s="1"/>
      <c r="L35" s="1"/>
      <c r="M35" s="1"/>
    </row>
    <row r="36" spans="1:13" ht="12.75" customHeight="1">
      <c r="A36" s="1"/>
      <c r="B36" s="1"/>
      <c r="C36" s="1"/>
      <c r="D36" s="1"/>
      <c r="E36" s="1"/>
      <c r="F36" s="1"/>
      <c r="G36" s="1"/>
      <c r="H36" s="1"/>
      <c r="I36" s="1"/>
      <c r="J36" s="1"/>
      <c r="K36" s="1"/>
      <c r="L36" s="1"/>
      <c r="M36" s="1"/>
    </row>
    <row r="37" spans="1:13" ht="12.75" customHeight="1">
      <c r="A37" s="1"/>
      <c r="B37" s="1"/>
      <c r="C37" s="1"/>
      <c r="D37" s="1"/>
      <c r="E37" s="1"/>
      <c r="F37" s="1"/>
      <c r="G37" s="1"/>
      <c r="H37" s="1"/>
      <c r="I37" s="1"/>
      <c r="J37" s="1"/>
      <c r="K37" s="1"/>
      <c r="L37" s="1"/>
      <c r="M37" s="1"/>
    </row>
    <row r="38" spans="1:13" ht="24" customHeight="1">
      <c r="A38" s="1"/>
      <c r="B38" s="15" t="s">
        <v>59</v>
      </c>
      <c r="C38" s="16" t="s">
        <v>6</v>
      </c>
      <c r="D38" s="1"/>
      <c r="E38" s="1"/>
      <c r="F38" s="1"/>
      <c r="G38" s="1"/>
      <c r="H38" s="1"/>
      <c r="I38" s="1"/>
      <c r="J38" s="1"/>
      <c r="K38" s="1"/>
      <c r="L38" s="1"/>
      <c r="M38" s="1"/>
    </row>
    <row r="39" spans="1:13" ht="12.75" customHeight="1">
      <c r="A39" s="1"/>
      <c r="B39" s="7" t="s">
        <v>122</v>
      </c>
      <c r="C39" s="65"/>
      <c r="D39" s="1"/>
      <c r="E39" s="1"/>
      <c r="F39" s="1"/>
      <c r="G39" s="1"/>
      <c r="H39" s="1"/>
      <c r="I39" s="1"/>
      <c r="J39" s="1"/>
      <c r="K39" s="1"/>
      <c r="L39" s="1"/>
      <c r="M39" s="1"/>
    </row>
    <row r="40" spans="1:13" ht="12.75" customHeight="1">
      <c r="A40" s="1"/>
      <c r="B40" s="5" t="s">
        <v>60</v>
      </c>
      <c r="C40" s="65"/>
      <c r="D40" s="1"/>
      <c r="E40" s="1"/>
      <c r="F40" s="1"/>
      <c r="G40" s="1"/>
      <c r="H40" s="1"/>
      <c r="I40" s="1"/>
      <c r="J40" s="1"/>
      <c r="K40" s="1"/>
      <c r="L40" s="1"/>
      <c r="M40" s="1"/>
    </row>
    <row r="41" spans="1:13" ht="12.75" customHeight="1">
      <c r="A41" s="1"/>
      <c r="B41" s="5" t="s">
        <v>61</v>
      </c>
      <c r="C41" s="65"/>
      <c r="D41" s="1"/>
      <c r="E41" s="1"/>
      <c r="F41" s="1"/>
      <c r="G41" s="1"/>
      <c r="H41" s="1"/>
      <c r="I41" s="1"/>
      <c r="J41" s="1"/>
      <c r="K41" s="1"/>
      <c r="L41" s="1"/>
      <c r="M41" s="1"/>
    </row>
    <row r="42" spans="1:13" ht="12.75" customHeight="1">
      <c r="A42" s="1"/>
      <c r="B42" s="5" t="s">
        <v>18</v>
      </c>
      <c r="C42" s="65"/>
      <c r="D42" s="1"/>
      <c r="E42" s="1"/>
      <c r="F42" s="1"/>
      <c r="G42" s="1"/>
      <c r="H42" s="1"/>
      <c r="I42" s="1"/>
      <c r="J42" s="1"/>
      <c r="K42" s="1"/>
      <c r="L42" s="1"/>
      <c r="M42" s="1"/>
    </row>
    <row r="43" spans="1:13" ht="12.75" customHeight="1">
      <c r="A43" s="1"/>
      <c r="B43" s="5" t="s">
        <v>19</v>
      </c>
      <c r="C43" s="65"/>
      <c r="D43" s="1"/>
      <c r="E43" s="1"/>
      <c r="F43" s="1"/>
      <c r="G43" s="1"/>
      <c r="H43" s="1"/>
      <c r="I43" s="1"/>
      <c r="J43" s="1"/>
      <c r="K43" s="1"/>
      <c r="L43" s="1"/>
      <c r="M43" s="1"/>
    </row>
    <row r="44" spans="1:13" ht="12.75" customHeight="1">
      <c r="A44" s="1"/>
      <c r="B44" s="5" t="s">
        <v>20</v>
      </c>
      <c r="C44" s="65"/>
      <c r="D44" s="1"/>
      <c r="E44" s="1"/>
      <c r="F44" s="1"/>
      <c r="G44" s="1"/>
      <c r="H44" s="1"/>
      <c r="I44" s="1"/>
      <c r="J44" s="1"/>
      <c r="K44" s="1"/>
      <c r="L44" s="1"/>
      <c r="M44" s="1"/>
    </row>
    <row r="45" spans="1:13" ht="12.75" customHeight="1">
      <c r="A45" s="1"/>
      <c r="B45" s="5" t="s">
        <v>21</v>
      </c>
      <c r="C45" s="65"/>
      <c r="D45" s="1"/>
      <c r="E45" s="1"/>
      <c r="F45" s="1"/>
      <c r="G45" s="1"/>
      <c r="H45" s="1"/>
      <c r="I45" s="1"/>
      <c r="J45" s="1"/>
      <c r="K45" s="1"/>
      <c r="L45" s="1"/>
      <c r="M45" s="1"/>
    </row>
    <row r="46" spans="1:13" ht="12.75" customHeight="1">
      <c r="A46" s="1"/>
      <c r="B46" s="5" t="s">
        <v>22</v>
      </c>
      <c r="C46" s="65"/>
      <c r="D46" s="1"/>
      <c r="E46" s="1"/>
      <c r="F46" s="1"/>
      <c r="G46" s="1"/>
      <c r="H46" s="1"/>
      <c r="I46" s="1"/>
      <c r="J46" s="1"/>
      <c r="K46" s="1"/>
      <c r="L46" s="1"/>
      <c r="M46" s="1"/>
    </row>
    <row r="47" spans="1:13" ht="12.75" customHeight="1">
      <c r="A47" s="1"/>
      <c r="B47" s="5" t="s">
        <v>23</v>
      </c>
      <c r="C47" s="65"/>
      <c r="D47" s="1"/>
      <c r="E47" s="1"/>
      <c r="F47" s="1"/>
      <c r="G47" s="1"/>
      <c r="H47" s="1"/>
      <c r="I47" s="1"/>
      <c r="J47" s="1"/>
      <c r="K47" s="1"/>
      <c r="L47" s="1"/>
      <c r="M47" s="1"/>
    </row>
    <row r="48" spans="1:13" ht="12.75" customHeight="1">
      <c r="A48" s="1"/>
      <c r="B48" s="5" t="s">
        <v>24</v>
      </c>
      <c r="C48" s="65"/>
      <c r="D48" s="1"/>
      <c r="E48" s="1"/>
      <c r="F48" s="1"/>
      <c r="G48" s="1"/>
      <c r="H48" s="1"/>
      <c r="I48" s="1"/>
      <c r="J48" s="1"/>
      <c r="K48" s="1"/>
      <c r="L48" s="1"/>
      <c r="M48" s="1"/>
    </row>
    <row r="49" spans="1:13" ht="12.75" customHeight="1">
      <c r="A49" s="1"/>
      <c r="B49" s="5" t="s">
        <v>62</v>
      </c>
      <c r="C49" s="65"/>
      <c r="D49" s="1"/>
      <c r="E49" s="1"/>
      <c r="F49" s="1"/>
      <c r="G49" s="1"/>
      <c r="H49" s="1"/>
      <c r="I49" s="1"/>
      <c r="J49" s="1"/>
      <c r="K49" s="1"/>
      <c r="L49" s="1"/>
      <c r="M49" s="1"/>
    </row>
    <row r="50" spans="1:13" ht="12.75" customHeight="1">
      <c r="A50" s="1"/>
      <c r="B50" s="5" t="s">
        <v>26</v>
      </c>
      <c r="C50" s="65"/>
      <c r="D50" s="1"/>
      <c r="E50" s="1"/>
      <c r="F50" s="1"/>
      <c r="G50" s="1"/>
      <c r="H50" s="1"/>
      <c r="I50" s="1"/>
      <c r="J50" s="1"/>
      <c r="K50" s="1"/>
      <c r="L50" s="1"/>
      <c r="M50" s="1"/>
    </row>
    <row r="51" spans="1:13" ht="12.75" customHeight="1">
      <c r="A51" s="1"/>
      <c r="B51" s="5" t="s">
        <v>27</v>
      </c>
      <c r="C51" s="65"/>
      <c r="D51" s="1"/>
      <c r="E51" s="1"/>
      <c r="F51" s="1"/>
      <c r="G51" s="1"/>
      <c r="H51" s="1"/>
      <c r="I51" s="1"/>
      <c r="J51" s="1"/>
      <c r="K51" s="1"/>
      <c r="L51" s="1"/>
      <c r="M51" s="1"/>
    </row>
    <row r="52" spans="1:13" ht="12.75" customHeight="1">
      <c r="A52" s="1"/>
      <c r="B52" s="5" t="s">
        <v>28</v>
      </c>
      <c r="C52" s="65"/>
      <c r="D52" s="1"/>
      <c r="E52" s="1"/>
      <c r="F52" s="1"/>
      <c r="G52" s="1"/>
      <c r="H52" s="1"/>
      <c r="I52" s="1"/>
      <c r="J52" s="1"/>
      <c r="K52" s="1"/>
      <c r="L52" s="1"/>
      <c r="M52" s="1"/>
    </row>
    <row r="53" spans="1:13" ht="12.75" customHeight="1">
      <c r="A53" s="1"/>
      <c r="B53" s="5" t="s">
        <v>29</v>
      </c>
      <c r="C53" s="65"/>
      <c r="D53" s="1"/>
      <c r="E53" s="1"/>
      <c r="F53" s="1"/>
      <c r="G53" s="1"/>
      <c r="H53" s="1"/>
      <c r="I53" s="1"/>
      <c r="J53" s="1"/>
      <c r="K53" s="1"/>
      <c r="L53" s="1"/>
      <c r="M53" s="1"/>
    </row>
    <row r="54" spans="1:13" ht="12.75" customHeight="1">
      <c r="A54" s="1"/>
      <c r="B54" s="5" t="s">
        <v>30</v>
      </c>
      <c r="C54" s="65"/>
      <c r="D54" s="1"/>
      <c r="E54" s="1"/>
      <c r="F54" s="1"/>
      <c r="G54" s="1"/>
      <c r="H54" s="1"/>
      <c r="I54" s="1"/>
      <c r="J54" s="1"/>
      <c r="K54" s="1"/>
      <c r="L54" s="1"/>
      <c r="M54" s="1"/>
    </row>
    <row r="55" spans="1:13" ht="12.75" customHeight="1">
      <c r="A55" s="1"/>
      <c r="B55" s="5" t="s">
        <v>31</v>
      </c>
      <c r="C55" s="65"/>
      <c r="D55" s="1"/>
      <c r="E55" s="1"/>
      <c r="F55" s="1"/>
      <c r="G55" s="1"/>
      <c r="H55" s="1"/>
      <c r="I55" s="1"/>
      <c r="J55" s="1"/>
      <c r="K55" s="1"/>
      <c r="L55" s="1"/>
      <c r="M55" s="1"/>
    </row>
    <row r="56" spans="1:13" ht="12.75" customHeight="1">
      <c r="A56" s="1"/>
      <c r="B56" s="5" t="s">
        <v>32</v>
      </c>
      <c r="C56" s="65"/>
      <c r="D56" s="1"/>
      <c r="E56" s="1"/>
      <c r="F56" s="1"/>
      <c r="G56" s="1"/>
      <c r="H56" s="1"/>
      <c r="I56" s="1"/>
      <c r="J56" s="1"/>
      <c r="K56" s="1"/>
      <c r="L56" s="1"/>
      <c r="M56" s="1"/>
    </row>
    <row r="57" spans="1:13" ht="12.75" customHeight="1">
      <c r="A57" s="1"/>
      <c r="B57" s="5" t="s">
        <v>33</v>
      </c>
      <c r="C57" s="65"/>
      <c r="D57" s="1"/>
      <c r="E57" s="1"/>
      <c r="F57" s="1"/>
      <c r="G57" s="1"/>
      <c r="H57" s="1"/>
      <c r="I57" s="1"/>
      <c r="J57" s="1"/>
      <c r="K57" s="1"/>
      <c r="L57" s="1"/>
      <c r="M57" s="1"/>
    </row>
    <row r="58" spans="1:13" ht="12.75" customHeight="1">
      <c r="A58" s="1"/>
      <c r="B58" s="5" t="s">
        <v>34</v>
      </c>
      <c r="C58" s="65"/>
      <c r="D58" s="1"/>
      <c r="E58" s="1"/>
      <c r="F58" s="1"/>
      <c r="G58" s="1"/>
      <c r="H58" s="1"/>
      <c r="I58" s="1"/>
      <c r="J58" s="1"/>
      <c r="K58" s="1"/>
      <c r="L58" s="1"/>
      <c r="M58" s="1"/>
    </row>
    <row r="59" spans="1:13" ht="12.75" customHeight="1">
      <c r="A59" s="1"/>
      <c r="B59" s="5" t="s">
        <v>36</v>
      </c>
      <c r="C59" s="65"/>
      <c r="D59" s="1"/>
      <c r="E59" s="1"/>
      <c r="F59" s="1"/>
      <c r="G59" s="1"/>
      <c r="H59" s="1"/>
      <c r="I59" s="1"/>
      <c r="J59" s="1"/>
      <c r="K59" s="1"/>
      <c r="L59" s="1"/>
      <c r="M59" s="1"/>
    </row>
    <row r="60" spans="1:13" ht="12.75" customHeight="1">
      <c r="A60" s="1"/>
      <c r="B60" s="5" t="s">
        <v>37</v>
      </c>
      <c r="C60" s="65"/>
      <c r="D60" s="1"/>
      <c r="E60" s="1"/>
      <c r="F60" s="1"/>
      <c r="G60" s="1"/>
      <c r="H60" s="1"/>
      <c r="I60" s="1"/>
      <c r="J60" s="1"/>
      <c r="K60" s="1"/>
      <c r="L60" s="1"/>
      <c r="M60" s="1"/>
    </row>
    <row r="61" spans="1:13" ht="12.75" customHeight="1">
      <c r="A61" s="1"/>
      <c r="B61" s="5" t="s">
        <v>38</v>
      </c>
      <c r="C61" s="65"/>
      <c r="D61" s="1"/>
      <c r="E61" s="1"/>
      <c r="F61" s="1"/>
      <c r="G61" s="1"/>
      <c r="H61" s="1"/>
      <c r="I61" s="1"/>
      <c r="J61" s="1"/>
      <c r="K61" s="1"/>
      <c r="L61" s="1"/>
      <c r="M61" s="1"/>
    </row>
    <row r="62" spans="1:13" ht="12.75" customHeight="1">
      <c r="A62" s="1"/>
      <c r="B62" s="5" t="s">
        <v>39</v>
      </c>
      <c r="C62" s="65"/>
      <c r="D62" s="1"/>
      <c r="E62" s="1"/>
      <c r="F62" s="1"/>
      <c r="G62" s="1"/>
      <c r="H62" s="1"/>
      <c r="I62" s="1"/>
      <c r="J62" s="1"/>
      <c r="K62" s="1"/>
      <c r="L62" s="1"/>
      <c r="M62" s="1"/>
    </row>
    <row r="63" spans="1:13" ht="12.75" customHeight="1">
      <c r="A63" s="1"/>
      <c r="B63" s="5" t="s">
        <v>40</v>
      </c>
      <c r="C63" s="65"/>
      <c r="D63" s="1"/>
      <c r="E63" s="1"/>
      <c r="F63" s="1"/>
      <c r="G63" s="1"/>
      <c r="H63" s="1"/>
      <c r="I63" s="1"/>
      <c r="J63" s="1"/>
      <c r="K63" s="1"/>
      <c r="L63" s="1"/>
      <c r="M63" s="1"/>
    </row>
    <row r="64" spans="1:13" ht="12.75" customHeight="1">
      <c r="A64" s="1"/>
      <c r="B64" s="5" t="s">
        <v>42</v>
      </c>
      <c r="C64" s="65"/>
      <c r="D64" s="1"/>
      <c r="E64" s="1"/>
      <c r="F64" s="1"/>
      <c r="G64" s="1"/>
      <c r="H64" s="1"/>
      <c r="I64" s="1"/>
      <c r="J64" s="1"/>
      <c r="K64" s="1"/>
      <c r="L64" s="1"/>
      <c r="M64" s="1"/>
    </row>
    <row r="65" spans="1:13" ht="12.75" customHeight="1">
      <c r="A65" s="1"/>
      <c r="B65" s="5" t="s">
        <v>43</v>
      </c>
      <c r="C65" s="65"/>
      <c r="D65" s="1"/>
      <c r="E65" s="1"/>
      <c r="F65" s="1"/>
      <c r="G65" s="1"/>
      <c r="H65" s="1"/>
      <c r="I65" s="1"/>
      <c r="J65" s="1"/>
      <c r="K65" s="1"/>
      <c r="L65" s="1"/>
      <c r="M65" s="1"/>
    </row>
    <row r="66" spans="1:13" ht="12.75" customHeight="1">
      <c r="A66" s="1"/>
      <c r="B66" s="5" t="s">
        <v>44</v>
      </c>
      <c r="C66" s="65"/>
      <c r="D66" s="1"/>
      <c r="E66" s="1"/>
      <c r="F66" s="1"/>
      <c r="G66" s="1"/>
      <c r="H66" s="1"/>
      <c r="I66" s="1"/>
      <c r="J66" s="1"/>
      <c r="K66" s="1"/>
      <c r="L66" s="1"/>
      <c r="M66" s="1"/>
    </row>
    <row r="67" spans="1:13" ht="12.75" customHeight="1">
      <c r="A67" s="1"/>
      <c r="B67" s="60"/>
      <c r="C67" s="65"/>
      <c r="D67" s="1"/>
      <c r="E67" s="1"/>
      <c r="F67" s="1"/>
      <c r="G67" s="1"/>
      <c r="H67" s="1"/>
      <c r="I67" s="1"/>
      <c r="J67" s="1"/>
      <c r="K67" s="1"/>
      <c r="L67" s="1"/>
      <c r="M67" s="1"/>
    </row>
    <row r="68" spans="1:13" ht="12.75" customHeight="1">
      <c r="A68" s="1"/>
      <c r="B68" s="60"/>
      <c r="C68" s="65"/>
      <c r="D68" s="1"/>
      <c r="E68" s="1"/>
      <c r="F68" s="1"/>
      <c r="G68" s="1"/>
      <c r="H68" s="1"/>
      <c r="I68" s="1"/>
      <c r="J68" s="1"/>
      <c r="K68" s="1"/>
      <c r="L68" s="1"/>
      <c r="M68" s="1"/>
    </row>
    <row r="69" spans="1:13" ht="12.75" customHeight="1">
      <c r="A69" s="1"/>
      <c r="B69" s="60"/>
      <c r="C69" s="65"/>
      <c r="D69" s="1"/>
      <c r="E69" s="1"/>
      <c r="F69" s="1"/>
      <c r="G69" s="1"/>
      <c r="H69" s="1"/>
      <c r="I69" s="1"/>
      <c r="J69" s="1"/>
      <c r="K69" s="1"/>
      <c r="L69" s="1"/>
      <c r="M69" s="1"/>
    </row>
    <row r="70" spans="1:13" ht="12.75" customHeight="1">
      <c r="A70" s="1"/>
      <c r="B70" s="60"/>
      <c r="C70" s="65"/>
      <c r="D70" s="1"/>
      <c r="E70" s="1"/>
      <c r="F70" s="1"/>
      <c r="G70" s="1"/>
      <c r="H70" s="1"/>
      <c r="I70" s="1"/>
      <c r="J70" s="1"/>
      <c r="K70" s="1"/>
      <c r="L70" s="1"/>
      <c r="M70" s="1"/>
    </row>
    <row r="71" spans="1:13" ht="12.75" customHeight="1">
      <c r="A71" s="1"/>
      <c r="B71" s="9" t="s">
        <v>63</v>
      </c>
      <c r="C71" s="65"/>
      <c r="D71" s="1"/>
      <c r="E71" s="1"/>
      <c r="F71" s="1"/>
      <c r="G71" s="1"/>
      <c r="H71" s="1"/>
      <c r="I71" s="1"/>
      <c r="J71" s="1"/>
      <c r="K71" s="1"/>
      <c r="L71" s="1"/>
      <c r="M71" s="1"/>
    </row>
    <row r="72" spans="1:13" ht="12.75" customHeight="1">
      <c r="A72" s="1"/>
      <c r="B72" s="10" t="s">
        <v>64</v>
      </c>
      <c r="C72" s="65"/>
      <c r="D72" s="1"/>
      <c r="E72" s="1"/>
      <c r="F72" s="1"/>
      <c r="G72" s="1"/>
      <c r="H72" s="1"/>
      <c r="I72" s="1"/>
      <c r="J72" s="1"/>
      <c r="K72" s="1"/>
      <c r="L72" s="1"/>
      <c r="M72" s="1"/>
    </row>
    <row r="73" spans="1:13" ht="12.75" customHeight="1">
      <c r="A73" s="1"/>
      <c r="B73" s="10" t="s">
        <v>65</v>
      </c>
      <c r="C73" s="65"/>
      <c r="D73" s="1"/>
      <c r="E73" s="1"/>
      <c r="F73" s="1"/>
      <c r="G73" s="1"/>
      <c r="H73" s="1"/>
      <c r="I73" s="1"/>
      <c r="J73" s="1"/>
      <c r="K73" s="1"/>
      <c r="L73" s="1"/>
      <c r="M73" s="1"/>
    </row>
    <row r="74" spans="1:13" ht="12.75" customHeight="1">
      <c r="A74" s="1"/>
      <c r="B74" s="10" t="s">
        <v>66</v>
      </c>
      <c r="C74" s="65"/>
      <c r="D74" s="1"/>
      <c r="E74" s="1"/>
      <c r="F74" s="1"/>
      <c r="G74" s="1"/>
      <c r="H74" s="1"/>
      <c r="I74" s="1"/>
      <c r="J74" s="1"/>
      <c r="K74" s="1"/>
      <c r="L74" s="1"/>
      <c r="M74" s="1"/>
    </row>
    <row r="75" spans="1:13" ht="12.75" customHeight="1">
      <c r="A75" s="1"/>
      <c r="B75" s="10" t="s">
        <v>67</v>
      </c>
      <c r="C75" s="65"/>
      <c r="D75" s="1"/>
      <c r="E75" s="1"/>
      <c r="F75" s="1"/>
      <c r="G75" s="1"/>
      <c r="H75" s="1"/>
      <c r="I75" s="1"/>
      <c r="J75" s="1"/>
      <c r="K75" s="1"/>
      <c r="L75" s="1"/>
      <c r="M75" s="1"/>
    </row>
    <row r="76" spans="1:13" ht="12.75" customHeight="1">
      <c r="A76" s="1"/>
      <c r="B76" s="10" t="s">
        <v>68</v>
      </c>
      <c r="C76" s="65"/>
      <c r="D76" s="1"/>
      <c r="E76" s="1"/>
      <c r="F76" s="1"/>
      <c r="G76" s="1"/>
      <c r="H76" s="1"/>
      <c r="I76" s="1"/>
      <c r="J76" s="1"/>
      <c r="K76" s="1"/>
      <c r="L76" s="1"/>
      <c r="M76" s="1"/>
    </row>
    <row r="77" spans="1:13" ht="12.75" customHeight="1">
      <c r="A77" s="1"/>
      <c r="B77" s="10" t="s">
        <v>69</v>
      </c>
      <c r="C77" s="65"/>
      <c r="D77" s="1"/>
      <c r="E77" s="1"/>
      <c r="F77" s="1"/>
      <c r="G77" s="1"/>
      <c r="H77" s="1"/>
      <c r="I77" s="1"/>
      <c r="J77" s="1"/>
      <c r="K77" s="1"/>
      <c r="L77" s="1"/>
      <c r="M77" s="1"/>
    </row>
    <row r="78" spans="1:13" ht="12.75" customHeight="1">
      <c r="A78" s="1"/>
      <c r="B78" s="10" t="s">
        <v>70</v>
      </c>
      <c r="C78" s="65"/>
      <c r="D78" s="1"/>
      <c r="E78" s="1"/>
      <c r="F78" s="1"/>
      <c r="G78" s="1"/>
      <c r="H78" s="1"/>
      <c r="I78" s="1"/>
      <c r="J78" s="1"/>
      <c r="K78" s="1"/>
      <c r="L78" s="1"/>
      <c r="M78" s="1"/>
    </row>
    <row r="79" spans="1:13" ht="12.75" customHeight="1">
      <c r="A79" s="1"/>
      <c r="B79" s="10" t="s">
        <v>71</v>
      </c>
      <c r="C79" s="65"/>
      <c r="D79" s="1"/>
      <c r="E79" s="1"/>
      <c r="F79" s="1"/>
      <c r="G79" s="1"/>
      <c r="H79" s="1"/>
      <c r="I79" s="1"/>
      <c r="J79" s="1"/>
      <c r="K79" s="1"/>
      <c r="L79" s="1"/>
      <c r="M79" s="1"/>
    </row>
    <row r="80" spans="1:13" ht="12.75" customHeight="1">
      <c r="A80" s="1"/>
      <c r="B80" s="10" t="s">
        <v>72</v>
      </c>
      <c r="C80" s="65"/>
      <c r="D80" s="1"/>
      <c r="E80" s="1"/>
      <c r="F80" s="1"/>
      <c r="G80" s="1"/>
      <c r="H80" s="1"/>
      <c r="I80" s="1"/>
      <c r="J80" s="1"/>
      <c r="K80" s="1"/>
      <c r="L80" s="1"/>
      <c r="M80" s="1"/>
    </row>
    <row r="81" spans="1:13" ht="12.75" customHeight="1">
      <c r="A81" s="1"/>
      <c r="B81" s="10" t="s">
        <v>73</v>
      </c>
      <c r="C81" s="65"/>
      <c r="D81" s="1"/>
      <c r="E81" s="1"/>
      <c r="F81" s="1"/>
      <c r="G81" s="1"/>
      <c r="H81" s="1"/>
      <c r="I81" s="1"/>
      <c r="J81" s="1"/>
      <c r="K81" s="1"/>
      <c r="L81" s="1"/>
      <c r="M81" s="1"/>
    </row>
    <row r="82" spans="1:13" ht="12.75" customHeight="1">
      <c r="A82" s="1"/>
      <c r="B82" s="10" t="s">
        <v>74</v>
      </c>
      <c r="C82" s="65"/>
      <c r="D82" s="1"/>
      <c r="E82" s="1"/>
      <c r="F82" s="1"/>
      <c r="G82" s="1"/>
      <c r="H82" s="1"/>
      <c r="I82" s="1"/>
      <c r="J82" s="1"/>
      <c r="K82" s="1"/>
      <c r="L82" s="1"/>
      <c r="M82" s="1"/>
    </row>
    <row r="83" spans="1:13" ht="12.75" customHeight="1">
      <c r="A83" s="1"/>
      <c r="B83" s="10" t="s">
        <v>75</v>
      </c>
      <c r="C83" s="65"/>
      <c r="D83" s="1"/>
      <c r="E83" s="1"/>
      <c r="F83" s="1"/>
      <c r="G83" s="1"/>
      <c r="H83" s="1"/>
      <c r="I83" s="1"/>
      <c r="J83" s="1"/>
      <c r="K83" s="1"/>
      <c r="L83" s="1"/>
      <c r="M83" s="1"/>
    </row>
    <row r="84" spans="1:13" ht="12.75" customHeight="1">
      <c r="A84" s="1"/>
      <c r="B84" s="10" t="s">
        <v>76</v>
      </c>
      <c r="C84" s="65"/>
      <c r="D84" s="1"/>
      <c r="E84" s="1"/>
      <c r="F84" s="1"/>
      <c r="G84" s="1"/>
      <c r="H84" s="1"/>
      <c r="I84" s="1"/>
      <c r="J84" s="1"/>
      <c r="K84" s="1"/>
      <c r="L84" s="1"/>
      <c r="M84" s="1"/>
    </row>
    <row r="85" spans="1:13" ht="12.75" customHeight="1">
      <c r="A85" s="1"/>
      <c r="B85" s="10" t="s">
        <v>77</v>
      </c>
      <c r="C85" s="65"/>
      <c r="D85" s="1"/>
      <c r="E85" s="1"/>
      <c r="F85" s="1"/>
      <c r="G85" s="1"/>
      <c r="H85" s="1"/>
      <c r="I85" s="1"/>
      <c r="J85" s="1"/>
      <c r="K85" s="1"/>
      <c r="L85" s="1"/>
      <c r="M85" s="1"/>
    </row>
    <row r="86" spans="1:13" ht="12.75" customHeight="1">
      <c r="A86" s="1"/>
      <c r="B86" s="10" t="s">
        <v>78</v>
      </c>
      <c r="C86" s="65"/>
      <c r="D86" s="1"/>
      <c r="E86" s="1"/>
      <c r="F86" s="1"/>
      <c r="G86" s="1"/>
      <c r="H86" s="1"/>
      <c r="I86" s="1"/>
      <c r="J86" s="1"/>
      <c r="K86" s="1"/>
      <c r="L86" s="1"/>
      <c r="M86" s="1"/>
    </row>
    <row r="87" spans="1:13" ht="12.75" customHeight="1">
      <c r="A87" s="1"/>
      <c r="B87" s="10" t="s">
        <v>79</v>
      </c>
      <c r="C87" s="65"/>
      <c r="D87" s="1"/>
      <c r="E87" s="1"/>
      <c r="F87" s="1"/>
      <c r="G87" s="1"/>
      <c r="H87" s="1"/>
      <c r="I87" s="1"/>
      <c r="J87" s="1"/>
      <c r="K87" s="1"/>
      <c r="L87" s="1"/>
      <c r="M87" s="1"/>
    </row>
    <row r="88" spans="1:13" ht="12.75" customHeight="1">
      <c r="A88" s="1"/>
      <c r="B88" s="10" t="s">
        <v>80</v>
      </c>
      <c r="C88" s="65"/>
      <c r="D88" s="1"/>
      <c r="E88" s="1"/>
      <c r="F88" s="1"/>
      <c r="G88" s="1"/>
      <c r="H88" s="1"/>
      <c r="I88" s="1"/>
      <c r="J88" s="1"/>
      <c r="K88" s="1"/>
      <c r="L88" s="1"/>
      <c r="M88" s="1"/>
    </row>
    <row r="89" spans="1:13" ht="12.75" customHeight="1">
      <c r="A89" s="1"/>
      <c r="B89" s="10" t="s">
        <v>81</v>
      </c>
      <c r="C89" s="65"/>
      <c r="D89" s="1"/>
      <c r="E89" s="1"/>
      <c r="F89" s="1"/>
      <c r="G89" s="1"/>
      <c r="H89" s="1"/>
      <c r="I89" s="1"/>
      <c r="J89" s="1"/>
      <c r="K89" s="1"/>
      <c r="L89" s="1"/>
      <c r="M89" s="1"/>
    </row>
    <row r="90" spans="1:13" ht="12.75" customHeight="1">
      <c r="A90" s="1"/>
      <c r="B90" s="11" t="s">
        <v>82</v>
      </c>
      <c r="C90" s="65"/>
      <c r="D90" s="1"/>
      <c r="E90" s="1"/>
      <c r="F90" s="1"/>
      <c r="G90" s="1"/>
      <c r="H90" s="1"/>
      <c r="I90" s="1"/>
      <c r="J90" s="1"/>
      <c r="K90" s="1"/>
      <c r="L90" s="1"/>
      <c r="M90" s="1"/>
    </row>
    <row r="91" spans="1:13" ht="12.75" customHeight="1">
      <c r="A91" s="1"/>
      <c r="B91" s="10" t="s">
        <v>83</v>
      </c>
      <c r="C91" s="65"/>
      <c r="D91" s="1"/>
      <c r="E91" s="1"/>
      <c r="F91" s="1"/>
      <c r="G91" s="1"/>
      <c r="H91" s="1"/>
      <c r="I91" s="1"/>
      <c r="J91" s="1"/>
      <c r="K91" s="1"/>
      <c r="L91" s="1"/>
      <c r="M91" s="1"/>
    </row>
    <row r="92" spans="1:13" ht="12.75" customHeight="1">
      <c r="A92" s="1"/>
      <c r="B92" s="10" t="s">
        <v>84</v>
      </c>
      <c r="C92" s="65"/>
      <c r="D92" s="1"/>
      <c r="E92" s="1"/>
      <c r="F92" s="1"/>
      <c r="G92" s="1"/>
      <c r="H92" s="1"/>
      <c r="I92" s="1"/>
      <c r="J92" s="1"/>
      <c r="K92" s="1"/>
      <c r="L92" s="1"/>
      <c r="M92" s="1"/>
    </row>
    <row r="93" spans="1:13" ht="12.75" customHeight="1">
      <c r="A93" s="1"/>
      <c r="B93" s="10" t="s">
        <v>85</v>
      </c>
      <c r="C93" s="65"/>
      <c r="D93" s="1"/>
      <c r="E93" s="1"/>
      <c r="F93" s="1"/>
      <c r="G93" s="1"/>
      <c r="H93" s="1"/>
      <c r="I93" s="1"/>
      <c r="J93" s="1"/>
      <c r="K93" s="1"/>
      <c r="L93" s="1"/>
      <c r="M93" s="1"/>
    </row>
    <row r="94" spans="1:13" ht="12.75" customHeight="1">
      <c r="A94" s="1"/>
      <c r="B94" s="10" t="s">
        <v>86</v>
      </c>
      <c r="C94" s="65"/>
      <c r="D94" s="1"/>
      <c r="E94" s="1"/>
      <c r="F94" s="1"/>
      <c r="G94" s="1"/>
      <c r="H94" s="1"/>
      <c r="I94" s="1"/>
      <c r="J94" s="1"/>
      <c r="K94" s="1"/>
      <c r="L94" s="1"/>
      <c r="M94" s="1"/>
    </row>
    <row r="95" spans="1:13" ht="12.75" customHeight="1">
      <c r="A95" s="1"/>
      <c r="B95" s="10" t="s">
        <v>87</v>
      </c>
      <c r="C95" s="65"/>
      <c r="D95" s="1"/>
      <c r="E95" s="1"/>
      <c r="F95" s="1"/>
      <c r="G95" s="1"/>
      <c r="H95" s="1"/>
      <c r="I95" s="1"/>
      <c r="J95" s="1"/>
      <c r="K95" s="1"/>
      <c r="L95" s="1"/>
      <c r="M95" s="1"/>
    </row>
    <row r="96" spans="1:13" ht="12.75" customHeight="1">
      <c r="A96" s="1"/>
      <c r="B96" s="10" t="s">
        <v>88</v>
      </c>
      <c r="C96" s="65"/>
      <c r="D96" s="1"/>
      <c r="E96" s="1"/>
      <c r="F96" s="1"/>
      <c r="G96" s="1"/>
      <c r="H96" s="1"/>
      <c r="I96" s="1"/>
      <c r="J96" s="1"/>
      <c r="K96" s="1"/>
      <c r="L96" s="1"/>
      <c r="M96" s="1"/>
    </row>
    <row r="97" spans="1:13" ht="12.75" customHeight="1">
      <c r="A97" s="1"/>
      <c r="B97" s="10" t="s">
        <v>89</v>
      </c>
      <c r="C97" s="65"/>
      <c r="D97" s="1"/>
      <c r="E97" s="1"/>
      <c r="F97" s="1"/>
      <c r="G97" s="1"/>
      <c r="H97" s="1"/>
      <c r="I97" s="1"/>
      <c r="J97" s="1"/>
      <c r="K97" s="1"/>
      <c r="L97" s="1"/>
      <c r="M97" s="1"/>
    </row>
    <row r="98" spans="1:13" ht="12.75" customHeight="1">
      <c r="A98" s="1"/>
      <c r="B98" s="10" t="s">
        <v>90</v>
      </c>
      <c r="C98" s="65"/>
      <c r="D98" s="1"/>
      <c r="E98" s="1"/>
      <c r="F98" s="1"/>
      <c r="G98" s="1"/>
      <c r="H98" s="1"/>
      <c r="I98" s="1"/>
      <c r="J98" s="1"/>
      <c r="K98" s="1"/>
      <c r="L98" s="1"/>
      <c r="M98" s="1"/>
    </row>
    <row r="99" spans="1:13" ht="12.75" customHeight="1">
      <c r="A99" s="1"/>
      <c r="B99" s="10" t="s">
        <v>91</v>
      </c>
      <c r="C99" s="65"/>
      <c r="D99" s="1"/>
      <c r="E99" s="1"/>
      <c r="F99" s="1"/>
      <c r="G99" s="1"/>
      <c r="H99" s="1"/>
      <c r="I99" s="1"/>
      <c r="J99" s="1"/>
      <c r="K99" s="1"/>
      <c r="L99" s="1"/>
      <c r="M99" s="1"/>
    </row>
    <row r="100" spans="1:13" ht="12.75" customHeight="1">
      <c r="A100" s="1"/>
      <c r="B100" s="10" t="s">
        <v>92</v>
      </c>
      <c r="C100" s="65"/>
      <c r="D100" s="1"/>
      <c r="E100" s="1"/>
      <c r="F100" s="1"/>
      <c r="G100" s="1"/>
      <c r="H100" s="1"/>
      <c r="I100" s="1"/>
      <c r="J100" s="1"/>
      <c r="K100" s="1"/>
      <c r="L100" s="1"/>
      <c r="M100" s="1"/>
    </row>
    <row r="101" spans="1:13" ht="12.75" customHeight="1">
      <c r="A101" s="1"/>
      <c r="B101" s="10" t="s">
        <v>93</v>
      </c>
      <c r="C101" s="65"/>
      <c r="D101" s="1"/>
      <c r="E101" s="1"/>
      <c r="F101" s="1"/>
      <c r="G101" s="1"/>
      <c r="H101" s="1"/>
      <c r="I101" s="1"/>
      <c r="J101" s="1"/>
      <c r="K101" s="1"/>
      <c r="L101" s="1"/>
      <c r="M101" s="1"/>
    </row>
    <row r="102" spans="1:13" ht="12.75" customHeight="1">
      <c r="A102" s="1"/>
      <c r="B102" s="10" t="s">
        <v>94</v>
      </c>
      <c r="C102" s="65"/>
      <c r="D102" s="1"/>
      <c r="E102" s="1"/>
      <c r="F102" s="1"/>
      <c r="G102" s="1"/>
      <c r="H102" s="1"/>
      <c r="I102" s="1"/>
      <c r="J102" s="1"/>
      <c r="K102" s="1"/>
      <c r="L102" s="1"/>
      <c r="M102" s="1"/>
    </row>
    <row r="103" spans="1:13" ht="12.75" customHeight="1">
      <c r="A103" s="1"/>
      <c r="B103" s="10" t="s">
        <v>95</v>
      </c>
      <c r="C103" s="65"/>
      <c r="D103" s="1"/>
      <c r="E103" s="1"/>
      <c r="F103" s="1"/>
      <c r="G103" s="1"/>
      <c r="H103" s="1"/>
      <c r="I103" s="1"/>
      <c r="J103" s="1"/>
      <c r="K103" s="1"/>
      <c r="L103" s="1"/>
      <c r="M103" s="1"/>
    </row>
    <row r="104" spans="1:13" ht="12.75" customHeight="1">
      <c r="A104" s="1"/>
      <c r="B104" s="10" t="s">
        <v>96</v>
      </c>
      <c r="C104" s="65"/>
      <c r="D104" s="1"/>
      <c r="E104" s="1"/>
      <c r="F104" s="1"/>
      <c r="G104" s="1"/>
      <c r="H104" s="1"/>
      <c r="I104" s="1"/>
      <c r="J104" s="1"/>
      <c r="K104" s="1"/>
      <c r="L104" s="1"/>
      <c r="M104" s="1"/>
    </row>
    <row r="105" spans="1:13" ht="12.75" customHeight="1">
      <c r="A105" s="1"/>
      <c r="B105" s="10" t="s">
        <v>97</v>
      </c>
      <c r="C105" s="65"/>
      <c r="D105" s="1"/>
      <c r="E105" s="1"/>
      <c r="F105" s="1"/>
      <c r="G105" s="1"/>
      <c r="H105" s="1"/>
      <c r="I105" s="1"/>
      <c r="J105" s="1"/>
      <c r="K105" s="1"/>
      <c r="L105" s="1"/>
      <c r="M105" s="1"/>
    </row>
    <row r="106" spans="1:13" ht="12.75" customHeight="1">
      <c r="A106" s="1"/>
      <c r="B106" s="10" t="s">
        <v>98</v>
      </c>
      <c r="C106" s="65"/>
      <c r="D106" s="1"/>
      <c r="E106" s="1"/>
      <c r="F106" s="1"/>
      <c r="G106" s="1"/>
      <c r="H106" s="1"/>
      <c r="I106" s="1"/>
      <c r="J106" s="1"/>
      <c r="K106" s="1"/>
      <c r="L106" s="1"/>
      <c r="M106" s="1"/>
    </row>
    <row r="107" spans="1:13" ht="12.75" customHeight="1">
      <c r="A107" s="1"/>
      <c r="B107" s="10" t="s">
        <v>99</v>
      </c>
      <c r="C107" s="65"/>
      <c r="D107" s="1"/>
      <c r="E107" s="1"/>
      <c r="F107" s="1"/>
      <c r="G107" s="1"/>
      <c r="H107" s="1"/>
      <c r="I107" s="1"/>
      <c r="J107" s="1"/>
      <c r="K107" s="1"/>
      <c r="L107" s="1"/>
      <c r="M107" s="1"/>
    </row>
    <row r="108" spans="1:13" ht="12.75" customHeight="1">
      <c r="A108" s="1"/>
      <c r="B108" s="10" t="s">
        <v>100</v>
      </c>
      <c r="C108" s="65"/>
      <c r="D108" s="1"/>
      <c r="E108" s="1"/>
      <c r="F108" s="1"/>
      <c r="G108" s="1"/>
      <c r="H108" s="1"/>
      <c r="I108" s="1"/>
      <c r="J108" s="1"/>
      <c r="K108" s="1"/>
      <c r="L108" s="1"/>
      <c r="M108" s="1"/>
    </row>
    <row r="109" spans="1:13" ht="12.75" customHeight="1">
      <c r="A109" s="1"/>
      <c r="B109" s="10" t="s">
        <v>101</v>
      </c>
      <c r="C109" s="65"/>
      <c r="D109" s="1"/>
      <c r="E109" s="1"/>
      <c r="F109" s="1"/>
      <c r="G109" s="1"/>
      <c r="H109" s="1"/>
      <c r="I109" s="1"/>
      <c r="J109" s="1"/>
      <c r="K109" s="1"/>
      <c r="L109" s="1"/>
      <c r="M109" s="1"/>
    </row>
    <row r="110" spans="1:13" ht="12.75" customHeight="1">
      <c r="A110" s="1"/>
      <c r="B110" s="10" t="s">
        <v>102</v>
      </c>
      <c r="C110" s="65"/>
      <c r="D110" s="1"/>
      <c r="E110" s="1"/>
      <c r="F110" s="1"/>
      <c r="G110" s="1"/>
      <c r="H110" s="1"/>
      <c r="I110" s="1"/>
      <c r="J110" s="1"/>
      <c r="K110" s="1"/>
      <c r="L110" s="1"/>
      <c r="M110" s="1"/>
    </row>
    <row r="111" spans="1:13" ht="12.75" customHeight="1">
      <c r="A111" s="1"/>
      <c r="B111" s="10" t="s">
        <v>103</v>
      </c>
      <c r="C111" s="65"/>
      <c r="D111" s="1"/>
      <c r="E111" s="1"/>
      <c r="F111" s="1"/>
      <c r="G111" s="1"/>
      <c r="H111" s="1"/>
      <c r="I111" s="1"/>
      <c r="J111" s="1"/>
      <c r="K111" s="1"/>
      <c r="L111" s="1"/>
      <c r="M111" s="1"/>
    </row>
    <row r="112" spans="1:13" ht="12.75" customHeight="1">
      <c r="A112" s="1"/>
      <c r="B112" s="10" t="s">
        <v>104</v>
      </c>
      <c r="C112" s="65"/>
      <c r="D112" s="1"/>
      <c r="E112" s="1"/>
      <c r="F112" s="1"/>
      <c r="G112" s="1"/>
      <c r="H112" s="1"/>
      <c r="I112" s="1"/>
      <c r="J112" s="1"/>
      <c r="K112" s="1"/>
      <c r="L112" s="1"/>
      <c r="M112" s="1"/>
    </row>
    <row r="113" spans="1:13" ht="12.75" customHeight="1">
      <c r="A113" s="1"/>
      <c r="B113" s="10" t="s">
        <v>105</v>
      </c>
      <c r="C113" s="65"/>
      <c r="D113" s="1"/>
      <c r="E113" s="1"/>
      <c r="F113" s="1"/>
      <c r="G113" s="1"/>
      <c r="H113" s="1"/>
      <c r="I113" s="1"/>
      <c r="J113" s="1"/>
      <c r="K113" s="1"/>
      <c r="L113" s="1"/>
      <c r="M113" s="1"/>
    </row>
    <row r="114" spans="1:13" ht="12.75" customHeight="1">
      <c r="A114" s="1"/>
      <c r="B114" s="10" t="s">
        <v>106</v>
      </c>
      <c r="C114" s="65"/>
      <c r="D114" s="1"/>
      <c r="E114" s="1"/>
      <c r="F114" s="1"/>
      <c r="G114" s="1"/>
      <c r="H114" s="1"/>
      <c r="I114" s="1"/>
      <c r="J114" s="1"/>
      <c r="K114" s="1"/>
      <c r="L114" s="1"/>
      <c r="M114" s="1"/>
    </row>
    <row r="115" spans="1:13" ht="12.75" customHeight="1">
      <c r="A115" s="1"/>
      <c r="B115" s="10" t="s">
        <v>107</v>
      </c>
      <c r="C115" s="65"/>
      <c r="D115" s="1"/>
      <c r="E115" s="1"/>
      <c r="F115" s="1"/>
      <c r="G115" s="1"/>
      <c r="H115" s="1"/>
      <c r="I115" s="1"/>
      <c r="J115" s="1"/>
      <c r="K115" s="1"/>
      <c r="L115" s="1"/>
      <c r="M115" s="1"/>
    </row>
    <row r="116" spans="1:13" ht="12.75" customHeight="1">
      <c r="A116" s="1"/>
      <c r="B116" s="10" t="s">
        <v>108</v>
      </c>
      <c r="C116" s="65"/>
      <c r="D116" s="1"/>
      <c r="E116" s="1"/>
      <c r="F116" s="1"/>
      <c r="G116" s="1"/>
      <c r="H116" s="1"/>
      <c r="I116" s="1"/>
      <c r="J116" s="1"/>
      <c r="K116" s="1"/>
      <c r="L116" s="1"/>
      <c r="M116" s="1"/>
    </row>
    <row r="117" spans="1:13" ht="12.75" customHeight="1">
      <c r="A117" s="1"/>
      <c r="B117" s="10" t="s">
        <v>109</v>
      </c>
      <c r="C117" s="65"/>
      <c r="D117" s="1"/>
      <c r="E117" s="1"/>
      <c r="F117" s="1"/>
      <c r="G117" s="1"/>
      <c r="H117" s="1"/>
      <c r="I117" s="1"/>
      <c r="J117" s="1"/>
      <c r="K117" s="1"/>
      <c r="L117" s="1"/>
      <c r="M117" s="1"/>
    </row>
    <row r="118" spans="1:13" ht="12.75" customHeight="1">
      <c r="A118" s="1"/>
      <c r="B118" s="12" t="s">
        <v>110</v>
      </c>
      <c r="C118" s="65"/>
      <c r="D118" s="1"/>
      <c r="E118" s="1"/>
      <c r="F118" s="1"/>
      <c r="G118" s="1"/>
      <c r="H118" s="1"/>
      <c r="I118" s="1"/>
      <c r="J118" s="1"/>
      <c r="K118" s="1"/>
      <c r="L118" s="1"/>
      <c r="M118" s="1"/>
    </row>
    <row r="119" spans="1:13" ht="12.75" customHeight="1">
      <c r="A119" s="1"/>
      <c r="B119" s="18" t="s">
        <v>111</v>
      </c>
      <c r="C119" s="65"/>
      <c r="D119" s="1"/>
      <c r="E119" s="1"/>
      <c r="F119" s="1"/>
      <c r="G119" s="1"/>
      <c r="H119" s="1"/>
      <c r="I119" s="1"/>
      <c r="J119" s="1"/>
      <c r="K119" s="1"/>
      <c r="L119" s="1"/>
      <c r="M119" s="1"/>
    </row>
    <row r="120" spans="1:13" ht="12.75" customHeight="1">
      <c r="A120" s="1"/>
      <c r="B120" s="18" t="s">
        <v>112</v>
      </c>
      <c r="C120" s="65"/>
      <c r="D120" s="1"/>
      <c r="E120" s="1"/>
      <c r="F120" s="1"/>
      <c r="G120" s="1"/>
      <c r="H120" s="1"/>
      <c r="I120" s="1"/>
      <c r="J120" s="1"/>
      <c r="K120" s="1"/>
      <c r="L120" s="1"/>
      <c r="M120" s="1"/>
    </row>
    <row r="121" spans="1:13" ht="12.75" customHeight="1">
      <c r="A121" s="1"/>
      <c r="B121" s="17"/>
      <c r="C121" s="65"/>
      <c r="D121" s="1"/>
      <c r="E121" s="1"/>
      <c r="F121" s="1"/>
      <c r="G121" s="1"/>
      <c r="H121" s="1"/>
      <c r="I121" s="1"/>
      <c r="J121" s="1"/>
      <c r="K121" s="1"/>
      <c r="L121" s="1"/>
      <c r="M121" s="1"/>
    </row>
    <row r="122" spans="1:13" ht="12.75" customHeight="1">
      <c r="A122" s="1"/>
      <c r="B122" s="19"/>
      <c r="C122" s="65"/>
      <c r="D122" s="1"/>
      <c r="E122" s="1"/>
      <c r="F122" s="1"/>
      <c r="G122" s="1"/>
      <c r="H122" s="1"/>
      <c r="I122" s="1"/>
      <c r="J122" s="1"/>
      <c r="K122" s="1"/>
      <c r="L122" s="1"/>
      <c r="M122" s="1"/>
    </row>
    <row r="123" spans="1:13" ht="12.75" customHeight="1">
      <c r="A123" s="1"/>
      <c r="B123" s="20"/>
      <c r="C123" s="65"/>
      <c r="D123" s="1"/>
      <c r="E123" s="1"/>
      <c r="F123" s="1"/>
      <c r="G123" s="1"/>
      <c r="H123" s="1"/>
      <c r="I123" s="1"/>
      <c r="J123" s="1"/>
      <c r="K123" s="1"/>
      <c r="L123" s="1"/>
      <c r="M123" s="1"/>
    </row>
    <row r="124" spans="1:13" ht="12.75" customHeight="1">
      <c r="A124" s="1"/>
      <c r="B124" s="20"/>
      <c r="C124" s="65"/>
      <c r="D124" s="1"/>
      <c r="E124" s="1"/>
      <c r="F124" s="1"/>
      <c r="G124" s="1"/>
      <c r="H124" s="1"/>
      <c r="I124" s="1"/>
      <c r="J124" s="1"/>
      <c r="K124" s="1"/>
      <c r="L124" s="1"/>
      <c r="M124" s="1"/>
    </row>
    <row r="125" spans="1:13" ht="12.95" customHeight="1">
      <c r="A125" s="1"/>
      <c r="B125" s="21" t="s">
        <v>128</v>
      </c>
      <c r="C125" s="65"/>
      <c r="D125" s="1"/>
      <c r="E125" s="1"/>
      <c r="F125" s="1"/>
      <c r="G125" s="1"/>
      <c r="H125" s="1"/>
      <c r="I125" s="1"/>
      <c r="J125" s="1"/>
      <c r="K125" s="1"/>
      <c r="L125" s="1"/>
      <c r="M125" s="1"/>
    </row>
    <row r="126" spans="1:13" ht="12.75" customHeight="1">
      <c r="A126" s="1"/>
      <c r="B126" s="20" t="s">
        <v>123</v>
      </c>
      <c r="C126" s="65"/>
      <c r="D126" s="1"/>
      <c r="E126" s="1"/>
      <c r="F126" s="1"/>
      <c r="G126" s="1"/>
      <c r="H126" s="1"/>
      <c r="I126" s="1"/>
      <c r="J126" s="1"/>
      <c r="K126" s="1"/>
      <c r="L126" s="1"/>
      <c r="M126" s="1"/>
    </row>
    <row r="127" spans="1:13" ht="12.75" customHeight="1">
      <c r="A127" s="1"/>
      <c r="B127" s="20" t="s">
        <v>124</v>
      </c>
      <c r="C127" s="65"/>
      <c r="D127" s="1"/>
      <c r="E127" s="1"/>
      <c r="F127" s="1"/>
      <c r="G127" s="1"/>
      <c r="H127" s="1"/>
      <c r="I127" s="1"/>
      <c r="J127" s="1"/>
      <c r="K127" s="1"/>
      <c r="L127" s="1"/>
      <c r="M127" s="1"/>
    </row>
    <row r="128" spans="1:13" ht="12.75" customHeight="1">
      <c r="A128" s="1"/>
      <c r="B128" s="20" t="s">
        <v>125</v>
      </c>
      <c r="C128" s="65"/>
      <c r="D128" s="1"/>
      <c r="E128" s="1"/>
      <c r="F128" s="1"/>
      <c r="G128" s="1"/>
      <c r="H128" s="1"/>
      <c r="I128" s="1"/>
      <c r="J128" s="1"/>
      <c r="K128" s="1"/>
      <c r="L128" s="1"/>
      <c r="M128" s="1"/>
    </row>
    <row r="129" spans="1:13" ht="12.75" customHeight="1">
      <c r="A129" s="1"/>
      <c r="B129" s="20" t="s">
        <v>126</v>
      </c>
      <c r="C129" s="65"/>
      <c r="D129" s="1"/>
      <c r="E129" s="1"/>
      <c r="F129" s="1"/>
      <c r="G129" s="1"/>
      <c r="H129" s="1"/>
      <c r="I129" s="1"/>
      <c r="J129" s="1"/>
      <c r="K129" s="1"/>
      <c r="L129" s="1"/>
      <c r="M129" s="1"/>
    </row>
    <row r="130" spans="1:13" ht="12.75" customHeight="1">
      <c r="A130" s="1"/>
      <c r="B130" s="17" t="s">
        <v>127</v>
      </c>
      <c r="C130" s="65"/>
      <c r="D130" s="1"/>
      <c r="E130" s="1"/>
      <c r="F130" s="1"/>
      <c r="G130" s="1"/>
      <c r="H130" s="1"/>
      <c r="I130" s="1"/>
      <c r="J130" s="1"/>
      <c r="K130" s="1"/>
      <c r="L130" s="1"/>
      <c r="M130" s="1"/>
    </row>
    <row r="131" spans="1:13" ht="27.75" customHeight="1">
      <c r="A131" s="1"/>
      <c r="B131" s="13" t="s">
        <v>113</v>
      </c>
      <c r="C131" s="65"/>
      <c r="D131" s="1"/>
      <c r="E131" s="1"/>
      <c r="F131" s="1"/>
      <c r="G131" s="1"/>
      <c r="H131" s="1"/>
      <c r="I131" s="1"/>
      <c r="J131" s="1"/>
      <c r="K131" s="1"/>
      <c r="L131" s="1"/>
      <c r="M131" s="1"/>
    </row>
    <row r="132" spans="1:13" ht="12.75" customHeight="1">
      <c r="A132" s="1"/>
      <c r="B132" s="1"/>
      <c r="C132" s="1"/>
      <c r="D132" s="1"/>
      <c r="E132" s="1"/>
      <c r="F132" s="1"/>
      <c r="G132" s="1"/>
      <c r="H132" s="1"/>
      <c r="I132" s="1"/>
      <c r="J132" s="1"/>
      <c r="K132" s="1"/>
      <c r="L132" s="1"/>
      <c r="M132" s="1"/>
    </row>
    <row r="133" spans="1:13" ht="15.75" customHeight="1"/>
    <row r="134" spans="1:13" ht="15.75" customHeight="1"/>
    <row r="135" spans="1:13" ht="15.75" customHeight="1"/>
    <row r="136" spans="1:13" ht="15.75" customHeight="1"/>
    <row r="137" spans="1:13" ht="15.75" customHeight="1"/>
    <row r="138" spans="1:13" ht="15.75" customHeight="1"/>
    <row r="139" spans="1:13" ht="15.75" customHeight="1"/>
    <row r="140" spans="1:13" ht="15.75" customHeight="1"/>
    <row r="141" spans="1:13" ht="15.75" customHeight="1"/>
    <row r="142" spans="1:13" ht="15.75" customHeight="1"/>
    <row r="143" spans="1:13" ht="15.75" customHeight="1"/>
    <row r="144" spans="1:13"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sheetData>
  <sheetProtection sheet="1" objects="1" scenarios="1"/>
  <mergeCells count="4">
    <mergeCell ref="B4:C4"/>
    <mergeCell ref="B5:C5"/>
    <mergeCell ref="B6:C6"/>
    <mergeCell ref="B7:C7"/>
  </mergeCells>
  <dataValidations count="1">
    <dataValidation type="decimal" operator="greaterThanOrEqual" allowBlank="1" showInputMessage="1" showErrorMessage="1" sqref="C11:C34 C39:C131">
      <formula1>0</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sheetPr codeName="Sheet6"/>
  <dimension ref="A1:B67"/>
  <sheetViews>
    <sheetView workbookViewId="0">
      <selection activeCell="B2" sqref="B2:B67"/>
    </sheetView>
  </sheetViews>
  <sheetFormatPr defaultColWidth="9.140625" defaultRowHeight="15"/>
  <cols>
    <col min="1" max="1" width="9.140625" style="27"/>
    <col min="2" max="2" width="58.140625" style="27" bestFit="1" customWidth="1"/>
    <col min="3" max="16384" width="9.140625" style="27"/>
  </cols>
  <sheetData>
    <row r="1" spans="1:2">
      <c r="B1" s="28" t="s">
        <v>130</v>
      </c>
    </row>
    <row r="2" spans="1:2">
      <c r="A2" s="27">
        <v>1</v>
      </c>
      <c r="B2" s="27" t="str">
        <f>IF('10.1 Payroll'!$C$12="Level I",'Level I_Departments'!C4,'Level IIandIII_Departments'!C4)</f>
        <v>Administrative/Overhead services -&gt; Office of the Medical Center Chief</v>
      </c>
    </row>
    <row r="3" spans="1:2">
      <c r="A3" s="27">
        <f t="shared" ref="A3:A34" si="0">A2+1</f>
        <v>2</v>
      </c>
      <c r="B3" s="27" t="str">
        <f>IF('10.1 Payroll'!$C$12="Level I",'Level I_Departments'!C5,'Level IIandIII_Departments'!C5)</f>
        <v>Administrative/Overhead services -&gt; IT Departments</v>
      </c>
    </row>
    <row r="4" spans="1:2">
      <c r="A4" s="27">
        <f t="shared" si="0"/>
        <v>3</v>
      </c>
      <c r="B4" s="27" t="str">
        <f>IF('10.1 Payroll'!$C$12="Level I",'Level I_Departments'!C6,'Level IIandIII_Departments'!C6)</f>
        <v>Administrative/Overhead services -&gt; Office of the Administrative Officer</v>
      </c>
    </row>
    <row r="5" spans="1:2">
      <c r="A5" s="27">
        <f t="shared" si="0"/>
        <v>4</v>
      </c>
      <c r="B5" s="27" t="str">
        <f>IF('10.1 Payroll'!$C$12="Level I",'Level I_Departments'!C7,'Level IIandIII_Departments'!C7)</f>
        <v>Administrative/Overhead services -&gt; Human Resource Management</v>
      </c>
    </row>
    <row r="6" spans="1:2">
      <c r="A6" s="27">
        <f t="shared" si="0"/>
        <v>5</v>
      </c>
      <c r="B6" s="27" t="str">
        <f>IF('10.1 Payroll'!$C$12="Level I",'Level I_Departments'!C8,'Level IIandIII_Departments'!C8)</f>
        <v>Administrative/Overhead services -&gt; Procurement</v>
      </c>
    </row>
    <row r="7" spans="1:2">
      <c r="A7" s="27">
        <f t="shared" si="0"/>
        <v>6</v>
      </c>
      <c r="B7" s="27" t="str">
        <f>IF('10.1 Payroll'!$C$12="Level I",'Level I_Departments'!C9,'Level IIandIII_Departments'!C9)</f>
        <v>Administrative/Overhead services -&gt; Materials Management</v>
      </c>
    </row>
    <row r="8" spans="1:2">
      <c r="A8" s="27">
        <f t="shared" si="0"/>
        <v>7</v>
      </c>
      <c r="B8" s="27" t="str">
        <f>IF('10.1 Payroll'!$C$12="Level I",'Level I_Departments'!C10,'Level IIandIII_Departments'!C10)</f>
        <v>Administrative/Overhead services -&gt; Engineering and Facilities Management</v>
      </c>
    </row>
    <row r="9" spans="1:2">
      <c r="A9" s="27">
        <f t="shared" si="0"/>
        <v>8</v>
      </c>
      <c r="B9" s="27" t="str">
        <f>IF('10.1 Payroll'!$C$12="Level I",'Level I_Departments'!C11,'Level IIandIII_Departments'!C11)</f>
        <v>Administrative/Overhead services -&gt; Housekeeping</v>
      </c>
    </row>
    <row r="10" spans="1:2">
      <c r="A10" s="27">
        <f t="shared" si="0"/>
        <v>9</v>
      </c>
      <c r="B10" s="27" t="str">
        <f>IF('10.1 Payroll'!$C$12="Level I",'Level I_Departments'!C12,'Level IIandIII_Departments'!C12)</f>
        <v>Administrative/Overhead services -&gt; Budget and Accounting</v>
      </c>
    </row>
    <row r="11" spans="1:2">
      <c r="A11" s="27">
        <f t="shared" si="0"/>
        <v>10</v>
      </c>
      <c r="B11" s="27" t="str">
        <f>IF('10.1 Payroll'!$C$12="Level I",'Level I_Departments'!C13,'Level IIandIII_Departments'!C13)</f>
        <v>Administrative/Overhead services -&gt; Medical Social Work</v>
      </c>
    </row>
    <row r="12" spans="1:2">
      <c r="A12" s="27">
        <f t="shared" si="0"/>
        <v>11</v>
      </c>
      <c r="B12" s="27" t="str">
        <f>IF('10.1 Payroll'!$C$12="Level I",'Level I_Departments'!C14,'Level IIandIII_Departments'!C14)</f>
        <v>Administrative/Overhead services -&gt; Office of the Chief Nurse</v>
      </c>
    </row>
    <row r="13" spans="1:2">
      <c r="A13" s="27">
        <f t="shared" si="0"/>
        <v>12</v>
      </c>
      <c r="B13" s="27" t="str">
        <f>IF('10.1 Payroll'!$C$12="Level I",'Level I_Departments'!C15,'Level IIandIII_Departments'!C15)</f>
        <v>Administrative/Overhead services -&gt; Health Info Mgt (Admitting)</v>
      </c>
    </row>
    <row r="14" spans="1:2">
      <c r="A14" s="27">
        <f t="shared" si="0"/>
        <v>13</v>
      </c>
      <c r="B14" s="27" t="str">
        <f>IF('10.1 Payroll'!$C$12="Level I",'Level I_Departments'!C16,'Level IIandIII_Departments'!C16)</f>
        <v>Administrative/Overhead services -&gt; Central Supply Office</v>
      </c>
    </row>
    <row r="15" spans="1:2">
      <c r="A15" s="27">
        <f t="shared" si="0"/>
        <v>14</v>
      </c>
      <c r="B15" s="27" t="str">
        <f>IF('10.1 Payroll'!$C$12="Level I",'Level I_Departments'!C17,'Level IIandIII_Departments'!C17)</f>
        <v>Administrative/Overhead services -&gt; Billing and Claims</v>
      </c>
    </row>
    <row r="16" spans="1:2">
      <c r="A16" s="27">
        <f t="shared" si="0"/>
        <v>15</v>
      </c>
      <c r="B16" s="27" t="str">
        <f>IF('10.1 Payroll'!$C$12="Level I",'Level I_Departments'!C18,'Level IIandIII_Departments'!C18)</f>
        <v>Administrative/Overhead services -&gt; Cash Operations</v>
      </c>
    </row>
    <row r="17" spans="1:2">
      <c r="A17" s="27">
        <f t="shared" si="0"/>
        <v>16</v>
      </c>
      <c r="B17" s="27" t="str">
        <f>IF('10.1 Payroll'!$C$12="Level I",'Level I_Departments'!C19,'Level IIandIII_Departments'!C19)</f>
        <v>Administrative/Overhead services -&gt; Security</v>
      </c>
    </row>
    <row r="18" spans="1:2">
      <c r="A18" s="27">
        <f t="shared" si="0"/>
        <v>17</v>
      </c>
      <c r="B18" s="27" t="str">
        <f>IF('10.1 Payroll'!$C$12="Level I",'Level I_Departments'!C20,'Level IIandIII_Departments'!C20)</f>
        <v>Administrative/Overhead services -&gt; Office of the Chief of Medical Professional Staff</v>
      </c>
    </row>
    <row r="19" spans="1:2">
      <c r="A19" s="27">
        <f t="shared" si="0"/>
        <v>18</v>
      </c>
      <c r="B19" s="27" t="str">
        <f>IF('10.1 Payroll'!$C$12="Level I",'Level I_Departments'!C21,'Level IIandIII_Departments'!C21)</f>
        <v>Administrative/Overhead services -&gt; Others</v>
      </c>
    </row>
    <row r="20" spans="1:2">
      <c r="A20" s="27">
        <f t="shared" si="0"/>
        <v>19</v>
      </c>
      <c r="B20" s="27" t="str">
        <f>IF('10.1 Payroll'!$C$12="Level I",'Level I_Departments'!C22,'Level IIandIII_Departments'!C22)</f>
        <v>Ancillary services/Support services -&gt; Laundry</v>
      </c>
    </row>
    <row r="21" spans="1:2">
      <c r="A21" s="27">
        <f t="shared" si="0"/>
        <v>20</v>
      </c>
      <c r="B21" s="27" t="str">
        <f>IF('10.1 Payroll'!$C$12="Level I",'Level I_Departments'!C23,'Level IIandIII_Departments'!C23)</f>
        <v>Ancillary services/Support services -&gt; Nutrition and Dietetics</v>
      </c>
    </row>
    <row r="22" spans="1:2">
      <c r="A22" s="27">
        <f t="shared" si="0"/>
        <v>21</v>
      </c>
      <c r="B22" s="27" t="str">
        <f>IF('10.1 Payroll'!$C$12="Level I",'Level I_Departments'!C24,'Level IIandIII_Departments'!C24)</f>
        <v>Ancillary services/Support services -&gt; Sterilization</v>
      </c>
    </row>
    <row r="23" spans="1:2">
      <c r="A23" s="27">
        <f t="shared" si="0"/>
        <v>22</v>
      </c>
      <c r="B23" s="27" t="str">
        <f>IF('10.1 Payroll'!$C$12="Level I",'Level I_Departments'!C25,'Level IIandIII_Departments'!C25)</f>
        <v>Ancillary services/Support services -&gt; Pharmacy</v>
      </c>
    </row>
    <row r="24" spans="1:2">
      <c r="A24" s="27">
        <f t="shared" si="0"/>
        <v>23</v>
      </c>
      <c r="B24" s="27" t="str">
        <f>IF('10.1 Payroll'!$C$12="Level I",'Level I_Departments'!C26,'Level IIandIII_Departments'!C26)</f>
        <v>Ancillary services/Support services -&gt; Blood Bank</v>
      </c>
    </row>
    <row r="25" spans="1:2">
      <c r="A25" s="27">
        <f t="shared" si="0"/>
        <v>24</v>
      </c>
      <c r="B25" s="27" t="str">
        <f>IF('10.1 Payroll'!$C$12="Level I",'Level I_Departments'!C27,'Level IIandIII_Departments'!C27)</f>
        <v>Ancillary services/Support services -&gt; Laboratory</v>
      </c>
    </row>
    <row r="26" spans="1:2">
      <c r="A26" s="27">
        <f t="shared" si="0"/>
        <v>25</v>
      </c>
      <c r="B26" s="27" t="str">
        <f>IF('10.1 Payroll'!$C$12="Level I",'Level I_Departments'!C28,'Level IIandIII_Departments'!C28)</f>
        <v>Ancillary services/Support services -&gt; Radiology / Diagnostic Imaging (CT Scan, MRI, ECG, Mammography, Endoscopy)</v>
      </c>
    </row>
    <row r="27" spans="1:2">
      <c r="A27" s="27">
        <f t="shared" si="0"/>
        <v>26</v>
      </c>
      <c r="B27" s="27" t="str">
        <f>IF('10.1 Payroll'!$C$12="Level I",'Level I_Departments'!C29,'Level IIandIII_Departments'!C29)</f>
        <v>Ancillary services/Support services -&gt; Physiotherapy / Rehabilitation</v>
      </c>
    </row>
    <row r="28" spans="1:2">
      <c r="A28" s="27">
        <f t="shared" si="0"/>
        <v>27</v>
      </c>
      <c r="B28" s="27" t="str">
        <f>IF('10.1 Payroll'!$C$12="Level I",'Level I_Departments'!C30,'Level IIandIII_Departments'!C30)</f>
        <v>Ancillary services/Support services -&gt; Delivery Room</v>
      </c>
    </row>
    <row r="29" spans="1:2">
      <c r="A29" s="27">
        <f t="shared" si="0"/>
        <v>28</v>
      </c>
      <c r="B29" s="27" t="str">
        <f>IF('10.1 Payroll'!$C$12="Level I",'Level I_Departments'!C31,'Level IIandIII_Departments'!C31)</f>
        <v>Ancillary services/Support services -&gt; Operating Room / Aneasthesiology / PACU / Recovery Room</v>
      </c>
    </row>
    <row r="30" spans="1:2">
      <c r="A30" s="27">
        <f t="shared" si="0"/>
        <v>29</v>
      </c>
      <c r="B30" s="27" t="str">
        <f>IF('10.1 Payroll'!$C$12="Level I",'Level I_Departments'!C32,'Level IIandIII_Departments'!C32)</f>
        <v>Ancillary services/Support services -&gt; Respiratory Unit</v>
      </c>
    </row>
    <row r="31" spans="1:2">
      <c r="A31" s="27">
        <f t="shared" si="0"/>
        <v>30</v>
      </c>
      <c r="B31" s="27" t="str">
        <f>IF('10.1 Payroll'!$C$12="Level I",'Level I_Departments'!C33,'Level IIandIII_Departments'!C33)</f>
        <v>Ancillary services/Support services -&gt; Medical ICU</v>
      </c>
    </row>
    <row r="32" spans="1:2">
      <c r="A32" s="27">
        <f t="shared" si="0"/>
        <v>31</v>
      </c>
      <c r="B32" s="27" t="str">
        <f>IF('10.1 Payroll'!$C$12="Level I",'Level I_Departments'!C34,'Level IIandIII_Departments'!C34)</f>
        <v>Ancillary services/Support services -&gt; Neonatal ICU*</v>
      </c>
    </row>
    <row r="33" spans="1:2">
      <c r="A33" s="27">
        <f t="shared" si="0"/>
        <v>32</v>
      </c>
      <c r="B33" s="27" t="str">
        <f>IF('10.1 Payroll'!$C$12="Level I",'Level I_Departments'!C35,'Level IIandIII_Departments'!C35)</f>
        <v>Ancillary services/Support services -&gt; Surgical ICU*</v>
      </c>
    </row>
    <row r="34" spans="1:2">
      <c r="A34" s="27">
        <f t="shared" si="0"/>
        <v>33</v>
      </c>
      <c r="B34" s="27" t="str">
        <f>IF('10.1 Payroll'!$C$12="Level I",'Level I_Departments'!C36,'Level IIandIII_Departments'!C36)</f>
        <v>Ancillary services/Support services -&gt; Pediatric ICU*</v>
      </c>
    </row>
    <row r="35" spans="1:2">
      <c r="A35" s="27">
        <f t="shared" ref="A35:A67" si="1">A34+1</f>
        <v>34</v>
      </c>
      <c r="B35" s="27" t="str">
        <f>IF('10.1 Payroll'!$C$12="Level I",'Level I_Departments'!C37,'Level IIandIII_Departments'!C37)</f>
        <v>Ancillary services/Support services -&gt; Burn Unit</v>
      </c>
    </row>
    <row r="36" spans="1:2">
      <c r="A36" s="27">
        <f t="shared" si="1"/>
        <v>35</v>
      </c>
      <c r="B36" s="27" t="str">
        <f>IF('10.1 Payroll'!$C$12="Level I",'Level I_Departments'!C38,'Level IIandIII_Departments'!C38)</f>
        <v>Ancillary services/Support services -&gt; Morgue</v>
      </c>
    </row>
    <row r="37" spans="1:2">
      <c r="A37" s="27">
        <f t="shared" si="1"/>
        <v>36</v>
      </c>
      <c r="B37" s="27" t="str">
        <f>IF('10.1 Payroll'!$C$12="Level I",'Level I_Departments'!C39,'Level IIandIII_Departments'!C39)</f>
        <v>Ancillary services/Support services -&gt; Others</v>
      </c>
    </row>
    <row r="38" spans="1:2">
      <c r="A38" s="27">
        <f t="shared" si="1"/>
        <v>37</v>
      </c>
      <c r="B38" s="27" t="str">
        <f>IF('10.1 Payroll'!$C$12="Level I",'Level I_Departments'!C40,'Level IIandIII_Departments'!C40)</f>
        <v>Clinical/Medical services -&gt; Outpatient Department (general)</v>
      </c>
    </row>
    <row r="39" spans="1:2">
      <c r="A39" s="27">
        <f t="shared" si="1"/>
        <v>38</v>
      </c>
      <c r="B39" s="27" t="str">
        <f>IF('10.1 Payroll'!$C$12="Level I",'Level I_Departments'!C41,'Level IIandIII_Departments'!C41)</f>
        <v>Clinical/Medical services -&gt; Animal Bite Center</v>
      </c>
    </row>
    <row r="40" spans="1:2">
      <c r="A40" s="27">
        <f t="shared" si="1"/>
        <v>39</v>
      </c>
      <c r="B40" s="27" t="str">
        <f>IF('10.1 Payroll'!$C$12="Level I",'Level I_Departments'!C42,'Level IIandIII_Departments'!C42)</f>
        <v>Clinical/Medical services -&gt; TB Dots</v>
      </c>
    </row>
    <row r="41" spans="1:2">
      <c r="A41" s="27">
        <f t="shared" si="1"/>
        <v>40</v>
      </c>
      <c r="B41" s="27" t="str">
        <f>IF('10.1 Payroll'!$C$12="Level I",'Level I_Departments'!C43,'Level IIandIII_Departments'!C43)</f>
        <v>Clinical/Medical services -&gt; HIV Aids</v>
      </c>
    </row>
    <row r="42" spans="1:2">
      <c r="A42" s="27">
        <f t="shared" si="1"/>
        <v>41</v>
      </c>
      <c r="B42" s="27" t="str">
        <f>IF('10.1 Payroll'!$C$12="Level I",'Level I_Departments'!C44,'Level IIandIII_Departments'!C44)</f>
        <v>Clinical/Medical services -&gt; Family Planning Unit</v>
      </c>
    </row>
    <row r="43" spans="1:2">
      <c r="A43" s="27">
        <f t="shared" si="1"/>
        <v>42</v>
      </c>
      <c r="B43" s="27" t="str">
        <f>IF('10.1 Payroll'!$C$12="Level I",'Level I_Departments'!C45,'Level IIandIII_Departments'!C45)</f>
        <v>Clinical/Medical services -&gt; Smoking Cessation</v>
      </c>
    </row>
    <row r="44" spans="1:2">
      <c r="A44" s="27">
        <f t="shared" si="1"/>
        <v>43</v>
      </c>
      <c r="B44" s="27" t="str">
        <f>IF('10.1 Payroll'!$C$12="Level I",'Level I_Departments'!C46,'Level IIandIII_Departments'!C46)</f>
        <v>Clinical/Medical services -&gt; Malaria</v>
      </c>
    </row>
    <row r="45" spans="1:2">
      <c r="A45" s="27">
        <f t="shared" si="1"/>
        <v>44</v>
      </c>
      <c r="B45" s="27" t="str">
        <f>IF('10.1 Payroll'!$C$12="Level I",'Level I_Departments'!C47,'Level IIandIII_Departments'!C47)</f>
        <v xml:space="preserve">Clinical/Medical services -&gt; Diabetes </v>
      </c>
    </row>
    <row r="46" spans="1:2">
      <c r="A46" s="27">
        <f t="shared" si="1"/>
        <v>45</v>
      </c>
      <c r="B46" s="27" t="str">
        <f>IF('10.1 Payroll'!$C$12="Level I",'Level I_Departments'!C48,'Level IIandIII_Departments'!C48)</f>
        <v>Clinical/Medical services -&gt; Hypertension</v>
      </c>
    </row>
    <row r="47" spans="1:2">
      <c r="A47" s="27">
        <f t="shared" si="1"/>
        <v>46</v>
      </c>
      <c r="B47" s="27" t="str">
        <f>IF('10.1 Payroll'!$C$12="Level I",'Level I_Departments'!C49,'Level IIandIII_Departments'!C49)</f>
        <v>Clinical/Medical services -&gt; Emergency Medicine Department</v>
      </c>
    </row>
    <row r="48" spans="1:2">
      <c r="A48" s="27">
        <f t="shared" si="1"/>
        <v>47</v>
      </c>
      <c r="B48" s="27" t="str">
        <f>IF('10.1 Payroll'!$C$12="Level I",'Level I_Departments'!C50,'Level IIandIII_Departments'!C50)</f>
        <v>Clinical/Medical services -&gt; Dialysis Unit</v>
      </c>
    </row>
    <row r="49" spans="1:2">
      <c r="A49" s="27">
        <f t="shared" si="1"/>
        <v>48</v>
      </c>
      <c r="B49" s="27" t="str">
        <f>IF('10.1 Payroll'!$C$12="Level I",'Level I_Departments'!C51,'Level IIandIII_Departments'!C51)</f>
        <v>Clinical/Medical services -&gt; Radiation Oncology Unit*</v>
      </c>
    </row>
    <row r="50" spans="1:2">
      <c r="A50" s="27">
        <f t="shared" si="1"/>
        <v>49</v>
      </c>
      <c r="B50" s="27" t="str">
        <f>IF('10.1 Payroll'!$C$12="Level I",'Level I_Departments'!C52,'Level IIandIII_Departments'!C52)</f>
        <v>Clinical/Medical services -&gt; Dental</v>
      </c>
    </row>
    <row r="51" spans="1:2">
      <c r="A51" s="27">
        <f t="shared" si="1"/>
        <v>50</v>
      </c>
      <c r="B51" s="27" t="str">
        <f>IF('10.1 Payroll'!$C$12="Level I",'Level I_Departments'!C53,'Level IIandIII_Departments'!C53)</f>
        <v>Clinical/Medical services -&gt; Internal Medicine Ward</v>
      </c>
    </row>
    <row r="52" spans="1:2">
      <c r="A52" s="27">
        <f t="shared" si="1"/>
        <v>51</v>
      </c>
      <c r="B52" s="27" t="str">
        <f>IF('10.1 Payroll'!$C$12="Level I",'Level I_Departments'!C54,'Level IIandIII_Departments'!C54)</f>
        <v>Clinical/Medical services -&gt; Pediatric Ward</v>
      </c>
    </row>
    <row r="53" spans="1:2">
      <c r="A53" s="27">
        <f t="shared" si="1"/>
        <v>52</v>
      </c>
      <c r="B53" s="27" t="str">
        <f>IF('10.1 Payroll'!$C$12="Level I",'Level I_Departments'!C55,'Level IIandIII_Departments'!C55)</f>
        <v>Clinical/Medical services -&gt; Surgical Ward</v>
      </c>
    </row>
    <row r="54" spans="1:2">
      <c r="A54" s="27">
        <f t="shared" si="1"/>
        <v>53</v>
      </c>
      <c r="B54" s="27" t="str">
        <f>IF('10.1 Payroll'!$C$12="Level I",'Level I_Departments'!C56,'Level IIandIII_Departments'!C56)</f>
        <v>Clinical/Medical services -&gt; Ob/Gyne Ward</v>
      </c>
    </row>
    <row r="55" spans="1:2">
      <c r="A55" s="27">
        <f t="shared" si="1"/>
        <v>54</v>
      </c>
      <c r="B55" s="27" t="str">
        <f>IF('10.1 Payroll'!$C$12="Level I",'Level I_Departments'!C57,'Level IIandIII_Departments'!C57)</f>
        <v>Clinical/Medical services -&gt; Private Ward</v>
      </c>
    </row>
    <row r="56" spans="1:2">
      <c r="A56" s="27">
        <f t="shared" si="1"/>
        <v>55</v>
      </c>
      <c r="B56" s="27">
        <f>IF('10.1 Payroll'!$C$12="Level I",'Level I_Departments'!C58,'Level IIandIII_Departments'!C58)</f>
        <v>0</v>
      </c>
    </row>
    <row r="57" spans="1:2">
      <c r="A57" s="27">
        <f t="shared" si="1"/>
        <v>56</v>
      </c>
      <c r="B57" s="27">
        <f>IF('10.1 Payroll'!$C$12="Level I",'Level I_Departments'!C59,'Level IIandIII_Departments'!C59)</f>
        <v>0</v>
      </c>
    </row>
    <row r="58" spans="1:2">
      <c r="A58" s="27">
        <f t="shared" si="1"/>
        <v>57</v>
      </c>
      <c r="B58" s="27">
        <f>IF('10.1 Payroll'!$C$12="Level I",'Level I_Departments'!C60,'Level IIandIII_Departments'!C60)</f>
        <v>0</v>
      </c>
    </row>
    <row r="59" spans="1:2">
      <c r="A59" s="27">
        <f t="shared" si="1"/>
        <v>58</v>
      </c>
      <c r="B59" s="27">
        <f>IF('10.1 Payroll'!$C$12="Level I",'Level I_Departments'!C61,'Level IIandIII_Departments'!C61)</f>
        <v>0</v>
      </c>
    </row>
    <row r="60" spans="1:2">
      <c r="A60" s="27">
        <f t="shared" si="1"/>
        <v>59</v>
      </c>
      <c r="B60" s="27">
        <f>IF('10.1 Payroll'!$C$12="Level I",'Level I_Departments'!C62,'Level IIandIII_Departments'!C62)</f>
        <v>0</v>
      </c>
    </row>
    <row r="61" spans="1:2">
      <c r="A61" s="27">
        <f t="shared" si="1"/>
        <v>60</v>
      </c>
      <c r="B61" s="27">
        <f>IF('10.1 Payroll'!$C$12="Level I",'Level I_Departments'!C63,'Level IIandIII_Departments'!C63)</f>
        <v>0</v>
      </c>
    </row>
    <row r="62" spans="1:2">
      <c r="A62" s="27">
        <f t="shared" si="1"/>
        <v>61</v>
      </c>
      <c r="B62" s="27">
        <f>IF('10.1 Payroll'!$C$12="Level I",'Level I_Departments'!C64,'Level IIandIII_Departments'!C64)</f>
        <v>0</v>
      </c>
    </row>
    <row r="63" spans="1:2">
      <c r="A63" s="27">
        <f t="shared" si="1"/>
        <v>62</v>
      </c>
      <c r="B63" s="27">
        <f>IF('10.1 Payroll'!$C$12="Level I",'Level I_Departments'!C65,'Level IIandIII_Departments'!C65)</f>
        <v>0</v>
      </c>
    </row>
    <row r="64" spans="1:2">
      <c r="A64" s="27">
        <f t="shared" si="1"/>
        <v>63</v>
      </c>
      <c r="B64" s="27">
        <f>IF('10.1 Payroll'!$C$12="Level I",'Level I_Departments'!C66,'Level IIandIII_Departments'!C66)</f>
        <v>0</v>
      </c>
    </row>
    <row r="65" spans="1:2">
      <c r="A65" s="27">
        <f t="shared" si="1"/>
        <v>64</v>
      </c>
      <c r="B65" s="27">
        <f>IF('10.1 Payroll'!$C$12="Level I",'Level I_Departments'!C67,'Level IIandIII_Departments'!C67)</f>
        <v>0</v>
      </c>
    </row>
    <row r="66" spans="1:2">
      <c r="A66" s="27">
        <f t="shared" si="1"/>
        <v>65</v>
      </c>
      <c r="B66" s="27">
        <f>IF('10.1 Payroll'!$C$12="Level I",'Level I_Departments'!C68,'Level IIandIII_Departments'!C68)</f>
        <v>0</v>
      </c>
    </row>
    <row r="67" spans="1:2">
      <c r="A67" s="27">
        <f t="shared" si="1"/>
        <v>66</v>
      </c>
      <c r="B67" s="27">
        <f>IF('10.1 Payroll'!$C$12="Level I",'Level I_Departments'!C69,'Level IIandIII_Departments'!C69)</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outlinePr summaryBelow="0" summaryRight="0"/>
  </sheetPr>
  <dimension ref="A1:C1004"/>
  <sheetViews>
    <sheetView topLeftCell="A2" workbookViewId="0">
      <selection activeCell="B22" sqref="B22"/>
    </sheetView>
  </sheetViews>
  <sheetFormatPr defaultColWidth="14.42578125" defaultRowHeight="15" customHeight="1"/>
  <cols>
    <col min="1" max="1" width="39.5703125" style="29" customWidth="1"/>
    <col min="2" max="2" width="65.7109375" style="29" customWidth="1"/>
    <col min="3" max="3" width="86.5703125" style="29" bestFit="1" customWidth="1"/>
    <col min="4" max="16384" width="14.42578125" style="29"/>
  </cols>
  <sheetData>
    <row r="1" spans="1:3" ht="15" customHeight="1">
      <c r="A1" s="43" t="s">
        <v>192</v>
      </c>
      <c r="B1" s="32"/>
    </row>
    <row r="2" spans="1:3" ht="15" customHeight="1">
      <c r="A2" s="32"/>
      <c r="B2" s="32"/>
    </row>
    <row r="3" spans="1:3" ht="15" customHeight="1">
      <c r="A3" s="42" t="s">
        <v>191</v>
      </c>
      <c r="B3" s="41" t="s">
        <v>190</v>
      </c>
    </row>
    <row r="4" spans="1:3" ht="15" customHeight="1">
      <c r="A4" s="37" t="s">
        <v>172</v>
      </c>
      <c r="B4" s="41" t="s">
        <v>189</v>
      </c>
      <c r="C4" s="33" t="str">
        <f t="shared" ref="C4:C35" si="0">CONCATENATE(A4, " -&gt; ",B4)</f>
        <v>Administrative/Overhead services -&gt; Office of the Medical Center Chief</v>
      </c>
    </row>
    <row r="5" spans="1:3" ht="15" customHeight="1">
      <c r="A5" s="37" t="s">
        <v>172</v>
      </c>
      <c r="B5" s="40" t="s">
        <v>188</v>
      </c>
      <c r="C5" s="33" t="str">
        <f t="shared" si="0"/>
        <v>Administrative/Overhead services -&gt; IT Departments</v>
      </c>
    </row>
    <row r="6" spans="1:3" ht="15" customHeight="1">
      <c r="A6" s="37" t="s">
        <v>172</v>
      </c>
      <c r="B6" s="40" t="s">
        <v>187</v>
      </c>
      <c r="C6" s="33" t="str">
        <f t="shared" si="0"/>
        <v>Administrative/Overhead services -&gt; Office of the Administrative Officer</v>
      </c>
    </row>
    <row r="7" spans="1:3" ht="15" customHeight="1">
      <c r="A7" s="37" t="s">
        <v>172</v>
      </c>
      <c r="B7" s="40" t="s">
        <v>186</v>
      </c>
      <c r="C7" s="33" t="str">
        <f t="shared" si="0"/>
        <v>Administrative/Overhead services -&gt; Human Resource Management</v>
      </c>
    </row>
    <row r="8" spans="1:3" ht="15" customHeight="1">
      <c r="A8" s="37" t="s">
        <v>172</v>
      </c>
      <c r="B8" s="40" t="s">
        <v>185</v>
      </c>
      <c r="C8" s="33" t="str">
        <f t="shared" si="0"/>
        <v>Administrative/Overhead services -&gt; Procurement</v>
      </c>
    </row>
    <row r="9" spans="1:3" ht="15" customHeight="1">
      <c r="A9" s="37" t="s">
        <v>172</v>
      </c>
      <c r="B9" s="40" t="s">
        <v>184</v>
      </c>
      <c r="C9" s="33" t="str">
        <f t="shared" si="0"/>
        <v>Administrative/Overhead services -&gt; Materials Management</v>
      </c>
    </row>
    <row r="10" spans="1:3" ht="15" customHeight="1">
      <c r="A10" s="37" t="s">
        <v>172</v>
      </c>
      <c r="B10" s="40" t="s">
        <v>183</v>
      </c>
      <c r="C10" s="33" t="str">
        <f t="shared" si="0"/>
        <v>Administrative/Overhead services -&gt; Engineering and Facilities Management</v>
      </c>
    </row>
    <row r="11" spans="1:3" ht="15" customHeight="1">
      <c r="A11" s="37" t="s">
        <v>172</v>
      </c>
      <c r="B11" s="40" t="s">
        <v>182</v>
      </c>
      <c r="C11" s="33" t="str">
        <f t="shared" si="0"/>
        <v>Administrative/Overhead services -&gt; Housekeeping</v>
      </c>
    </row>
    <row r="12" spans="1:3" ht="15" customHeight="1">
      <c r="A12" s="37" t="s">
        <v>172</v>
      </c>
      <c r="B12" s="40" t="s">
        <v>181</v>
      </c>
      <c r="C12" s="33" t="str">
        <f t="shared" si="0"/>
        <v>Administrative/Overhead services -&gt; Budget and Accounting</v>
      </c>
    </row>
    <row r="13" spans="1:3" ht="15" customHeight="1">
      <c r="A13" s="37" t="s">
        <v>172</v>
      </c>
      <c r="B13" s="40" t="s">
        <v>180</v>
      </c>
      <c r="C13" s="33" t="str">
        <f t="shared" si="0"/>
        <v>Administrative/Overhead services -&gt; Medical Social Work</v>
      </c>
    </row>
    <row r="14" spans="1:3" ht="15" customHeight="1">
      <c r="A14" s="37" t="s">
        <v>172</v>
      </c>
      <c r="B14" s="40" t="s">
        <v>179</v>
      </c>
      <c r="C14" s="33" t="str">
        <f t="shared" si="0"/>
        <v>Administrative/Overhead services -&gt; Office of the Chief Nurse</v>
      </c>
    </row>
    <row r="15" spans="1:3" ht="15" customHeight="1">
      <c r="A15" s="37" t="s">
        <v>172</v>
      </c>
      <c r="B15" s="40" t="s">
        <v>178</v>
      </c>
      <c r="C15" s="33" t="str">
        <f t="shared" si="0"/>
        <v>Administrative/Overhead services -&gt; Health Info Mgt (Admitting)</v>
      </c>
    </row>
    <row r="16" spans="1:3" ht="15" customHeight="1">
      <c r="A16" s="37" t="s">
        <v>172</v>
      </c>
      <c r="B16" s="40" t="s">
        <v>177</v>
      </c>
      <c r="C16" s="33" t="str">
        <f t="shared" si="0"/>
        <v>Administrative/Overhead services -&gt; Central Supply Office</v>
      </c>
    </row>
    <row r="17" spans="1:3" ht="15" customHeight="1">
      <c r="A17" s="37" t="s">
        <v>172</v>
      </c>
      <c r="B17" s="40" t="s">
        <v>176</v>
      </c>
      <c r="C17" s="33" t="str">
        <f t="shared" si="0"/>
        <v>Administrative/Overhead services -&gt; Billing and Claims</v>
      </c>
    </row>
    <row r="18" spans="1:3" ht="15" customHeight="1">
      <c r="A18" s="37" t="s">
        <v>172</v>
      </c>
      <c r="B18" s="40" t="s">
        <v>175</v>
      </c>
      <c r="C18" s="33" t="str">
        <f t="shared" si="0"/>
        <v>Administrative/Overhead services -&gt; Cash Operations</v>
      </c>
    </row>
    <row r="19" spans="1:3" ht="15" customHeight="1">
      <c r="A19" s="37" t="s">
        <v>172</v>
      </c>
      <c r="B19" s="40" t="s">
        <v>174</v>
      </c>
      <c r="C19" s="33" t="str">
        <f t="shared" si="0"/>
        <v>Administrative/Overhead services -&gt; Security</v>
      </c>
    </row>
    <row r="20" spans="1:3" ht="15" customHeight="1">
      <c r="A20" s="37" t="s">
        <v>172</v>
      </c>
      <c r="B20" s="40" t="s">
        <v>173</v>
      </c>
      <c r="C20" s="33" t="str">
        <f t="shared" si="0"/>
        <v>Administrative/Overhead services -&gt; Office of the Chief of Medical Professional Staff</v>
      </c>
    </row>
    <row r="21" spans="1:3" ht="15" customHeight="1">
      <c r="A21" s="37" t="s">
        <v>172</v>
      </c>
      <c r="B21" s="37" t="s">
        <v>153</v>
      </c>
      <c r="C21" s="33" t="str">
        <f t="shared" si="0"/>
        <v>Administrative/Overhead services -&gt; Others</v>
      </c>
    </row>
    <row r="22" spans="1:3" ht="15" customHeight="1">
      <c r="A22" s="34" t="s">
        <v>154</v>
      </c>
      <c r="B22" s="34" t="s">
        <v>171</v>
      </c>
      <c r="C22" s="33" t="str">
        <f t="shared" si="0"/>
        <v>Ancillary services/Support services -&gt; Laundry</v>
      </c>
    </row>
    <row r="23" spans="1:3" ht="15" customHeight="1">
      <c r="A23" s="34" t="s">
        <v>154</v>
      </c>
      <c r="B23" s="34" t="s">
        <v>170</v>
      </c>
      <c r="C23" s="33" t="str">
        <f t="shared" si="0"/>
        <v>Ancillary services/Support services -&gt; Nutrition and Dietetics</v>
      </c>
    </row>
    <row r="24" spans="1:3" ht="15" customHeight="1">
      <c r="A24" s="34" t="s">
        <v>154</v>
      </c>
      <c r="B24" s="36" t="s">
        <v>169</v>
      </c>
      <c r="C24" s="33" t="str">
        <f t="shared" si="0"/>
        <v>Ancillary services/Support services -&gt; Sterilization</v>
      </c>
    </row>
    <row r="25" spans="1:3" ht="15" customHeight="1">
      <c r="A25" s="34" t="s">
        <v>154</v>
      </c>
      <c r="B25" s="34" t="s">
        <v>168</v>
      </c>
      <c r="C25" s="33" t="str">
        <f t="shared" si="0"/>
        <v>Ancillary services/Support services -&gt; Pharmacy</v>
      </c>
    </row>
    <row r="26" spans="1:3" ht="16.5">
      <c r="A26" s="34" t="s">
        <v>154</v>
      </c>
      <c r="B26" s="36" t="s">
        <v>167</v>
      </c>
      <c r="C26" s="33" t="str">
        <f t="shared" si="0"/>
        <v>Ancillary services/Support services -&gt; Blood Bank</v>
      </c>
    </row>
    <row r="27" spans="1:3" ht="16.5">
      <c r="A27" s="34" t="s">
        <v>154</v>
      </c>
      <c r="B27" s="34" t="s">
        <v>166</v>
      </c>
      <c r="C27" s="33" t="str">
        <f t="shared" si="0"/>
        <v>Ancillary services/Support services -&gt; Laboratory</v>
      </c>
    </row>
    <row r="28" spans="1:3" ht="16.5">
      <c r="A28" s="34" t="s">
        <v>154</v>
      </c>
      <c r="B28" s="34" t="s">
        <v>165</v>
      </c>
      <c r="C28" s="33" t="str">
        <f t="shared" si="0"/>
        <v>Ancillary services/Support services -&gt; Radiology / Diagnostic Imaging (CT Scan, MRI, ECG, Mammography, Endoscopy)</v>
      </c>
    </row>
    <row r="29" spans="1:3" ht="16.5">
      <c r="A29" s="34" t="s">
        <v>154</v>
      </c>
      <c r="B29" s="34" t="s">
        <v>164</v>
      </c>
      <c r="C29" s="33" t="str">
        <f t="shared" si="0"/>
        <v>Ancillary services/Support services -&gt; Physiotherapy / Rehabilitation</v>
      </c>
    </row>
    <row r="30" spans="1:3" ht="16.5">
      <c r="A30" s="34" t="s">
        <v>154</v>
      </c>
      <c r="B30" s="34" t="s">
        <v>163</v>
      </c>
      <c r="C30" s="33" t="str">
        <f t="shared" si="0"/>
        <v>Ancillary services/Support services -&gt; Delivery Room</v>
      </c>
    </row>
    <row r="31" spans="1:3" ht="16.5">
      <c r="A31" s="34" t="s">
        <v>154</v>
      </c>
      <c r="B31" s="39" t="s">
        <v>162</v>
      </c>
      <c r="C31" s="33" t="str">
        <f t="shared" si="0"/>
        <v>Ancillary services/Support services -&gt; Operating Room / Aneasthesiology / PACU / Recovery Room</v>
      </c>
    </row>
    <row r="32" spans="1:3" ht="16.5">
      <c r="A32" s="34" t="s">
        <v>154</v>
      </c>
      <c r="B32" s="34" t="s">
        <v>161</v>
      </c>
      <c r="C32" s="33" t="str">
        <f t="shared" si="0"/>
        <v>Ancillary services/Support services -&gt; Respiratory Unit</v>
      </c>
    </row>
    <row r="33" spans="1:3" ht="16.5">
      <c r="A33" s="34" t="s">
        <v>154</v>
      </c>
      <c r="B33" s="39" t="s">
        <v>160</v>
      </c>
      <c r="C33" s="33" t="str">
        <f t="shared" si="0"/>
        <v>Ancillary services/Support services -&gt; Medical ICU</v>
      </c>
    </row>
    <row r="34" spans="1:3" ht="16.5">
      <c r="A34" s="34" t="s">
        <v>154</v>
      </c>
      <c r="B34" s="39" t="s">
        <v>159</v>
      </c>
      <c r="C34" s="33" t="str">
        <f t="shared" si="0"/>
        <v>Ancillary services/Support services -&gt; Neonatal ICU*</v>
      </c>
    </row>
    <row r="35" spans="1:3" ht="16.5">
      <c r="A35" s="34" t="s">
        <v>154</v>
      </c>
      <c r="B35" s="39" t="s">
        <v>158</v>
      </c>
      <c r="C35" s="33" t="str">
        <f t="shared" si="0"/>
        <v>Ancillary services/Support services -&gt; Surgical ICU*</v>
      </c>
    </row>
    <row r="36" spans="1:3" ht="16.5">
      <c r="A36" s="34" t="s">
        <v>154</v>
      </c>
      <c r="B36" s="39" t="s">
        <v>157</v>
      </c>
      <c r="C36" s="33" t="str">
        <f t="shared" ref="C36:C57" si="1">CONCATENATE(A36, " -&gt; ",B36)</f>
        <v>Ancillary services/Support services -&gt; Pediatric ICU*</v>
      </c>
    </row>
    <row r="37" spans="1:3" ht="16.5">
      <c r="A37" s="34" t="s">
        <v>154</v>
      </c>
      <c r="B37" s="36" t="s">
        <v>156</v>
      </c>
      <c r="C37" s="33" t="str">
        <f t="shared" si="1"/>
        <v>Ancillary services/Support services -&gt; Burn Unit</v>
      </c>
    </row>
    <row r="38" spans="1:3" ht="16.5">
      <c r="A38" s="34" t="s">
        <v>154</v>
      </c>
      <c r="B38" s="36" t="s">
        <v>155</v>
      </c>
      <c r="C38" s="33" t="str">
        <f t="shared" si="1"/>
        <v>Ancillary services/Support services -&gt; Morgue</v>
      </c>
    </row>
    <row r="39" spans="1:3" ht="16.5">
      <c r="A39" s="34" t="s">
        <v>154</v>
      </c>
      <c r="B39" s="38" t="s">
        <v>153</v>
      </c>
      <c r="C39" s="33" t="str">
        <f t="shared" si="1"/>
        <v>Ancillary services/Support services -&gt; Others</v>
      </c>
    </row>
    <row r="40" spans="1:3" ht="16.5">
      <c r="A40" s="35" t="s">
        <v>135</v>
      </c>
      <c r="B40" s="37" t="s">
        <v>152</v>
      </c>
      <c r="C40" s="33" t="str">
        <f t="shared" si="1"/>
        <v>Clinical/Medical services -&gt; Outpatient Department (general)</v>
      </c>
    </row>
    <row r="41" spans="1:3" ht="16.5">
      <c r="A41" s="35" t="s">
        <v>135</v>
      </c>
      <c r="B41" s="34" t="s">
        <v>151</v>
      </c>
      <c r="C41" s="33" t="str">
        <f t="shared" si="1"/>
        <v>Clinical/Medical services -&gt; Animal Bite Center</v>
      </c>
    </row>
    <row r="42" spans="1:3" ht="16.5">
      <c r="A42" s="35" t="s">
        <v>135</v>
      </c>
      <c r="B42" s="34" t="s">
        <v>150</v>
      </c>
      <c r="C42" s="33" t="str">
        <f t="shared" si="1"/>
        <v>Clinical/Medical services -&gt; TB Dots</v>
      </c>
    </row>
    <row r="43" spans="1:3" ht="16.5">
      <c r="A43" s="35" t="s">
        <v>135</v>
      </c>
      <c r="B43" s="34" t="s">
        <v>149</v>
      </c>
      <c r="C43" s="33" t="str">
        <f t="shared" si="1"/>
        <v>Clinical/Medical services -&gt; HIV Aids</v>
      </c>
    </row>
    <row r="44" spans="1:3" ht="16.5">
      <c r="A44" s="35" t="s">
        <v>135</v>
      </c>
      <c r="B44" s="34" t="s">
        <v>148</v>
      </c>
      <c r="C44" s="33" t="str">
        <f t="shared" si="1"/>
        <v>Clinical/Medical services -&gt; Family Planning Unit</v>
      </c>
    </row>
    <row r="45" spans="1:3" ht="16.5">
      <c r="A45" s="35" t="s">
        <v>135</v>
      </c>
      <c r="B45" s="34" t="s">
        <v>147</v>
      </c>
      <c r="C45" s="33" t="str">
        <f t="shared" si="1"/>
        <v>Clinical/Medical services -&gt; Smoking Cessation</v>
      </c>
    </row>
    <row r="46" spans="1:3" ht="16.5">
      <c r="A46" s="35" t="s">
        <v>135</v>
      </c>
      <c r="B46" s="34" t="s">
        <v>146</v>
      </c>
      <c r="C46" s="33" t="str">
        <f t="shared" si="1"/>
        <v>Clinical/Medical services -&gt; Malaria</v>
      </c>
    </row>
    <row r="47" spans="1:3" ht="16.5">
      <c r="A47" s="35" t="s">
        <v>135</v>
      </c>
      <c r="B47" s="36" t="s">
        <v>145</v>
      </c>
      <c r="C47" s="33" t="str">
        <f t="shared" si="1"/>
        <v xml:space="preserve">Clinical/Medical services -&gt; Diabetes </v>
      </c>
    </row>
    <row r="48" spans="1:3" ht="16.5">
      <c r="A48" s="35" t="s">
        <v>135</v>
      </c>
      <c r="B48" s="34" t="s">
        <v>144</v>
      </c>
      <c r="C48" s="33" t="str">
        <f t="shared" si="1"/>
        <v>Clinical/Medical services -&gt; Hypertension</v>
      </c>
    </row>
    <row r="49" spans="1:3" ht="16.5">
      <c r="A49" s="35" t="s">
        <v>135</v>
      </c>
      <c r="B49" s="34" t="s">
        <v>143</v>
      </c>
      <c r="C49" s="33" t="str">
        <f t="shared" si="1"/>
        <v>Clinical/Medical services -&gt; Emergency Medicine Department</v>
      </c>
    </row>
    <row r="50" spans="1:3" ht="16.5">
      <c r="A50" s="35" t="s">
        <v>135</v>
      </c>
      <c r="B50" s="34" t="s">
        <v>142</v>
      </c>
      <c r="C50" s="33" t="str">
        <f t="shared" si="1"/>
        <v>Clinical/Medical services -&gt; Dialysis Unit</v>
      </c>
    </row>
    <row r="51" spans="1:3" ht="16.5">
      <c r="A51" s="35" t="s">
        <v>135</v>
      </c>
      <c r="B51" s="34" t="s">
        <v>141</v>
      </c>
      <c r="C51" s="33" t="str">
        <f t="shared" si="1"/>
        <v>Clinical/Medical services -&gt; Radiation Oncology Unit*</v>
      </c>
    </row>
    <row r="52" spans="1:3" ht="16.5">
      <c r="A52" s="35" t="s">
        <v>135</v>
      </c>
      <c r="B52" s="34" t="s">
        <v>140</v>
      </c>
      <c r="C52" s="33" t="str">
        <f t="shared" si="1"/>
        <v>Clinical/Medical services -&gt; Dental</v>
      </c>
    </row>
    <row r="53" spans="1:3" ht="16.5">
      <c r="A53" s="35" t="s">
        <v>135</v>
      </c>
      <c r="B53" s="34" t="s">
        <v>139</v>
      </c>
      <c r="C53" s="33" t="str">
        <f t="shared" si="1"/>
        <v>Clinical/Medical services -&gt; Internal Medicine Ward</v>
      </c>
    </row>
    <row r="54" spans="1:3" ht="16.5">
      <c r="A54" s="35" t="s">
        <v>135</v>
      </c>
      <c r="B54" s="34" t="s">
        <v>138</v>
      </c>
      <c r="C54" s="33" t="str">
        <f t="shared" si="1"/>
        <v>Clinical/Medical services -&gt; Pediatric Ward</v>
      </c>
    </row>
    <row r="55" spans="1:3" ht="16.5">
      <c r="A55" s="35" t="s">
        <v>135</v>
      </c>
      <c r="B55" s="34" t="s">
        <v>137</v>
      </c>
      <c r="C55" s="33" t="str">
        <f t="shared" si="1"/>
        <v>Clinical/Medical services -&gt; Surgical Ward</v>
      </c>
    </row>
    <row r="56" spans="1:3" ht="16.5">
      <c r="A56" s="35" t="s">
        <v>135</v>
      </c>
      <c r="B56" s="34" t="s">
        <v>136</v>
      </c>
      <c r="C56" s="33" t="str">
        <f t="shared" si="1"/>
        <v>Clinical/Medical services -&gt; Ob/Gyne Ward</v>
      </c>
    </row>
    <row r="57" spans="1:3" ht="16.5">
      <c r="A57" s="35" t="s">
        <v>135</v>
      </c>
      <c r="B57" s="34" t="s">
        <v>134</v>
      </c>
      <c r="C57" s="33" t="str">
        <f t="shared" si="1"/>
        <v>Clinical/Medical services -&gt; Private Ward</v>
      </c>
    </row>
    <row r="58" spans="1:3" ht="16.5">
      <c r="A58" s="32"/>
      <c r="B58" s="32"/>
    </row>
    <row r="59" spans="1:3" ht="16.5">
      <c r="A59" s="32"/>
      <c r="B59" s="32"/>
    </row>
    <row r="60" spans="1:3" ht="16.5">
      <c r="A60" s="32"/>
      <c r="B60" s="32"/>
    </row>
    <row r="61" spans="1:3" ht="16.5">
      <c r="A61" s="32"/>
      <c r="B61" s="32"/>
    </row>
    <row r="62" spans="1:3" ht="16.5">
      <c r="A62" s="32" t="s">
        <v>133</v>
      </c>
      <c r="B62" s="31" t="s">
        <v>132</v>
      </c>
    </row>
    <row r="63" spans="1:3" ht="16.5">
      <c r="A63" s="32"/>
      <c r="B63" s="31" t="s">
        <v>131</v>
      </c>
    </row>
    <row r="64" spans="1:3" ht="16.5">
      <c r="A64" s="30"/>
      <c r="B64" s="30"/>
    </row>
    <row r="65" spans="1:2" ht="16.5">
      <c r="A65" s="30"/>
      <c r="B65" s="30"/>
    </row>
    <row r="66" spans="1:2" ht="16.5">
      <c r="A66" s="30"/>
      <c r="B66" s="30"/>
    </row>
    <row r="67" spans="1:2" ht="16.5">
      <c r="A67" s="30"/>
      <c r="B67" s="30"/>
    </row>
    <row r="68" spans="1:2" ht="16.5">
      <c r="A68" s="30"/>
      <c r="B68" s="30"/>
    </row>
    <row r="69" spans="1:2" ht="16.5">
      <c r="A69" s="30"/>
      <c r="B69" s="30"/>
    </row>
    <row r="70" spans="1:2" ht="16.5">
      <c r="A70" s="30"/>
      <c r="B70" s="30"/>
    </row>
    <row r="71" spans="1:2" ht="16.5">
      <c r="A71" s="30"/>
      <c r="B71" s="30"/>
    </row>
    <row r="72" spans="1:2" ht="16.5">
      <c r="A72" s="30"/>
      <c r="B72" s="30"/>
    </row>
    <row r="73" spans="1:2" ht="16.5">
      <c r="A73" s="30"/>
      <c r="B73" s="30"/>
    </row>
    <row r="74" spans="1:2" ht="16.5">
      <c r="A74" s="30"/>
      <c r="B74" s="30"/>
    </row>
    <row r="75" spans="1:2" ht="16.5">
      <c r="A75" s="30"/>
      <c r="B75" s="30"/>
    </row>
    <row r="76" spans="1:2" ht="16.5">
      <c r="A76" s="30"/>
      <c r="B76" s="30"/>
    </row>
    <row r="77" spans="1:2" ht="16.5">
      <c r="A77" s="30"/>
      <c r="B77" s="30"/>
    </row>
    <row r="78" spans="1:2" ht="16.5">
      <c r="A78" s="30"/>
      <c r="B78" s="30"/>
    </row>
    <row r="79" spans="1:2" ht="16.5">
      <c r="A79" s="30"/>
      <c r="B79" s="30"/>
    </row>
    <row r="80" spans="1:2" ht="16.5">
      <c r="A80" s="30"/>
      <c r="B80" s="30"/>
    </row>
    <row r="81" spans="1:2" ht="16.5">
      <c r="A81" s="30"/>
      <c r="B81" s="30"/>
    </row>
    <row r="82" spans="1:2" ht="16.5">
      <c r="A82" s="30"/>
      <c r="B82" s="30"/>
    </row>
    <row r="83" spans="1:2" ht="16.5">
      <c r="A83" s="30"/>
      <c r="B83" s="30"/>
    </row>
    <row r="84" spans="1:2" ht="16.5">
      <c r="A84" s="30"/>
      <c r="B84" s="30"/>
    </row>
    <row r="85" spans="1:2" ht="16.5">
      <c r="A85" s="30"/>
      <c r="B85" s="30"/>
    </row>
    <row r="86" spans="1:2" ht="16.5">
      <c r="A86" s="30"/>
      <c r="B86" s="30"/>
    </row>
    <row r="87" spans="1:2" ht="16.5">
      <c r="A87" s="30"/>
      <c r="B87" s="30"/>
    </row>
    <row r="88" spans="1:2" ht="16.5">
      <c r="A88" s="30"/>
      <c r="B88" s="30"/>
    </row>
    <row r="89" spans="1:2" ht="16.5">
      <c r="A89" s="30"/>
      <c r="B89" s="30"/>
    </row>
    <row r="90" spans="1:2" ht="16.5">
      <c r="A90" s="30"/>
      <c r="B90" s="30"/>
    </row>
    <row r="91" spans="1:2" ht="16.5">
      <c r="A91" s="30"/>
      <c r="B91" s="30"/>
    </row>
    <row r="92" spans="1:2" ht="16.5">
      <c r="A92" s="30"/>
      <c r="B92" s="30"/>
    </row>
    <row r="93" spans="1:2" ht="16.5">
      <c r="A93" s="30"/>
      <c r="B93" s="30"/>
    </row>
    <row r="94" spans="1:2" ht="16.5">
      <c r="A94" s="30"/>
      <c r="B94" s="30"/>
    </row>
    <row r="95" spans="1:2" ht="16.5">
      <c r="A95" s="30"/>
      <c r="B95" s="30"/>
    </row>
    <row r="96" spans="1:2" ht="16.5">
      <c r="A96" s="30"/>
      <c r="B96" s="30"/>
    </row>
    <row r="97" spans="1:2" ht="16.5">
      <c r="A97" s="30"/>
      <c r="B97" s="30"/>
    </row>
    <row r="98" spans="1:2" ht="16.5">
      <c r="A98" s="30"/>
      <c r="B98" s="30"/>
    </row>
    <row r="99" spans="1:2" ht="16.5">
      <c r="A99" s="30"/>
      <c r="B99" s="30"/>
    </row>
    <row r="100" spans="1:2" ht="16.5">
      <c r="A100" s="30"/>
      <c r="B100" s="30"/>
    </row>
    <row r="101" spans="1:2" ht="16.5">
      <c r="A101" s="30"/>
      <c r="B101" s="30"/>
    </row>
    <row r="102" spans="1:2" ht="16.5">
      <c r="A102" s="30"/>
      <c r="B102" s="30"/>
    </row>
    <row r="103" spans="1:2" ht="16.5">
      <c r="A103" s="30"/>
      <c r="B103" s="30"/>
    </row>
    <row r="104" spans="1:2" ht="16.5">
      <c r="A104" s="30"/>
      <c r="B104" s="30"/>
    </row>
    <row r="105" spans="1:2" ht="16.5">
      <c r="A105" s="30"/>
      <c r="B105" s="30"/>
    </row>
    <row r="106" spans="1:2" ht="16.5">
      <c r="A106" s="30"/>
      <c r="B106" s="30"/>
    </row>
    <row r="107" spans="1:2" ht="16.5">
      <c r="A107" s="30"/>
      <c r="B107" s="30"/>
    </row>
    <row r="108" spans="1:2" ht="16.5">
      <c r="A108" s="30"/>
      <c r="B108" s="30"/>
    </row>
    <row r="109" spans="1:2" ht="16.5">
      <c r="A109" s="30"/>
      <c r="B109" s="30"/>
    </row>
    <row r="110" spans="1:2" ht="16.5">
      <c r="A110" s="30"/>
      <c r="B110" s="30"/>
    </row>
    <row r="111" spans="1:2" ht="16.5">
      <c r="A111" s="30"/>
      <c r="B111" s="30"/>
    </row>
    <row r="112" spans="1:2" ht="16.5">
      <c r="A112" s="30"/>
      <c r="B112" s="30"/>
    </row>
    <row r="113" spans="1:2" ht="16.5">
      <c r="A113" s="30"/>
      <c r="B113" s="30"/>
    </row>
    <row r="114" spans="1:2" ht="16.5">
      <c r="A114" s="30"/>
      <c r="B114" s="30"/>
    </row>
    <row r="115" spans="1:2" ht="16.5">
      <c r="A115" s="30"/>
      <c r="B115" s="30"/>
    </row>
    <row r="116" spans="1:2" ht="16.5">
      <c r="A116" s="30"/>
      <c r="B116" s="30"/>
    </row>
    <row r="117" spans="1:2" ht="16.5">
      <c r="A117" s="30"/>
      <c r="B117" s="30"/>
    </row>
    <row r="118" spans="1:2" ht="16.5">
      <c r="A118" s="30"/>
      <c r="B118" s="30"/>
    </row>
    <row r="119" spans="1:2" ht="16.5">
      <c r="A119" s="30"/>
      <c r="B119" s="30"/>
    </row>
    <row r="120" spans="1:2" ht="16.5">
      <c r="A120" s="30"/>
      <c r="B120" s="30"/>
    </row>
    <row r="121" spans="1:2" ht="16.5">
      <c r="A121" s="30"/>
      <c r="B121" s="30"/>
    </row>
    <row r="122" spans="1:2" ht="16.5">
      <c r="A122" s="30"/>
      <c r="B122" s="30"/>
    </row>
    <row r="123" spans="1:2" ht="16.5">
      <c r="A123" s="30"/>
      <c r="B123" s="30"/>
    </row>
    <row r="124" spans="1:2" ht="16.5">
      <c r="A124" s="30"/>
      <c r="B124" s="30"/>
    </row>
    <row r="125" spans="1:2" ht="16.5">
      <c r="A125" s="30"/>
      <c r="B125" s="30"/>
    </row>
    <row r="126" spans="1:2" ht="16.5">
      <c r="A126" s="30"/>
      <c r="B126" s="30"/>
    </row>
    <row r="127" spans="1:2" ht="16.5">
      <c r="A127" s="30"/>
      <c r="B127" s="30"/>
    </row>
    <row r="128" spans="1:2" ht="16.5">
      <c r="A128" s="30"/>
      <c r="B128" s="30"/>
    </row>
    <row r="129" spans="1:2" ht="16.5">
      <c r="A129" s="30"/>
      <c r="B129" s="30"/>
    </row>
    <row r="130" spans="1:2" ht="16.5">
      <c r="A130" s="30"/>
      <c r="B130" s="30"/>
    </row>
    <row r="131" spans="1:2" ht="16.5">
      <c r="A131" s="30"/>
      <c r="B131" s="30"/>
    </row>
    <row r="132" spans="1:2" ht="16.5">
      <c r="A132" s="30"/>
      <c r="B132" s="30"/>
    </row>
    <row r="133" spans="1:2" ht="16.5">
      <c r="A133" s="30"/>
      <c r="B133" s="30"/>
    </row>
    <row r="134" spans="1:2" ht="16.5">
      <c r="A134" s="30"/>
      <c r="B134" s="30"/>
    </row>
    <row r="135" spans="1:2" ht="16.5">
      <c r="A135" s="30"/>
      <c r="B135" s="30"/>
    </row>
    <row r="136" spans="1:2" ht="16.5">
      <c r="A136" s="30"/>
      <c r="B136" s="30"/>
    </row>
    <row r="137" spans="1:2" ht="16.5">
      <c r="A137" s="30"/>
      <c r="B137" s="30"/>
    </row>
    <row r="138" spans="1:2" ht="16.5">
      <c r="A138" s="30"/>
      <c r="B138" s="30"/>
    </row>
    <row r="139" spans="1:2" ht="16.5">
      <c r="A139" s="30"/>
      <c r="B139" s="30"/>
    </row>
    <row r="140" spans="1:2" ht="16.5">
      <c r="A140" s="30"/>
      <c r="B140" s="30"/>
    </row>
    <row r="141" spans="1:2" ht="16.5">
      <c r="A141" s="30"/>
      <c r="B141" s="30"/>
    </row>
    <row r="142" spans="1:2" ht="16.5">
      <c r="A142" s="30"/>
      <c r="B142" s="30"/>
    </row>
    <row r="143" spans="1:2" ht="16.5">
      <c r="A143" s="30"/>
      <c r="B143" s="30"/>
    </row>
    <row r="144" spans="1:2" ht="16.5">
      <c r="A144" s="30"/>
      <c r="B144" s="30"/>
    </row>
    <row r="145" spans="1:2" ht="16.5">
      <c r="A145" s="30"/>
      <c r="B145" s="30"/>
    </row>
    <row r="146" spans="1:2" ht="16.5">
      <c r="A146" s="30"/>
      <c r="B146" s="30"/>
    </row>
    <row r="147" spans="1:2" ht="16.5">
      <c r="A147" s="30"/>
      <c r="B147" s="30"/>
    </row>
    <row r="148" spans="1:2" ht="16.5">
      <c r="A148" s="30"/>
      <c r="B148" s="30"/>
    </row>
    <row r="149" spans="1:2" ht="16.5">
      <c r="A149" s="30"/>
      <c r="B149" s="30"/>
    </row>
    <row r="150" spans="1:2" ht="16.5">
      <c r="A150" s="30"/>
      <c r="B150" s="30"/>
    </row>
    <row r="151" spans="1:2" ht="16.5">
      <c r="A151" s="30"/>
      <c r="B151" s="30"/>
    </row>
    <row r="152" spans="1:2" ht="16.5">
      <c r="A152" s="30"/>
      <c r="B152" s="30"/>
    </row>
    <row r="153" spans="1:2" ht="16.5">
      <c r="A153" s="30"/>
      <c r="B153" s="30"/>
    </row>
    <row r="154" spans="1:2" ht="16.5">
      <c r="A154" s="30"/>
      <c r="B154" s="30"/>
    </row>
    <row r="155" spans="1:2" ht="16.5">
      <c r="A155" s="30"/>
      <c r="B155" s="30"/>
    </row>
    <row r="156" spans="1:2" ht="16.5">
      <c r="A156" s="30"/>
      <c r="B156" s="30"/>
    </row>
    <row r="157" spans="1:2" ht="16.5">
      <c r="A157" s="30"/>
      <c r="B157" s="30"/>
    </row>
    <row r="158" spans="1:2" ht="16.5">
      <c r="A158" s="30"/>
      <c r="B158" s="30"/>
    </row>
    <row r="159" spans="1:2" ht="16.5">
      <c r="A159" s="30"/>
      <c r="B159" s="30"/>
    </row>
    <row r="160" spans="1:2" ht="16.5">
      <c r="A160" s="30"/>
      <c r="B160" s="30"/>
    </row>
    <row r="161" spans="1:2" ht="16.5">
      <c r="A161" s="30"/>
      <c r="B161" s="30"/>
    </row>
    <row r="162" spans="1:2" ht="16.5">
      <c r="A162" s="30"/>
      <c r="B162" s="30"/>
    </row>
    <row r="163" spans="1:2" ht="16.5">
      <c r="A163" s="30"/>
      <c r="B163" s="30"/>
    </row>
    <row r="164" spans="1:2" ht="16.5">
      <c r="A164" s="30"/>
      <c r="B164" s="30"/>
    </row>
    <row r="165" spans="1:2" ht="16.5">
      <c r="A165" s="30"/>
      <c r="B165" s="30"/>
    </row>
    <row r="166" spans="1:2" ht="16.5">
      <c r="A166" s="30"/>
      <c r="B166" s="30"/>
    </row>
    <row r="167" spans="1:2" ht="16.5">
      <c r="A167" s="30"/>
      <c r="B167" s="30"/>
    </row>
    <row r="168" spans="1:2" ht="16.5">
      <c r="A168" s="30"/>
      <c r="B168" s="30"/>
    </row>
    <row r="169" spans="1:2" ht="16.5">
      <c r="A169" s="30"/>
      <c r="B169" s="30"/>
    </row>
    <row r="170" spans="1:2" ht="16.5">
      <c r="A170" s="30"/>
      <c r="B170" s="30"/>
    </row>
    <row r="171" spans="1:2" ht="16.5">
      <c r="A171" s="30"/>
      <c r="B171" s="30"/>
    </row>
    <row r="172" spans="1:2" ht="16.5">
      <c r="A172" s="30"/>
      <c r="B172" s="30"/>
    </row>
    <row r="173" spans="1:2" ht="16.5">
      <c r="A173" s="30"/>
      <c r="B173" s="30"/>
    </row>
    <row r="174" spans="1:2" ht="16.5">
      <c r="A174" s="30"/>
      <c r="B174" s="30"/>
    </row>
    <row r="175" spans="1:2" ht="16.5">
      <c r="A175" s="30"/>
      <c r="B175" s="30"/>
    </row>
    <row r="176" spans="1:2" ht="16.5">
      <c r="A176" s="30"/>
      <c r="B176" s="30"/>
    </row>
    <row r="177" spans="1:2" ht="16.5">
      <c r="A177" s="30"/>
      <c r="B177" s="30"/>
    </row>
    <row r="178" spans="1:2" ht="16.5">
      <c r="A178" s="30"/>
      <c r="B178" s="30"/>
    </row>
    <row r="179" spans="1:2" ht="16.5">
      <c r="A179" s="30"/>
      <c r="B179" s="30"/>
    </row>
    <row r="180" spans="1:2" ht="16.5">
      <c r="A180" s="30"/>
      <c r="B180" s="30"/>
    </row>
    <row r="181" spans="1:2" ht="16.5">
      <c r="A181" s="30"/>
      <c r="B181" s="30"/>
    </row>
    <row r="182" spans="1:2" ht="16.5">
      <c r="A182" s="30"/>
      <c r="B182" s="30"/>
    </row>
    <row r="183" spans="1:2" ht="16.5">
      <c r="A183" s="30"/>
      <c r="B183" s="30"/>
    </row>
    <row r="184" spans="1:2" ht="16.5">
      <c r="A184" s="30"/>
      <c r="B184" s="30"/>
    </row>
    <row r="185" spans="1:2" ht="16.5">
      <c r="A185" s="30"/>
      <c r="B185" s="30"/>
    </row>
    <row r="186" spans="1:2" ht="16.5">
      <c r="A186" s="30"/>
      <c r="B186" s="30"/>
    </row>
    <row r="187" spans="1:2" ht="16.5">
      <c r="A187" s="30"/>
      <c r="B187" s="30"/>
    </row>
    <row r="188" spans="1:2" ht="16.5">
      <c r="A188" s="30"/>
      <c r="B188" s="30"/>
    </row>
    <row r="189" spans="1:2" ht="16.5">
      <c r="A189" s="30"/>
      <c r="B189" s="30"/>
    </row>
    <row r="190" spans="1:2" ht="16.5">
      <c r="A190" s="30"/>
      <c r="B190" s="30"/>
    </row>
    <row r="191" spans="1:2" ht="16.5">
      <c r="A191" s="30"/>
      <c r="B191" s="30"/>
    </row>
    <row r="192" spans="1:2" ht="16.5">
      <c r="A192" s="30"/>
      <c r="B192" s="30"/>
    </row>
    <row r="193" spans="1:2" ht="16.5">
      <c r="A193" s="30"/>
      <c r="B193" s="30"/>
    </row>
    <row r="194" spans="1:2" ht="16.5">
      <c r="A194" s="30"/>
      <c r="B194" s="30"/>
    </row>
    <row r="195" spans="1:2" ht="16.5">
      <c r="A195" s="30"/>
      <c r="B195" s="30"/>
    </row>
    <row r="196" spans="1:2" ht="16.5">
      <c r="A196" s="30"/>
      <c r="B196" s="30"/>
    </row>
    <row r="197" spans="1:2" ht="16.5">
      <c r="A197" s="30"/>
      <c r="B197" s="30"/>
    </row>
    <row r="198" spans="1:2" ht="16.5">
      <c r="A198" s="30"/>
      <c r="B198" s="30"/>
    </row>
    <row r="199" spans="1:2" ht="16.5">
      <c r="A199" s="30"/>
      <c r="B199" s="30"/>
    </row>
    <row r="200" spans="1:2" ht="16.5">
      <c r="A200" s="30"/>
      <c r="B200" s="30"/>
    </row>
    <row r="201" spans="1:2" ht="16.5">
      <c r="A201" s="30"/>
      <c r="B201" s="30"/>
    </row>
    <row r="202" spans="1:2" ht="16.5">
      <c r="A202" s="30"/>
      <c r="B202" s="30"/>
    </row>
    <row r="203" spans="1:2" ht="16.5">
      <c r="A203" s="30"/>
      <c r="B203" s="30"/>
    </row>
    <row r="204" spans="1:2" ht="16.5">
      <c r="A204" s="30"/>
      <c r="B204" s="30"/>
    </row>
    <row r="205" spans="1:2" ht="16.5">
      <c r="A205" s="30"/>
      <c r="B205" s="30"/>
    </row>
    <row r="206" spans="1:2" ht="16.5">
      <c r="A206" s="30"/>
      <c r="B206" s="30"/>
    </row>
    <row r="207" spans="1:2" ht="16.5">
      <c r="A207" s="30"/>
      <c r="B207" s="30"/>
    </row>
    <row r="208" spans="1:2" ht="16.5">
      <c r="A208" s="30"/>
      <c r="B208" s="30"/>
    </row>
    <row r="209" spans="1:2" ht="16.5">
      <c r="A209" s="30"/>
      <c r="B209" s="30"/>
    </row>
    <row r="210" spans="1:2" ht="16.5">
      <c r="A210" s="30"/>
      <c r="B210" s="30"/>
    </row>
    <row r="211" spans="1:2" ht="16.5">
      <c r="A211" s="30"/>
      <c r="B211" s="30"/>
    </row>
    <row r="212" spans="1:2" ht="16.5">
      <c r="A212" s="30"/>
      <c r="B212" s="30"/>
    </row>
    <row r="213" spans="1:2" ht="16.5">
      <c r="A213" s="30"/>
      <c r="B213" s="30"/>
    </row>
    <row r="214" spans="1:2" ht="16.5">
      <c r="A214" s="30"/>
      <c r="B214" s="30"/>
    </row>
    <row r="215" spans="1:2" ht="16.5">
      <c r="A215" s="30"/>
      <c r="B215" s="30"/>
    </row>
    <row r="216" spans="1:2" ht="16.5">
      <c r="A216" s="30"/>
      <c r="B216" s="30"/>
    </row>
    <row r="217" spans="1:2" ht="16.5">
      <c r="A217" s="30"/>
      <c r="B217" s="30"/>
    </row>
    <row r="218" spans="1:2" ht="16.5">
      <c r="A218" s="30"/>
      <c r="B218" s="30"/>
    </row>
    <row r="219" spans="1:2" ht="16.5">
      <c r="A219" s="30"/>
      <c r="B219" s="30"/>
    </row>
    <row r="220" spans="1:2" ht="16.5">
      <c r="A220" s="30"/>
      <c r="B220" s="30"/>
    </row>
    <row r="221" spans="1:2" ht="16.5">
      <c r="A221" s="30"/>
      <c r="B221" s="30"/>
    </row>
    <row r="222" spans="1:2" ht="16.5">
      <c r="A222" s="30"/>
      <c r="B222" s="30"/>
    </row>
    <row r="223" spans="1:2" ht="16.5">
      <c r="A223" s="30"/>
      <c r="B223" s="30"/>
    </row>
    <row r="224" spans="1:2" ht="16.5">
      <c r="A224" s="30"/>
      <c r="B224" s="30"/>
    </row>
    <row r="225" spans="1:2" ht="16.5">
      <c r="A225" s="30"/>
      <c r="B225" s="30"/>
    </row>
    <row r="226" spans="1:2" ht="16.5">
      <c r="A226" s="30"/>
      <c r="B226" s="30"/>
    </row>
    <row r="227" spans="1:2" ht="16.5">
      <c r="A227" s="30"/>
      <c r="B227" s="30"/>
    </row>
    <row r="228" spans="1:2" ht="16.5">
      <c r="A228" s="30"/>
      <c r="B228" s="30"/>
    </row>
    <row r="229" spans="1:2" ht="16.5">
      <c r="A229" s="30"/>
      <c r="B229" s="30"/>
    </row>
    <row r="230" spans="1:2" ht="16.5">
      <c r="A230" s="30"/>
      <c r="B230" s="30"/>
    </row>
    <row r="231" spans="1:2" ht="16.5">
      <c r="A231" s="30"/>
      <c r="B231" s="30"/>
    </row>
    <row r="232" spans="1:2" ht="16.5">
      <c r="A232" s="30"/>
      <c r="B232" s="30"/>
    </row>
    <row r="233" spans="1:2" ht="16.5">
      <c r="A233" s="30"/>
      <c r="B233" s="30"/>
    </row>
    <row r="234" spans="1:2" ht="16.5">
      <c r="A234" s="30"/>
      <c r="B234" s="30"/>
    </row>
    <row r="235" spans="1:2" ht="16.5">
      <c r="A235" s="30"/>
      <c r="B235" s="30"/>
    </row>
    <row r="236" spans="1:2" ht="16.5">
      <c r="A236" s="30"/>
      <c r="B236" s="30"/>
    </row>
    <row r="237" spans="1:2" ht="16.5">
      <c r="A237" s="30"/>
      <c r="B237" s="30"/>
    </row>
    <row r="238" spans="1:2" ht="16.5">
      <c r="A238" s="30"/>
      <c r="B238" s="30"/>
    </row>
    <row r="239" spans="1:2" ht="16.5">
      <c r="A239" s="30"/>
      <c r="B239" s="30"/>
    </row>
    <row r="240" spans="1:2" ht="16.5">
      <c r="A240" s="30"/>
      <c r="B240" s="30"/>
    </row>
    <row r="241" spans="1:2" ht="16.5">
      <c r="A241" s="30"/>
      <c r="B241" s="30"/>
    </row>
    <row r="242" spans="1:2" ht="16.5">
      <c r="A242" s="30"/>
      <c r="B242" s="30"/>
    </row>
    <row r="243" spans="1:2" ht="16.5">
      <c r="A243" s="30"/>
      <c r="B243" s="30"/>
    </row>
    <row r="244" spans="1:2" ht="16.5">
      <c r="A244" s="30"/>
      <c r="B244" s="30"/>
    </row>
    <row r="245" spans="1:2" ht="16.5">
      <c r="A245" s="30"/>
      <c r="B245" s="30"/>
    </row>
    <row r="246" spans="1:2" ht="16.5">
      <c r="A246" s="30"/>
      <c r="B246" s="30"/>
    </row>
    <row r="247" spans="1:2" ht="16.5">
      <c r="A247" s="30"/>
      <c r="B247" s="30"/>
    </row>
    <row r="248" spans="1:2" ht="16.5">
      <c r="A248" s="30"/>
      <c r="B248" s="30"/>
    </row>
    <row r="249" spans="1:2" ht="16.5">
      <c r="A249" s="30"/>
      <c r="B249" s="30"/>
    </row>
    <row r="250" spans="1:2" ht="16.5">
      <c r="A250" s="30"/>
      <c r="B250" s="30"/>
    </row>
    <row r="251" spans="1:2" ht="16.5">
      <c r="A251" s="30"/>
      <c r="B251" s="30"/>
    </row>
    <row r="252" spans="1:2" ht="16.5">
      <c r="A252" s="30"/>
      <c r="B252" s="30"/>
    </row>
    <row r="253" spans="1:2" ht="16.5">
      <c r="A253" s="30"/>
      <c r="B253" s="30"/>
    </row>
    <row r="254" spans="1:2" ht="16.5">
      <c r="A254" s="30"/>
      <c r="B254" s="30"/>
    </row>
    <row r="255" spans="1:2" ht="16.5">
      <c r="A255" s="30"/>
      <c r="B255" s="30"/>
    </row>
    <row r="256" spans="1:2" ht="16.5">
      <c r="A256" s="30"/>
      <c r="B256" s="30"/>
    </row>
    <row r="257" spans="1:2" ht="16.5">
      <c r="A257" s="30"/>
      <c r="B257" s="30"/>
    </row>
    <row r="258" spans="1:2" ht="16.5">
      <c r="A258" s="30"/>
      <c r="B258" s="30"/>
    </row>
    <row r="259" spans="1:2" ht="16.5">
      <c r="A259" s="30"/>
      <c r="B259" s="30"/>
    </row>
    <row r="260" spans="1:2" ht="16.5">
      <c r="A260" s="30"/>
      <c r="B260" s="30"/>
    </row>
    <row r="261" spans="1:2" ht="16.5">
      <c r="A261" s="30"/>
      <c r="B261" s="30"/>
    </row>
    <row r="262" spans="1:2" ht="16.5">
      <c r="A262" s="30"/>
      <c r="B262" s="30"/>
    </row>
    <row r="263" spans="1:2" ht="16.5">
      <c r="A263" s="30"/>
      <c r="B263" s="30"/>
    </row>
    <row r="264" spans="1:2" ht="16.5">
      <c r="A264" s="30"/>
      <c r="B264" s="30"/>
    </row>
    <row r="265" spans="1:2" ht="16.5">
      <c r="A265" s="30"/>
      <c r="B265" s="30"/>
    </row>
    <row r="266" spans="1:2" ht="16.5">
      <c r="A266" s="30"/>
      <c r="B266" s="30"/>
    </row>
    <row r="267" spans="1:2" ht="16.5">
      <c r="A267" s="30"/>
      <c r="B267" s="30"/>
    </row>
    <row r="268" spans="1:2" ht="16.5">
      <c r="A268" s="30"/>
      <c r="B268" s="30"/>
    </row>
    <row r="269" spans="1:2" ht="16.5">
      <c r="A269" s="30"/>
      <c r="B269" s="30"/>
    </row>
    <row r="270" spans="1:2" ht="16.5">
      <c r="A270" s="30"/>
      <c r="B270" s="30"/>
    </row>
    <row r="271" spans="1:2" ht="16.5">
      <c r="A271" s="30"/>
      <c r="B271" s="30"/>
    </row>
    <row r="272" spans="1:2" ht="16.5">
      <c r="A272" s="30"/>
      <c r="B272" s="30"/>
    </row>
    <row r="273" spans="1:2" ht="16.5">
      <c r="A273" s="30"/>
      <c r="B273" s="30"/>
    </row>
    <row r="274" spans="1:2" ht="16.5">
      <c r="A274" s="30"/>
      <c r="B274" s="30"/>
    </row>
    <row r="275" spans="1:2" ht="16.5">
      <c r="A275" s="30"/>
      <c r="B275" s="30"/>
    </row>
    <row r="276" spans="1:2" ht="16.5">
      <c r="A276" s="30"/>
      <c r="B276" s="30"/>
    </row>
    <row r="277" spans="1:2" ht="16.5">
      <c r="A277" s="30"/>
      <c r="B277" s="30"/>
    </row>
    <row r="278" spans="1:2" ht="16.5">
      <c r="A278" s="30"/>
      <c r="B278" s="30"/>
    </row>
    <row r="279" spans="1:2" ht="16.5">
      <c r="A279" s="30"/>
      <c r="B279" s="30"/>
    </row>
    <row r="280" spans="1:2" ht="16.5">
      <c r="A280" s="30"/>
      <c r="B280" s="30"/>
    </row>
    <row r="281" spans="1:2" ht="16.5">
      <c r="A281" s="30"/>
      <c r="B281" s="30"/>
    </row>
    <row r="282" spans="1:2" ht="16.5">
      <c r="A282" s="30"/>
      <c r="B282" s="30"/>
    </row>
    <row r="283" spans="1:2" ht="16.5">
      <c r="A283" s="30"/>
      <c r="B283" s="30"/>
    </row>
    <row r="284" spans="1:2" ht="16.5">
      <c r="A284" s="30"/>
      <c r="B284" s="30"/>
    </row>
    <row r="285" spans="1:2" ht="16.5">
      <c r="A285" s="30"/>
      <c r="B285" s="30"/>
    </row>
    <row r="286" spans="1:2" ht="16.5">
      <c r="A286" s="30"/>
      <c r="B286" s="30"/>
    </row>
    <row r="287" spans="1:2" ht="16.5">
      <c r="A287" s="30"/>
      <c r="B287" s="30"/>
    </row>
    <row r="288" spans="1:2" ht="16.5">
      <c r="A288" s="30"/>
      <c r="B288" s="30"/>
    </row>
    <row r="289" spans="1:2" ht="16.5">
      <c r="A289" s="30"/>
      <c r="B289" s="30"/>
    </row>
    <row r="290" spans="1:2" ht="16.5">
      <c r="A290" s="30"/>
      <c r="B290" s="30"/>
    </row>
    <row r="291" spans="1:2" ht="16.5">
      <c r="A291" s="30"/>
      <c r="B291" s="30"/>
    </row>
    <row r="292" spans="1:2" ht="16.5">
      <c r="A292" s="30"/>
      <c r="B292" s="30"/>
    </row>
    <row r="293" spans="1:2" ht="16.5">
      <c r="A293" s="30"/>
      <c r="B293" s="30"/>
    </row>
    <row r="294" spans="1:2" ht="16.5">
      <c r="A294" s="30"/>
      <c r="B294" s="30"/>
    </row>
    <row r="295" spans="1:2" ht="16.5">
      <c r="A295" s="30"/>
      <c r="B295" s="30"/>
    </row>
    <row r="296" spans="1:2" ht="16.5">
      <c r="A296" s="30"/>
      <c r="B296" s="30"/>
    </row>
    <row r="297" spans="1:2" ht="16.5">
      <c r="A297" s="30"/>
      <c r="B297" s="30"/>
    </row>
    <row r="298" spans="1:2" ht="16.5">
      <c r="A298" s="30"/>
      <c r="B298" s="30"/>
    </row>
    <row r="299" spans="1:2" ht="16.5">
      <c r="A299" s="30"/>
      <c r="B299" s="30"/>
    </row>
    <row r="300" spans="1:2" ht="16.5">
      <c r="A300" s="30"/>
      <c r="B300" s="30"/>
    </row>
    <row r="301" spans="1:2" ht="16.5">
      <c r="A301" s="30"/>
      <c r="B301" s="30"/>
    </row>
    <row r="302" spans="1:2" ht="16.5">
      <c r="A302" s="30"/>
      <c r="B302" s="30"/>
    </row>
    <row r="303" spans="1:2" ht="16.5">
      <c r="A303" s="30"/>
      <c r="B303" s="30"/>
    </row>
    <row r="304" spans="1:2" ht="16.5">
      <c r="A304" s="30"/>
      <c r="B304" s="30"/>
    </row>
    <row r="305" spans="1:2" ht="16.5">
      <c r="A305" s="30"/>
      <c r="B305" s="30"/>
    </row>
    <row r="306" spans="1:2" ht="16.5">
      <c r="A306" s="30"/>
      <c r="B306" s="30"/>
    </row>
    <row r="307" spans="1:2" ht="16.5">
      <c r="A307" s="30"/>
      <c r="B307" s="30"/>
    </row>
    <row r="308" spans="1:2" ht="16.5">
      <c r="A308" s="30"/>
      <c r="B308" s="30"/>
    </row>
    <row r="309" spans="1:2" ht="16.5">
      <c r="A309" s="30"/>
      <c r="B309" s="30"/>
    </row>
    <row r="310" spans="1:2" ht="16.5">
      <c r="A310" s="30"/>
      <c r="B310" s="30"/>
    </row>
    <row r="311" spans="1:2" ht="16.5">
      <c r="A311" s="30"/>
      <c r="B311" s="30"/>
    </row>
    <row r="312" spans="1:2" ht="16.5">
      <c r="A312" s="30"/>
      <c r="B312" s="30"/>
    </row>
    <row r="313" spans="1:2" ht="16.5">
      <c r="A313" s="30"/>
      <c r="B313" s="30"/>
    </row>
    <row r="314" spans="1:2" ht="16.5">
      <c r="A314" s="30"/>
      <c r="B314" s="30"/>
    </row>
    <row r="315" spans="1:2" ht="16.5">
      <c r="A315" s="30"/>
      <c r="B315" s="30"/>
    </row>
    <row r="316" spans="1:2" ht="16.5">
      <c r="A316" s="30"/>
      <c r="B316" s="30"/>
    </row>
    <row r="317" spans="1:2" ht="16.5">
      <c r="A317" s="30"/>
      <c r="B317" s="30"/>
    </row>
    <row r="318" spans="1:2" ht="16.5">
      <c r="A318" s="30"/>
      <c r="B318" s="30"/>
    </row>
    <row r="319" spans="1:2" ht="16.5">
      <c r="A319" s="30"/>
      <c r="B319" s="30"/>
    </row>
    <row r="320" spans="1:2" ht="16.5">
      <c r="A320" s="30"/>
      <c r="B320" s="30"/>
    </row>
    <row r="321" spans="1:2" ht="16.5">
      <c r="A321" s="30"/>
      <c r="B321" s="30"/>
    </row>
    <row r="322" spans="1:2" ht="16.5">
      <c r="A322" s="30"/>
      <c r="B322" s="30"/>
    </row>
    <row r="323" spans="1:2" ht="16.5">
      <c r="A323" s="30"/>
      <c r="B323" s="30"/>
    </row>
    <row r="324" spans="1:2" ht="16.5">
      <c r="A324" s="30"/>
      <c r="B324" s="30"/>
    </row>
    <row r="325" spans="1:2" ht="16.5">
      <c r="A325" s="30"/>
      <c r="B325" s="30"/>
    </row>
    <row r="326" spans="1:2" ht="16.5">
      <c r="A326" s="30"/>
      <c r="B326" s="30"/>
    </row>
    <row r="327" spans="1:2" ht="16.5">
      <c r="A327" s="30"/>
      <c r="B327" s="30"/>
    </row>
    <row r="328" spans="1:2" ht="16.5">
      <c r="A328" s="30"/>
      <c r="B328" s="30"/>
    </row>
    <row r="329" spans="1:2" ht="16.5">
      <c r="A329" s="30"/>
      <c r="B329" s="30"/>
    </row>
    <row r="330" spans="1:2" ht="16.5">
      <c r="A330" s="30"/>
      <c r="B330" s="30"/>
    </row>
    <row r="331" spans="1:2" ht="16.5">
      <c r="A331" s="30"/>
      <c r="B331" s="30"/>
    </row>
    <row r="332" spans="1:2" ht="16.5">
      <c r="A332" s="30"/>
      <c r="B332" s="30"/>
    </row>
    <row r="333" spans="1:2" ht="16.5">
      <c r="A333" s="30"/>
      <c r="B333" s="30"/>
    </row>
    <row r="334" spans="1:2" ht="16.5">
      <c r="A334" s="30"/>
      <c r="B334" s="30"/>
    </row>
    <row r="335" spans="1:2" ht="16.5">
      <c r="A335" s="30"/>
      <c r="B335" s="30"/>
    </row>
    <row r="336" spans="1:2" ht="16.5">
      <c r="A336" s="30"/>
      <c r="B336" s="30"/>
    </row>
    <row r="337" spans="1:2" ht="16.5">
      <c r="A337" s="30"/>
      <c r="B337" s="30"/>
    </row>
    <row r="338" spans="1:2" ht="16.5">
      <c r="A338" s="30"/>
      <c r="B338" s="30"/>
    </row>
    <row r="339" spans="1:2" ht="16.5">
      <c r="A339" s="30"/>
      <c r="B339" s="30"/>
    </row>
    <row r="340" spans="1:2" ht="16.5">
      <c r="A340" s="30"/>
      <c r="B340" s="30"/>
    </row>
    <row r="341" spans="1:2" ht="16.5">
      <c r="A341" s="30"/>
      <c r="B341" s="30"/>
    </row>
    <row r="342" spans="1:2" ht="16.5">
      <c r="A342" s="30"/>
      <c r="B342" s="30"/>
    </row>
    <row r="343" spans="1:2" ht="16.5">
      <c r="A343" s="30"/>
      <c r="B343" s="30"/>
    </row>
    <row r="344" spans="1:2" ht="16.5">
      <c r="A344" s="30"/>
      <c r="B344" s="30"/>
    </row>
    <row r="345" spans="1:2" ht="16.5">
      <c r="A345" s="30"/>
      <c r="B345" s="30"/>
    </row>
    <row r="346" spans="1:2" ht="16.5">
      <c r="A346" s="30"/>
      <c r="B346" s="30"/>
    </row>
    <row r="347" spans="1:2" ht="16.5">
      <c r="A347" s="30"/>
      <c r="B347" s="30"/>
    </row>
    <row r="348" spans="1:2" ht="16.5">
      <c r="A348" s="30"/>
      <c r="B348" s="30"/>
    </row>
    <row r="349" spans="1:2" ht="16.5">
      <c r="A349" s="30"/>
      <c r="B349" s="30"/>
    </row>
    <row r="350" spans="1:2" ht="16.5">
      <c r="A350" s="30"/>
      <c r="B350" s="30"/>
    </row>
    <row r="351" spans="1:2" ht="16.5">
      <c r="A351" s="30"/>
      <c r="B351" s="30"/>
    </row>
    <row r="352" spans="1:2" ht="16.5">
      <c r="A352" s="30"/>
      <c r="B352" s="30"/>
    </row>
    <row r="353" spans="1:2" ht="16.5">
      <c r="A353" s="30"/>
      <c r="B353" s="30"/>
    </row>
    <row r="354" spans="1:2" ht="16.5">
      <c r="A354" s="30"/>
      <c r="B354" s="30"/>
    </row>
    <row r="355" spans="1:2" ht="16.5">
      <c r="A355" s="30"/>
      <c r="B355" s="30"/>
    </row>
    <row r="356" spans="1:2" ht="16.5">
      <c r="A356" s="30"/>
      <c r="B356" s="30"/>
    </row>
    <row r="357" spans="1:2" ht="16.5">
      <c r="A357" s="30"/>
      <c r="B357" s="30"/>
    </row>
    <row r="358" spans="1:2" ht="16.5">
      <c r="A358" s="30"/>
      <c r="B358" s="30"/>
    </row>
    <row r="359" spans="1:2" ht="16.5">
      <c r="A359" s="30"/>
      <c r="B359" s="30"/>
    </row>
    <row r="360" spans="1:2" ht="16.5">
      <c r="A360" s="30"/>
      <c r="B360" s="30"/>
    </row>
    <row r="361" spans="1:2" ht="16.5">
      <c r="A361" s="30"/>
      <c r="B361" s="30"/>
    </row>
    <row r="362" spans="1:2" ht="16.5">
      <c r="A362" s="30"/>
      <c r="B362" s="30"/>
    </row>
    <row r="363" spans="1:2" ht="16.5">
      <c r="A363" s="30"/>
      <c r="B363" s="30"/>
    </row>
    <row r="364" spans="1:2" ht="16.5">
      <c r="A364" s="30"/>
      <c r="B364" s="30"/>
    </row>
    <row r="365" spans="1:2" ht="16.5">
      <c r="A365" s="30"/>
      <c r="B365" s="30"/>
    </row>
    <row r="366" spans="1:2" ht="16.5">
      <c r="A366" s="30"/>
      <c r="B366" s="30"/>
    </row>
    <row r="367" spans="1:2" ht="16.5">
      <c r="A367" s="30"/>
      <c r="B367" s="30"/>
    </row>
    <row r="368" spans="1:2" ht="16.5">
      <c r="A368" s="30"/>
      <c r="B368" s="30"/>
    </row>
    <row r="369" spans="1:2" ht="16.5">
      <c r="A369" s="30"/>
      <c r="B369" s="30"/>
    </row>
    <row r="370" spans="1:2" ht="16.5">
      <c r="A370" s="30"/>
      <c r="B370" s="30"/>
    </row>
    <row r="371" spans="1:2" ht="16.5">
      <c r="A371" s="30"/>
      <c r="B371" s="30"/>
    </row>
    <row r="372" spans="1:2" ht="16.5">
      <c r="A372" s="30"/>
      <c r="B372" s="30"/>
    </row>
    <row r="373" spans="1:2" ht="16.5">
      <c r="A373" s="30"/>
      <c r="B373" s="30"/>
    </row>
    <row r="374" spans="1:2" ht="16.5">
      <c r="A374" s="30"/>
      <c r="B374" s="30"/>
    </row>
    <row r="375" spans="1:2" ht="16.5">
      <c r="A375" s="30"/>
      <c r="B375" s="30"/>
    </row>
    <row r="376" spans="1:2" ht="16.5">
      <c r="A376" s="30"/>
      <c r="B376" s="30"/>
    </row>
    <row r="377" spans="1:2" ht="16.5">
      <c r="A377" s="30"/>
      <c r="B377" s="30"/>
    </row>
    <row r="378" spans="1:2" ht="16.5">
      <c r="A378" s="30"/>
      <c r="B378" s="30"/>
    </row>
    <row r="379" spans="1:2" ht="16.5">
      <c r="A379" s="30"/>
      <c r="B379" s="30"/>
    </row>
    <row r="380" spans="1:2" ht="16.5">
      <c r="A380" s="30"/>
      <c r="B380" s="30"/>
    </row>
    <row r="381" spans="1:2" ht="16.5">
      <c r="A381" s="30"/>
      <c r="B381" s="30"/>
    </row>
    <row r="382" spans="1:2" ht="16.5">
      <c r="A382" s="30"/>
      <c r="B382" s="30"/>
    </row>
    <row r="383" spans="1:2" ht="16.5">
      <c r="A383" s="30"/>
      <c r="B383" s="30"/>
    </row>
    <row r="384" spans="1:2" ht="16.5">
      <c r="A384" s="30"/>
      <c r="B384" s="30"/>
    </row>
    <row r="385" spans="1:2" ht="16.5">
      <c r="A385" s="30"/>
      <c r="B385" s="30"/>
    </row>
    <row r="386" spans="1:2" ht="16.5">
      <c r="A386" s="30"/>
      <c r="B386" s="30"/>
    </row>
    <row r="387" spans="1:2" ht="16.5">
      <c r="A387" s="30"/>
      <c r="B387" s="30"/>
    </row>
    <row r="388" spans="1:2" ht="16.5">
      <c r="A388" s="30"/>
      <c r="B388" s="30"/>
    </row>
    <row r="389" spans="1:2" ht="16.5">
      <c r="A389" s="30"/>
      <c r="B389" s="30"/>
    </row>
    <row r="390" spans="1:2" ht="16.5">
      <c r="A390" s="30"/>
      <c r="B390" s="30"/>
    </row>
    <row r="391" spans="1:2" ht="16.5">
      <c r="A391" s="30"/>
      <c r="B391" s="30"/>
    </row>
    <row r="392" spans="1:2" ht="16.5">
      <c r="A392" s="30"/>
      <c r="B392" s="30"/>
    </row>
    <row r="393" spans="1:2" ht="16.5">
      <c r="A393" s="30"/>
      <c r="B393" s="30"/>
    </row>
    <row r="394" spans="1:2" ht="16.5">
      <c r="A394" s="30"/>
      <c r="B394" s="30"/>
    </row>
    <row r="395" spans="1:2" ht="16.5">
      <c r="A395" s="30"/>
      <c r="B395" s="30"/>
    </row>
    <row r="396" spans="1:2" ht="16.5">
      <c r="A396" s="30"/>
      <c r="B396" s="30"/>
    </row>
    <row r="397" spans="1:2" ht="16.5">
      <c r="A397" s="30"/>
      <c r="B397" s="30"/>
    </row>
    <row r="398" spans="1:2" ht="16.5">
      <c r="A398" s="30"/>
      <c r="B398" s="30"/>
    </row>
    <row r="399" spans="1:2" ht="16.5">
      <c r="A399" s="30"/>
      <c r="B399" s="30"/>
    </row>
    <row r="400" spans="1:2" ht="16.5">
      <c r="A400" s="30"/>
      <c r="B400" s="30"/>
    </row>
    <row r="401" spans="1:2" ht="16.5">
      <c r="A401" s="30"/>
      <c r="B401" s="30"/>
    </row>
    <row r="402" spans="1:2" ht="16.5">
      <c r="A402" s="30"/>
      <c r="B402" s="30"/>
    </row>
    <row r="403" spans="1:2" ht="16.5">
      <c r="A403" s="30"/>
      <c r="B403" s="30"/>
    </row>
    <row r="404" spans="1:2" ht="16.5">
      <c r="A404" s="30"/>
      <c r="B404" s="30"/>
    </row>
    <row r="405" spans="1:2" ht="16.5">
      <c r="A405" s="30"/>
      <c r="B405" s="30"/>
    </row>
    <row r="406" spans="1:2" ht="16.5">
      <c r="A406" s="30"/>
      <c r="B406" s="30"/>
    </row>
    <row r="407" spans="1:2" ht="16.5">
      <c r="A407" s="30"/>
      <c r="B407" s="30"/>
    </row>
    <row r="408" spans="1:2" ht="16.5">
      <c r="A408" s="30"/>
      <c r="B408" s="30"/>
    </row>
    <row r="409" spans="1:2" ht="16.5">
      <c r="A409" s="30"/>
      <c r="B409" s="30"/>
    </row>
    <row r="410" spans="1:2" ht="16.5">
      <c r="A410" s="30"/>
      <c r="B410" s="30"/>
    </row>
    <row r="411" spans="1:2" ht="16.5">
      <c r="A411" s="30"/>
      <c r="B411" s="30"/>
    </row>
    <row r="412" spans="1:2" ht="16.5">
      <c r="A412" s="30"/>
      <c r="B412" s="30"/>
    </row>
    <row r="413" spans="1:2" ht="16.5">
      <c r="A413" s="30"/>
      <c r="B413" s="30"/>
    </row>
    <row r="414" spans="1:2" ht="16.5">
      <c r="A414" s="30"/>
      <c r="B414" s="30"/>
    </row>
    <row r="415" spans="1:2" ht="16.5">
      <c r="A415" s="30"/>
      <c r="B415" s="30"/>
    </row>
    <row r="416" spans="1:2" ht="16.5">
      <c r="A416" s="30"/>
      <c r="B416" s="30"/>
    </row>
    <row r="417" spans="1:2" ht="16.5">
      <c r="A417" s="30"/>
      <c r="B417" s="30"/>
    </row>
    <row r="418" spans="1:2" ht="16.5">
      <c r="A418" s="30"/>
      <c r="B418" s="30"/>
    </row>
    <row r="419" spans="1:2" ht="16.5">
      <c r="A419" s="30"/>
      <c r="B419" s="30"/>
    </row>
    <row r="420" spans="1:2" ht="16.5">
      <c r="A420" s="30"/>
      <c r="B420" s="30"/>
    </row>
    <row r="421" spans="1:2" ht="16.5">
      <c r="A421" s="30"/>
      <c r="B421" s="30"/>
    </row>
    <row r="422" spans="1:2" ht="16.5">
      <c r="A422" s="30"/>
      <c r="B422" s="30"/>
    </row>
    <row r="423" spans="1:2" ht="16.5">
      <c r="A423" s="30"/>
      <c r="B423" s="30"/>
    </row>
    <row r="424" spans="1:2" ht="16.5">
      <c r="A424" s="30"/>
      <c r="B424" s="30"/>
    </row>
    <row r="425" spans="1:2" ht="16.5">
      <c r="A425" s="30"/>
      <c r="B425" s="30"/>
    </row>
    <row r="426" spans="1:2" ht="16.5">
      <c r="A426" s="30"/>
      <c r="B426" s="30"/>
    </row>
    <row r="427" spans="1:2" ht="16.5">
      <c r="A427" s="30"/>
      <c r="B427" s="30"/>
    </row>
    <row r="428" spans="1:2" ht="16.5">
      <c r="A428" s="30"/>
      <c r="B428" s="30"/>
    </row>
    <row r="429" spans="1:2" ht="16.5">
      <c r="A429" s="30"/>
      <c r="B429" s="30"/>
    </row>
    <row r="430" spans="1:2" ht="16.5">
      <c r="A430" s="30"/>
      <c r="B430" s="30"/>
    </row>
    <row r="431" spans="1:2" ht="16.5">
      <c r="A431" s="30"/>
      <c r="B431" s="30"/>
    </row>
    <row r="432" spans="1:2" ht="16.5">
      <c r="A432" s="30"/>
      <c r="B432" s="30"/>
    </row>
    <row r="433" spans="1:2" ht="16.5">
      <c r="A433" s="30"/>
      <c r="B433" s="30"/>
    </row>
    <row r="434" spans="1:2" ht="16.5">
      <c r="A434" s="30"/>
      <c r="B434" s="30"/>
    </row>
    <row r="435" spans="1:2" ht="16.5">
      <c r="A435" s="30"/>
      <c r="B435" s="30"/>
    </row>
    <row r="436" spans="1:2" ht="16.5">
      <c r="A436" s="30"/>
      <c r="B436" s="30"/>
    </row>
    <row r="437" spans="1:2" ht="16.5">
      <c r="A437" s="30"/>
      <c r="B437" s="30"/>
    </row>
    <row r="438" spans="1:2" ht="16.5">
      <c r="A438" s="30"/>
      <c r="B438" s="30"/>
    </row>
    <row r="439" spans="1:2" ht="16.5">
      <c r="A439" s="30"/>
      <c r="B439" s="30"/>
    </row>
    <row r="440" spans="1:2" ht="16.5">
      <c r="A440" s="30"/>
      <c r="B440" s="30"/>
    </row>
    <row r="441" spans="1:2" ht="16.5">
      <c r="A441" s="30"/>
      <c r="B441" s="30"/>
    </row>
    <row r="442" spans="1:2" ht="16.5">
      <c r="A442" s="30"/>
      <c r="B442" s="30"/>
    </row>
    <row r="443" spans="1:2" ht="16.5">
      <c r="A443" s="30"/>
      <c r="B443" s="30"/>
    </row>
    <row r="444" spans="1:2" ht="16.5">
      <c r="A444" s="30"/>
      <c r="B444" s="30"/>
    </row>
    <row r="445" spans="1:2" ht="16.5">
      <c r="A445" s="30"/>
      <c r="B445" s="30"/>
    </row>
    <row r="446" spans="1:2" ht="16.5">
      <c r="A446" s="30"/>
      <c r="B446" s="30"/>
    </row>
    <row r="447" spans="1:2" ht="16.5">
      <c r="A447" s="30"/>
      <c r="B447" s="30"/>
    </row>
    <row r="448" spans="1:2" ht="16.5">
      <c r="A448" s="30"/>
      <c r="B448" s="30"/>
    </row>
    <row r="449" spans="1:2" ht="16.5">
      <c r="A449" s="30"/>
      <c r="B449" s="30"/>
    </row>
    <row r="450" spans="1:2" ht="16.5">
      <c r="A450" s="30"/>
      <c r="B450" s="30"/>
    </row>
    <row r="451" spans="1:2" ht="16.5">
      <c r="A451" s="30"/>
      <c r="B451" s="30"/>
    </row>
    <row r="452" spans="1:2" ht="16.5">
      <c r="A452" s="30"/>
      <c r="B452" s="30"/>
    </row>
    <row r="453" spans="1:2" ht="16.5">
      <c r="A453" s="30"/>
      <c r="B453" s="30"/>
    </row>
    <row r="454" spans="1:2" ht="16.5">
      <c r="A454" s="30"/>
      <c r="B454" s="30"/>
    </row>
    <row r="455" spans="1:2" ht="16.5">
      <c r="A455" s="30"/>
      <c r="B455" s="30"/>
    </row>
    <row r="456" spans="1:2" ht="16.5">
      <c r="A456" s="30"/>
      <c r="B456" s="30"/>
    </row>
    <row r="457" spans="1:2" ht="16.5">
      <c r="A457" s="30"/>
      <c r="B457" s="30"/>
    </row>
    <row r="458" spans="1:2" ht="16.5">
      <c r="A458" s="30"/>
      <c r="B458" s="30"/>
    </row>
    <row r="459" spans="1:2" ht="16.5">
      <c r="A459" s="30"/>
      <c r="B459" s="30"/>
    </row>
    <row r="460" spans="1:2" ht="16.5">
      <c r="A460" s="30"/>
      <c r="B460" s="30"/>
    </row>
    <row r="461" spans="1:2" ht="16.5">
      <c r="A461" s="30"/>
      <c r="B461" s="30"/>
    </row>
    <row r="462" spans="1:2" ht="16.5">
      <c r="A462" s="30"/>
      <c r="B462" s="30"/>
    </row>
    <row r="463" spans="1:2" ht="16.5">
      <c r="A463" s="30"/>
      <c r="B463" s="30"/>
    </row>
    <row r="464" spans="1:2" ht="16.5">
      <c r="A464" s="30"/>
      <c r="B464" s="30"/>
    </row>
    <row r="465" spans="1:2" ht="16.5">
      <c r="A465" s="30"/>
      <c r="B465" s="30"/>
    </row>
    <row r="466" spans="1:2" ht="16.5">
      <c r="A466" s="30"/>
      <c r="B466" s="30"/>
    </row>
    <row r="467" spans="1:2" ht="16.5">
      <c r="A467" s="30"/>
      <c r="B467" s="30"/>
    </row>
    <row r="468" spans="1:2" ht="16.5">
      <c r="A468" s="30"/>
      <c r="B468" s="30"/>
    </row>
    <row r="469" spans="1:2" ht="16.5">
      <c r="A469" s="30"/>
      <c r="B469" s="30"/>
    </row>
    <row r="470" spans="1:2" ht="16.5">
      <c r="A470" s="30"/>
      <c r="B470" s="30"/>
    </row>
    <row r="471" spans="1:2" ht="16.5">
      <c r="A471" s="30"/>
      <c r="B471" s="30"/>
    </row>
    <row r="472" spans="1:2" ht="16.5">
      <c r="A472" s="30"/>
      <c r="B472" s="30"/>
    </row>
    <row r="473" spans="1:2" ht="16.5">
      <c r="A473" s="30"/>
      <c r="B473" s="30"/>
    </row>
    <row r="474" spans="1:2" ht="16.5">
      <c r="A474" s="30"/>
      <c r="B474" s="30"/>
    </row>
    <row r="475" spans="1:2" ht="16.5">
      <c r="A475" s="30"/>
      <c r="B475" s="30"/>
    </row>
    <row r="476" spans="1:2" ht="16.5">
      <c r="A476" s="30"/>
      <c r="B476" s="30"/>
    </row>
    <row r="477" spans="1:2" ht="16.5">
      <c r="A477" s="30"/>
      <c r="B477" s="30"/>
    </row>
    <row r="478" spans="1:2" ht="16.5">
      <c r="A478" s="30"/>
      <c r="B478" s="30"/>
    </row>
    <row r="479" spans="1:2" ht="16.5">
      <c r="A479" s="30"/>
      <c r="B479" s="30"/>
    </row>
    <row r="480" spans="1:2" ht="16.5">
      <c r="A480" s="30"/>
      <c r="B480" s="30"/>
    </row>
    <row r="481" spans="1:2" ht="16.5">
      <c r="A481" s="30"/>
      <c r="B481" s="30"/>
    </row>
    <row r="482" spans="1:2" ht="16.5">
      <c r="A482" s="30"/>
      <c r="B482" s="30"/>
    </row>
    <row r="483" spans="1:2" ht="16.5">
      <c r="A483" s="30"/>
      <c r="B483" s="30"/>
    </row>
    <row r="484" spans="1:2" ht="16.5">
      <c r="A484" s="30"/>
      <c r="B484" s="30"/>
    </row>
    <row r="485" spans="1:2" ht="16.5">
      <c r="A485" s="30"/>
      <c r="B485" s="30"/>
    </row>
    <row r="486" spans="1:2" ht="16.5">
      <c r="A486" s="30"/>
      <c r="B486" s="30"/>
    </row>
    <row r="487" spans="1:2" ht="16.5">
      <c r="A487" s="30"/>
      <c r="B487" s="30"/>
    </row>
    <row r="488" spans="1:2" ht="16.5">
      <c r="A488" s="30"/>
      <c r="B488" s="30"/>
    </row>
    <row r="489" spans="1:2" ht="16.5">
      <c r="A489" s="30"/>
      <c r="B489" s="30"/>
    </row>
    <row r="490" spans="1:2" ht="16.5">
      <c r="A490" s="30"/>
      <c r="B490" s="30"/>
    </row>
    <row r="491" spans="1:2" ht="16.5">
      <c r="A491" s="30"/>
      <c r="B491" s="30"/>
    </row>
    <row r="492" spans="1:2" ht="16.5">
      <c r="A492" s="30"/>
      <c r="B492" s="30"/>
    </row>
    <row r="493" spans="1:2" ht="16.5">
      <c r="A493" s="30"/>
      <c r="B493" s="30"/>
    </row>
    <row r="494" spans="1:2" ht="16.5">
      <c r="A494" s="30"/>
      <c r="B494" s="30"/>
    </row>
    <row r="495" spans="1:2" ht="16.5">
      <c r="A495" s="30"/>
      <c r="B495" s="30"/>
    </row>
    <row r="496" spans="1:2" ht="16.5">
      <c r="A496" s="30"/>
      <c r="B496" s="30"/>
    </row>
    <row r="497" spans="1:2" ht="16.5">
      <c r="A497" s="30"/>
      <c r="B497" s="30"/>
    </row>
    <row r="498" spans="1:2" ht="16.5">
      <c r="A498" s="30"/>
      <c r="B498" s="30"/>
    </row>
    <row r="499" spans="1:2" ht="16.5">
      <c r="A499" s="30"/>
      <c r="B499" s="30"/>
    </row>
    <row r="500" spans="1:2" ht="16.5">
      <c r="A500" s="30"/>
      <c r="B500" s="30"/>
    </row>
    <row r="501" spans="1:2" ht="16.5">
      <c r="A501" s="30"/>
      <c r="B501" s="30"/>
    </row>
    <row r="502" spans="1:2" ht="16.5">
      <c r="A502" s="30"/>
      <c r="B502" s="30"/>
    </row>
    <row r="503" spans="1:2" ht="16.5">
      <c r="A503" s="30"/>
      <c r="B503" s="30"/>
    </row>
    <row r="504" spans="1:2" ht="16.5">
      <c r="A504" s="30"/>
      <c r="B504" s="30"/>
    </row>
    <row r="505" spans="1:2" ht="16.5">
      <c r="A505" s="30"/>
      <c r="B505" s="30"/>
    </row>
    <row r="506" spans="1:2" ht="16.5">
      <c r="A506" s="30"/>
      <c r="B506" s="30"/>
    </row>
    <row r="507" spans="1:2" ht="16.5">
      <c r="A507" s="30"/>
      <c r="B507" s="30"/>
    </row>
    <row r="508" spans="1:2" ht="16.5">
      <c r="A508" s="30"/>
      <c r="B508" s="30"/>
    </row>
    <row r="509" spans="1:2" ht="16.5">
      <c r="A509" s="30"/>
      <c r="B509" s="30"/>
    </row>
    <row r="510" spans="1:2" ht="16.5">
      <c r="A510" s="30"/>
      <c r="B510" s="30"/>
    </row>
    <row r="511" spans="1:2" ht="16.5">
      <c r="A511" s="30"/>
      <c r="B511" s="30"/>
    </row>
    <row r="512" spans="1:2" ht="16.5">
      <c r="A512" s="30"/>
      <c r="B512" s="30"/>
    </row>
    <row r="513" spans="1:2" ht="16.5">
      <c r="A513" s="30"/>
      <c r="B513" s="30"/>
    </row>
    <row r="514" spans="1:2" ht="16.5">
      <c r="A514" s="30"/>
      <c r="B514" s="30"/>
    </row>
    <row r="515" spans="1:2" ht="16.5">
      <c r="A515" s="30"/>
      <c r="B515" s="30"/>
    </row>
    <row r="516" spans="1:2" ht="16.5">
      <c r="A516" s="30"/>
      <c r="B516" s="30"/>
    </row>
    <row r="517" spans="1:2" ht="16.5">
      <c r="A517" s="30"/>
      <c r="B517" s="30"/>
    </row>
    <row r="518" spans="1:2" ht="16.5">
      <c r="A518" s="30"/>
      <c r="B518" s="30"/>
    </row>
    <row r="519" spans="1:2" ht="16.5">
      <c r="A519" s="30"/>
      <c r="B519" s="30"/>
    </row>
    <row r="520" spans="1:2" ht="16.5">
      <c r="A520" s="30"/>
      <c r="B520" s="30"/>
    </row>
    <row r="521" spans="1:2" ht="16.5">
      <c r="A521" s="30"/>
      <c r="B521" s="30"/>
    </row>
    <row r="522" spans="1:2" ht="16.5">
      <c r="A522" s="30"/>
      <c r="B522" s="30"/>
    </row>
    <row r="523" spans="1:2" ht="16.5">
      <c r="A523" s="30"/>
      <c r="B523" s="30"/>
    </row>
    <row r="524" spans="1:2" ht="16.5">
      <c r="A524" s="30"/>
      <c r="B524" s="30"/>
    </row>
    <row r="525" spans="1:2" ht="16.5">
      <c r="A525" s="30"/>
      <c r="B525" s="30"/>
    </row>
    <row r="526" spans="1:2" ht="16.5">
      <c r="A526" s="30"/>
      <c r="B526" s="30"/>
    </row>
    <row r="527" spans="1:2" ht="16.5">
      <c r="A527" s="30"/>
      <c r="B527" s="30"/>
    </row>
    <row r="528" spans="1:2" ht="16.5">
      <c r="A528" s="30"/>
      <c r="B528" s="30"/>
    </row>
    <row r="529" spans="1:2" ht="16.5">
      <c r="A529" s="30"/>
      <c r="B529" s="30"/>
    </row>
    <row r="530" spans="1:2" ht="16.5">
      <c r="A530" s="30"/>
      <c r="B530" s="30"/>
    </row>
    <row r="531" spans="1:2" ht="16.5">
      <c r="A531" s="30"/>
      <c r="B531" s="30"/>
    </row>
    <row r="532" spans="1:2" ht="16.5">
      <c r="A532" s="30"/>
      <c r="B532" s="30"/>
    </row>
    <row r="533" spans="1:2" ht="16.5">
      <c r="A533" s="30"/>
      <c r="B533" s="30"/>
    </row>
    <row r="534" spans="1:2" ht="16.5">
      <c r="A534" s="30"/>
      <c r="B534" s="30"/>
    </row>
    <row r="535" spans="1:2" ht="16.5">
      <c r="A535" s="30"/>
      <c r="B535" s="30"/>
    </row>
    <row r="536" spans="1:2" ht="16.5">
      <c r="A536" s="30"/>
      <c r="B536" s="30"/>
    </row>
    <row r="537" spans="1:2" ht="16.5">
      <c r="A537" s="30"/>
      <c r="B537" s="30"/>
    </row>
    <row r="538" spans="1:2" ht="16.5">
      <c r="A538" s="30"/>
      <c r="B538" s="30"/>
    </row>
    <row r="539" spans="1:2" ht="16.5">
      <c r="A539" s="30"/>
      <c r="B539" s="30"/>
    </row>
    <row r="540" spans="1:2" ht="16.5">
      <c r="A540" s="30"/>
      <c r="B540" s="30"/>
    </row>
    <row r="541" spans="1:2" ht="16.5">
      <c r="A541" s="30"/>
      <c r="B541" s="30"/>
    </row>
    <row r="542" spans="1:2" ht="16.5">
      <c r="A542" s="30"/>
      <c r="B542" s="30"/>
    </row>
    <row r="543" spans="1:2" ht="16.5">
      <c r="A543" s="30"/>
      <c r="B543" s="30"/>
    </row>
    <row r="544" spans="1:2" ht="16.5">
      <c r="A544" s="30"/>
      <c r="B544" s="30"/>
    </row>
    <row r="545" spans="1:2" ht="16.5">
      <c r="A545" s="30"/>
      <c r="B545" s="30"/>
    </row>
    <row r="546" spans="1:2" ht="16.5">
      <c r="A546" s="30"/>
      <c r="B546" s="30"/>
    </row>
    <row r="547" spans="1:2" ht="16.5">
      <c r="A547" s="30"/>
      <c r="B547" s="30"/>
    </row>
    <row r="548" spans="1:2" ht="16.5">
      <c r="A548" s="30"/>
      <c r="B548" s="30"/>
    </row>
    <row r="549" spans="1:2" ht="16.5">
      <c r="A549" s="30"/>
      <c r="B549" s="30"/>
    </row>
    <row r="550" spans="1:2" ht="16.5">
      <c r="A550" s="30"/>
      <c r="B550" s="30"/>
    </row>
    <row r="551" spans="1:2" ht="16.5">
      <c r="A551" s="30"/>
      <c r="B551" s="30"/>
    </row>
    <row r="552" spans="1:2" ht="16.5">
      <c r="A552" s="30"/>
      <c r="B552" s="30"/>
    </row>
    <row r="553" spans="1:2" ht="16.5">
      <c r="A553" s="30"/>
      <c r="B553" s="30"/>
    </row>
    <row r="554" spans="1:2" ht="16.5">
      <c r="A554" s="30"/>
      <c r="B554" s="30"/>
    </row>
    <row r="555" spans="1:2" ht="16.5">
      <c r="A555" s="30"/>
      <c r="B555" s="30"/>
    </row>
    <row r="556" spans="1:2" ht="16.5">
      <c r="A556" s="30"/>
      <c r="B556" s="30"/>
    </row>
    <row r="557" spans="1:2" ht="16.5">
      <c r="A557" s="30"/>
      <c r="B557" s="30"/>
    </row>
    <row r="558" spans="1:2" ht="16.5">
      <c r="A558" s="30"/>
      <c r="B558" s="30"/>
    </row>
    <row r="559" spans="1:2" ht="16.5">
      <c r="A559" s="30"/>
      <c r="B559" s="30"/>
    </row>
    <row r="560" spans="1:2" ht="16.5">
      <c r="A560" s="30"/>
      <c r="B560" s="30"/>
    </row>
    <row r="561" spans="1:2" ht="16.5">
      <c r="A561" s="30"/>
      <c r="B561" s="30"/>
    </row>
    <row r="562" spans="1:2" ht="16.5">
      <c r="A562" s="30"/>
      <c r="B562" s="30"/>
    </row>
    <row r="563" spans="1:2" ht="16.5">
      <c r="A563" s="30"/>
      <c r="B563" s="30"/>
    </row>
    <row r="564" spans="1:2" ht="16.5">
      <c r="A564" s="30"/>
      <c r="B564" s="30"/>
    </row>
    <row r="565" spans="1:2" ht="16.5">
      <c r="A565" s="30"/>
      <c r="B565" s="30"/>
    </row>
    <row r="566" spans="1:2" ht="16.5">
      <c r="A566" s="30"/>
      <c r="B566" s="30"/>
    </row>
    <row r="567" spans="1:2" ht="16.5">
      <c r="A567" s="30"/>
      <c r="B567" s="30"/>
    </row>
    <row r="568" spans="1:2" ht="16.5">
      <c r="A568" s="30"/>
      <c r="B568" s="30"/>
    </row>
    <row r="569" spans="1:2" ht="16.5">
      <c r="A569" s="30"/>
      <c r="B569" s="30"/>
    </row>
    <row r="570" spans="1:2" ht="16.5">
      <c r="A570" s="30"/>
      <c r="B570" s="30"/>
    </row>
    <row r="571" spans="1:2" ht="16.5">
      <c r="A571" s="30"/>
      <c r="B571" s="30"/>
    </row>
    <row r="572" spans="1:2" ht="16.5">
      <c r="A572" s="30"/>
      <c r="B572" s="30"/>
    </row>
    <row r="573" spans="1:2" ht="16.5">
      <c r="A573" s="30"/>
      <c r="B573" s="30"/>
    </row>
    <row r="574" spans="1:2" ht="16.5">
      <c r="A574" s="30"/>
      <c r="B574" s="30"/>
    </row>
    <row r="575" spans="1:2" ht="16.5">
      <c r="A575" s="30"/>
      <c r="B575" s="30"/>
    </row>
    <row r="576" spans="1:2" ht="16.5">
      <c r="A576" s="30"/>
      <c r="B576" s="30"/>
    </row>
    <row r="577" spans="1:2" ht="16.5">
      <c r="A577" s="30"/>
      <c r="B577" s="30"/>
    </row>
    <row r="578" spans="1:2" ht="16.5">
      <c r="A578" s="30"/>
      <c r="B578" s="30"/>
    </row>
    <row r="579" spans="1:2" ht="16.5">
      <c r="A579" s="30"/>
      <c r="B579" s="30"/>
    </row>
    <row r="580" spans="1:2" ht="16.5">
      <c r="A580" s="30"/>
      <c r="B580" s="30"/>
    </row>
    <row r="581" spans="1:2" ht="16.5">
      <c r="A581" s="30"/>
      <c r="B581" s="30"/>
    </row>
    <row r="582" spans="1:2" ht="16.5">
      <c r="A582" s="30"/>
      <c r="B582" s="30"/>
    </row>
    <row r="583" spans="1:2" ht="16.5">
      <c r="A583" s="30"/>
      <c r="B583" s="30"/>
    </row>
    <row r="584" spans="1:2" ht="16.5">
      <c r="A584" s="30"/>
      <c r="B584" s="30"/>
    </row>
    <row r="585" spans="1:2" ht="16.5">
      <c r="A585" s="30"/>
      <c r="B585" s="30"/>
    </row>
    <row r="586" spans="1:2" ht="16.5">
      <c r="A586" s="30"/>
      <c r="B586" s="30"/>
    </row>
    <row r="587" spans="1:2" ht="16.5">
      <c r="A587" s="30"/>
      <c r="B587" s="30"/>
    </row>
    <row r="588" spans="1:2" ht="16.5">
      <c r="A588" s="30"/>
      <c r="B588" s="30"/>
    </row>
    <row r="589" spans="1:2" ht="16.5">
      <c r="A589" s="30"/>
      <c r="B589" s="30"/>
    </row>
    <row r="590" spans="1:2" ht="16.5">
      <c r="A590" s="30"/>
      <c r="B590" s="30"/>
    </row>
    <row r="591" spans="1:2" ht="16.5">
      <c r="A591" s="30"/>
      <c r="B591" s="30"/>
    </row>
    <row r="592" spans="1:2" ht="16.5">
      <c r="A592" s="30"/>
      <c r="B592" s="30"/>
    </row>
    <row r="593" spans="1:2" ht="16.5">
      <c r="A593" s="30"/>
      <c r="B593" s="30"/>
    </row>
    <row r="594" spans="1:2" ht="16.5">
      <c r="A594" s="30"/>
      <c r="B594" s="30"/>
    </row>
    <row r="595" spans="1:2" ht="16.5">
      <c r="A595" s="30"/>
      <c r="B595" s="30"/>
    </row>
    <row r="596" spans="1:2" ht="16.5">
      <c r="A596" s="30"/>
      <c r="B596" s="30"/>
    </row>
    <row r="597" spans="1:2" ht="16.5">
      <c r="A597" s="30"/>
      <c r="B597" s="30"/>
    </row>
    <row r="598" spans="1:2" ht="16.5">
      <c r="A598" s="30"/>
      <c r="B598" s="30"/>
    </row>
    <row r="599" spans="1:2" ht="16.5">
      <c r="A599" s="30"/>
      <c r="B599" s="30"/>
    </row>
    <row r="600" spans="1:2" ht="16.5">
      <c r="A600" s="30"/>
      <c r="B600" s="30"/>
    </row>
    <row r="601" spans="1:2" ht="16.5">
      <c r="A601" s="30"/>
      <c r="B601" s="30"/>
    </row>
    <row r="602" spans="1:2" ht="16.5">
      <c r="A602" s="30"/>
      <c r="B602" s="30"/>
    </row>
    <row r="603" spans="1:2" ht="16.5">
      <c r="A603" s="30"/>
      <c r="B603" s="30"/>
    </row>
    <row r="604" spans="1:2" ht="16.5">
      <c r="A604" s="30"/>
      <c r="B604" s="30"/>
    </row>
    <row r="605" spans="1:2" ht="16.5">
      <c r="A605" s="30"/>
      <c r="B605" s="30"/>
    </row>
    <row r="606" spans="1:2" ht="16.5">
      <c r="A606" s="30"/>
      <c r="B606" s="30"/>
    </row>
    <row r="607" spans="1:2" ht="16.5">
      <c r="A607" s="30"/>
      <c r="B607" s="30"/>
    </row>
    <row r="608" spans="1:2" ht="16.5">
      <c r="A608" s="30"/>
      <c r="B608" s="30"/>
    </row>
    <row r="609" spans="1:2" ht="16.5">
      <c r="A609" s="30"/>
      <c r="B609" s="30"/>
    </row>
    <row r="610" spans="1:2" ht="16.5">
      <c r="A610" s="30"/>
      <c r="B610" s="30"/>
    </row>
    <row r="611" spans="1:2" ht="16.5">
      <c r="A611" s="30"/>
      <c r="B611" s="30"/>
    </row>
    <row r="612" spans="1:2" ht="16.5">
      <c r="A612" s="30"/>
      <c r="B612" s="30"/>
    </row>
    <row r="613" spans="1:2" ht="16.5">
      <c r="A613" s="30"/>
      <c r="B613" s="30"/>
    </row>
    <row r="614" spans="1:2" ht="16.5">
      <c r="A614" s="30"/>
      <c r="B614" s="30"/>
    </row>
    <row r="615" spans="1:2" ht="16.5">
      <c r="A615" s="30"/>
      <c r="B615" s="30"/>
    </row>
    <row r="616" spans="1:2" ht="16.5">
      <c r="A616" s="30"/>
      <c r="B616" s="30"/>
    </row>
    <row r="617" spans="1:2" ht="16.5">
      <c r="A617" s="30"/>
      <c r="B617" s="30"/>
    </row>
    <row r="618" spans="1:2" ht="16.5">
      <c r="A618" s="30"/>
      <c r="B618" s="30"/>
    </row>
    <row r="619" spans="1:2" ht="16.5">
      <c r="A619" s="30"/>
      <c r="B619" s="30"/>
    </row>
    <row r="620" spans="1:2" ht="16.5">
      <c r="A620" s="30"/>
      <c r="B620" s="30"/>
    </row>
    <row r="621" spans="1:2" ht="16.5">
      <c r="A621" s="30"/>
      <c r="B621" s="30"/>
    </row>
    <row r="622" spans="1:2" ht="16.5">
      <c r="A622" s="30"/>
      <c r="B622" s="30"/>
    </row>
    <row r="623" spans="1:2" ht="16.5">
      <c r="A623" s="30"/>
      <c r="B623" s="30"/>
    </row>
    <row r="624" spans="1:2" ht="16.5">
      <c r="A624" s="30"/>
      <c r="B624" s="30"/>
    </row>
    <row r="625" spans="1:2" ht="16.5">
      <c r="A625" s="30"/>
      <c r="B625" s="30"/>
    </row>
    <row r="626" spans="1:2" ht="16.5">
      <c r="A626" s="30"/>
      <c r="B626" s="30"/>
    </row>
    <row r="627" spans="1:2" ht="16.5">
      <c r="A627" s="30"/>
      <c r="B627" s="30"/>
    </row>
    <row r="628" spans="1:2" ht="16.5">
      <c r="A628" s="30"/>
      <c r="B628" s="30"/>
    </row>
    <row r="629" spans="1:2" ht="16.5">
      <c r="A629" s="30"/>
      <c r="B629" s="30"/>
    </row>
    <row r="630" spans="1:2" ht="16.5">
      <c r="A630" s="30"/>
      <c r="B630" s="30"/>
    </row>
    <row r="631" spans="1:2" ht="16.5">
      <c r="A631" s="30"/>
      <c r="B631" s="30"/>
    </row>
    <row r="632" spans="1:2" ht="16.5">
      <c r="A632" s="30"/>
      <c r="B632" s="30"/>
    </row>
    <row r="633" spans="1:2" ht="16.5">
      <c r="A633" s="30"/>
      <c r="B633" s="30"/>
    </row>
    <row r="634" spans="1:2" ht="16.5">
      <c r="A634" s="30"/>
      <c r="B634" s="30"/>
    </row>
    <row r="635" spans="1:2" ht="16.5">
      <c r="A635" s="30"/>
      <c r="B635" s="30"/>
    </row>
    <row r="636" spans="1:2" ht="16.5">
      <c r="A636" s="30"/>
      <c r="B636" s="30"/>
    </row>
    <row r="637" spans="1:2" ht="16.5">
      <c r="A637" s="30"/>
      <c r="B637" s="30"/>
    </row>
    <row r="638" spans="1:2" ht="16.5">
      <c r="A638" s="30"/>
      <c r="B638" s="30"/>
    </row>
    <row r="639" spans="1:2" ht="16.5">
      <c r="A639" s="30"/>
      <c r="B639" s="30"/>
    </row>
    <row r="640" spans="1:2" ht="16.5">
      <c r="A640" s="30"/>
      <c r="B640" s="30"/>
    </row>
    <row r="641" spans="1:2" ht="16.5">
      <c r="A641" s="30"/>
      <c r="B641" s="30"/>
    </row>
    <row r="642" spans="1:2" ht="16.5">
      <c r="A642" s="30"/>
      <c r="B642" s="30"/>
    </row>
    <row r="643" spans="1:2" ht="16.5">
      <c r="A643" s="30"/>
      <c r="B643" s="30"/>
    </row>
    <row r="644" spans="1:2" ht="16.5">
      <c r="A644" s="30"/>
      <c r="B644" s="30"/>
    </row>
    <row r="645" spans="1:2" ht="16.5">
      <c r="A645" s="30"/>
      <c r="B645" s="30"/>
    </row>
    <row r="646" spans="1:2" ht="16.5">
      <c r="A646" s="30"/>
      <c r="B646" s="30"/>
    </row>
    <row r="647" spans="1:2" ht="16.5">
      <c r="A647" s="30"/>
      <c r="B647" s="30"/>
    </row>
    <row r="648" spans="1:2" ht="16.5">
      <c r="A648" s="30"/>
      <c r="B648" s="30"/>
    </row>
    <row r="649" spans="1:2" ht="16.5">
      <c r="A649" s="30"/>
      <c r="B649" s="30"/>
    </row>
    <row r="650" spans="1:2" ht="16.5">
      <c r="A650" s="30"/>
      <c r="B650" s="30"/>
    </row>
    <row r="651" spans="1:2" ht="16.5">
      <c r="A651" s="30"/>
      <c r="B651" s="30"/>
    </row>
    <row r="652" spans="1:2" ht="16.5">
      <c r="A652" s="30"/>
      <c r="B652" s="30"/>
    </row>
    <row r="653" spans="1:2" ht="16.5">
      <c r="A653" s="30"/>
      <c r="B653" s="30"/>
    </row>
    <row r="654" spans="1:2" ht="16.5">
      <c r="A654" s="30"/>
      <c r="B654" s="30"/>
    </row>
    <row r="655" spans="1:2" ht="16.5">
      <c r="A655" s="30"/>
      <c r="B655" s="30"/>
    </row>
    <row r="656" spans="1:2" ht="16.5">
      <c r="A656" s="30"/>
      <c r="B656" s="30"/>
    </row>
    <row r="657" spans="1:2" ht="16.5">
      <c r="A657" s="30"/>
      <c r="B657" s="30"/>
    </row>
    <row r="658" spans="1:2" ht="16.5">
      <c r="A658" s="30"/>
      <c r="B658" s="30"/>
    </row>
    <row r="659" spans="1:2" ht="16.5">
      <c r="A659" s="30"/>
      <c r="B659" s="30"/>
    </row>
    <row r="660" spans="1:2" ht="16.5">
      <c r="A660" s="30"/>
      <c r="B660" s="30"/>
    </row>
    <row r="661" spans="1:2" ht="16.5">
      <c r="A661" s="30"/>
      <c r="B661" s="30"/>
    </row>
    <row r="662" spans="1:2" ht="16.5">
      <c r="A662" s="30"/>
      <c r="B662" s="30"/>
    </row>
    <row r="663" spans="1:2" ht="16.5">
      <c r="A663" s="30"/>
      <c r="B663" s="30"/>
    </row>
    <row r="664" spans="1:2" ht="16.5">
      <c r="A664" s="30"/>
      <c r="B664" s="30"/>
    </row>
    <row r="665" spans="1:2" ht="16.5">
      <c r="A665" s="30"/>
      <c r="B665" s="30"/>
    </row>
    <row r="666" spans="1:2" ht="16.5">
      <c r="A666" s="30"/>
      <c r="B666" s="30"/>
    </row>
    <row r="667" spans="1:2" ht="16.5">
      <c r="A667" s="30"/>
      <c r="B667" s="30"/>
    </row>
    <row r="668" spans="1:2" ht="16.5">
      <c r="A668" s="30"/>
      <c r="B668" s="30"/>
    </row>
    <row r="669" spans="1:2" ht="16.5">
      <c r="A669" s="30"/>
      <c r="B669" s="30"/>
    </row>
    <row r="670" spans="1:2" ht="16.5">
      <c r="A670" s="30"/>
      <c r="B670" s="30"/>
    </row>
    <row r="671" spans="1:2" ht="16.5">
      <c r="A671" s="30"/>
      <c r="B671" s="30"/>
    </row>
    <row r="672" spans="1:2" ht="16.5">
      <c r="A672" s="30"/>
      <c r="B672" s="30"/>
    </row>
    <row r="673" spans="1:2" ht="16.5">
      <c r="A673" s="30"/>
      <c r="B673" s="30"/>
    </row>
    <row r="674" spans="1:2" ht="16.5">
      <c r="A674" s="30"/>
      <c r="B674" s="30"/>
    </row>
    <row r="675" spans="1:2" ht="16.5">
      <c r="A675" s="30"/>
      <c r="B675" s="30"/>
    </row>
    <row r="676" spans="1:2" ht="16.5">
      <c r="A676" s="30"/>
      <c r="B676" s="30"/>
    </row>
    <row r="677" spans="1:2" ht="16.5">
      <c r="A677" s="30"/>
      <c r="B677" s="30"/>
    </row>
    <row r="678" spans="1:2" ht="16.5">
      <c r="A678" s="30"/>
      <c r="B678" s="30"/>
    </row>
    <row r="679" spans="1:2" ht="16.5">
      <c r="A679" s="30"/>
      <c r="B679" s="30"/>
    </row>
    <row r="680" spans="1:2" ht="16.5">
      <c r="A680" s="30"/>
      <c r="B680" s="30"/>
    </row>
    <row r="681" spans="1:2" ht="16.5">
      <c r="A681" s="30"/>
      <c r="B681" s="30"/>
    </row>
    <row r="682" spans="1:2" ht="16.5">
      <c r="A682" s="30"/>
      <c r="B682" s="30"/>
    </row>
    <row r="683" spans="1:2" ht="16.5">
      <c r="A683" s="30"/>
      <c r="B683" s="30"/>
    </row>
    <row r="684" spans="1:2" ht="16.5">
      <c r="A684" s="30"/>
      <c r="B684" s="30"/>
    </row>
    <row r="685" spans="1:2" ht="16.5">
      <c r="A685" s="30"/>
      <c r="B685" s="30"/>
    </row>
    <row r="686" spans="1:2" ht="16.5">
      <c r="A686" s="30"/>
      <c r="B686" s="30"/>
    </row>
    <row r="687" spans="1:2" ht="16.5">
      <c r="A687" s="30"/>
      <c r="B687" s="30"/>
    </row>
    <row r="688" spans="1:2" ht="16.5">
      <c r="A688" s="30"/>
      <c r="B688" s="30"/>
    </row>
    <row r="689" spans="1:2" ht="16.5">
      <c r="A689" s="30"/>
      <c r="B689" s="30"/>
    </row>
    <row r="690" spans="1:2" ht="16.5">
      <c r="A690" s="30"/>
      <c r="B690" s="30"/>
    </row>
    <row r="691" spans="1:2" ht="16.5">
      <c r="A691" s="30"/>
      <c r="B691" s="30"/>
    </row>
    <row r="692" spans="1:2" ht="16.5">
      <c r="A692" s="30"/>
      <c r="B692" s="30"/>
    </row>
    <row r="693" spans="1:2" ht="16.5">
      <c r="A693" s="30"/>
      <c r="B693" s="30"/>
    </row>
    <row r="694" spans="1:2" ht="16.5">
      <c r="A694" s="30"/>
      <c r="B694" s="30"/>
    </row>
    <row r="695" spans="1:2" ht="16.5">
      <c r="A695" s="30"/>
      <c r="B695" s="30"/>
    </row>
    <row r="696" spans="1:2" ht="16.5">
      <c r="A696" s="30"/>
      <c r="B696" s="30"/>
    </row>
    <row r="697" spans="1:2" ht="16.5">
      <c r="A697" s="30"/>
      <c r="B697" s="30"/>
    </row>
    <row r="698" spans="1:2" ht="16.5">
      <c r="A698" s="30"/>
      <c r="B698" s="30"/>
    </row>
    <row r="699" spans="1:2" ht="16.5">
      <c r="A699" s="30"/>
      <c r="B699" s="30"/>
    </row>
    <row r="700" spans="1:2" ht="16.5">
      <c r="A700" s="30"/>
      <c r="B700" s="30"/>
    </row>
    <row r="701" spans="1:2" ht="16.5">
      <c r="A701" s="30"/>
      <c r="B701" s="30"/>
    </row>
    <row r="702" spans="1:2" ht="16.5">
      <c r="A702" s="30"/>
      <c r="B702" s="30"/>
    </row>
    <row r="703" spans="1:2" ht="16.5">
      <c r="A703" s="30"/>
      <c r="B703" s="30"/>
    </row>
    <row r="704" spans="1:2" ht="16.5">
      <c r="A704" s="30"/>
      <c r="B704" s="30"/>
    </row>
    <row r="705" spans="1:2" ht="16.5">
      <c r="A705" s="30"/>
      <c r="B705" s="30"/>
    </row>
    <row r="706" spans="1:2" ht="16.5">
      <c r="A706" s="30"/>
      <c r="B706" s="30"/>
    </row>
    <row r="707" spans="1:2" ht="16.5">
      <c r="A707" s="30"/>
      <c r="B707" s="30"/>
    </row>
    <row r="708" spans="1:2" ht="16.5">
      <c r="A708" s="30"/>
      <c r="B708" s="30"/>
    </row>
    <row r="709" spans="1:2" ht="16.5">
      <c r="A709" s="30"/>
      <c r="B709" s="30"/>
    </row>
    <row r="710" spans="1:2" ht="16.5">
      <c r="A710" s="30"/>
      <c r="B710" s="30"/>
    </row>
    <row r="711" spans="1:2" ht="16.5">
      <c r="A711" s="30"/>
      <c r="B711" s="30"/>
    </row>
    <row r="712" spans="1:2" ht="16.5">
      <c r="A712" s="30"/>
      <c r="B712" s="30"/>
    </row>
    <row r="713" spans="1:2" ht="16.5">
      <c r="A713" s="30"/>
      <c r="B713" s="30"/>
    </row>
    <row r="714" spans="1:2" ht="16.5">
      <c r="A714" s="30"/>
      <c r="B714" s="30"/>
    </row>
    <row r="715" spans="1:2" ht="16.5">
      <c r="A715" s="30"/>
      <c r="B715" s="30"/>
    </row>
    <row r="716" spans="1:2" ht="16.5">
      <c r="A716" s="30"/>
      <c r="B716" s="30"/>
    </row>
    <row r="717" spans="1:2" ht="16.5">
      <c r="A717" s="30"/>
      <c r="B717" s="30"/>
    </row>
    <row r="718" spans="1:2" ht="16.5">
      <c r="A718" s="30"/>
      <c r="B718" s="30"/>
    </row>
    <row r="719" spans="1:2" ht="16.5">
      <c r="A719" s="30"/>
      <c r="B719" s="30"/>
    </row>
    <row r="720" spans="1:2" ht="16.5">
      <c r="A720" s="30"/>
      <c r="B720" s="30"/>
    </row>
    <row r="721" spans="1:2" ht="16.5">
      <c r="A721" s="30"/>
      <c r="B721" s="30"/>
    </row>
    <row r="722" spans="1:2" ht="16.5">
      <c r="A722" s="30"/>
      <c r="B722" s="30"/>
    </row>
    <row r="723" spans="1:2" ht="16.5">
      <c r="A723" s="30"/>
      <c r="B723" s="30"/>
    </row>
    <row r="724" spans="1:2" ht="16.5">
      <c r="A724" s="30"/>
      <c r="B724" s="30"/>
    </row>
    <row r="725" spans="1:2" ht="16.5">
      <c r="A725" s="30"/>
      <c r="B725" s="30"/>
    </row>
    <row r="726" spans="1:2" ht="16.5">
      <c r="A726" s="30"/>
      <c r="B726" s="30"/>
    </row>
    <row r="727" spans="1:2" ht="16.5">
      <c r="A727" s="30"/>
      <c r="B727" s="30"/>
    </row>
    <row r="728" spans="1:2" ht="16.5">
      <c r="A728" s="30"/>
      <c r="B728" s="30"/>
    </row>
    <row r="729" spans="1:2" ht="16.5">
      <c r="A729" s="30"/>
      <c r="B729" s="30"/>
    </row>
    <row r="730" spans="1:2" ht="16.5">
      <c r="A730" s="30"/>
      <c r="B730" s="30"/>
    </row>
    <row r="731" spans="1:2" ht="16.5">
      <c r="A731" s="30"/>
      <c r="B731" s="30"/>
    </row>
    <row r="732" spans="1:2" ht="16.5">
      <c r="A732" s="30"/>
      <c r="B732" s="30"/>
    </row>
    <row r="733" spans="1:2" ht="16.5">
      <c r="A733" s="30"/>
      <c r="B733" s="30"/>
    </row>
    <row r="734" spans="1:2" ht="16.5">
      <c r="A734" s="30"/>
      <c r="B734" s="30"/>
    </row>
    <row r="735" spans="1:2" ht="16.5">
      <c r="A735" s="30"/>
      <c r="B735" s="30"/>
    </row>
    <row r="736" spans="1:2" ht="16.5">
      <c r="A736" s="30"/>
      <c r="B736" s="30"/>
    </row>
    <row r="737" spans="1:2" ht="16.5">
      <c r="A737" s="30"/>
      <c r="B737" s="30"/>
    </row>
    <row r="738" spans="1:2" ht="16.5">
      <c r="A738" s="30"/>
      <c r="B738" s="30"/>
    </row>
    <row r="739" spans="1:2" ht="16.5">
      <c r="A739" s="30"/>
      <c r="B739" s="30"/>
    </row>
    <row r="740" spans="1:2" ht="16.5">
      <c r="A740" s="30"/>
      <c r="B740" s="30"/>
    </row>
    <row r="741" spans="1:2" ht="16.5">
      <c r="A741" s="30"/>
      <c r="B741" s="30"/>
    </row>
    <row r="742" spans="1:2" ht="16.5">
      <c r="A742" s="30"/>
      <c r="B742" s="30"/>
    </row>
    <row r="743" spans="1:2" ht="16.5">
      <c r="A743" s="30"/>
      <c r="B743" s="30"/>
    </row>
    <row r="744" spans="1:2" ht="16.5">
      <c r="A744" s="30"/>
      <c r="B744" s="30"/>
    </row>
    <row r="745" spans="1:2" ht="16.5">
      <c r="A745" s="30"/>
      <c r="B745" s="30"/>
    </row>
    <row r="746" spans="1:2" ht="16.5">
      <c r="A746" s="30"/>
      <c r="B746" s="30"/>
    </row>
    <row r="747" spans="1:2" ht="16.5">
      <c r="A747" s="30"/>
      <c r="B747" s="30"/>
    </row>
    <row r="748" spans="1:2" ht="16.5">
      <c r="A748" s="30"/>
      <c r="B748" s="30"/>
    </row>
    <row r="749" spans="1:2" ht="16.5">
      <c r="A749" s="30"/>
      <c r="B749" s="30"/>
    </row>
    <row r="750" spans="1:2" ht="16.5">
      <c r="A750" s="30"/>
      <c r="B750" s="30"/>
    </row>
    <row r="751" spans="1:2" ht="16.5">
      <c r="A751" s="30"/>
      <c r="B751" s="30"/>
    </row>
    <row r="752" spans="1:2" ht="16.5">
      <c r="A752" s="30"/>
      <c r="B752" s="30"/>
    </row>
    <row r="753" spans="1:2" ht="16.5">
      <c r="A753" s="30"/>
      <c r="B753" s="30"/>
    </row>
    <row r="754" spans="1:2" ht="16.5">
      <c r="A754" s="30"/>
      <c r="B754" s="30"/>
    </row>
    <row r="755" spans="1:2" ht="16.5">
      <c r="A755" s="30"/>
      <c r="B755" s="30"/>
    </row>
    <row r="756" spans="1:2" ht="16.5">
      <c r="A756" s="30"/>
      <c r="B756" s="30"/>
    </row>
    <row r="757" spans="1:2" ht="16.5">
      <c r="A757" s="30"/>
      <c r="B757" s="30"/>
    </row>
    <row r="758" spans="1:2" ht="16.5">
      <c r="A758" s="30"/>
      <c r="B758" s="30"/>
    </row>
    <row r="759" spans="1:2" ht="16.5">
      <c r="A759" s="30"/>
      <c r="B759" s="30"/>
    </row>
    <row r="760" spans="1:2" ht="16.5">
      <c r="A760" s="30"/>
      <c r="B760" s="30"/>
    </row>
    <row r="761" spans="1:2" ht="16.5">
      <c r="A761" s="30"/>
      <c r="B761" s="30"/>
    </row>
    <row r="762" spans="1:2" ht="16.5">
      <c r="A762" s="30"/>
      <c r="B762" s="30"/>
    </row>
    <row r="763" spans="1:2" ht="16.5">
      <c r="A763" s="30"/>
      <c r="B763" s="30"/>
    </row>
    <row r="764" spans="1:2" ht="16.5">
      <c r="A764" s="30"/>
      <c r="B764" s="30"/>
    </row>
    <row r="765" spans="1:2" ht="16.5">
      <c r="A765" s="30"/>
      <c r="B765" s="30"/>
    </row>
    <row r="766" spans="1:2" ht="16.5">
      <c r="A766" s="30"/>
      <c r="B766" s="30"/>
    </row>
    <row r="767" spans="1:2" ht="16.5">
      <c r="A767" s="30"/>
      <c r="B767" s="30"/>
    </row>
    <row r="768" spans="1:2" ht="16.5">
      <c r="A768" s="30"/>
      <c r="B768" s="30"/>
    </row>
    <row r="769" spans="1:2" ht="16.5">
      <c r="A769" s="30"/>
      <c r="B769" s="30"/>
    </row>
    <row r="770" spans="1:2" ht="16.5">
      <c r="A770" s="30"/>
      <c r="B770" s="30"/>
    </row>
    <row r="771" spans="1:2" ht="16.5">
      <c r="A771" s="30"/>
      <c r="B771" s="30"/>
    </row>
    <row r="772" spans="1:2" ht="16.5">
      <c r="A772" s="30"/>
      <c r="B772" s="30"/>
    </row>
    <row r="773" spans="1:2" ht="16.5">
      <c r="A773" s="30"/>
      <c r="B773" s="30"/>
    </row>
    <row r="774" spans="1:2" ht="16.5">
      <c r="A774" s="30"/>
      <c r="B774" s="30"/>
    </row>
    <row r="775" spans="1:2" ht="16.5">
      <c r="A775" s="30"/>
      <c r="B775" s="30"/>
    </row>
    <row r="776" spans="1:2" ht="16.5">
      <c r="A776" s="30"/>
      <c r="B776" s="30"/>
    </row>
    <row r="777" spans="1:2" ht="16.5">
      <c r="A777" s="30"/>
      <c r="B777" s="30"/>
    </row>
    <row r="778" spans="1:2" ht="16.5">
      <c r="A778" s="30"/>
      <c r="B778" s="30"/>
    </row>
    <row r="779" spans="1:2" ht="16.5">
      <c r="A779" s="30"/>
      <c r="B779" s="30"/>
    </row>
    <row r="780" spans="1:2" ht="16.5">
      <c r="A780" s="30"/>
      <c r="B780" s="30"/>
    </row>
    <row r="781" spans="1:2" ht="16.5">
      <c r="A781" s="30"/>
      <c r="B781" s="30"/>
    </row>
    <row r="782" spans="1:2" ht="16.5">
      <c r="A782" s="30"/>
      <c r="B782" s="30"/>
    </row>
    <row r="783" spans="1:2" ht="16.5">
      <c r="A783" s="30"/>
      <c r="B783" s="30"/>
    </row>
    <row r="784" spans="1:2" ht="16.5">
      <c r="A784" s="30"/>
      <c r="B784" s="30"/>
    </row>
    <row r="785" spans="1:2" ht="16.5">
      <c r="A785" s="30"/>
      <c r="B785" s="30"/>
    </row>
    <row r="786" spans="1:2" ht="16.5">
      <c r="A786" s="30"/>
      <c r="B786" s="30"/>
    </row>
    <row r="787" spans="1:2" ht="16.5">
      <c r="A787" s="30"/>
      <c r="B787" s="30"/>
    </row>
    <row r="788" spans="1:2" ht="16.5">
      <c r="A788" s="30"/>
      <c r="B788" s="30"/>
    </row>
    <row r="789" spans="1:2" ht="16.5">
      <c r="A789" s="30"/>
      <c r="B789" s="30"/>
    </row>
    <row r="790" spans="1:2" ht="16.5">
      <c r="A790" s="30"/>
      <c r="B790" s="30"/>
    </row>
    <row r="791" spans="1:2" ht="16.5">
      <c r="A791" s="30"/>
      <c r="B791" s="30"/>
    </row>
    <row r="792" spans="1:2" ht="16.5">
      <c r="A792" s="30"/>
      <c r="B792" s="30"/>
    </row>
    <row r="793" spans="1:2" ht="16.5">
      <c r="A793" s="30"/>
      <c r="B793" s="30"/>
    </row>
    <row r="794" spans="1:2" ht="16.5">
      <c r="A794" s="30"/>
      <c r="B794" s="30"/>
    </row>
    <row r="795" spans="1:2" ht="16.5">
      <c r="A795" s="30"/>
      <c r="B795" s="30"/>
    </row>
    <row r="796" spans="1:2" ht="16.5">
      <c r="A796" s="30"/>
      <c r="B796" s="30"/>
    </row>
    <row r="797" spans="1:2" ht="16.5">
      <c r="A797" s="30"/>
      <c r="B797" s="30"/>
    </row>
    <row r="798" spans="1:2" ht="16.5">
      <c r="A798" s="30"/>
      <c r="B798" s="30"/>
    </row>
    <row r="799" spans="1:2" ht="16.5">
      <c r="A799" s="30"/>
      <c r="B799" s="30"/>
    </row>
    <row r="800" spans="1:2" ht="16.5">
      <c r="A800" s="30"/>
      <c r="B800" s="30"/>
    </row>
    <row r="801" spans="1:2" ht="16.5">
      <c r="A801" s="30"/>
      <c r="B801" s="30"/>
    </row>
    <row r="802" spans="1:2" ht="16.5">
      <c r="A802" s="30"/>
      <c r="B802" s="30"/>
    </row>
    <row r="803" spans="1:2" ht="16.5">
      <c r="A803" s="30"/>
      <c r="B803" s="30"/>
    </row>
    <row r="804" spans="1:2" ht="16.5">
      <c r="A804" s="30"/>
      <c r="B804" s="30"/>
    </row>
    <row r="805" spans="1:2" ht="16.5">
      <c r="A805" s="30"/>
      <c r="B805" s="30"/>
    </row>
    <row r="806" spans="1:2" ht="16.5">
      <c r="A806" s="30"/>
      <c r="B806" s="30"/>
    </row>
    <row r="807" spans="1:2" ht="16.5">
      <c r="A807" s="30"/>
      <c r="B807" s="30"/>
    </row>
    <row r="808" spans="1:2" ht="16.5">
      <c r="A808" s="30"/>
      <c r="B808" s="30"/>
    </row>
    <row r="809" spans="1:2" ht="16.5">
      <c r="A809" s="30"/>
      <c r="B809" s="30"/>
    </row>
    <row r="810" spans="1:2" ht="16.5">
      <c r="A810" s="30"/>
      <c r="B810" s="30"/>
    </row>
    <row r="811" spans="1:2" ht="16.5">
      <c r="A811" s="30"/>
      <c r="B811" s="30"/>
    </row>
    <row r="812" spans="1:2" ht="16.5">
      <c r="A812" s="30"/>
      <c r="B812" s="30"/>
    </row>
    <row r="813" spans="1:2" ht="16.5">
      <c r="A813" s="30"/>
      <c r="B813" s="30"/>
    </row>
    <row r="814" spans="1:2" ht="16.5">
      <c r="A814" s="30"/>
      <c r="B814" s="30"/>
    </row>
    <row r="815" spans="1:2" ht="16.5">
      <c r="A815" s="30"/>
      <c r="B815" s="30"/>
    </row>
    <row r="816" spans="1:2" ht="16.5">
      <c r="A816" s="30"/>
      <c r="B816" s="30"/>
    </row>
    <row r="817" spans="1:2" ht="16.5">
      <c r="A817" s="30"/>
      <c r="B817" s="30"/>
    </row>
    <row r="818" spans="1:2" ht="16.5">
      <c r="A818" s="30"/>
      <c r="B818" s="30"/>
    </row>
    <row r="819" spans="1:2" ht="16.5">
      <c r="A819" s="30"/>
      <c r="B819" s="30"/>
    </row>
    <row r="820" spans="1:2" ht="16.5">
      <c r="A820" s="30"/>
      <c r="B820" s="30"/>
    </row>
    <row r="821" spans="1:2" ht="16.5">
      <c r="A821" s="30"/>
      <c r="B821" s="30"/>
    </row>
    <row r="822" spans="1:2" ht="16.5">
      <c r="A822" s="30"/>
      <c r="B822" s="30"/>
    </row>
    <row r="823" spans="1:2" ht="16.5">
      <c r="A823" s="30"/>
      <c r="B823" s="30"/>
    </row>
    <row r="824" spans="1:2" ht="16.5">
      <c r="A824" s="30"/>
      <c r="B824" s="30"/>
    </row>
    <row r="825" spans="1:2" ht="16.5">
      <c r="A825" s="30"/>
      <c r="B825" s="30"/>
    </row>
    <row r="826" spans="1:2" ht="16.5">
      <c r="A826" s="30"/>
      <c r="B826" s="30"/>
    </row>
    <row r="827" spans="1:2" ht="16.5">
      <c r="A827" s="30"/>
      <c r="B827" s="30"/>
    </row>
    <row r="828" spans="1:2" ht="16.5">
      <c r="A828" s="30"/>
      <c r="B828" s="30"/>
    </row>
    <row r="829" spans="1:2" ht="16.5">
      <c r="A829" s="30"/>
      <c r="B829" s="30"/>
    </row>
    <row r="830" spans="1:2" ht="16.5">
      <c r="A830" s="30"/>
      <c r="B830" s="30"/>
    </row>
    <row r="831" spans="1:2" ht="16.5">
      <c r="A831" s="30"/>
      <c r="B831" s="30"/>
    </row>
    <row r="832" spans="1:2" ht="16.5">
      <c r="A832" s="30"/>
      <c r="B832" s="30"/>
    </row>
    <row r="833" spans="1:2" ht="16.5">
      <c r="A833" s="30"/>
      <c r="B833" s="30"/>
    </row>
    <row r="834" spans="1:2" ht="16.5">
      <c r="A834" s="30"/>
      <c r="B834" s="30"/>
    </row>
    <row r="835" spans="1:2" ht="16.5">
      <c r="A835" s="30"/>
      <c r="B835" s="30"/>
    </row>
    <row r="836" spans="1:2" ht="16.5">
      <c r="A836" s="30"/>
      <c r="B836" s="30"/>
    </row>
    <row r="837" spans="1:2" ht="16.5">
      <c r="A837" s="30"/>
      <c r="B837" s="30"/>
    </row>
    <row r="838" spans="1:2" ht="16.5">
      <c r="A838" s="30"/>
      <c r="B838" s="30"/>
    </row>
    <row r="839" spans="1:2" ht="16.5">
      <c r="A839" s="30"/>
      <c r="B839" s="30"/>
    </row>
    <row r="840" spans="1:2" ht="16.5">
      <c r="A840" s="30"/>
      <c r="B840" s="30"/>
    </row>
    <row r="841" spans="1:2" ht="16.5">
      <c r="A841" s="30"/>
      <c r="B841" s="30"/>
    </row>
    <row r="842" spans="1:2" ht="16.5">
      <c r="A842" s="30"/>
      <c r="B842" s="30"/>
    </row>
    <row r="843" spans="1:2" ht="16.5">
      <c r="A843" s="30"/>
      <c r="B843" s="30"/>
    </row>
    <row r="844" spans="1:2" ht="16.5">
      <c r="A844" s="30"/>
      <c r="B844" s="30"/>
    </row>
    <row r="845" spans="1:2" ht="16.5">
      <c r="A845" s="30"/>
      <c r="B845" s="30"/>
    </row>
    <row r="846" spans="1:2" ht="16.5">
      <c r="A846" s="30"/>
      <c r="B846" s="30"/>
    </row>
    <row r="847" spans="1:2" ht="16.5">
      <c r="A847" s="30"/>
      <c r="B847" s="30"/>
    </row>
    <row r="848" spans="1:2" ht="16.5">
      <c r="A848" s="30"/>
      <c r="B848" s="30"/>
    </row>
    <row r="849" spans="1:2" ht="16.5">
      <c r="A849" s="30"/>
      <c r="B849" s="30"/>
    </row>
    <row r="850" spans="1:2" ht="16.5">
      <c r="A850" s="30"/>
      <c r="B850" s="30"/>
    </row>
    <row r="851" spans="1:2" ht="16.5">
      <c r="A851" s="30"/>
      <c r="B851" s="30"/>
    </row>
    <row r="852" spans="1:2" ht="16.5">
      <c r="A852" s="30"/>
      <c r="B852" s="30"/>
    </row>
    <row r="853" spans="1:2" ht="16.5">
      <c r="A853" s="30"/>
      <c r="B853" s="30"/>
    </row>
    <row r="854" spans="1:2" ht="16.5">
      <c r="A854" s="30"/>
      <c r="B854" s="30"/>
    </row>
    <row r="855" spans="1:2" ht="16.5">
      <c r="A855" s="30"/>
      <c r="B855" s="30"/>
    </row>
    <row r="856" spans="1:2" ht="16.5">
      <c r="A856" s="30"/>
      <c r="B856" s="30"/>
    </row>
    <row r="857" spans="1:2" ht="16.5">
      <c r="A857" s="30"/>
      <c r="B857" s="30"/>
    </row>
    <row r="858" spans="1:2" ht="16.5">
      <c r="A858" s="30"/>
      <c r="B858" s="30"/>
    </row>
    <row r="859" spans="1:2" ht="16.5">
      <c r="A859" s="30"/>
      <c r="B859" s="30"/>
    </row>
    <row r="860" spans="1:2" ht="16.5">
      <c r="A860" s="30"/>
      <c r="B860" s="30"/>
    </row>
    <row r="861" spans="1:2" ht="16.5">
      <c r="A861" s="30"/>
      <c r="B861" s="30"/>
    </row>
    <row r="862" spans="1:2" ht="16.5">
      <c r="A862" s="30"/>
      <c r="B862" s="30"/>
    </row>
    <row r="863" spans="1:2" ht="16.5">
      <c r="A863" s="30"/>
      <c r="B863" s="30"/>
    </row>
    <row r="864" spans="1:2" ht="16.5">
      <c r="A864" s="30"/>
      <c r="B864" s="30"/>
    </row>
    <row r="865" spans="1:2" ht="16.5">
      <c r="A865" s="30"/>
      <c r="B865" s="30"/>
    </row>
    <row r="866" spans="1:2" ht="16.5">
      <c r="A866" s="30"/>
      <c r="B866" s="30"/>
    </row>
    <row r="867" spans="1:2" ht="16.5">
      <c r="A867" s="30"/>
      <c r="B867" s="30"/>
    </row>
    <row r="868" spans="1:2" ht="16.5">
      <c r="A868" s="30"/>
      <c r="B868" s="30"/>
    </row>
    <row r="869" spans="1:2" ht="16.5">
      <c r="A869" s="30"/>
      <c r="B869" s="30"/>
    </row>
    <row r="870" spans="1:2" ht="16.5">
      <c r="A870" s="30"/>
      <c r="B870" s="30"/>
    </row>
    <row r="871" spans="1:2" ht="16.5">
      <c r="A871" s="30"/>
      <c r="B871" s="30"/>
    </row>
    <row r="872" spans="1:2" ht="16.5">
      <c r="A872" s="30"/>
      <c r="B872" s="30"/>
    </row>
    <row r="873" spans="1:2" ht="16.5">
      <c r="A873" s="30"/>
      <c r="B873" s="30"/>
    </row>
    <row r="874" spans="1:2" ht="16.5">
      <c r="A874" s="30"/>
      <c r="B874" s="30"/>
    </row>
    <row r="875" spans="1:2" ht="16.5">
      <c r="A875" s="30"/>
      <c r="B875" s="30"/>
    </row>
    <row r="876" spans="1:2" ht="16.5">
      <c r="A876" s="30"/>
      <c r="B876" s="30"/>
    </row>
    <row r="877" spans="1:2" ht="16.5">
      <c r="A877" s="30"/>
      <c r="B877" s="30"/>
    </row>
    <row r="878" spans="1:2" ht="16.5">
      <c r="A878" s="30"/>
      <c r="B878" s="30"/>
    </row>
    <row r="879" spans="1:2" ht="16.5">
      <c r="A879" s="30"/>
      <c r="B879" s="30"/>
    </row>
    <row r="880" spans="1:2" ht="16.5">
      <c r="A880" s="30"/>
      <c r="B880" s="30"/>
    </row>
    <row r="881" spans="1:2" ht="16.5">
      <c r="A881" s="30"/>
      <c r="B881" s="30"/>
    </row>
    <row r="882" spans="1:2" ht="16.5">
      <c r="A882" s="30"/>
      <c r="B882" s="30"/>
    </row>
    <row r="883" spans="1:2" ht="16.5">
      <c r="A883" s="30"/>
      <c r="B883" s="30"/>
    </row>
    <row r="884" spans="1:2" ht="16.5">
      <c r="A884" s="30"/>
      <c r="B884" s="30"/>
    </row>
    <row r="885" spans="1:2" ht="16.5">
      <c r="A885" s="30"/>
      <c r="B885" s="30"/>
    </row>
    <row r="886" spans="1:2" ht="16.5">
      <c r="A886" s="30"/>
      <c r="B886" s="30"/>
    </row>
    <row r="887" spans="1:2" ht="16.5">
      <c r="A887" s="30"/>
      <c r="B887" s="30"/>
    </row>
    <row r="888" spans="1:2" ht="16.5">
      <c r="A888" s="30"/>
      <c r="B888" s="30"/>
    </row>
    <row r="889" spans="1:2" ht="16.5">
      <c r="A889" s="30"/>
      <c r="B889" s="30"/>
    </row>
    <row r="890" spans="1:2" ht="16.5">
      <c r="A890" s="30"/>
      <c r="B890" s="30"/>
    </row>
    <row r="891" spans="1:2" ht="16.5">
      <c r="A891" s="30"/>
      <c r="B891" s="30"/>
    </row>
    <row r="892" spans="1:2" ht="16.5">
      <c r="A892" s="30"/>
      <c r="B892" s="30"/>
    </row>
    <row r="893" spans="1:2" ht="16.5">
      <c r="A893" s="30"/>
      <c r="B893" s="30"/>
    </row>
    <row r="894" spans="1:2" ht="16.5">
      <c r="A894" s="30"/>
      <c r="B894" s="30"/>
    </row>
    <row r="895" spans="1:2" ht="16.5">
      <c r="A895" s="30"/>
      <c r="B895" s="30"/>
    </row>
    <row r="896" spans="1:2" ht="16.5">
      <c r="A896" s="30"/>
      <c r="B896" s="30"/>
    </row>
    <row r="897" spans="1:2" ht="16.5">
      <c r="A897" s="30"/>
      <c r="B897" s="30"/>
    </row>
    <row r="898" spans="1:2" ht="16.5">
      <c r="A898" s="30"/>
      <c r="B898" s="30"/>
    </row>
    <row r="899" spans="1:2" ht="16.5">
      <c r="A899" s="30"/>
      <c r="B899" s="30"/>
    </row>
    <row r="900" spans="1:2" ht="16.5">
      <c r="A900" s="30"/>
      <c r="B900" s="30"/>
    </row>
    <row r="901" spans="1:2" ht="16.5">
      <c r="A901" s="30"/>
      <c r="B901" s="30"/>
    </row>
    <row r="902" spans="1:2" ht="16.5">
      <c r="A902" s="30"/>
      <c r="B902" s="30"/>
    </row>
    <row r="903" spans="1:2" ht="16.5">
      <c r="A903" s="30"/>
      <c r="B903" s="30"/>
    </row>
    <row r="904" spans="1:2" ht="16.5">
      <c r="A904" s="30"/>
      <c r="B904" s="30"/>
    </row>
    <row r="905" spans="1:2" ht="16.5">
      <c r="A905" s="30"/>
      <c r="B905" s="30"/>
    </row>
    <row r="906" spans="1:2" ht="16.5">
      <c r="A906" s="30"/>
      <c r="B906" s="30"/>
    </row>
    <row r="907" spans="1:2" ht="16.5">
      <c r="A907" s="30"/>
      <c r="B907" s="30"/>
    </row>
    <row r="908" spans="1:2" ht="16.5">
      <c r="A908" s="30"/>
      <c r="B908" s="30"/>
    </row>
    <row r="909" spans="1:2" ht="16.5">
      <c r="A909" s="30"/>
      <c r="B909" s="30"/>
    </row>
    <row r="910" spans="1:2" ht="16.5">
      <c r="A910" s="30"/>
      <c r="B910" s="30"/>
    </row>
    <row r="911" spans="1:2" ht="16.5">
      <c r="A911" s="30"/>
      <c r="B911" s="30"/>
    </row>
    <row r="912" spans="1:2" ht="16.5">
      <c r="A912" s="30"/>
      <c r="B912" s="30"/>
    </row>
    <row r="913" spans="1:2" ht="16.5">
      <c r="A913" s="30"/>
      <c r="B913" s="30"/>
    </row>
    <row r="914" spans="1:2" ht="16.5">
      <c r="A914" s="30"/>
      <c r="B914" s="30"/>
    </row>
    <row r="915" spans="1:2" ht="16.5">
      <c r="A915" s="30"/>
      <c r="B915" s="30"/>
    </row>
    <row r="916" spans="1:2" ht="16.5">
      <c r="A916" s="30"/>
      <c r="B916" s="30"/>
    </row>
    <row r="917" spans="1:2" ht="16.5">
      <c r="A917" s="30"/>
      <c r="B917" s="30"/>
    </row>
    <row r="918" spans="1:2" ht="16.5">
      <c r="A918" s="30"/>
      <c r="B918" s="30"/>
    </row>
    <row r="919" spans="1:2" ht="16.5">
      <c r="A919" s="30"/>
      <c r="B919" s="30"/>
    </row>
    <row r="920" spans="1:2" ht="16.5">
      <c r="A920" s="30"/>
      <c r="B920" s="30"/>
    </row>
    <row r="921" spans="1:2" ht="16.5">
      <c r="A921" s="30"/>
      <c r="B921" s="30"/>
    </row>
    <row r="922" spans="1:2" ht="16.5">
      <c r="A922" s="30"/>
      <c r="B922" s="30"/>
    </row>
    <row r="923" spans="1:2" ht="16.5">
      <c r="A923" s="30"/>
      <c r="B923" s="30"/>
    </row>
    <row r="924" spans="1:2" ht="16.5">
      <c r="A924" s="30"/>
      <c r="B924" s="30"/>
    </row>
    <row r="925" spans="1:2" ht="16.5">
      <c r="A925" s="30"/>
      <c r="B925" s="30"/>
    </row>
    <row r="926" spans="1:2" ht="16.5">
      <c r="A926" s="30"/>
      <c r="B926" s="30"/>
    </row>
    <row r="927" spans="1:2" ht="16.5">
      <c r="A927" s="30"/>
      <c r="B927" s="30"/>
    </row>
    <row r="928" spans="1:2" ht="16.5">
      <c r="A928" s="30"/>
      <c r="B928" s="30"/>
    </row>
    <row r="929" spans="1:2" ht="16.5">
      <c r="A929" s="30"/>
      <c r="B929" s="30"/>
    </row>
    <row r="930" spans="1:2" ht="16.5">
      <c r="A930" s="30"/>
      <c r="B930" s="30"/>
    </row>
    <row r="931" spans="1:2" ht="16.5">
      <c r="A931" s="30"/>
      <c r="B931" s="30"/>
    </row>
    <row r="932" spans="1:2" ht="16.5">
      <c r="A932" s="30"/>
      <c r="B932" s="30"/>
    </row>
    <row r="933" spans="1:2" ht="16.5">
      <c r="A933" s="30"/>
      <c r="B933" s="30"/>
    </row>
    <row r="934" spans="1:2" ht="16.5">
      <c r="A934" s="30"/>
      <c r="B934" s="30"/>
    </row>
    <row r="935" spans="1:2" ht="16.5">
      <c r="A935" s="30"/>
      <c r="B935" s="30"/>
    </row>
    <row r="936" spans="1:2" ht="16.5">
      <c r="A936" s="30"/>
      <c r="B936" s="30"/>
    </row>
    <row r="937" spans="1:2" ht="16.5">
      <c r="A937" s="30"/>
      <c r="B937" s="30"/>
    </row>
    <row r="938" spans="1:2" ht="16.5">
      <c r="A938" s="30"/>
      <c r="B938" s="30"/>
    </row>
    <row r="939" spans="1:2" ht="16.5">
      <c r="A939" s="30"/>
      <c r="B939" s="30"/>
    </row>
    <row r="940" spans="1:2" ht="16.5">
      <c r="A940" s="30"/>
      <c r="B940" s="30"/>
    </row>
    <row r="941" spans="1:2" ht="16.5">
      <c r="A941" s="30"/>
      <c r="B941" s="30"/>
    </row>
    <row r="942" spans="1:2" ht="16.5">
      <c r="A942" s="30"/>
      <c r="B942" s="30"/>
    </row>
    <row r="943" spans="1:2" ht="16.5">
      <c r="A943" s="30"/>
      <c r="B943" s="30"/>
    </row>
    <row r="944" spans="1:2" ht="16.5">
      <c r="A944" s="30"/>
      <c r="B944" s="30"/>
    </row>
    <row r="945" spans="1:2" ht="16.5">
      <c r="A945" s="30"/>
      <c r="B945" s="30"/>
    </row>
    <row r="946" spans="1:2" ht="16.5">
      <c r="A946" s="30"/>
      <c r="B946" s="30"/>
    </row>
    <row r="947" spans="1:2" ht="16.5">
      <c r="A947" s="30"/>
      <c r="B947" s="30"/>
    </row>
    <row r="948" spans="1:2" ht="16.5">
      <c r="A948" s="30"/>
      <c r="B948" s="30"/>
    </row>
    <row r="949" spans="1:2" ht="16.5">
      <c r="A949" s="30"/>
      <c r="B949" s="30"/>
    </row>
    <row r="950" spans="1:2" ht="16.5">
      <c r="A950" s="30"/>
      <c r="B950" s="30"/>
    </row>
    <row r="951" spans="1:2" ht="16.5">
      <c r="A951" s="30"/>
      <c r="B951" s="30"/>
    </row>
    <row r="952" spans="1:2" ht="16.5">
      <c r="A952" s="30"/>
      <c r="B952" s="30"/>
    </row>
    <row r="953" spans="1:2" ht="16.5">
      <c r="A953" s="30"/>
      <c r="B953" s="30"/>
    </row>
    <row r="954" spans="1:2" ht="16.5">
      <c r="A954" s="30"/>
      <c r="B954" s="30"/>
    </row>
    <row r="955" spans="1:2" ht="16.5">
      <c r="A955" s="30"/>
      <c r="B955" s="30"/>
    </row>
    <row r="956" spans="1:2" ht="16.5">
      <c r="A956" s="30"/>
      <c r="B956" s="30"/>
    </row>
    <row r="957" spans="1:2" ht="16.5">
      <c r="A957" s="30"/>
      <c r="B957" s="30"/>
    </row>
    <row r="958" spans="1:2" ht="16.5">
      <c r="A958" s="30"/>
      <c r="B958" s="30"/>
    </row>
    <row r="959" spans="1:2" ht="16.5">
      <c r="A959" s="30"/>
      <c r="B959" s="30"/>
    </row>
    <row r="960" spans="1:2" ht="16.5">
      <c r="A960" s="30"/>
      <c r="B960" s="30"/>
    </row>
    <row r="961" spans="1:2" ht="16.5">
      <c r="A961" s="30"/>
      <c r="B961" s="30"/>
    </row>
    <row r="962" spans="1:2" ht="16.5">
      <c r="A962" s="30"/>
      <c r="B962" s="30"/>
    </row>
    <row r="963" spans="1:2" ht="16.5">
      <c r="A963" s="30"/>
      <c r="B963" s="30"/>
    </row>
    <row r="964" spans="1:2" ht="16.5">
      <c r="A964" s="30"/>
      <c r="B964" s="30"/>
    </row>
    <row r="965" spans="1:2" ht="16.5">
      <c r="A965" s="30"/>
      <c r="B965" s="30"/>
    </row>
    <row r="966" spans="1:2" ht="16.5">
      <c r="A966" s="30"/>
      <c r="B966" s="30"/>
    </row>
    <row r="967" spans="1:2" ht="16.5">
      <c r="A967" s="30"/>
      <c r="B967" s="30"/>
    </row>
    <row r="968" spans="1:2" ht="16.5">
      <c r="A968" s="30"/>
      <c r="B968" s="30"/>
    </row>
    <row r="969" spans="1:2" ht="16.5">
      <c r="A969" s="30"/>
      <c r="B969" s="30"/>
    </row>
    <row r="970" spans="1:2" ht="16.5">
      <c r="A970" s="30"/>
      <c r="B970" s="30"/>
    </row>
    <row r="971" spans="1:2" ht="16.5">
      <c r="A971" s="30"/>
      <c r="B971" s="30"/>
    </row>
    <row r="972" spans="1:2" ht="16.5">
      <c r="A972" s="30"/>
      <c r="B972" s="30"/>
    </row>
    <row r="973" spans="1:2" ht="16.5">
      <c r="A973" s="30"/>
      <c r="B973" s="30"/>
    </row>
    <row r="974" spans="1:2" ht="16.5">
      <c r="A974" s="30"/>
      <c r="B974" s="30"/>
    </row>
    <row r="975" spans="1:2" ht="16.5">
      <c r="A975" s="30"/>
      <c r="B975" s="30"/>
    </row>
    <row r="976" spans="1:2" ht="16.5">
      <c r="A976" s="30"/>
      <c r="B976" s="30"/>
    </row>
    <row r="977" spans="1:2" ht="16.5">
      <c r="A977" s="30"/>
      <c r="B977" s="30"/>
    </row>
    <row r="978" spans="1:2" ht="16.5">
      <c r="A978" s="30"/>
      <c r="B978" s="30"/>
    </row>
    <row r="979" spans="1:2" ht="16.5">
      <c r="A979" s="30"/>
      <c r="B979" s="30"/>
    </row>
    <row r="980" spans="1:2" ht="16.5">
      <c r="A980" s="30"/>
      <c r="B980" s="30"/>
    </row>
    <row r="981" spans="1:2" ht="16.5">
      <c r="A981" s="30"/>
      <c r="B981" s="30"/>
    </row>
    <row r="982" spans="1:2" ht="16.5">
      <c r="A982" s="30"/>
      <c r="B982" s="30"/>
    </row>
    <row r="983" spans="1:2" ht="16.5">
      <c r="A983" s="30"/>
      <c r="B983" s="30"/>
    </row>
    <row r="984" spans="1:2" ht="16.5">
      <c r="A984" s="30"/>
      <c r="B984" s="30"/>
    </row>
    <row r="985" spans="1:2" ht="16.5">
      <c r="A985" s="30"/>
      <c r="B985" s="30"/>
    </row>
    <row r="986" spans="1:2" ht="16.5">
      <c r="A986" s="30"/>
      <c r="B986" s="30"/>
    </row>
    <row r="987" spans="1:2" ht="16.5">
      <c r="A987" s="30"/>
      <c r="B987" s="30"/>
    </row>
    <row r="988" spans="1:2" ht="16.5">
      <c r="A988" s="30"/>
      <c r="B988" s="30"/>
    </row>
    <row r="989" spans="1:2" ht="16.5">
      <c r="A989" s="30"/>
      <c r="B989" s="30"/>
    </row>
    <row r="990" spans="1:2" ht="16.5">
      <c r="A990" s="30"/>
      <c r="B990" s="30"/>
    </row>
    <row r="991" spans="1:2" ht="16.5">
      <c r="A991" s="30"/>
      <c r="B991" s="30"/>
    </row>
    <row r="992" spans="1:2" ht="16.5">
      <c r="A992" s="30"/>
      <c r="B992" s="30"/>
    </row>
    <row r="993" spans="1:2" ht="16.5">
      <c r="A993" s="30"/>
      <c r="B993" s="30"/>
    </row>
    <row r="994" spans="1:2" ht="16.5">
      <c r="A994" s="30"/>
      <c r="B994" s="30"/>
    </row>
    <row r="995" spans="1:2" ht="16.5">
      <c r="A995" s="30"/>
      <c r="B995" s="30"/>
    </row>
    <row r="996" spans="1:2" ht="16.5">
      <c r="A996" s="30"/>
      <c r="B996" s="30"/>
    </row>
    <row r="997" spans="1:2" ht="16.5">
      <c r="A997" s="30"/>
      <c r="B997" s="30"/>
    </row>
    <row r="998" spans="1:2" ht="16.5">
      <c r="A998" s="30"/>
      <c r="B998" s="30"/>
    </row>
    <row r="999" spans="1:2" ht="16.5">
      <c r="A999" s="30"/>
      <c r="B999" s="30"/>
    </row>
    <row r="1000" spans="1:2" ht="16.5">
      <c r="A1000" s="30"/>
      <c r="B1000" s="30"/>
    </row>
    <row r="1001" spans="1:2" ht="16.5">
      <c r="A1001" s="30"/>
      <c r="B1001" s="30"/>
    </row>
    <row r="1002" spans="1:2" ht="16.5">
      <c r="A1002" s="30"/>
      <c r="B1002" s="30"/>
    </row>
    <row r="1003" spans="1:2" ht="16.5">
      <c r="A1003" s="30"/>
      <c r="B1003" s="30"/>
    </row>
    <row r="1004" spans="1:2" ht="16.5">
      <c r="A1004" s="30"/>
      <c r="B1004" s="30"/>
    </row>
  </sheetData>
  <hyperlinks>
    <hyperlink ref="B62" r:id="rId1"/>
    <hyperlink ref="B63" r:id="rId2"/>
  </hyperlink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7"/>
  <dimension ref="A1:Z1012"/>
  <sheetViews>
    <sheetView topLeftCell="B2" workbookViewId="0">
      <selection activeCell="C19" sqref="C19"/>
    </sheetView>
  </sheetViews>
  <sheetFormatPr defaultColWidth="14.42578125" defaultRowHeight="15" customHeight="1"/>
  <cols>
    <col min="1" max="1" width="41.42578125" style="29" customWidth="1"/>
    <col min="2" max="2" width="62" style="29" customWidth="1"/>
    <col min="3" max="3" width="78" style="29" customWidth="1"/>
    <col min="4" max="26" width="8.7109375" style="29" customWidth="1"/>
    <col min="27" max="16384" width="14.42578125" style="29"/>
  </cols>
  <sheetData>
    <row r="1" spans="1:26" ht="13.5" customHeight="1">
      <c r="A1" s="59" t="s">
        <v>192</v>
      </c>
      <c r="B1" s="33"/>
      <c r="C1" s="33"/>
      <c r="D1" s="33"/>
      <c r="E1" s="33"/>
      <c r="F1" s="33"/>
      <c r="G1" s="33"/>
      <c r="H1" s="33"/>
      <c r="I1" s="33"/>
      <c r="J1" s="33"/>
      <c r="K1" s="33"/>
      <c r="L1" s="33"/>
      <c r="M1" s="33"/>
      <c r="N1" s="33"/>
      <c r="O1" s="33"/>
      <c r="P1" s="33"/>
      <c r="Q1" s="33"/>
      <c r="R1" s="33"/>
      <c r="S1" s="33"/>
      <c r="T1" s="33"/>
      <c r="U1" s="33"/>
      <c r="V1" s="33"/>
      <c r="W1" s="33"/>
      <c r="X1" s="33"/>
      <c r="Y1" s="33"/>
      <c r="Z1" s="33"/>
    </row>
    <row r="2" spans="1:26" ht="13.5" customHeight="1" thickBot="1">
      <c r="A2" s="33"/>
      <c r="B2" s="33"/>
      <c r="C2" s="33"/>
      <c r="D2" s="33"/>
      <c r="E2" s="33"/>
      <c r="F2" s="33"/>
      <c r="G2" s="33"/>
      <c r="H2" s="33"/>
      <c r="I2" s="33"/>
      <c r="J2" s="33"/>
      <c r="K2" s="33"/>
      <c r="L2" s="33"/>
      <c r="M2" s="33"/>
      <c r="N2" s="33"/>
      <c r="O2" s="33"/>
      <c r="P2" s="33"/>
      <c r="Q2" s="33"/>
      <c r="R2" s="33"/>
      <c r="S2" s="33"/>
      <c r="T2" s="33"/>
      <c r="U2" s="33"/>
      <c r="V2" s="33"/>
      <c r="W2" s="33"/>
      <c r="X2" s="33"/>
      <c r="Y2" s="33"/>
      <c r="Z2" s="33"/>
    </row>
    <row r="3" spans="1:26" ht="13.5" customHeight="1" thickBot="1">
      <c r="A3" s="58" t="s">
        <v>191</v>
      </c>
      <c r="B3" s="57" t="s">
        <v>190</v>
      </c>
      <c r="C3" s="33"/>
      <c r="D3" s="33"/>
      <c r="E3" s="33"/>
      <c r="F3" s="33"/>
      <c r="G3" s="33"/>
      <c r="H3" s="33"/>
      <c r="I3" s="33"/>
      <c r="J3" s="33"/>
      <c r="K3" s="33"/>
      <c r="L3" s="33"/>
      <c r="M3" s="33"/>
      <c r="N3" s="33"/>
      <c r="O3" s="33"/>
      <c r="P3" s="33"/>
      <c r="Q3" s="33"/>
      <c r="R3" s="33"/>
      <c r="S3" s="33"/>
      <c r="T3" s="33"/>
      <c r="U3" s="33"/>
      <c r="V3" s="33"/>
      <c r="W3" s="33"/>
      <c r="X3" s="33"/>
      <c r="Y3" s="33"/>
      <c r="Z3" s="33"/>
    </row>
    <row r="4" spans="1:26" ht="13.5" customHeight="1" thickBot="1">
      <c r="A4" s="55" t="s">
        <v>172</v>
      </c>
      <c r="B4" s="57" t="s">
        <v>189</v>
      </c>
      <c r="C4" s="33" t="str">
        <f t="shared" ref="C4:C35" si="0">CONCATENATE(A4, " -&gt; ",B4)</f>
        <v>Administrative/Overhead services -&gt; Office of the Medical Center Chief</v>
      </c>
      <c r="D4" s="33"/>
      <c r="E4" s="33"/>
      <c r="F4" s="33"/>
      <c r="G4" s="33"/>
      <c r="H4" s="33"/>
      <c r="I4" s="33"/>
      <c r="J4" s="33"/>
      <c r="K4" s="33"/>
      <c r="L4" s="33"/>
      <c r="M4" s="33"/>
      <c r="N4" s="33"/>
      <c r="O4" s="33"/>
      <c r="P4" s="33"/>
      <c r="Q4" s="33"/>
      <c r="R4" s="33"/>
      <c r="S4" s="33"/>
      <c r="T4" s="33"/>
      <c r="U4" s="33"/>
      <c r="V4" s="33"/>
      <c r="W4" s="33"/>
      <c r="X4" s="33"/>
      <c r="Y4" s="33"/>
      <c r="Z4" s="33"/>
    </row>
    <row r="5" spans="1:26" ht="13.5" customHeight="1" thickBot="1">
      <c r="A5" s="55" t="s">
        <v>172</v>
      </c>
      <c r="B5" s="54" t="s">
        <v>205</v>
      </c>
      <c r="C5" s="33" t="str">
        <f t="shared" si="0"/>
        <v>Administrative/Overhead services -&gt; IT Department</v>
      </c>
      <c r="D5" s="33"/>
      <c r="E5" s="33"/>
      <c r="F5" s="33"/>
      <c r="G5" s="33"/>
      <c r="H5" s="33"/>
      <c r="I5" s="33"/>
      <c r="J5" s="33"/>
      <c r="K5" s="33"/>
      <c r="L5" s="33"/>
      <c r="M5" s="33"/>
      <c r="N5" s="33"/>
      <c r="O5" s="33"/>
      <c r="P5" s="33"/>
      <c r="Q5" s="33"/>
      <c r="R5" s="33"/>
      <c r="S5" s="33"/>
      <c r="T5" s="33"/>
      <c r="U5" s="33"/>
      <c r="V5" s="33"/>
      <c r="W5" s="33"/>
      <c r="X5" s="33"/>
      <c r="Y5" s="33"/>
      <c r="Z5" s="33"/>
    </row>
    <row r="6" spans="1:26" ht="13.5" customHeight="1" thickBot="1">
      <c r="A6" s="55" t="s">
        <v>172</v>
      </c>
      <c r="B6" s="56" t="s">
        <v>187</v>
      </c>
      <c r="C6" s="33" t="str">
        <f t="shared" si="0"/>
        <v>Administrative/Overhead services -&gt; Office of the Administrative Officer</v>
      </c>
      <c r="D6" s="33"/>
      <c r="E6" s="33"/>
      <c r="F6" s="33"/>
      <c r="G6" s="33"/>
      <c r="H6" s="33"/>
      <c r="I6" s="33"/>
      <c r="J6" s="33"/>
      <c r="K6" s="33"/>
      <c r="L6" s="33"/>
      <c r="M6" s="33"/>
      <c r="N6" s="33"/>
      <c r="O6" s="33"/>
      <c r="P6" s="33"/>
      <c r="Q6" s="33"/>
      <c r="R6" s="33"/>
      <c r="S6" s="33"/>
      <c r="T6" s="33"/>
      <c r="U6" s="33"/>
      <c r="V6" s="33"/>
      <c r="W6" s="33"/>
      <c r="X6" s="33"/>
      <c r="Y6" s="33"/>
      <c r="Z6" s="33"/>
    </row>
    <row r="7" spans="1:26" ht="13.5" customHeight="1" thickBot="1">
      <c r="A7" s="55" t="s">
        <v>172</v>
      </c>
      <c r="B7" s="56" t="s">
        <v>186</v>
      </c>
      <c r="C7" s="33" t="str">
        <f t="shared" si="0"/>
        <v>Administrative/Overhead services -&gt; Human Resource Management</v>
      </c>
      <c r="D7" s="33"/>
      <c r="E7" s="33"/>
      <c r="F7" s="33"/>
      <c r="G7" s="33"/>
      <c r="H7" s="33"/>
      <c r="I7" s="33"/>
      <c r="J7" s="33"/>
      <c r="K7" s="33"/>
      <c r="L7" s="33"/>
      <c r="M7" s="33"/>
      <c r="N7" s="33"/>
      <c r="O7" s="33"/>
      <c r="P7" s="33"/>
      <c r="Q7" s="33"/>
      <c r="R7" s="33"/>
      <c r="S7" s="33"/>
      <c r="T7" s="33"/>
      <c r="U7" s="33"/>
      <c r="V7" s="33"/>
      <c r="W7" s="33"/>
      <c r="X7" s="33"/>
      <c r="Y7" s="33"/>
      <c r="Z7" s="33"/>
    </row>
    <row r="8" spans="1:26" ht="13.5" customHeight="1" thickBot="1">
      <c r="A8" s="55" t="s">
        <v>172</v>
      </c>
      <c r="B8" s="56" t="s">
        <v>185</v>
      </c>
      <c r="C8" s="33" t="str">
        <f t="shared" si="0"/>
        <v>Administrative/Overhead services -&gt; Procurement</v>
      </c>
      <c r="D8" s="33"/>
      <c r="E8" s="33"/>
      <c r="F8" s="33"/>
      <c r="G8" s="33"/>
      <c r="H8" s="33"/>
      <c r="I8" s="33"/>
      <c r="J8" s="33"/>
      <c r="K8" s="33"/>
      <c r="L8" s="33"/>
      <c r="M8" s="33"/>
      <c r="N8" s="33"/>
      <c r="O8" s="33"/>
      <c r="P8" s="33"/>
      <c r="Q8" s="33"/>
      <c r="R8" s="33"/>
      <c r="S8" s="33"/>
      <c r="T8" s="33"/>
      <c r="U8" s="33"/>
      <c r="V8" s="33"/>
      <c r="W8" s="33"/>
      <c r="X8" s="33"/>
      <c r="Y8" s="33"/>
      <c r="Z8" s="33"/>
    </row>
    <row r="9" spans="1:26" ht="13.5" customHeight="1" thickBot="1">
      <c r="A9" s="55" t="s">
        <v>172</v>
      </c>
      <c r="B9" s="56" t="s">
        <v>184</v>
      </c>
      <c r="C9" s="33" t="str">
        <f t="shared" si="0"/>
        <v>Administrative/Overhead services -&gt; Materials Management</v>
      </c>
      <c r="D9" s="33"/>
      <c r="E9" s="33"/>
      <c r="F9" s="33"/>
      <c r="G9" s="33"/>
      <c r="H9" s="33"/>
      <c r="I9" s="33"/>
      <c r="J9" s="33"/>
      <c r="K9" s="33"/>
      <c r="L9" s="33"/>
      <c r="M9" s="33"/>
      <c r="N9" s="33"/>
      <c r="O9" s="33"/>
      <c r="P9" s="33"/>
      <c r="Q9" s="33"/>
      <c r="R9" s="33"/>
      <c r="S9" s="33"/>
      <c r="T9" s="33"/>
      <c r="U9" s="33"/>
      <c r="V9" s="33"/>
      <c r="W9" s="33"/>
      <c r="X9" s="33"/>
      <c r="Y9" s="33"/>
      <c r="Z9" s="33"/>
    </row>
    <row r="10" spans="1:26" ht="13.5" customHeight="1" thickBot="1">
      <c r="A10" s="55" t="s">
        <v>172</v>
      </c>
      <c r="B10" s="56" t="s">
        <v>183</v>
      </c>
      <c r="C10" s="33" t="str">
        <f t="shared" si="0"/>
        <v>Administrative/Overhead services -&gt; Engineering and Facilities Management</v>
      </c>
      <c r="D10" s="33"/>
      <c r="E10" s="33"/>
      <c r="F10" s="33"/>
      <c r="G10" s="33"/>
      <c r="H10" s="33"/>
      <c r="I10" s="33"/>
      <c r="J10" s="33"/>
      <c r="K10" s="33"/>
      <c r="L10" s="33"/>
      <c r="M10" s="33"/>
      <c r="N10" s="33"/>
      <c r="O10" s="33"/>
      <c r="P10" s="33"/>
      <c r="Q10" s="33"/>
      <c r="R10" s="33"/>
      <c r="S10" s="33"/>
      <c r="T10" s="33"/>
      <c r="U10" s="33"/>
      <c r="V10" s="33"/>
      <c r="W10" s="33"/>
      <c r="X10" s="33"/>
      <c r="Y10" s="33"/>
      <c r="Z10" s="33"/>
    </row>
    <row r="11" spans="1:26" ht="13.5" customHeight="1" thickBot="1">
      <c r="A11" s="55" t="s">
        <v>172</v>
      </c>
      <c r="B11" s="54" t="s">
        <v>204</v>
      </c>
      <c r="C11" s="33" t="str">
        <f t="shared" si="0"/>
        <v xml:space="preserve">Administrative/Overhead services -&gt; Housekeeping </v>
      </c>
      <c r="D11" s="33"/>
      <c r="E11" s="33"/>
      <c r="F11" s="33"/>
      <c r="G11" s="33"/>
      <c r="H11" s="33"/>
      <c r="I11" s="33"/>
      <c r="J11" s="33"/>
      <c r="K11" s="33"/>
      <c r="L11" s="33"/>
      <c r="M11" s="33"/>
      <c r="N11" s="33"/>
      <c r="O11" s="33"/>
      <c r="P11" s="33"/>
      <c r="Q11" s="33"/>
      <c r="R11" s="33"/>
      <c r="S11" s="33"/>
      <c r="T11" s="33"/>
      <c r="U11" s="33"/>
      <c r="V11" s="33"/>
      <c r="W11" s="33"/>
      <c r="X11" s="33"/>
      <c r="Y11" s="33"/>
      <c r="Z11" s="33"/>
    </row>
    <row r="12" spans="1:26" ht="13.5" customHeight="1" thickBot="1">
      <c r="A12" s="55" t="s">
        <v>172</v>
      </c>
      <c r="B12" s="56" t="s">
        <v>181</v>
      </c>
      <c r="C12" s="33" t="str">
        <f t="shared" si="0"/>
        <v>Administrative/Overhead services -&gt; Budget and Accounting</v>
      </c>
      <c r="D12" s="33"/>
      <c r="E12" s="33"/>
      <c r="F12" s="33"/>
      <c r="G12" s="33"/>
      <c r="H12" s="33"/>
      <c r="I12" s="33"/>
      <c r="J12" s="33"/>
      <c r="K12" s="33"/>
      <c r="L12" s="33"/>
      <c r="M12" s="33"/>
      <c r="N12" s="33"/>
      <c r="O12" s="33"/>
      <c r="P12" s="33"/>
      <c r="Q12" s="33"/>
      <c r="R12" s="33"/>
      <c r="S12" s="33"/>
      <c r="T12" s="33"/>
      <c r="U12" s="33"/>
      <c r="V12" s="33"/>
      <c r="W12" s="33"/>
      <c r="X12" s="33"/>
      <c r="Y12" s="33"/>
      <c r="Z12" s="33"/>
    </row>
    <row r="13" spans="1:26" ht="13.5" customHeight="1" thickBot="1">
      <c r="A13" s="55" t="s">
        <v>172</v>
      </c>
      <c r="B13" s="56" t="s">
        <v>180</v>
      </c>
      <c r="C13" s="33" t="str">
        <f t="shared" si="0"/>
        <v>Administrative/Overhead services -&gt; Medical Social Work</v>
      </c>
      <c r="D13" s="33"/>
      <c r="E13" s="33"/>
      <c r="F13" s="33"/>
      <c r="G13" s="33"/>
      <c r="H13" s="33"/>
      <c r="I13" s="33"/>
      <c r="J13" s="33"/>
      <c r="K13" s="33"/>
      <c r="L13" s="33"/>
      <c r="M13" s="33"/>
      <c r="N13" s="33"/>
      <c r="O13" s="33"/>
      <c r="P13" s="33"/>
      <c r="Q13" s="33"/>
      <c r="R13" s="33"/>
      <c r="S13" s="33"/>
      <c r="T13" s="33"/>
      <c r="U13" s="33"/>
      <c r="V13" s="33"/>
      <c r="W13" s="33"/>
      <c r="X13" s="33"/>
      <c r="Y13" s="33"/>
      <c r="Z13" s="33"/>
    </row>
    <row r="14" spans="1:26" ht="13.5" customHeight="1" thickBot="1">
      <c r="A14" s="55" t="s">
        <v>172</v>
      </c>
      <c r="B14" s="56" t="s">
        <v>179</v>
      </c>
      <c r="C14" s="33" t="str">
        <f t="shared" si="0"/>
        <v>Administrative/Overhead services -&gt; Office of the Chief Nurse</v>
      </c>
      <c r="D14" s="33"/>
      <c r="E14" s="33"/>
      <c r="F14" s="33"/>
      <c r="G14" s="33"/>
      <c r="H14" s="33"/>
      <c r="I14" s="33"/>
      <c r="J14" s="33"/>
      <c r="K14" s="33"/>
      <c r="L14" s="33"/>
      <c r="M14" s="33"/>
      <c r="N14" s="33"/>
      <c r="O14" s="33"/>
      <c r="P14" s="33"/>
      <c r="Q14" s="33"/>
      <c r="R14" s="33"/>
      <c r="S14" s="33"/>
      <c r="T14" s="33"/>
      <c r="U14" s="33"/>
      <c r="V14" s="33"/>
      <c r="W14" s="33"/>
      <c r="X14" s="33"/>
      <c r="Y14" s="33"/>
      <c r="Z14" s="33"/>
    </row>
    <row r="15" spans="1:26" ht="13.5" customHeight="1" thickBot="1">
      <c r="A15" s="55" t="s">
        <v>172</v>
      </c>
      <c r="B15" s="56" t="s">
        <v>178</v>
      </c>
      <c r="C15" s="33" t="str">
        <f t="shared" si="0"/>
        <v>Administrative/Overhead services -&gt; Health Info Mgt (Admitting)</v>
      </c>
      <c r="D15" s="33"/>
      <c r="E15" s="33"/>
      <c r="F15" s="33"/>
      <c r="G15" s="33"/>
      <c r="H15" s="33"/>
      <c r="I15" s="33"/>
      <c r="J15" s="33"/>
      <c r="K15" s="33"/>
      <c r="L15" s="33"/>
      <c r="M15" s="33"/>
      <c r="N15" s="33"/>
      <c r="O15" s="33"/>
      <c r="P15" s="33"/>
      <c r="Q15" s="33"/>
      <c r="R15" s="33"/>
      <c r="S15" s="33"/>
      <c r="T15" s="33"/>
      <c r="U15" s="33"/>
      <c r="V15" s="33"/>
      <c r="W15" s="33"/>
      <c r="X15" s="33"/>
      <c r="Y15" s="33"/>
      <c r="Z15" s="33"/>
    </row>
    <row r="16" spans="1:26" ht="13.5" customHeight="1" thickBot="1">
      <c r="A16" s="55" t="s">
        <v>172</v>
      </c>
      <c r="B16" s="56" t="s">
        <v>177</v>
      </c>
      <c r="C16" s="33" t="str">
        <f t="shared" si="0"/>
        <v>Administrative/Overhead services -&gt; Central Supply Office</v>
      </c>
      <c r="D16" s="33"/>
      <c r="E16" s="33"/>
      <c r="F16" s="33"/>
      <c r="G16" s="33"/>
      <c r="H16" s="33"/>
      <c r="I16" s="33"/>
      <c r="J16" s="33"/>
      <c r="K16" s="33"/>
      <c r="L16" s="33"/>
      <c r="M16" s="33"/>
      <c r="N16" s="33"/>
      <c r="O16" s="33"/>
      <c r="P16" s="33"/>
      <c r="Q16" s="33"/>
      <c r="R16" s="33"/>
      <c r="S16" s="33"/>
      <c r="T16" s="33"/>
      <c r="U16" s="33"/>
      <c r="V16" s="33"/>
      <c r="W16" s="33"/>
      <c r="X16" s="33"/>
      <c r="Y16" s="33"/>
      <c r="Z16" s="33"/>
    </row>
    <row r="17" spans="1:26" ht="13.5" customHeight="1" thickBot="1">
      <c r="A17" s="55" t="s">
        <v>172</v>
      </c>
      <c r="B17" s="56" t="s">
        <v>176</v>
      </c>
      <c r="C17" s="33" t="str">
        <f t="shared" si="0"/>
        <v>Administrative/Overhead services -&gt; Billing and Claims</v>
      </c>
      <c r="D17" s="33"/>
      <c r="E17" s="33"/>
      <c r="F17" s="33"/>
      <c r="G17" s="33"/>
      <c r="H17" s="33"/>
      <c r="I17" s="33"/>
      <c r="J17" s="33"/>
      <c r="K17" s="33"/>
      <c r="L17" s="33"/>
      <c r="M17" s="33"/>
      <c r="N17" s="33"/>
      <c r="O17" s="33"/>
      <c r="P17" s="33"/>
      <c r="Q17" s="33"/>
      <c r="R17" s="33"/>
      <c r="S17" s="33"/>
      <c r="T17" s="33"/>
      <c r="U17" s="33"/>
      <c r="V17" s="33"/>
      <c r="W17" s="33"/>
      <c r="X17" s="33"/>
      <c r="Y17" s="33"/>
      <c r="Z17" s="33"/>
    </row>
    <row r="18" spans="1:26" ht="13.5" customHeight="1" thickBot="1">
      <c r="A18" s="55" t="s">
        <v>172</v>
      </c>
      <c r="B18" s="56" t="s">
        <v>175</v>
      </c>
      <c r="C18" s="33" t="str">
        <f t="shared" si="0"/>
        <v>Administrative/Overhead services -&gt; Cash Operations</v>
      </c>
      <c r="D18" s="33"/>
      <c r="E18" s="33"/>
      <c r="F18" s="33"/>
      <c r="G18" s="33"/>
      <c r="H18" s="33"/>
      <c r="I18" s="33"/>
      <c r="J18" s="33"/>
      <c r="K18" s="33"/>
      <c r="L18" s="33"/>
      <c r="M18" s="33"/>
      <c r="N18" s="33"/>
      <c r="O18" s="33"/>
      <c r="P18" s="33"/>
      <c r="Q18" s="33"/>
      <c r="R18" s="33"/>
      <c r="S18" s="33"/>
      <c r="T18" s="33"/>
      <c r="U18" s="33"/>
      <c r="V18" s="33"/>
      <c r="W18" s="33"/>
      <c r="X18" s="33"/>
      <c r="Y18" s="33"/>
      <c r="Z18" s="33"/>
    </row>
    <row r="19" spans="1:26" ht="13.5" customHeight="1" thickBot="1">
      <c r="A19" s="55" t="s">
        <v>172</v>
      </c>
      <c r="B19" s="56" t="s">
        <v>174</v>
      </c>
      <c r="C19" s="33" t="str">
        <f t="shared" si="0"/>
        <v>Administrative/Overhead services -&gt; Security</v>
      </c>
      <c r="D19" s="33"/>
      <c r="E19" s="33"/>
      <c r="F19" s="33"/>
      <c r="G19" s="33"/>
      <c r="H19" s="33"/>
      <c r="I19" s="33"/>
      <c r="J19" s="33"/>
      <c r="K19" s="33"/>
      <c r="L19" s="33"/>
      <c r="M19" s="33"/>
      <c r="N19" s="33"/>
      <c r="O19" s="33"/>
      <c r="P19" s="33"/>
      <c r="Q19" s="33"/>
      <c r="R19" s="33"/>
      <c r="S19" s="33"/>
      <c r="T19" s="33"/>
      <c r="U19" s="33"/>
      <c r="V19" s="33"/>
      <c r="W19" s="33"/>
      <c r="X19" s="33"/>
      <c r="Y19" s="33"/>
      <c r="Z19" s="33"/>
    </row>
    <row r="20" spans="1:26" ht="13.5" customHeight="1" thickBot="1">
      <c r="A20" s="55" t="s">
        <v>172</v>
      </c>
      <c r="B20" s="54" t="s">
        <v>203</v>
      </c>
      <c r="C20" s="33" t="str">
        <f t="shared" si="0"/>
        <v>Administrative/Overhead services -&gt; Office of the Chief of Medical Professional Staff / Chief of Clinics</v>
      </c>
      <c r="D20" s="33"/>
      <c r="E20" s="33"/>
      <c r="F20" s="33"/>
      <c r="G20" s="33"/>
      <c r="H20" s="33"/>
      <c r="I20" s="33"/>
      <c r="J20" s="33"/>
      <c r="K20" s="33"/>
      <c r="L20" s="33"/>
      <c r="M20" s="33"/>
      <c r="N20" s="33"/>
      <c r="O20" s="33"/>
      <c r="P20" s="33"/>
      <c r="Q20" s="33"/>
      <c r="R20" s="33"/>
      <c r="S20" s="33"/>
      <c r="T20" s="33"/>
      <c r="U20" s="33"/>
      <c r="V20" s="33"/>
      <c r="W20" s="33"/>
      <c r="X20" s="33"/>
      <c r="Y20" s="33"/>
      <c r="Z20" s="33"/>
    </row>
    <row r="21" spans="1:26" ht="13.5" customHeight="1" thickBot="1">
      <c r="A21" s="55" t="s">
        <v>172</v>
      </c>
      <c r="B21" s="54" t="s">
        <v>153</v>
      </c>
      <c r="C21" s="33" t="str">
        <f t="shared" si="0"/>
        <v>Administrative/Overhead services -&gt; Others</v>
      </c>
      <c r="D21" s="33"/>
      <c r="E21" s="33"/>
      <c r="F21" s="33"/>
      <c r="G21" s="33"/>
      <c r="H21" s="33"/>
      <c r="I21" s="33"/>
      <c r="J21" s="33"/>
      <c r="K21" s="33"/>
      <c r="L21" s="33"/>
      <c r="M21" s="33"/>
      <c r="N21" s="33"/>
      <c r="O21" s="33"/>
      <c r="P21" s="33"/>
      <c r="Q21" s="33"/>
      <c r="R21" s="33"/>
      <c r="S21" s="33"/>
      <c r="T21" s="33"/>
      <c r="U21" s="33"/>
      <c r="V21" s="33"/>
      <c r="W21" s="33"/>
      <c r="X21" s="33"/>
      <c r="Y21" s="33"/>
      <c r="Z21" s="33"/>
    </row>
    <row r="22" spans="1:26" ht="13.5" customHeight="1" thickBot="1">
      <c r="A22" s="47" t="s">
        <v>154</v>
      </c>
      <c r="B22" s="53" t="s">
        <v>171</v>
      </c>
      <c r="C22" s="33" t="str">
        <f t="shared" si="0"/>
        <v>Ancillary services/Support services -&gt; Laundry</v>
      </c>
      <c r="D22" s="33"/>
      <c r="E22" s="33"/>
      <c r="F22" s="33"/>
      <c r="G22" s="33"/>
      <c r="H22" s="33"/>
      <c r="I22" s="33"/>
      <c r="J22" s="33"/>
      <c r="K22" s="33"/>
      <c r="L22" s="33"/>
      <c r="M22" s="33"/>
      <c r="N22" s="33"/>
      <c r="O22" s="33"/>
      <c r="P22" s="33"/>
      <c r="Q22" s="33"/>
      <c r="R22" s="33"/>
      <c r="S22" s="33"/>
      <c r="T22" s="33"/>
      <c r="U22" s="33"/>
      <c r="V22" s="33"/>
      <c r="W22" s="33"/>
      <c r="X22" s="33"/>
      <c r="Y22" s="33"/>
      <c r="Z22" s="33"/>
    </row>
    <row r="23" spans="1:26" ht="14.25" customHeight="1" thickBot="1">
      <c r="A23" s="47" t="s">
        <v>154</v>
      </c>
      <c r="B23" s="49" t="s">
        <v>170</v>
      </c>
      <c r="C23" s="33" t="str">
        <f t="shared" si="0"/>
        <v>Ancillary services/Support services -&gt; Nutrition and Dietetics</v>
      </c>
      <c r="D23" s="33"/>
      <c r="E23" s="33"/>
      <c r="F23" s="33"/>
      <c r="G23" s="33"/>
      <c r="H23" s="33"/>
      <c r="I23" s="33"/>
      <c r="J23" s="33"/>
      <c r="K23" s="33"/>
      <c r="L23" s="33"/>
      <c r="M23" s="33"/>
      <c r="N23" s="33"/>
      <c r="O23" s="33"/>
      <c r="P23" s="33"/>
      <c r="Q23" s="33"/>
      <c r="R23" s="33"/>
      <c r="S23" s="33"/>
      <c r="T23" s="33"/>
      <c r="U23" s="33"/>
      <c r="V23" s="33"/>
      <c r="W23" s="33"/>
      <c r="X23" s="33"/>
      <c r="Y23" s="33"/>
      <c r="Z23" s="33"/>
    </row>
    <row r="24" spans="1:26" ht="14.25" customHeight="1" thickBot="1">
      <c r="A24" s="47" t="s">
        <v>154</v>
      </c>
      <c r="B24" s="49" t="s">
        <v>169</v>
      </c>
      <c r="C24" s="33" t="str">
        <f t="shared" si="0"/>
        <v>Ancillary services/Support services -&gt; Sterilization</v>
      </c>
      <c r="D24" s="33"/>
      <c r="E24" s="33"/>
      <c r="F24" s="33"/>
      <c r="G24" s="33"/>
      <c r="H24" s="33"/>
      <c r="I24" s="33"/>
      <c r="J24" s="33"/>
      <c r="K24" s="33"/>
      <c r="L24" s="33"/>
      <c r="M24" s="33"/>
      <c r="N24" s="33"/>
      <c r="O24" s="33"/>
      <c r="P24" s="33"/>
      <c r="Q24" s="33"/>
      <c r="R24" s="33"/>
      <c r="S24" s="33"/>
      <c r="T24" s="33"/>
      <c r="U24" s="33"/>
      <c r="V24" s="33"/>
      <c r="W24" s="33"/>
      <c r="X24" s="33"/>
      <c r="Y24" s="33"/>
      <c r="Z24" s="33"/>
    </row>
    <row r="25" spans="1:26" ht="14.25" customHeight="1" thickBot="1">
      <c r="A25" s="47" t="s">
        <v>154</v>
      </c>
      <c r="B25" s="49" t="s">
        <v>168</v>
      </c>
      <c r="C25" s="33" t="str">
        <f t="shared" si="0"/>
        <v>Ancillary services/Support services -&gt; Pharmacy</v>
      </c>
      <c r="D25" s="33"/>
      <c r="E25" s="33"/>
      <c r="F25" s="33"/>
      <c r="G25" s="33"/>
      <c r="H25" s="33"/>
      <c r="I25" s="33"/>
      <c r="J25" s="33"/>
      <c r="K25" s="33"/>
      <c r="L25" s="33"/>
      <c r="M25" s="33"/>
      <c r="N25" s="33"/>
      <c r="O25" s="33"/>
      <c r="P25" s="33"/>
      <c r="Q25" s="33"/>
      <c r="R25" s="33"/>
      <c r="S25" s="33"/>
      <c r="T25" s="33"/>
      <c r="U25" s="33"/>
      <c r="V25" s="33"/>
      <c r="W25" s="33"/>
      <c r="X25" s="33"/>
      <c r="Y25" s="33"/>
      <c r="Z25" s="33"/>
    </row>
    <row r="26" spans="1:26" ht="14.25" customHeight="1" thickBot="1">
      <c r="A26" s="47" t="s">
        <v>154</v>
      </c>
      <c r="B26" s="49" t="s">
        <v>167</v>
      </c>
      <c r="C26" s="33" t="str">
        <f t="shared" si="0"/>
        <v>Ancillary services/Support services -&gt; Blood Bank</v>
      </c>
      <c r="D26" s="33"/>
      <c r="E26" s="33"/>
      <c r="F26" s="33"/>
      <c r="G26" s="33"/>
      <c r="H26" s="33"/>
      <c r="I26" s="33"/>
      <c r="J26" s="33"/>
      <c r="K26" s="33"/>
      <c r="L26" s="33"/>
      <c r="M26" s="33"/>
      <c r="N26" s="33"/>
      <c r="O26" s="33"/>
      <c r="P26" s="33"/>
      <c r="Q26" s="33"/>
      <c r="R26" s="33"/>
      <c r="S26" s="33"/>
      <c r="T26" s="33"/>
      <c r="U26" s="33"/>
      <c r="V26" s="33"/>
      <c r="W26" s="33"/>
      <c r="X26" s="33"/>
      <c r="Y26" s="33"/>
      <c r="Z26" s="33"/>
    </row>
    <row r="27" spans="1:26" ht="14.25" customHeight="1" thickBot="1">
      <c r="A27" s="47" t="s">
        <v>154</v>
      </c>
      <c r="B27" s="49" t="s">
        <v>166</v>
      </c>
      <c r="C27" s="33" t="str">
        <f t="shared" si="0"/>
        <v>Ancillary services/Support services -&gt; Laboratory</v>
      </c>
      <c r="D27" s="33"/>
      <c r="E27" s="33"/>
      <c r="F27" s="33"/>
      <c r="G27" s="33"/>
      <c r="H27" s="33"/>
      <c r="I27" s="33"/>
      <c r="J27" s="33"/>
      <c r="K27" s="33"/>
      <c r="L27" s="33"/>
      <c r="M27" s="33"/>
      <c r="N27" s="33"/>
      <c r="O27" s="33"/>
      <c r="P27" s="33"/>
      <c r="Q27" s="33"/>
      <c r="R27" s="33"/>
      <c r="S27" s="33"/>
      <c r="T27" s="33"/>
      <c r="U27" s="33"/>
      <c r="V27" s="33"/>
      <c r="W27" s="33"/>
      <c r="X27" s="33"/>
      <c r="Y27" s="33"/>
      <c r="Z27" s="33"/>
    </row>
    <row r="28" spans="1:26" ht="14.25" customHeight="1" thickBot="1">
      <c r="A28" s="47" t="s">
        <v>154</v>
      </c>
      <c r="B28" s="49" t="s">
        <v>165</v>
      </c>
      <c r="C28" s="33" t="str">
        <f t="shared" si="0"/>
        <v>Ancillary services/Support services -&gt; Radiology / Diagnostic Imaging (CT Scan, MRI, ECG, Mammography, Endoscopy)</v>
      </c>
      <c r="D28" s="33"/>
      <c r="E28" s="33"/>
      <c r="F28" s="33"/>
      <c r="G28" s="33"/>
      <c r="H28" s="33"/>
      <c r="I28" s="33"/>
      <c r="J28" s="33"/>
      <c r="K28" s="33"/>
      <c r="L28" s="33"/>
      <c r="M28" s="33"/>
      <c r="N28" s="33"/>
      <c r="O28" s="33"/>
      <c r="P28" s="33"/>
      <c r="Q28" s="33"/>
      <c r="R28" s="33"/>
      <c r="S28" s="33"/>
      <c r="T28" s="33"/>
      <c r="U28" s="33"/>
      <c r="V28" s="33"/>
      <c r="W28" s="33"/>
      <c r="X28" s="33"/>
      <c r="Y28" s="33"/>
      <c r="Z28" s="33"/>
    </row>
    <row r="29" spans="1:26" ht="14.25" customHeight="1" thickBot="1">
      <c r="A29" s="47" t="s">
        <v>154</v>
      </c>
      <c r="B29" s="49" t="s">
        <v>202</v>
      </c>
      <c r="C29" s="33" t="str">
        <f t="shared" si="0"/>
        <v>Ancillary services/Support services -&gt; Heart Station</v>
      </c>
      <c r="D29" s="33"/>
      <c r="E29" s="33"/>
      <c r="F29" s="33"/>
      <c r="G29" s="33"/>
      <c r="H29" s="33"/>
      <c r="I29" s="33"/>
      <c r="J29" s="33"/>
      <c r="K29" s="33"/>
      <c r="L29" s="33"/>
      <c r="M29" s="33"/>
      <c r="N29" s="33"/>
      <c r="O29" s="33"/>
      <c r="P29" s="33"/>
      <c r="Q29" s="33"/>
      <c r="R29" s="33"/>
      <c r="S29" s="33"/>
      <c r="T29" s="33"/>
      <c r="U29" s="33"/>
      <c r="V29" s="33"/>
      <c r="W29" s="33"/>
      <c r="X29" s="33"/>
      <c r="Y29" s="33"/>
      <c r="Z29" s="33"/>
    </row>
    <row r="30" spans="1:26" ht="14.25" customHeight="1" thickBot="1">
      <c r="A30" s="47" t="s">
        <v>154</v>
      </c>
      <c r="B30" s="49" t="s">
        <v>164</v>
      </c>
      <c r="C30" s="33" t="str">
        <f t="shared" si="0"/>
        <v>Ancillary services/Support services -&gt; Physiotherapy / Rehabilitation</v>
      </c>
      <c r="D30" s="33"/>
      <c r="E30" s="33"/>
      <c r="F30" s="33"/>
      <c r="G30" s="33"/>
      <c r="H30" s="33"/>
      <c r="I30" s="33"/>
      <c r="J30" s="33"/>
      <c r="K30" s="33"/>
      <c r="L30" s="33"/>
      <c r="M30" s="33"/>
      <c r="N30" s="33"/>
      <c r="O30" s="33"/>
      <c r="P30" s="33"/>
      <c r="Q30" s="33"/>
      <c r="R30" s="33"/>
      <c r="S30" s="33"/>
      <c r="T30" s="33"/>
      <c r="U30" s="33"/>
      <c r="V30" s="33"/>
      <c r="W30" s="33"/>
      <c r="X30" s="33"/>
      <c r="Y30" s="33"/>
      <c r="Z30" s="33"/>
    </row>
    <row r="31" spans="1:26" ht="14.25" customHeight="1" thickBot="1">
      <c r="A31" s="47" t="s">
        <v>154</v>
      </c>
      <c r="B31" s="49" t="s">
        <v>163</v>
      </c>
      <c r="C31" s="33" t="str">
        <f t="shared" si="0"/>
        <v>Ancillary services/Support services -&gt; Delivery Room</v>
      </c>
      <c r="D31" s="33"/>
      <c r="E31" s="33"/>
      <c r="F31" s="33"/>
      <c r="G31" s="33"/>
      <c r="H31" s="33"/>
      <c r="I31" s="33"/>
      <c r="J31" s="33"/>
      <c r="K31" s="33"/>
      <c r="L31" s="33"/>
      <c r="M31" s="33"/>
      <c r="N31" s="33"/>
      <c r="O31" s="33"/>
      <c r="P31" s="33"/>
      <c r="Q31" s="33"/>
      <c r="R31" s="33"/>
      <c r="S31" s="33"/>
      <c r="T31" s="33"/>
      <c r="U31" s="33"/>
      <c r="V31" s="33"/>
      <c r="W31" s="33"/>
      <c r="X31" s="33"/>
      <c r="Y31" s="33"/>
      <c r="Z31" s="33"/>
    </row>
    <row r="32" spans="1:26" ht="14.25" customHeight="1" thickBot="1">
      <c r="A32" s="47" t="s">
        <v>154</v>
      </c>
      <c r="B32" s="48" t="s">
        <v>162</v>
      </c>
      <c r="C32" s="33" t="str">
        <f t="shared" si="0"/>
        <v>Ancillary services/Support services -&gt; Operating Room / Aneasthesiology / PACU / Recovery Room</v>
      </c>
      <c r="D32" s="33"/>
      <c r="E32" s="33"/>
      <c r="F32" s="33"/>
      <c r="G32" s="33"/>
      <c r="H32" s="33"/>
      <c r="I32" s="33"/>
      <c r="J32" s="33"/>
      <c r="K32" s="33"/>
      <c r="L32" s="33"/>
      <c r="M32" s="33"/>
      <c r="N32" s="33"/>
      <c r="O32" s="33"/>
      <c r="P32" s="33"/>
      <c r="Q32" s="33"/>
      <c r="R32" s="33"/>
      <c r="S32" s="33"/>
      <c r="T32" s="33"/>
      <c r="U32" s="33"/>
      <c r="V32" s="33"/>
      <c r="W32" s="33"/>
      <c r="X32" s="33"/>
      <c r="Y32" s="33"/>
      <c r="Z32" s="33"/>
    </row>
    <row r="33" spans="1:26" ht="14.25" customHeight="1" thickBot="1">
      <c r="A33" s="47" t="s">
        <v>154</v>
      </c>
      <c r="B33" s="49" t="s">
        <v>161</v>
      </c>
      <c r="C33" s="33" t="str">
        <f t="shared" si="0"/>
        <v>Ancillary services/Support services -&gt; Respiratory Unit</v>
      </c>
      <c r="D33" s="33"/>
      <c r="E33" s="33"/>
      <c r="F33" s="33"/>
      <c r="G33" s="33"/>
      <c r="H33" s="33"/>
      <c r="I33" s="33"/>
      <c r="J33" s="33"/>
      <c r="K33" s="33"/>
      <c r="L33" s="33"/>
      <c r="M33" s="33"/>
      <c r="N33" s="33"/>
      <c r="O33" s="33"/>
      <c r="P33" s="33"/>
      <c r="Q33" s="33"/>
      <c r="R33" s="33"/>
      <c r="S33" s="33"/>
      <c r="T33" s="33"/>
      <c r="U33" s="33"/>
      <c r="V33" s="33"/>
      <c r="W33" s="33"/>
      <c r="X33" s="33"/>
      <c r="Y33" s="33"/>
      <c r="Z33" s="33"/>
    </row>
    <row r="34" spans="1:26" ht="14.25" customHeight="1" thickBot="1">
      <c r="A34" s="47" t="s">
        <v>154</v>
      </c>
      <c r="B34" s="48" t="s">
        <v>160</v>
      </c>
      <c r="C34" s="33" t="str">
        <f t="shared" si="0"/>
        <v>Ancillary services/Support services -&gt; Medical ICU</v>
      </c>
      <c r="D34" s="33"/>
      <c r="E34" s="33"/>
      <c r="F34" s="33"/>
      <c r="G34" s="33"/>
      <c r="H34" s="33"/>
      <c r="I34" s="33"/>
      <c r="J34" s="33"/>
      <c r="K34" s="33"/>
      <c r="L34" s="33"/>
      <c r="M34" s="33"/>
      <c r="N34" s="33"/>
      <c r="O34" s="33"/>
      <c r="P34" s="33"/>
      <c r="Q34" s="33"/>
      <c r="R34" s="33"/>
      <c r="S34" s="33"/>
      <c r="T34" s="33"/>
      <c r="U34" s="33"/>
      <c r="V34" s="33"/>
      <c r="W34" s="33"/>
      <c r="X34" s="33"/>
      <c r="Y34" s="33"/>
      <c r="Z34" s="33"/>
    </row>
    <row r="35" spans="1:26" ht="14.25" customHeight="1" thickBot="1">
      <c r="A35" s="47" t="s">
        <v>154</v>
      </c>
      <c r="B35" s="48" t="s">
        <v>159</v>
      </c>
      <c r="C35" s="33" t="str">
        <f t="shared" si="0"/>
        <v>Ancillary services/Support services -&gt; Neonatal ICU*</v>
      </c>
      <c r="D35" s="33"/>
      <c r="E35" s="33"/>
      <c r="F35" s="33"/>
      <c r="G35" s="33"/>
      <c r="H35" s="33"/>
      <c r="I35" s="33"/>
      <c r="J35" s="33"/>
      <c r="K35" s="33"/>
      <c r="L35" s="33"/>
      <c r="M35" s="33"/>
      <c r="N35" s="33"/>
      <c r="O35" s="33"/>
      <c r="P35" s="33"/>
      <c r="Q35" s="33"/>
      <c r="R35" s="33"/>
      <c r="S35" s="33"/>
      <c r="T35" s="33"/>
      <c r="U35" s="33"/>
      <c r="V35" s="33"/>
      <c r="W35" s="33"/>
      <c r="X35" s="33"/>
      <c r="Y35" s="33"/>
      <c r="Z35" s="33"/>
    </row>
    <row r="36" spans="1:26" ht="14.25" customHeight="1" thickBot="1">
      <c r="A36" s="47" t="s">
        <v>154</v>
      </c>
      <c r="B36" s="48" t="s">
        <v>158</v>
      </c>
      <c r="C36" s="33" t="str">
        <f t="shared" ref="C36:C64" si="1">CONCATENATE(A36, " -&gt; ",B36)</f>
        <v>Ancillary services/Support services -&gt; Surgical ICU*</v>
      </c>
      <c r="D36" s="33"/>
      <c r="E36" s="33"/>
      <c r="F36" s="33"/>
      <c r="G36" s="33"/>
      <c r="H36" s="33"/>
      <c r="I36" s="33"/>
      <c r="J36" s="33"/>
      <c r="K36" s="33"/>
      <c r="L36" s="33"/>
      <c r="M36" s="33"/>
      <c r="N36" s="33"/>
      <c r="O36" s="33"/>
      <c r="P36" s="33"/>
      <c r="Q36" s="33"/>
      <c r="R36" s="33"/>
      <c r="S36" s="33"/>
      <c r="T36" s="33"/>
      <c r="U36" s="33"/>
      <c r="V36" s="33"/>
      <c r="W36" s="33"/>
      <c r="X36" s="33"/>
      <c r="Y36" s="33"/>
      <c r="Z36" s="33"/>
    </row>
    <row r="37" spans="1:26" ht="14.25" customHeight="1" thickBot="1">
      <c r="A37" s="47" t="s">
        <v>154</v>
      </c>
      <c r="B37" s="48" t="s">
        <v>157</v>
      </c>
      <c r="C37" s="33" t="str">
        <f t="shared" si="1"/>
        <v>Ancillary services/Support services -&gt; Pediatric ICU*</v>
      </c>
      <c r="D37" s="33"/>
      <c r="E37" s="33"/>
      <c r="F37" s="33"/>
      <c r="G37" s="33"/>
      <c r="H37" s="33"/>
      <c r="I37" s="33"/>
      <c r="J37" s="33"/>
      <c r="K37" s="33"/>
      <c r="L37" s="33"/>
      <c r="M37" s="33"/>
      <c r="N37" s="33"/>
      <c r="O37" s="33"/>
      <c r="P37" s="33"/>
      <c r="Q37" s="33"/>
      <c r="R37" s="33"/>
      <c r="S37" s="33"/>
      <c r="T37" s="33"/>
      <c r="U37" s="33"/>
      <c r="V37" s="33"/>
      <c r="W37" s="33"/>
      <c r="X37" s="33"/>
      <c r="Y37" s="33"/>
      <c r="Z37" s="33"/>
    </row>
    <row r="38" spans="1:26" ht="14.25" customHeight="1" thickBot="1">
      <c r="A38" s="47" t="s">
        <v>154</v>
      </c>
      <c r="B38" s="48" t="s">
        <v>156</v>
      </c>
      <c r="C38" s="33" t="str">
        <f t="shared" si="1"/>
        <v>Ancillary services/Support services -&gt; Burn Unit</v>
      </c>
      <c r="D38" s="33"/>
      <c r="E38" s="33"/>
      <c r="F38" s="33"/>
      <c r="G38" s="33"/>
      <c r="H38" s="33"/>
      <c r="I38" s="33"/>
      <c r="J38" s="33"/>
      <c r="K38" s="33"/>
      <c r="L38" s="33"/>
      <c r="M38" s="33"/>
      <c r="N38" s="33"/>
      <c r="O38" s="33"/>
      <c r="P38" s="33"/>
      <c r="Q38" s="33"/>
      <c r="R38" s="33"/>
      <c r="S38" s="33"/>
      <c r="T38" s="33"/>
      <c r="U38" s="33"/>
      <c r="V38" s="33"/>
      <c r="W38" s="33"/>
      <c r="X38" s="33"/>
      <c r="Y38" s="33"/>
      <c r="Z38" s="33"/>
    </row>
    <row r="39" spans="1:26" ht="17.25" thickBot="1">
      <c r="A39" s="47" t="s">
        <v>154</v>
      </c>
      <c r="B39" s="49" t="s">
        <v>155</v>
      </c>
      <c r="C39" s="33" t="str">
        <f t="shared" si="1"/>
        <v>Ancillary services/Support services -&gt; Morgue</v>
      </c>
      <c r="D39" s="33"/>
      <c r="E39" s="33"/>
      <c r="F39" s="33"/>
      <c r="G39" s="33"/>
      <c r="H39" s="33"/>
      <c r="I39" s="33"/>
      <c r="J39" s="33"/>
      <c r="K39" s="33"/>
      <c r="L39" s="33"/>
      <c r="M39" s="33"/>
      <c r="N39" s="33"/>
      <c r="O39" s="33"/>
      <c r="P39" s="33"/>
      <c r="Q39" s="33"/>
      <c r="R39" s="33"/>
      <c r="S39" s="33"/>
      <c r="T39" s="33"/>
      <c r="U39" s="33"/>
      <c r="V39" s="33"/>
      <c r="W39" s="33"/>
      <c r="X39" s="33"/>
      <c r="Y39" s="33"/>
      <c r="Z39" s="33"/>
    </row>
    <row r="40" spans="1:26" ht="17.25" thickBot="1">
      <c r="A40" s="47" t="s">
        <v>154</v>
      </c>
      <c r="B40" s="52" t="s">
        <v>153</v>
      </c>
      <c r="C40" s="33" t="str">
        <f t="shared" si="1"/>
        <v>Ancillary services/Support services -&gt; Others</v>
      </c>
      <c r="D40" s="33"/>
      <c r="E40" s="33"/>
      <c r="F40" s="33"/>
      <c r="G40" s="33"/>
      <c r="H40" s="33"/>
      <c r="I40" s="33"/>
      <c r="J40" s="33"/>
      <c r="K40" s="33"/>
      <c r="L40" s="33"/>
      <c r="M40" s="33"/>
      <c r="N40" s="33"/>
      <c r="O40" s="33"/>
      <c r="P40" s="33"/>
      <c r="Q40" s="33"/>
      <c r="R40" s="33"/>
      <c r="S40" s="33"/>
      <c r="T40" s="33"/>
      <c r="U40" s="33"/>
      <c r="V40" s="33"/>
      <c r="W40" s="33"/>
      <c r="X40" s="33"/>
      <c r="Y40" s="33"/>
      <c r="Z40" s="33"/>
    </row>
    <row r="41" spans="1:26" ht="13.5" customHeight="1" thickBot="1">
      <c r="A41" s="47" t="s">
        <v>135</v>
      </c>
      <c r="B41" s="51" t="s">
        <v>201</v>
      </c>
      <c r="C41" s="33" t="str">
        <f t="shared" si="1"/>
        <v>Clinical/Medical services -&gt; Outpatient Department</v>
      </c>
      <c r="D41" s="33"/>
      <c r="E41" s="33"/>
      <c r="F41" s="33"/>
      <c r="G41" s="33"/>
      <c r="H41" s="33"/>
      <c r="I41" s="33"/>
      <c r="J41" s="33"/>
      <c r="K41" s="33"/>
      <c r="L41" s="33"/>
      <c r="M41" s="33"/>
      <c r="N41" s="33"/>
      <c r="O41" s="33"/>
      <c r="P41" s="33"/>
      <c r="Q41" s="33"/>
      <c r="R41" s="33"/>
      <c r="S41" s="33"/>
      <c r="T41" s="33"/>
      <c r="U41" s="33"/>
      <c r="V41" s="33"/>
      <c r="W41" s="33"/>
      <c r="X41" s="33"/>
      <c r="Y41" s="33"/>
      <c r="Z41" s="33"/>
    </row>
    <row r="42" spans="1:26" ht="13.5" customHeight="1" thickBot="1">
      <c r="A42" s="47" t="s">
        <v>135</v>
      </c>
      <c r="B42" s="49" t="s">
        <v>151</v>
      </c>
      <c r="C42" s="33" t="str">
        <f t="shared" si="1"/>
        <v>Clinical/Medical services -&gt; Animal Bite Center</v>
      </c>
      <c r="D42" s="33"/>
      <c r="E42" s="33"/>
      <c r="F42" s="33"/>
      <c r="G42" s="33"/>
      <c r="H42" s="33"/>
      <c r="I42" s="33"/>
      <c r="J42" s="33"/>
      <c r="K42" s="33"/>
      <c r="L42" s="33"/>
      <c r="M42" s="33"/>
      <c r="N42" s="33"/>
      <c r="O42" s="33"/>
      <c r="P42" s="33"/>
      <c r="Q42" s="33"/>
      <c r="R42" s="33"/>
      <c r="S42" s="33"/>
      <c r="T42" s="33"/>
      <c r="U42" s="33"/>
      <c r="V42" s="33"/>
      <c r="W42" s="33"/>
      <c r="X42" s="33"/>
      <c r="Y42" s="33"/>
      <c r="Z42" s="33"/>
    </row>
    <row r="43" spans="1:26" ht="13.5" customHeight="1" thickBot="1">
      <c r="A43" s="47" t="s">
        <v>135</v>
      </c>
      <c r="B43" s="49" t="s">
        <v>150</v>
      </c>
      <c r="C43" s="33" t="str">
        <f t="shared" si="1"/>
        <v>Clinical/Medical services -&gt; TB Dots</v>
      </c>
      <c r="D43" s="33"/>
      <c r="E43" s="33"/>
      <c r="F43" s="33"/>
      <c r="G43" s="33"/>
      <c r="H43" s="33"/>
      <c r="I43" s="33"/>
      <c r="J43" s="33"/>
      <c r="K43" s="33"/>
      <c r="L43" s="33"/>
      <c r="M43" s="33"/>
      <c r="N43" s="33"/>
      <c r="O43" s="33"/>
      <c r="P43" s="33"/>
      <c r="Q43" s="33"/>
      <c r="R43" s="33"/>
      <c r="S43" s="33"/>
      <c r="T43" s="33"/>
      <c r="U43" s="33"/>
      <c r="V43" s="33"/>
      <c r="W43" s="33"/>
      <c r="X43" s="33"/>
      <c r="Y43" s="33"/>
      <c r="Z43" s="33"/>
    </row>
    <row r="44" spans="1:26" ht="13.5" customHeight="1" thickBot="1">
      <c r="A44" s="47" t="s">
        <v>135</v>
      </c>
      <c r="B44" s="49" t="s">
        <v>149</v>
      </c>
      <c r="C44" s="33" t="str">
        <f t="shared" si="1"/>
        <v>Clinical/Medical services -&gt; HIV Aids</v>
      </c>
      <c r="D44" s="33"/>
      <c r="E44" s="33"/>
      <c r="F44" s="33"/>
      <c r="G44" s="33"/>
      <c r="H44" s="33"/>
      <c r="I44" s="33"/>
      <c r="J44" s="33"/>
      <c r="K44" s="33"/>
      <c r="L44" s="33"/>
      <c r="M44" s="33"/>
      <c r="N44" s="33"/>
      <c r="O44" s="33"/>
      <c r="P44" s="33"/>
      <c r="Q44" s="33"/>
      <c r="R44" s="33"/>
      <c r="S44" s="33"/>
      <c r="T44" s="33"/>
      <c r="U44" s="33"/>
      <c r="V44" s="33"/>
      <c r="W44" s="33"/>
      <c r="X44" s="33"/>
      <c r="Y44" s="33"/>
      <c r="Z44" s="33"/>
    </row>
    <row r="45" spans="1:26" ht="13.5" customHeight="1" thickBot="1">
      <c r="A45" s="47" t="s">
        <v>135</v>
      </c>
      <c r="B45" s="49" t="s">
        <v>148</v>
      </c>
      <c r="C45" s="33" t="str">
        <f t="shared" si="1"/>
        <v>Clinical/Medical services -&gt; Family Planning Unit</v>
      </c>
      <c r="D45" s="33"/>
      <c r="E45" s="33"/>
      <c r="F45" s="33"/>
      <c r="G45" s="33"/>
      <c r="H45" s="33"/>
      <c r="I45" s="33"/>
      <c r="J45" s="33"/>
      <c r="K45" s="33"/>
      <c r="L45" s="33"/>
      <c r="M45" s="33"/>
      <c r="N45" s="33"/>
      <c r="O45" s="33"/>
      <c r="P45" s="33"/>
      <c r="Q45" s="33"/>
      <c r="R45" s="33"/>
      <c r="S45" s="33"/>
      <c r="T45" s="33"/>
      <c r="U45" s="33"/>
      <c r="V45" s="33"/>
      <c r="W45" s="33"/>
      <c r="X45" s="33"/>
      <c r="Y45" s="33"/>
      <c r="Z45" s="33"/>
    </row>
    <row r="46" spans="1:26" ht="13.5" customHeight="1" thickBot="1">
      <c r="A46" s="47" t="s">
        <v>135</v>
      </c>
      <c r="B46" s="49" t="s">
        <v>147</v>
      </c>
      <c r="C46" s="33" t="str">
        <f t="shared" si="1"/>
        <v>Clinical/Medical services -&gt; Smoking Cessation</v>
      </c>
      <c r="D46" s="33"/>
      <c r="E46" s="33"/>
      <c r="F46" s="33"/>
      <c r="G46" s="33"/>
      <c r="H46" s="33"/>
      <c r="I46" s="33"/>
      <c r="J46" s="33"/>
      <c r="K46" s="33"/>
      <c r="L46" s="33"/>
      <c r="M46" s="33"/>
      <c r="N46" s="33"/>
      <c r="O46" s="33"/>
      <c r="P46" s="33"/>
      <c r="Q46" s="33"/>
      <c r="R46" s="33"/>
      <c r="S46" s="33"/>
      <c r="T46" s="33"/>
      <c r="U46" s="33"/>
      <c r="V46" s="33"/>
      <c r="W46" s="33"/>
      <c r="X46" s="33"/>
      <c r="Y46" s="33"/>
      <c r="Z46" s="33"/>
    </row>
    <row r="47" spans="1:26" ht="13.5" customHeight="1" thickBot="1">
      <c r="A47" s="47" t="s">
        <v>135</v>
      </c>
      <c r="B47" s="49" t="s">
        <v>146</v>
      </c>
      <c r="C47" s="33" t="str">
        <f t="shared" si="1"/>
        <v>Clinical/Medical services -&gt; Malaria</v>
      </c>
      <c r="D47" s="33"/>
      <c r="E47" s="33"/>
      <c r="F47" s="33"/>
      <c r="G47" s="33"/>
      <c r="H47" s="33"/>
      <c r="I47" s="33"/>
      <c r="J47" s="33"/>
      <c r="K47" s="33"/>
      <c r="L47" s="33"/>
      <c r="M47" s="33"/>
      <c r="N47" s="33"/>
      <c r="O47" s="33"/>
      <c r="P47" s="33"/>
      <c r="Q47" s="33"/>
      <c r="R47" s="33"/>
      <c r="S47" s="33"/>
      <c r="T47" s="33"/>
      <c r="U47" s="33"/>
      <c r="V47" s="33"/>
      <c r="W47" s="33"/>
      <c r="X47" s="33"/>
      <c r="Y47" s="33"/>
      <c r="Z47" s="33"/>
    </row>
    <row r="48" spans="1:26" ht="13.5" customHeight="1" thickBot="1">
      <c r="A48" s="47" t="s">
        <v>135</v>
      </c>
      <c r="B48" s="50" t="s">
        <v>200</v>
      </c>
      <c r="C48" s="33" t="str">
        <f t="shared" si="1"/>
        <v>Clinical/Medical services -&gt; Diabetes MAP</v>
      </c>
      <c r="D48" s="33"/>
      <c r="E48" s="33"/>
      <c r="F48" s="33"/>
      <c r="G48" s="33"/>
      <c r="H48" s="33"/>
      <c r="I48" s="33"/>
      <c r="J48" s="33"/>
      <c r="K48" s="33"/>
      <c r="L48" s="33"/>
      <c r="M48" s="33"/>
      <c r="N48" s="33"/>
      <c r="O48" s="33"/>
      <c r="P48" s="33"/>
      <c r="Q48" s="33"/>
      <c r="R48" s="33"/>
      <c r="S48" s="33"/>
      <c r="T48" s="33"/>
      <c r="U48" s="33"/>
      <c r="V48" s="33"/>
      <c r="W48" s="33"/>
      <c r="X48" s="33"/>
      <c r="Y48" s="33"/>
      <c r="Z48" s="33"/>
    </row>
    <row r="49" spans="1:26" ht="13.5" customHeight="1" thickBot="1">
      <c r="A49" s="47" t="s">
        <v>135</v>
      </c>
      <c r="B49" s="49" t="s">
        <v>199</v>
      </c>
      <c r="C49" s="33" t="str">
        <f t="shared" si="1"/>
        <v>Clinical/Medical services -&gt; Hypertension MAP</v>
      </c>
      <c r="D49" s="33"/>
      <c r="E49" s="33"/>
      <c r="F49" s="33"/>
      <c r="G49" s="33"/>
      <c r="H49" s="33"/>
      <c r="I49" s="33"/>
      <c r="J49" s="33"/>
      <c r="K49" s="33"/>
      <c r="L49" s="33"/>
      <c r="M49" s="33"/>
      <c r="N49" s="33"/>
      <c r="O49" s="33"/>
      <c r="P49" s="33"/>
      <c r="Q49" s="33"/>
      <c r="R49" s="33"/>
      <c r="S49" s="33"/>
      <c r="T49" s="33"/>
      <c r="U49" s="33"/>
      <c r="V49" s="33"/>
      <c r="W49" s="33"/>
      <c r="X49" s="33"/>
      <c r="Y49" s="33"/>
      <c r="Z49" s="33"/>
    </row>
    <row r="50" spans="1:26" ht="14.25" customHeight="1" thickBot="1">
      <c r="A50" s="47" t="s">
        <v>135</v>
      </c>
      <c r="B50" s="48" t="s">
        <v>143</v>
      </c>
      <c r="C50" s="33" t="str">
        <f t="shared" si="1"/>
        <v>Clinical/Medical services -&gt; Emergency Medicine Department</v>
      </c>
      <c r="D50" s="33"/>
      <c r="E50" s="33"/>
      <c r="F50" s="33"/>
      <c r="G50" s="33"/>
      <c r="H50" s="33"/>
      <c r="I50" s="33"/>
      <c r="J50" s="33"/>
      <c r="K50" s="33"/>
      <c r="L50" s="33"/>
      <c r="M50" s="33"/>
      <c r="N50" s="33"/>
      <c r="O50" s="33"/>
      <c r="P50" s="33"/>
      <c r="Q50" s="33"/>
      <c r="R50" s="33"/>
      <c r="S50" s="33"/>
      <c r="T50" s="33"/>
      <c r="U50" s="33"/>
      <c r="V50" s="33"/>
      <c r="W50" s="33"/>
      <c r="X50" s="33"/>
      <c r="Y50" s="33"/>
      <c r="Z50" s="33"/>
    </row>
    <row r="51" spans="1:26" ht="14.25" customHeight="1" thickBot="1">
      <c r="A51" s="47" t="s">
        <v>135</v>
      </c>
      <c r="B51" s="48" t="s">
        <v>142</v>
      </c>
      <c r="C51" s="33" t="str">
        <f t="shared" si="1"/>
        <v>Clinical/Medical services -&gt; Dialysis Unit</v>
      </c>
      <c r="D51" s="33"/>
      <c r="E51" s="33"/>
      <c r="F51" s="33"/>
      <c r="G51" s="33"/>
      <c r="H51" s="33"/>
      <c r="I51" s="33"/>
      <c r="J51" s="33"/>
      <c r="K51" s="33"/>
      <c r="L51" s="33"/>
      <c r="M51" s="33"/>
      <c r="N51" s="33"/>
      <c r="O51" s="33"/>
      <c r="P51" s="33"/>
      <c r="Q51" s="33"/>
      <c r="R51" s="33"/>
      <c r="S51" s="33"/>
      <c r="T51" s="33"/>
      <c r="U51" s="33"/>
      <c r="V51" s="33"/>
      <c r="W51" s="33"/>
      <c r="X51" s="33"/>
      <c r="Y51" s="33"/>
      <c r="Z51" s="33"/>
    </row>
    <row r="52" spans="1:26" ht="14.25" customHeight="1" thickBot="1">
      <c r="A52" s="47" t="s">
        <v>135</v>
      </c>
      <c r="B52" s="49" t="s">
        <v>198</v>
      </c>
      <c r="C52" s="33" t="str">
        <f t="shared" si="1"/>
        <v>Clinical/Medical services -&gt; Nuclear Medicine</v>
      </c>
      <c r="D52" s="33"/>
      <c r="E52" s="33"/>
      <c r="F52" s="33"/>
      <c r="G52" s="33"/>
      <c r="H52" s="33"/>
      <c r="I52" s="33"/>
      <c r="J52" s="33"/>
      <c r="K52" s="33"/>
      <c r="L52" s="33"/>
      <c r="M52" s="33"/>
      <c r="N52" s="33"/>
      <c r="O52" s="33"/>
      <c r="P52" s="33"/>
      <c r="Q52" s="33"/>
      <c r="R52" s="33"/>
      <c r="S52" s="33"/>
      <c r="T52" s="33"/>
      <c r="U52" s="33"/>
      <c r="V52" s="33"/>
      <c r="W52" s="33"/>
      <c r="X52" s="33"/>
      <c r="Y52" s="33"/>
      <c r="Z52" s="33"/>
    </row>
    <row r="53" spans="1:26" ht="14.25" customHeight="1" thickBot="1">
      <c r="A53" s="47" t="s">
        <v>135</v>
      </c>
      <c r="B53" s="48" t="s">
        <v>141</v>
      </c>
      <c r="C53" s="33" t="str">
        <f t="shared" si="1"/>
        <v>Clinical/Medical services -&gt; Radiation Oncology Unit*</v>
      </c>
      <c r="D53" s="33"/>
      <c r="E53" s="33"/>
      <c r="F53" s="33"/>
      <c r="G53" s="33"/>
      <c r="H53" s="33"/>
      <c r="I53" s="33"/>
      <c r="J53" s="33"/>
      <c r="K53" s="33"/>
      <c r="L53" s="33"/>
      <c r="M53" s="33"/>
      <c r="N53" s="33"/>
      <c r="O53" s="33"/>
      <c r="P53" s="33"/>
      <c r="Q53" s="33"/>
      <c r="R53" s="33"/>
      <c r="S53" s="33"/>
      <c r="T53" s="33"/>
      <c r="U53" s="33"/>
      <c r="V53" s="33"/>
      <c r="W53" s="33"/>
      <c r="X53" s="33"/>
      <c r="Y53" s="33"/>
      <c r="Z53" s="33"/>
    </row>
    <row r="54" spans="1:26" ht="14.25" customHeight="1" thickBot="1">
      <c r="A54" s="47" t="s">
        <v>135</v>
      </c>
      <c r="B54" s="49" t="s">
        <v>197</v>
      </c>
      <c r="C54" s="33" t="str">
        <f t="shared" si="1"/>
        <v>Clinical/Medical services -&gt; Endoscopy Unit</v>
      </c>
      <c r="D54" s="33"/>
      <c r="E54" s="33"/>
      <c r="F54" s="33"/>
      <c r="G54" s="33"/>
      <c r="H54" s="33"/>
      <c r="I54" s="33"/>
      <c r="J54" s="33"/>
      <c r="K54" s="33"/>
      <c r="L54" s="33"/>
      <c r="M54" s="33"/>
      <c r="N54" s="33"/>
      <c r="O54" s="33"/>
      <c r="P54" s="33"/>
      <c r="Q54" s="33"/>
      <c r="R54" s="33"/>
      <c r="S54" s="33"/>
      <c r="T54" s="33"/>
      <c r="U54" s="33"/>
      <c r="V54" s="33"/>
      <c r="W54" s="33"/>
      <c r="X54" s="33"/>
      <c r="Y54" s="33"/>
      <c r="Z54" s="33"/>
    </row>
    <row r="55" spans="1:26" ht="14.25" customHeight="1" thickBot="1">
      <c r="A55" s="47" t="s">
        <v>135</v>
      </c>
      <c r="B55" s="48" t="s">
        <v>140</v>
      </c>
      <c r="C55" s="33" t="str">
        <f t="shared" si="1"/>
        <v>Clinical/Medical services -&gt; Dental</v>
      </c>
      <c r="D55" s="33"/>
      <c r="E55" s="33"/>
      <c r="F55" s="33"/>
      <c r="G55" s="33"/>
      <c r="H55" s="33"/>
      <c r="I55" s="33"/>
      <c r="J55" s="33"/>
      <c r="K55" s="33"/>
      <c r="L55" s="33"/>
      <c r="M55" s="33"/>
      <c r="N55" s="33"/>
      <c r="O55" s="33"/>
      <c r="P55" s="33"/>
      <c r="Q55" s="33"/>
      <c r="R55" s="33"/>
      <c r="S55" s="33"/>
      <c r="T55" s="33"/>
      <c r="U55" s="33"/>
      <c r="V55" s="33"/>
      <c r="W55" s="33"/>
      <c r="X55" s="33"/>
      <c r="Y55" s="33"/>
      <c r="Z55" s="33"/>
    </row>
    <row r="56" spans="1:26" ht="14.25" customHeight="1" thickBot="1">
      <c r="A56" s="47" t="s">
        <v>135</v>
      </c>
      <c r="B56" s="48" t="s">
        <v>139</v>
      </c>
      <c r="C56" s="33" t="str">
        <f t="shared" si="1"/>
        <v>Clinical/Medical services -&gt; Internal Medicine Ward</v>
      </c>
      <c r="D56" s="33"/>
      <c r="E56" s="33"/>
      <c r="F56" s="33"/>
      <c r="G56" s="33"/>
      <c r="H56" s="33"/>
      <c r="I56" s="33"/>
      <c r="J56" s="33"/>
      <c r="K56" s="33"/>
      <c r="L56" s="33"/>
      <c r="M56" s="33"/>
      <c r="N56" s="33"/>
      <c r="O56" s="33"/>
      <c r="P56" s="33"/>
      <c r="Q56" s="33"/>
      <c r="R56" s="33"/>
      <c r="S56" s="33"/>
      <c r="T56" s="33"/>
      <c r="U56" s="33"/>
      <c r="V56" s="33"/>
      <c r="W56" s="33"/>
      <c r="X56" s="33"/>
      <c r="Y56" s="33"/>
      <c r="Z56" s="33"/>
    </row>
    <row r="57" spans="1:26" ht="14.25" customHeight="1" thickBot="1">
      <c r="A57" s="47" t="s">
        <v>135</v>
      </c>
      <c r="B57" s="48" t="s">
        <v>138</v>
      </c>
      <c r="C57" s="33" t="str">
        <f t="shared" si="1"/>
        <v>Clinical/Medical services -&gt; Pediatric Ward</v>
      </c>
      <c r="D57" s="33"/>
      <c r="E57" s="33"/>
      <c r="F57" s="33"/>
      <c r="G57" s="33"/>
      <c r="H57" s="33"/>
      <c r="I57" s="33"/>
      <c r="J57" s="33"/>
      <c r="K57" s="33"/>
      <c r="L57" s="33"/>
      <c r="M57" s="33"/>
      <c r="N57" s="33"/>
      <c r="O57" s="33"/>
      <c r="P57" s="33"/>
      <c r="Q57" s="33"/>
      <c r="R57" s="33"/>
      <c r="S57" s="33"/>
      <c r="T57" s="33"/>
      <c r="U57" s="33"/>
      <c r="V57" s="33"/>
      <c r="W57" s="33"/>
      <c r="X57" s="33"/>
      <c r="Y57" s="33"/>
      <c r="Z57" s="33"/>
    </row>
    <row r="58" spans="1:26" ht="14.25" customHeight="1" thickBot="1">
      <c r="A58" s="47" t="s">
        <v>135</v>
      </c>
      <c r="B58" s="48" t="s">
        <v>137</v>
      </c>
      <c r="C58" s="33" t="str">
        <f t="shared" si="1"/>
        <v>Clinical/Medical services -&gt; Surgical Ward</v>
      </c>
      <c r="D58" s="33"/>
      <c r="E58" s="33"/>
      <c r="F58" s="33"/>
      <c r="G58" s="33"/>
      <c r="H58" s="33"/>
      <c r="I58" s="33"/>
      <c r="J58" s="33"/>
      <c r="K58" s="33"/>
      <c r="L58" s="33"/>
      <c r="M58" s="33"/>
      <c r="N58" s="33"/>
      <c r="O58" s="33"/>
      <c r="P58" s="33"/>
      <c r="Q58" s="33"/>
      <c r="R58" s="33"/>
      <c r="S58" s="33"/>
      <c r="T58" s="33"/>
      <c r="U58" s="33"/>
      <c r="V58" s="33"/>
      <c r="W58" s="33"/>
      <c r="X58" s="33"/>
      <c r="Y58" s="33"/>
      <c r="Z58" s="33"/>
    </row>
    <row r="59" spans="1:26" ht="14.25" customHeight="1" thickBot="1">
      <c r="A59" s="47" t="s">
        <v>135</v>
      </c>
      <c r="B59" s="48" t="s">
        <v>136</v>
      </c>
      <c r="C59" s="33" t="str">
        <f t="shared" si="1"/>
        <v>Clinical/Medical services -&gt; Ob/Gyne Ward</v>
      </c>
      <c r="D59" s="33"/>
      <c r="E59" s="33"/>
      <c r="F59" s="33"/>
      <c r="G59" s="33"/>
      <c r="H59" s="33"/>
      <c r="I59" s="33"/>
      <c r="J59" s="33"/>
      <c r="K59" s="33"/>
      <c r="L59" s="33"/>
      <c r="M59" s="33"/>
      <c r="N59" s="33"/>
      <c r="O59" s="33"/>
      <c r="P59" s="33"/>
      <c r="Q59" s="33"/>
      <c r="R59" s="33"/>
      <c r="S59" s="33"/>
      <c r="T59" s="33"/>
      <c r="U59" s="33"/>
      <c r="V59" s="33"/>
      <c r="W59" s="33"/>
      <c r="X59" s="33"/>
      <c r="Y59" s="33"/>
      <c r="Z59" s="33"/>
    </row>
    <row r="60" spans="1:26" ht="14.25" customHeight="1" thickBot="1">
      <c r="A60" s="47" t="s">
        <v>135</v>
      </c>
      <c r="B60" s="48" t="s">
        <v>134</v>
      </c>
      <c r="C60" s="33" t="str">
        <f t="shared" si="1"/>
        <v>Clinical/Medical services -&gt; Private Ward</v>
      </c>
      <c r="D60" s="33"/>
      <c r="E60" s="33"/>
      <c r="F60" s="33"/>
      <c r="G60" s="33"/>
      <c r="H60" s="33"/>
      <c r="I60" s="33"/>
      <c r="J60" s="33"/>
      <c r="K60" s="33"/>
      <c r="L60" s="33"/>
      <c r="M60" s="33"/>
      <c r="N60" s="33"/>
      <c r="O60" s="33"/>
      <c r="P60" s="33"/>
      <c r="Q60" s="33"/>
      <c r="R60" s="33"/>
      <c r="S60" s="33"/>
      <c r="T60" s="33"/>
      <c r="U60" s="33"/>
      <c r="V60" s="33"/>
      <c r="W60" s="33"/>
      <c r="X60" s="33"/>
      <c r="Y60" s="33"/>
      <c r="Z60" s="33"/>
    </row>
    <row r="61" spans="1:26" ht="14.25" customHeight="1" thickBot="1">
      <c r="A61" s="47" t="s">
        <v>135</v>
      </c>
      <c r="B61" s="48" t="s">
        <v>196</v>
      </c>
      <c r="C61" s="33" t="str">
        <f t="shared" si="1"/>
        <v>Clinical/Medical services -&gt; Neurosurgery Ward*</v>
      </c>
      <c r="D61" s="33"/>
      <c r="E61" s="33"/>
      <c r="F61" s="33"/>
      <c r="G61" s="33"/>
      <c r="H61" s="33"/>
      <c r="I61" s="33"/>
      <c r="J61" s="33"/>
      <c r="K61" s="33"/>
      <c r="L61" s="33"/>
      <c r="M61" s="33"/>
      <c r="N61" s="33"/>
      <c r="O61" s="33"/>
      <c r="P61" s="33"/>
      <c r="Q61" s="33"/>
      <c r="R61" s="33"/>
      <c r="S61" s="33"/>
      <c r="T61" s="33"/>
      <c r="U61" s="33"/>
      <c r="V61" s="33"/>
      <c r="W61" s="33"/>
      <c r="X61" s="33"/>
      <c r="Y61" s="33"/>
      <c r="Z61" s="33"/>
    </row>
    <row r="62" spans="1:26" ht="14.25" customHeight="1" thickBot="1">
      <c r="A62" s="47" t="s">
        <v>135</v>
      </c>
      <c r="B62" s="48" t="s">
        <v>195</v>
      </c>
      <c r="C62" s="33" t="str">
        <f t="shared" si="1"/>
        <v>Clinical/Medical services -&gt; Orthopedic Ward*</v>
      </c>
      <c r="D62" s="33"/>
      <c r="E62" s="33"/>
      <c r="F62" s="33"/>
      <c r="G62" s="33"/>
      <c r="H62" s="33"/>
      <c r="I62" s="33"/>
      <c r="J62" s="33"/>
      <c r="K62" s="33"/>
      <c r="L62" s="33"/>
      <c r="M62" s="33"/>
      <c r="N62" s="33"/>
      <c r="O62" s="33"/>
      <c r="P62" s="33"/>
      <c r="Q62" s="33"/>
      <c r="R62" s="33"/>
      <c r="S62" s="33"/>
      <c r="T62" s="33"/>
      <c r="U62" s="33"/>
      <c r="V62" s="33"/>
      <c r="W62" s="33"/>
      <c r="X62" s="33"/>
      <c r="Y62" s="33"/>
      <c r="Z62" s="33"/>
    </row>
    <row r="63" spans="1:26" ht="17.25" thickBot="1">
      <c r="A63" s="47" t="s">
        <v>135</v>
      </c>
      <c r="B63" s="48" t="s">
        <v>194</v>
      </c>
      <c r="C63" s="33" t="str">
        <f t="shared" si="1"/>
        <v>Clinical/Medical services -&gt; Psychiatric Ward*</v>
      </c>
      <c r="D63" s="33"/>
      <c r="E63" s="33"/>
      <c r="F63" s="33"/>
      <c r="G63" s="33"/>
      <c r="H63" s="33"/>
      <c r="I63" s="33"/>
      <c r="J63" s="33"/>
      <c r="K63" s="33"/>
      <c r="L63" s="33"/>
      <c r="M63" s="33"/>
      <c r="N63" s="33"/>
      <c r="O63" s="33"/>
      <c r="P63" s="33"/>
      <c r="Q63" s="33"/>
      <c r="R63" s="33"/>
      <c r="S63" s="33"/>
      <c r="T63" s="33"/>
      <c r="U63" s="33"/>
      <c r="V63" s="33"/>
      <c r="W63" s="33"/>
      <c r="X63" s="33"/>
      <c r="Y63" s="33"/>
      <c r="Z63" s="33"/>
    </row>
    <row r="64" spans="1:26" ht="13.5" customHeight="1" thickBot="1">
      <c r="A64" s="47" t="s">
        <v>135</v>
      </c>
      <c r="B64" s="46" t="s">
        <v>193</v>
      </c>
      <c r="C64" s="33" t="str">
        <f t="shared" si="1"/>
        <v>Clinical/Medical services -&gt; ENT Ward*</v>
      </c>
      <c r="D64" s="33"/>
      <c r="E64" s="33"/>
      <c r="F64" s="33"/>
      <c r="G64" s="33"/>
      <c r="H64" s="33"/>
      <c r="I64" s="33"/>
      <c r="J64" s="33"/>
      <c r="K64" s="33"/>
      <c r="L64" s="33"/>
      <c r="M64" s="33"/>
      <c r="N64" s="33"/>
      <c r="O64" s="33"/>
      <c r="P64" s="33"/>
      <c r="Q64" s="33"/>
      <c r="R64" s="33"/>
      <c r="S64" s="33"/>
      <c r="T64" s="33"/>
      <c r="U64" s="33"/>
      <c r="V64" s="33"/>
      <c r="W64" s="33"/>
      <c r="X64" s="33"/>
      <c r="Y64" s="33"/>
      <c r="Z64" s="33"/>
    </row>
    <row r="65" spans="1:26" ht="13.5" customHeight="1">
      <c r="A65" s="45"/>
      <c r="B65" s="33"/>
      <c r="C65" s="33"/>
      <c r="D65" s="33"/>
      <c r="E65" s="33"/>
      <c r="F65" s="33"/>
      <c r="G65" s="33"/>
      <c r="H65" s="33"/>
      <c r="I65" s="33"/>
      <c r="J65" s="33"/>
      <c r="K65" s="33"/>
      <c r="L65" s="33"/>
      <c r="M65" s="33"/>
      <c r="N65" s="33"/>
      <c r="O65" s="33"/>
      <c r="P65" s="33"/>
      <c r="Q65" s="33"/>
      <c r="R65" s="33"/>
      <c r="S65" s="33"/>
      <c r="T65" s="33"/>
      <c r="U65" s="33"/>
      <c r="V65" s="33"/>
      <c r="W65" s="33"/>
      <c r="X65" s="33"/>
      <c r="Y65" s="33"/>
      <c r="Z65" s="33"/>
    </row>
    <row r="66" spans="1:26" ht="13.5" customHeight="1">
      <c r="A66" s="33"/>
      <c r="B66" s="32"/>
      <c r="C66" s="33"/>
      <c r="D66" s="33"/>
      <c r="E66" s="33"/>
      <c r="F66" s="33"/>
      <c r="G66" s="33"/>
      <c r="H66" s="33"/>
      <c r="I66" s="33"/>
      <c r="J66" s="33"/>
      <c r="K66" s="33"/>
      <c r="L66" s="33"/>
      <c r="M66" s="33"/>
      <c r="N66" s="33"/>
      <c r="O66" s="33"/>
      <c r="P66" s="33"/>
      <c r="Q66" s="33"/>
      <c r="R66" s="33"/>
      <c r="S66" s="33"/>
      <c r="T66" s="33"/>
      <c r="U66" s="33"/>
      <c r="V66" s="33"/>
      <c r="W66" s="33"/>
      <c r="X66" s="33"/>
      <c r="Y66" s="33"/>
      <c r="Z66" s="33"/>
    </row>
    <row r="67" spans="1:26" ht="13.5" customHeight="1">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row>
    <row r="68" spans="1:26" ht="13.5" customHeight="1">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row>
    <row r="69" spans="1:26" ht="13.5" customHeight="1">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row>
    <row r="70" spans="1:26" ht="13.5" customHeight="1">
      <c r="A70" s="33" t="s">
        <v>133</v>
      </c>
      <c r="B70" s="44" t="s">
        <v>132</v>
      </c>
      <c r="C70" s="33"/>
      <c r="D70" s="33"/>
      <c r="E70" s="33"/>
      <c r="F70" s="33"/>
      <c r="G70" s="33"/>
      <c r="H70" s="33"/>
      <c r="I70" s="33"/>
      <c r="J70" s="33"/>
      <c r="K70" s="33"/>
      <c r="L70" s="33"/>
      <c r="M70" s="33"/>
      <c r="N70" s="33"/>
      <c r="O70" s="33"/>
      <c r="P70" s="33"/>
      <c r="Q70" s="33"/>
      <c r="R70" s="33"/>
      <c r="S70" s="33"/>
      <c r="T70" s="33"/>
      <c r="U70" s="33"/>
      <c r="V70" s="33"/>
      <c r="W70" s="33"/>
      <c r="X70" s="33"/>
      <c r="Y70" s="33"/>
      <c r="Z70" s="33"/>
    </row>
    <row r="71" spans="1:26" ht="13.5" customHeight="1">
      <c r="A71" s="33"/>
      <c r="B71" s="44" t="s">
        <v>131</v>
      </c>
      <c r="C71" s="33"/>
      <c r="D71" s="33"/>
      <c r="E71" s="33"/>
      <c r="F71" s="33"/>
      <c r="G71" s="33"/>
      <c r="H71" s="33"/>
      <c r="I71" s="33"/>
      <c r="J71" s="33"/>
      <c r="K71" s="33"/>
      <c r="L71" s="33"/>
      <c r="M71" s="33"/>
      <c r="N71" s="33"/>
      <c r="O71" s="33"/>
      <c r="P71" s="33"/>
      <c r="Q71" s="33"/>
      <c r="R71" s="33"/>
      <c r="S71" s="33"/>
      <c r="T71" s="33"/>
      <c r="U71" s="33"/>
      <c r="V71" s="33"/>
      <c r="W71" s="33"/>
      <c r="X71" s="33"/>
      <c r="Y71" s="33"/>
      <c r="Z71" s="33"/>
    </row>
    <row r="72" spans="1:26" ht="13.5" customHeight="1">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row>
    <row r="73" spans="1:26" ht="13.5" customHeight="1">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row>
    <row r="74" spans="1:26" ht="13.5" customHeight="1">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row>
    <row r="75" spans="1:26" ht="13.5" customHeight="1">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row>
    <row r="76" spans="1:26" ht="13.5" customHeight="1">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row>
    <row r="77" spans="1:26" ht="13.5" customHeight="1">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row>
    <row r="78" spans="1:26" ht="13.5" customHeight="1">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row>
    <row r="79" spans="1:26" ht="13.5" customHeight="1">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row>
    <row r="80" spans="1:26" ht="13.5" customHeight="1">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row>
    <row r="81" spans="1:26" ht="13.5" customHeight="1">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row>
    <row r="82" spans="1:26" ht="13.5" customHeight="1">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row>
    <row r="83" spans="1:26" ht="13.5" customHeight="1">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row>
    <row r="84" spans="1:26" ht="13.5" customHeight="1">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row>
    <row r="85" spans="1:26" ht="13.5" customHeight="1">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row>
    <row r="86" spans="1:26" ht="13.5" customHeight="1">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row>
    <row r="87" spans="1:26" ht="13.5" customHeight="1">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row>
    <row r="88" spans="1:26" ht="13.5" customHeight="1">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row>
    <row r="89" spans="1:26" ht="13.5" customHeight="1">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row>
    <row r="90" spans="1:26" ht="13.5" customHeight="1">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row>
    <row r="91" spans="1:26" ht="13.5" customHeight="1">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row>
    <row r="92" spans="1:26" ht="13.5" customHeight="1">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row>
    <row r="93" spans="1:26" ht="13.5" customHeight="1">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row>
    <row r="94" spans="1:26" ht="13.5" customHeight="1">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row>
    <row r="95" spans="1:26" ht="13.5" customHeight="1">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row>
    <row r="96" spans="1:26" ht="13.5" customHeight="1">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row>
    <row r="97" spans="1:26" ht="13.5" customHeight="1">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row>
    <row r="98" spans="1:26" ht="13.5" customHeight="1">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row>
    <row r="99" spans="1:26" ht="13.5" customHeight="1">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row>
    <row r="100" spans="1:26" ht="13.5" customHeight="1">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row>
    <row r="101" spans="1:26" ht="13.5" customHeight="1">
      <c r="A101" s="33"/>
      <c r="B101" s="33"/>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row>
    <row r="102" spans="1:26" ht="13.5" customHeight="1">
      <c r="A102" s="33"/>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row>
    <row r="103" spans="1:26" ht="13.5" customHeight="1">
      <c r="A103" s="33"/>
      <c r="B103" s="33"/>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row>
    <row r="104" spans="1:26" ht="13.5" customHeight="1">
      <c r="A104" s="33"/>
      <c r="B104" s="33"/>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row>
    <row r="105" spans="1:26" ht="13.5" customHeight="1">
      <c r="A105" s="33"/>
      <c r="B105" s="33"/>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row>
    <row r="106" spans="1:26" ht="13.5" customHeight="1">
      <c r="A106" s="33"/>
      <c r="B106" s="33"/>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row>
    <row r="107" spans="1:26" ht="13.5" customHeight="1">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row>
    <row r="108" spans="1:26" ht="13.5" customHeight="1">
      <c r="A108" s="33"/>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row>
    <row r="109" spans="1:26" ht="13.5" customHeight="1">
      <c r="A109" s="33"/>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row>
    <row r="110" spans="1:26" ht="13.5" customHeight="1">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row>
    <row r="111" spans="1:26" ht="13.5" customHeight="1">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row>
    <row r="112" spans="1:26" ht="13.5" customHeight="1">
      <c r="A112" s="33"/>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row>
    <row r="113" spans="1:26" ht="13.5" customHeight="1">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row>
    <row r="114" spans="1:26" ht="13.5" customHeight="1">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row>
    <row r="115" spans="1:26" ht="13.5" customHeight="1">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row>
    <row r="116" spans="1:26" ht="13.5" customHeight="1">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row>
    <row r="117" spans="1:26" ht="13.5" customHeight="1">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row>
    <row r="118" spans="1:26" ht="13.5" customHeight="1">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row>
    <row r="119" spans="1:26" ht="13.5" customHeight="1">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row>
    <row r="120" spans="1:26" ht="13.5" customHeight="1">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row>
    <row r="121" spans="1:26" ht="13.5" customHeight="1">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row>
    <row r="122" spans="1:26" ht="13.5" customHeight="1">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row>
    <row r="123" spans="1:26" ht="13.5" customHeight="1">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row>
    <row r="124" spans="1:26" ht="13.5" customHeight="1">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row>
    <row r="125" spans="1:26" ht="13.5" customHeight="1">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row>
    <row r="126" spans="1:26" ht="13.5" customHeight="1">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row>
    <row r="127" spans="1:26" ht="13.5" customHeight="1">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row>
    <row r="128" spans="1:26" ht="13.5" customHeight="1">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row>
    <row r="129" spans="1:26" ht="13.5" customHeight="1">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row>
    <row r="130" spans="1:26" ht="13.5" customHeight="1">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row>
    <row r="131" spans="1:26" ht="13.5" customHeight="1">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row>
    <row r="132" spans="1:26" ht="13.5" customHeight="1">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row>
    <row r="133" spans="1:26" ht="13.5" customHeight="1">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row>
    <row r="134" spans="1:26" ht="13.5" customHeight="1">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row>
    <row r="135" spans="1:26" ht="13.5" customHeight="1">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row>
    <row r="136" spans="1:26" ht="13.5" customHeight="1">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row>
    <row r="137" spans="1:26" ht="13.5" customHeight="1">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row>
    <row r="138" spans="1:26" ht="13.5" customHeight="1">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row>
    <row r="139" spans="1:26" ht="13.5" customHeight="1">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row>
    <row r="140" spans="1:26" ht="13.5" customHeight="1">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row>
    <row r="141" spans="1:26" ht="13.5" customHeight="1">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row>
    <row r="142" spans="1:26" ht="13.5" customHeight="1">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row>
    <row r="143" spans="1:26" ht="13.5" customHeight="1">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row>
    <row r="144" spans="1:26" ht="13.5" customHeight="1">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row>
    <row r="145" spans="1:26" ht="13.5" customHeight="1">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row>
    <row r="146" spans="1:26" ht="13.5" customHeight="1">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row>
    <row r="147" spans="1:26" ht="13.5" customHeight="1">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row>
    <row r="148" spans="1:26" ht="13.5" customHeight="1">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row>
    <row r="149" spans="1:26" ht="13.5" customHeight="1">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row>
    <row r="150" spans="1:26" ht="13.5" customHeight="1">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row>
    <row r="151" spans="1:26" ht="13.5" customHeight="1">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row>
    <row r="152" spans="1:26" ht="13.5" customHeight="1">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row>
    <row r="153" spans="1:26" ht="13.5" customHeight="1">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row>
    <row r="154" spans="1:26" ht="13.5" customHeight="1">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row>
    <row r="155" spans="1:26" ht="13.5" customHeight="1">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row>
    <row r="156" spans="1:26" ht="13.5" customHeight="1">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row>
    <row r="157" spans="1:26" ht="13.5" customHeight="1">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row>
    <row r="158" spans="1:26" ht="13.5" customHeight="1">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row>
    <row r="159" spans="1:26" ht="13.5" customHeight="1">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row>
    <row r="160" spans="1:26" ht="13.5" customHeight="1">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row>
    <row r="161" spans="1:26" ht="13.5" customHeight="1">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row>
    <row r="162" spans="1:26" ht="13.5" customHeight="1">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row>
    <row r="163" spans="1:26" ht="13.5" customHeight="1">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row>
    <row r="164" spans="1:26" ht="13.5" customHeight="1">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row>
    <row r="165" spans="1:26" ht="13.5" customHeight="1">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row>
    <row r="166" spans="1:26" ht="13.5" customHeight="1">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row>
    <row r="167" spans="1:26" ht="13.5" customHeight="1">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row>
    <row r="168" spans="1:26" ht="13.5" customHeight="1">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row>
    <row r="169" spans="1:26" ht="13.5" customHeight="1">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row>
    <row r="170" spans="1:26" ht="13.5" customHeight="1">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row>
    <row r="171" spans="1:26" ht="13.5" customHeight="1">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row>
    <row r="172" spans="1:26" ht="13.5" customHeight="1">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row>
    <row r="173" spans="1:26" ht="13.5" customHeight="1">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row>
    <row r="174" spans="1:26" ht="13.5" customHeight="1">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row>
    <row r="175" spans="1:26" ht="13.5" customHeight="1">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row>
    <row r="176" spans="1:26" ht="13.5" customHeight="1">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row>
    <row r="177" spans="1:26" ht="13.5" customHeight="1">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row>
    <row r="178" spans="1:26" ht="13.5" customHeight="1">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row>
    <row r="179" spans="1:26" ht="13.5" customHeight="1">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row>
    <row r="180" spans="1:26" ht="13.5" customHeight="1">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row>
    <row r="181" spans="1:26" ht="13.5" customHeight="1">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row>
    <row r="182" spans="1:26" ht="13.5" customHeight="1">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row>
    <row r="183" spans="1:26" ht="13.5" customHeight="1">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row>
    <row r="184" spans="1:26" ht="13.5" customHeight="1">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row>
    <row r="185" spans="1:26" ht="13.5" customHeight="1">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row>
    <row r="186" spans="1:26" ht="13.5" customHeight="1">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row>
    <row r="187" spans="1:26" ht="13.5" customHeight="1">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row>
    <row r="188" spans="1:26" ht="13.5" customHeight="1">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row>
    <row r="189" spans="1:26" ht="13.5" customHeight="1">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row>
    <row r="190" spans="1:26" ht="13.5" customHeight="1">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row>
    <row r="191" spans="1:26" ht="13.5" customHeight="1">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row>
    <row r="192" spans="1:26" ht="13.5" customHeight="1">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row>
    <row r="193" spans="1:26" ht="13.5" customHeight="1">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row>
    <row r="194" spans="1:26" ht="13.5" customHeight="1">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row>
    <row r="195" spans="1:26" ht="13.5" customHeight="1">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row>
    <row r="196" spans="1:26" ht="13.5" customHeight="1">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row>
    <row r="197" spans="1:26" ht="13.5" customHeight="1">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row>
    <row r="198" spans="1:26" ht="13.5" customHeight="1">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row>
    <row r="199" spans="1:26" ht="13.5" customHeight="1">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row>
    <row r="200" spans="1:26" ht="13.5" customHeight="1">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row>
    <row r="201" spans="1:26" ht="13.5" customHeight="1">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row>
    <row r="202" spans="1:26" ht="13.5" customHeight="1">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row>
    <row r="203" spans="1:26" ht="13.5" customHeight="1">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row>
    <row r="204" spans="1:26" ht="13.5" customHeight="1">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row>
    <row r="205" spans="1:26" ht="13.5" customHeight="1">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row>
    <row r="206" spans="1:26" ht="13.5" customHeight="1">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row>
    <row r="207" spans="1:26" ht="13.5" customHeight="1">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row>
    <row r="208" spans="1:26" ht="13.5" customHeight="1">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row>
    <row r="209" spans="1:26" ht="13.5" customHeight="1">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row>
    <row r="210" spans="1:26" ht="13.5" customHeight="1">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row>
    <row r="211" spans="1:26" ht="13.5" customHeight="1">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row>
    <row r="212" spans="1:26" ht="13.5" customHeight="1">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row>
    <row r="213" spans="1:26" ht="13.5" customHeight="1">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row>
    <row r="214" spans="1:26" ht="13.5" customHeight="1">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row>
    <row r="215" spans="1:26" ht="13.5" customHeight="1">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row>
    <row r="216" spans="1:26" ht="13.5" customHeight="1">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row>
    <row r="217" spans="1:26" ht="13.5" customHeight="1">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row>
    <row r="218" spans="1:26" ht="13.5" customHeight="1">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row>
    <row r="219" spans="1:26" ht="13.5" customHeight="1">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row>
    <row r="220" spans="1:26" ht="13.5" customHeight="1">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row>
    <row r="221" spans="1:26" ht="13.5" customHeight="1">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row>
    <row r="222" spans="1:26" ht="13.5" customHeight="1">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row>
    <row r="223" spans="1:26" ht="13.5" customHeight="1">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row>
    <row r="224" spans="1:26" ht="13.5" customHeight="1">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row>
    <row r="225" spans="1:26" ht="13.5" customHeight="1">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row>
    <row r="226" spans="1:26" ht="13.5" customHeight="1">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row>
    <row r="227" spans="1:26" ht="13.5" customHeight="1">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row>
    <row r="228" spans="1:26" ht="13.5" customHeight="1">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row>
    <row r="229" spans="1:26" ht="13.5" customHeight="1">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row>
    <row r="230" spans="1:26" ht="13.5" customHeight="1">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row>
    <row r="231" spans="1:26" ht="13.5" customHeight="1">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row>
    <row r="232" spans="1:26" ht="13.5" customHeight="1">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row>
    <row r="233" spans="1:26" ht="13.5" customHeight="1">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row>
    <row r="234" spans="1:26" ht="13.5" customHeight="1">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row>
    <row r="235" spans="1:26" ht="13.5" customHeight="1">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row>
    <row r="236" spans="1:26" ht="13.5" customHeight="1">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row>
    <row r="237" spans="1:26" ht="13.5" customHeight="1">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row>
    <row r="238" spans="1:26" ht="13.5" customHeight="1">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row>
    <row r="239" spans="1:26" ht="13.5" customHeight="1">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row>
    <row r="240" spans="1:26" ht="13.5" customHeight="1">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row>
    <row r="241" spans="1:26" ht="13.5" customHeight="1">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row>
    <row r="242" spans="1:26" ht="13.5" customHeight="1">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row>
    <row r="243" spans="1:26" ht="13.5" customHeight="1">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row>
    <row r="244" spans="1:26" ht="13.5" customHeight="1">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row>
    <row r="245" spans="1:26" ht="13.5" customHeight="1">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row>
    <row r="246" spans="1:26" ht="13.5" customHeight="1">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row>
    <row r="247" spans="1:26" ht="13.5" customHeight="1">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row>
    <row r="248" spans="1:26" ht="13.5" customHeight="1">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row>
    <row r="249" spans="1:26" ht="13.5" customHeight="1">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row>
    <row r="250" spans="1:26" ht="13.5" customHeight="1">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row>
    <row r="251" spans="1:26" ht="13.5" customHeight="1">
      <c r="A251" s="33"/>
      <c r="B251" s="33"/>
      <c r="C251" s="33"/>
      <c r="D251" s="33"/>
      <c r="E251" s="33"/>
      <c r="F251" s="33"/>
      <c r="G251" s="33"/>
      <c r="H251" s="33"/>
      <c r="I251" s="33"/>
      <c r="J251" s="33"/>
      <c r="K251" s="33"/>
      <c r="L251" s="33"/>
      <c r="M251" s="33"/>
      <c r="N251" s="33"/>
      <c r="O251" s="33"/>
      <c r="P251" s="33"/>
      <c r="Q251" s="33"/>
      <c r="R251" s="33"/>
      <c r="S251" s="33"/>
      <c r="T251" s="33"/>
      <c r="U251" s="33"/>
      <c r="V251" s="33"/>
      <c r="W251" s="33"/>
      <c r="X251" s="33"/>
      <c r="Y251" s="33"/>
      <c r="Z251" s="33"/>
    </row>
    <row r="252" spans="1:26" ht="13.5" customHeight="1">
      <c r="A252" s="33"/>
      <c r="B252" s="33"/>
      <c r="C252" s="33"/>
      <c r="D252" s="33"/>
      <c r="E252" s="33"/>
      <c r="F252" s="33"/>
      <c r="G252" s="33"/>
      <c r="H252" s="33"/>
      <c r="I252" s="33"/>
      <c r="J252" s="33"/>
      <c r="K252" s="33"/>
      <c r="L252" s="33"/>
      <c r="M252" s="33"/>
      <c r="N252" s="33"/>
      <c r="O252" s="33"/>
      <c r="P252" s="33"/>
      <c r="Q252" s="33"/>
      <c r="R252" s="33"/>
      <c r="S252" s="33"/>
      <c r="T252" s="33"/>
      <c r="U252" s="33"/>
      <c r="V252" s="33"/>
      <c r="W252" s="33"/>
      <c r="X252" s="33"/>
      <c r="Y252" s="33"/>
      <c r="Z252" s="33"/>
    </row>
    <row r="253" spans="1:26" ht="13.5" customHeight="1">
      <c r="A253" s="33"/>
      <c r="B253" s="33"/>
      <c r="C253" s="33"/>
      <c r="D253" s="33"/>
      <c r="E253" s="33"/>
      <c r="F253" s="33"/>
      <c r="G253" s="33"/>
      <c r="H253" s="33"/>
      <c r="I253" s="33"/>
      <c r="J253" s="33"/>
      <c r="K253" s="33"/>
      <c r="L253" s="33"/>
      <c r="M253" s="33"/>
      <c r="N253" s="33"/>
      <c r="O253" s="33"/>
      <c r="P253" s="33"/>
      <c r="Q253" s="33"/>
      <c r="R253" s="33"/>
      <c r="S253" s="33"/>
      <c r="T253" s="33"/>
      <c r="U253" s="33"/>
      <c r="V253" s="33"/>
      <c r="W253" s="33"/>
      <c r="X253" s="33"/>
      <c r="Y253" s="33"/>
      <c r="Z253" s="33"/>
    </row>
    <row r="254" spans="1:26" ht="13.5" customHeight="1">
      <c r="A254" s="33"/>
      <c r="B254" s="33"/>
      <c r="C254" s="33"/>
      <c r="D254" s="33"/>
      <c r="E254" s="33"/>
      <c r="F254" s="33"/>
      <c r="G254" s="33"/>
      <c r="H254" s="33"/>
      <c r="I254" s="33"/>
      <c r="J254" s="33"/>
      <c r="K254" s="33"/>
      <c r="L254" s="33"/>
      <c r="M254" s="33"/>
      <c r="N254" s="33"/>
      <c r="O254" s="33"/>
      <c r="P254" s="33"/>
      <c r="Q254" s="33"/>
      <c r="R254" s="33"/>
      <c r="S254" s="33"/>
      <c r="T254" s="33"/>
      <c r="U254" s="33"/>
      <c r="V254" s="33"/>
      <c r="W254" s="33"/>
      <c r="X254" s="33"/>
      <c r="Y254" s="33"/>
      <c r="Z254" s="33"/>
    </row>
    <row r="255" spans="1:26" ht="13.5" customHeight="1">
      <c r="A255" s="33"/>
      <c r="B255" s="33"/>
      <c r="C255" s="33"/>
      <c r="D255" s="33"/>
      <c r="E255" s="33"/>
      <c r="F255" s="33"/>
      <c r="G255" s="33"/>
      <c r="H255" s="33"/>
      <c r="I255" s="33"/>
      <c r="J255" s="33"/>
      <c r="K255" s="33"/>
      <c r="L255" s="33"/>
      <c r="M255" s="33"/>
      <c r="N255" s="33"/>
      <c r="O255" s="33"/>
      <c r="P255" s="33"/>
      <c r="Q255" s="33"/>
      <c r="R255" s="33"/>
      <c r="S255" s="33"/>
      <c r="T255" s="33"/>
      <c r="U255" s="33"/>
      <c r="V255" s="33"/>
      <c r="W255" s="33"/>
      <c r="X255" s="33"/>
      <c r="Y255" s="33"/>
      <c r="Z255" s="33"/>
    </row>
    <row r="256" spans="1:26" ht="13.5" customHeight="1">
      <c r="A256" s="33"/>
      <c r="B256" s="33"/>
      <c r="C256" s="33"/>
      <c r="D256" s="33"/>
      <c r="E256" s="33"/>
      <c r="F256" s="33"/>
      <c r="G256" s="33"/>
      <c r="H256" s="33"/>
      <c r="I256" s="33"/>
      <c r="J256" s="33"/>
      <c r="K256" s="33"/>
      <c r="L256" s="33"/>
      <c r="M256" s="33"/>
      <c r="N256" s="33"/>
      <c r="O256" s="33"/>
      <c r="P256" s="33"/>
      <c r="Q256" s="33"/>
      <c r="R256" s="33"/>
      <c r="S256" s="33"/>
      <c r="T256" s="33"/>
      <c r="U256" s="33"/>
      <c r="V256" s="33"/>
      <c r="W256" s="33"/>
      <c r="X256" s="33"/>
      <c r="Y256" s="33"/>
      <c r="Z256" s="33"/>
    </row>
    <row r="257" spans="1:26" ht="13.5" customHeight="1">
      <c r="A257" s="33"/>
      <c r="B257" s="33"/>
      <c r="C257" s="33"/>
      <c r="D257" s="33"/>
      <c r="E257" s="33"/>
      <c r="F257" s="33"/>
      <c r="G257" s="33"/>
      <c r="H257" s="33"/>
      <c r="I257" s="33"/>
      <c r="J257" s="33"/>
      <c r="K257" s="33"/>
      <c r="L257" s="33"/>
      <c r="M257" s="33"/>
      <c r="N257" s="33"/>
      <c r="O257" s="33"/>
      <c r="P257" s="33"/>
      <c r="Q257" s="33"/>
      <c r="R257" s="33"/>
      <c r="S257" s="33"/>
      <c r="T257" s="33"/>
      <c r="U257" s="33"/>
      <c r="V257" s="33"/>
      <c r="W257" s="33"/>
      <c r="X257" s="33"/>
      <c r="Y257" s="33"/>
      <c r="Z257" s="33"/>
    </row>
    <row r="258" spans="1:26" ht="13.5" customHeight="1">
      <c r="A258" s="33"/>
      <c r="B258" s="33"/>
      <c r="C258" s="33"/>
      <c r="D258" s="33"/>
      <c r="E258" s="33"/>
      <c r="F258" s="33"/>
      <c r="G258" s="33"/>
      <c r="H258" s="33"/>
      <c r="I258" s="33"/>
      <c r="J258" s="33"/>
      <c r="K258" s="33"/>
      <c r="L258" s="33"/>
      <c r="M258" s="33"/>
      <c r="N258" s="33"/>
      <c r="O258" s="33"/>
      <c r="P258" s="33"/>
      <c r="Q258" s="33"/>
      <c r="R258" s="33"/>
      <c r="S258" s="33"/>
      <c r="T258" s="33"/>
      <c r="U258" s="33"/>
      <c r="V258" s="33"/>
      <c r="W258" s="33"/>
      <c r="X258" s="33"/>
      <c r="Y258" s="33"/>
      <c r="Z258" s="33"/>
    </row>
    <row r="259" spans="1:26" ht="13.5" customHeight="1">
      <c r="A259" s="33"/>
      <c r="B259" s="33"/>
      <c r="C259" s="33"/>
      <c r="D259" s="33"/>
      <c r="E259" s="33"/>
      <c r="F259" s="33"/>
      <c r="G259" s="33"/>
      <c r="H259" s="33"/>
      <c r="I259" s="33"/>
      <c r="J259" s="33"/>
      <c r="K259" s="33"/>
      <c r="L259" s="33"/>
      <c r="M259" s="33"/>
      <c r="N259" s="33"/>
      <c r="O259" s="33"/>
      <c r="P259" s="33"/>
      <c r="Q259" s="33"/>
      <c r="R259" s="33"/>
      <c r="S259" s="33"/>
      <c r="T259" s="33"/>
      <c r="U259" s="33"/>
      <c r="V259" s="33"/>
      <c r="W259" s="33"/>
      <c r="X259" s="33"/>
      <c r="Y259" s="33"/>
      <c r="Z259" s="33"/>
    </row>
    <row r="260" spans="1:26" ht="13.5" customHeight="1">
      <c r="A260" s="33"/>
      <c r="B260" s="33"/>
      <c r="C260" s="33"/>
      <c r="D260" s="33"/>
      <c r="E260" s="33"/>
      <c r="F260" s="33"/>
      <c r="G260" s="33"/>
      <c r="H260" s="33"/>
      <c r="I260" s="33"/>
      <c r="J260" s="33"/>
      <c r="K260" s="33"/>
      <c r="L260" s="33"/>
      <c r="M260" s="33"/>
      <c r="N260" s="33"/>
      <c r="O260" s="33"/>
      <c r="P260" s="33"/>
      <c r="Q260" s="33"/>
      <c r="R260" s="33"/>
      <c r="S260" s="33"/>
      <c r="T260" s="33"/>
      <c r="U260" s="33"/>
      <c r="V260" s="33"/>
      <c r="W260" s="33"/>
      <c r="X260" s="33"/>
      <c r="Y260" s="33"/>
      <c r="Z260" s="33"/>
    </row>
    <row r="261" spans="1:26" ht="13.5" customHeight="1">
      <c r="A261" s="33"/>
      <c r="B261" s="33"/>
      <c r="C261" s="33"/>
      <c r="D261" s="33"/>
      <c r="E261" s="33"/>
      <c r="F261" s="33"/>
      <c r="G261" s="33"/>
      <c r="H261" s="33"/>
      <c r="I261" s="33"/>
      <c r="J261" s="33"/>
      <c r="K261" s="33"/>
      <c r="L261" s="33"/>
      <c r="M261" s="33"/>
      <c r="N261" s="33"/>
      <c r="O261" s="33"/>
      <c r="P261" s="33"/>
      <c r="Q261" s="33"/>
      <c r="R261" s="33"/>
      <c r="S261" s="33"/>
      <c r="T261" s="33"/>
      <c r="U261" s="33"/>
      <c r="V261" s="33"/>
      <c r="W261" s="33"/>
      <c r="X261" s="33"/>
      <c r="Y261" s="33"/>
      <c r="Z261" s="33"/>
    </row>
    <row r="262" spans="1:26" ht="13.5" customHeight="1">
      <c r="A262" s="33"/>
      <c r="B262" s="33"/>
      <c r="C262" s="33"/>
      <c r="D262" s="33"/>
      <c r="E262" s="33"/>
      <c r="F262" s="33"/>
      <c r="G262" s="33"/>
      <c r="H262" s="33"/>
      <c r="I262" s="33"/>
      <c r="J262" s="33"/>
      <c r="K262" s="33"/>
      <c r="L262" s="33"/>
      <c r="M262" s="33"/>
      <c r="N262" s="33"/>
      <c r="O262" s="33"/>
      <c r="P262" s="33"/>
      <c r="Q262" s="33"/>
      <c r="R262" s="33"/>
      <c r="S262" s="33"/>
      <c r="T262" s="33"/>
      <c r="U262" s="33"/>
      <c r="V262" s="33"/>
      <c r="W262" s="33"/>
      <c r="X262" s="33"/>
      <c r="Y262" s="33"/>
      <c r="Z262" s="33"/>
    </row>
    <row r="263" spans="1:26" ht="13.5" customHeight="1">
      <c r="A263" s="33"/>
      <c r="B263" s="33"/>
      <c r="C263" s="33"/>
      <c r="D263" s="33"/>
      <c r="E263" s="33"/>
      <c r="F263" s="33"/>
      <c r="G263" s="33"/>
      <c r="H263" s="33"/>
      <c r="I263" s="33"/>
      <c r="J263" s="33"/>
      <c r="K263" s="33"/>
      <c r="L263" s="33"/>
      <c r="M263" s="33"/>
      <c r="N263" s="33"/>
      <c r="O263" s="33"/>
      <c r="P263" s="33"/>
      <c r="Q263" s="33"/>
      <c r="R263" s="33"/>
      <c r="S263" s="33"/>
      <c r="T263" s="33"/>
      <c r="U263" s="33"/>
      <c r="V263" s="33"/>
      <c r="W263" s="33"/>
      <c r="X263" s="33"/>
      <c r="Y263" s="33"/>
      <c r="Z263" s="33"/>
    </row>
    <row r="264" spans="1:26" ht="13.5" customHeight="1">
      <c r="A264" s="33"/>
      <c r="B264" s="33"/>
      <c r="C264" s="33"/>
      <c r="D264" s="33"/>
      <c r="E264" s="33"/>
      <c r="F264" s="33"/>
      <c r="G264" s="33"/>
      <c r="H264" s="33"/>
      <c r="I264" s="33"/>
      <c r="J264" s="33"/>
      <c r="K264" s="33"/>
      <c r="L264" s="33"/>
      <c r="M264" s="33"/>
      <c r="N264" s="33"/>
      <c r="O264" s="33"/>
      <c r="P264" s="33"/>
      <c r="Q264" s="33"/>
      <c r="R264" s="33"/>
      <c r="S264" s="33"/>
      <c r="T264" s="33"/>
      <c r="U264" s="33"/>
      <c r="V264" s="33"/>
      <c r="W264" s="33"/>
      <c r="X264" s="33"/>
      <c r="Y264" s="33"/>
      <c r="Z264" s="33"/>
    </row>
    <row r="265" spans="1:26" ht="13.5" customHeight="1">
      <c r="A265" s="33"/>
      <c r="B265" s="33"/>
      <c r="C265" s="33"/>
      <c r="D265" s="33"/>
      <c r="E265" s="33"/>
      <c r="F265" s="33"/>
      <c r="G265" s="33"/>
      <c r="H265" s="33"/>
      <c r="I265" s="33"/>
      <c r="J265" s="33"/>
      <c r="K265" s="33"/>
      <c r="L265" s="33"/>
      <c r="M265" s="33"/>
      <c r="N265" s="33"/>
      <c r="O265" s="33"/>
      <c r="P265" s="33"/>
      <c r="Q265" s="33"/>
      <c r="R265" s="33"/>
      <c r="S265" s="33"/>
      <c r="T265" s="33"/>
      <c r="U265" s="33"/>
      <c r="V265" s="33"/>
      <c r="W265" s="33"/>
      <c r="X265" s="33"/>
      <c r="Y265" s="33"/>
      <c r="Z265" s="33"/>
    </row>
    <row r="266" spans="1:26" ht="13.5" customHeight="1">
      <c r="A266" s="33"/>
      <c r="B266" s="33"/>
      <c r="C266" s="33"/>
      <c r="D266" s="33"/>
      <c r="E266" s="33"/>
      <c r="F266" s="33"/>
      <c r="G266" s="33"/>
      <c r="H266" s="33"/>
      <c r="I266" s="33"/>
      <c r="J266" s="33"/>
      <c r="K266" s="33"/>
      <c r="L266" s="33"/>
      <c r="M266" s="33"/>
      <c r="N266" s="33"/>
      <c r="O266" s="33"/>
      <c r="P266" s="33"/>
      <c r="Q266" s="33"/>
      <c r="R266" s="33"/>
      <c r="S266" s="33"/>
      <c r="T266" s="33"/>
      <c r="U266" s="33"/>
      <c r="V266" s="33"/>
      <c r="W266" s="33"/>
      <c r="X266" s="33"/>
      <c r="Y266" s="33"/>
      <c r="Z266" s="33"/>
    </row>
    <row r="267" spans="1:26" ht="13.5" customHeight="1">
      <c r="A267" s="33"/>
      <c r="B267" s="33"/>
      <c r="C267" s="33"/>
      <c r="D267" s="33"/>
      <c r="E267" s="33"/>
      <c r="F267" s="33"/>
      <c r="G267" s="33"/>
      <c r="H267" s="33"/>
      <c r="I267" s="33"/>
      <c r="J267" s="33"/>
      <c r="K267" s="33"/>
      <c r="L267" s="33"/>
      <c r="M267" s="33"/>
      <c r="N267" s="33"/>
      <c r="O267" s="33"/>
      <c r="P267" s="33"/>
      <c r="Q267" s="33"/>
      <c r="R267" s="33"/>
      <c r="S267" s="33"/>
      <c r="T267" s="33"/>
      <c r="U267" s="33"/>
      <c r="V267" s="33"/>
      <c r="W267" s="33"/>
      <c r="X267" s="33"/>
      <c r="Y267" s="33"/>
      <c r="Z267" s="33"/>
    </row>
    <row r="268" spans="1:26" ht="13.5" customHeight="1">
      <c r="A268" s="33"/>
      <c r="B268" s="33"/>
      <c r="C268" s="33"/>
      <c r="D268" s="33"/>
      <c r="E268" s="33"/>
      <c r="F268" s="33"/>
      <c r="G268" s="33"/>
      <c r="H268" s="33"/>
      <c r="I268" s="33"/>
      <c r="J268" s="33"/>
      <c r="K268" s="33"/>
      <c r="L268" s="33"/>
      <c r="M268" s="33"/>
      <c r="N268" s="33"/>
      <c r="O268" s="33"/>
      <c r="P268" s="33"/>
      <c r="Q268" s="33"/>
      <c r="R268" s="33"/>
      <c r="S268" s="33"/>
      <c r="T268" s="33"/>
      <c r="U268" s="33"/>
      <c r="V268" s="33"/>
      <c r="W268" s="33"/>
      <c r="X268" s="33"/>
      <c r="Y268" s="33"/>
      <c r="Z268" s="33"/>
    </row>
    <row r="269" spans="1:26" ht="13.5" customHeight="1">
      <c r="A269" s="33"/>
      <c r="B269" s="33"/>
      <c r="C269" s="33"/>
      <c r="D269" s="33"/>
      <c r="E269" s="33"/>
      <c r="F269" s="33"/>
      <c r="G269" s="33"/>
      <c r="H269" s="33"/>
      <c r="I269" s="33"/>
      <c r="J269" s="33"/>
      <c r="K269" s="33"/>
      <c r="L269" s="33"/>
      <c r="M269" s="33"/>
      <c r="N269" s="33"/>
      <c r="O269" s="33"/>
      <c r="P269" s="33"/>
      <c r="Q269" s="33"/>
      <c r="R269" s="33"/>
      <c r="S269" s="33"/>
      <c r="T269" s="33"/>
      <c r="U269" s="33"/>
      <c r="V269" s="33"/>
      <c r="W269" s="33"/>
      <c r="X269" s="33"/>
      <c r="Y269" s="33"/>
      <c r="Z269" s="33"/>
    </row>
    <row r="270" spans="1:26" ht="13.5" customHeight="1">
      <c r="A270" s="33"/>
      <c r="B270" s="33"/>
      <c r="C270" s="33"/>
      <c r="D270" s="33"/>
      <c r="E270" s="33"/>
      <c r="F270" s="33"/>
      <c r="G270" s="33"/>
      <c r="H270" s="33"/>
      <c r="I270" s="33"/>
      <c r="J270" s="33"/>
      <c r="K270" s="33"/>
      <c r="L270" s="33"/>
      <c r="M270" s="33"/>
      <c r="N270" s="33"/>
      <c r="O270" s="33"/>
      <c r="P270" s="33"/>
      <c r="Q270" s="33"/>
      <c r="R270" s="33"/>
      <c r="S270" s="33"/>
      <c r="T270" s="33"/>
      <c r="U270" s="33"/>
      <c r="V270" s="33"/>
      <c r="W270" s="33"/>
      <c r="X270" s="33"/>
      <c r="Y270" s="33"/>
      <c r="Z270" s="33"/>
    </row>
    <row r="271" spans="1:26" ht="13.5" customHeight="1">
      <c r="A271" s="33"/>
      <c r="B271" s="33"/>
      <c r="C271" s="33"/>
      <c r="D271" s="33"/>
      <c r="E271" s="33"/>
      <c r="F271" s="33"/>
      <c r="G271" s="33"/>
      <c r="H271" s="33"/>
      <c r="I271" s="33"/>
      <c r="J271" s="33"/>
      <c r="K271" s="33"/>
      <c r="L271" s="33"/>
      <c r="M271" s="33"/>
      <c r="N271" s="33"/>
      <c r="O271" s="33"/>
      <c r="P271" s="33"/>
      <c r="Q271" s="33"/>
      <c r="R271" s="33"/>
      <c r="S271" s="33"/>
      <c r="T271" s="33"/>
      <c r="U271" s="33"/>
      <c r="V271" s="33"/>
      <c r="W271" s="33"/>
      <c r="X271" s="33"/>
      <c r="Y271" s="33"/>
      <c r="Z271" s="33"/>
    </row>
    <row r="272" spans="1:26" ht="13.5" customHeight="1">
      <c r="A272" s="33"/>
      <c r="B272" s="33"/>
      <c r="C272" s="33"/>
      <c r="D272" s="33"/>
      <c r="E272" s="33"/>
      <c r="F272" s="33"/>
      <c r="G272" s="33"/>
      <c r="H272" s="33"/>
      <c r="I272" s="33"/>
      <c r="J272" s="33"/>
      <c r="K272" s="33"/>
      <c r="L272" s="33"/>
      <c r="M272" s="33"/>
      <c r="N272" s="33"/>
      <c r="O272" s="33"/>
      <c r="P272" s="33"/>
      <c r="Q272" s="33"/>
      <c r="R272" s="33"/>
      <c r="S272" s="33"/>
      <c r="T272" s="33"/>
      <c r="U272" s="33"/>
      <c r="V272" s="33"/>
      <c r="W272" s="33"/>
      <c r="X272" s="33"/>
      <c r="Y272" s="33"/>
      <c r="Z272" s="33"/>
    </row>
    <row r="273" spans="1:26" ht="13.5" customHeight="1">
      <c r="A273" s="33"/>
      <c r="B273" s="33"/>
      <c r="C273" s="33"/>
      <c r="D273" s="33"/>
      <c r="E273" s="33"/>
      <c r="F273" s="33"/>
      <c r="G273" s="33"/>
      <c r="H273" s="33"/>
      <c r="I273" s="33"/>
      <c r="J273" s="33"/>
      <c r="K273" s="33"/>
      <c r="L273" s="33"/>
      <c r="M273" s="33"/>
      <c r="N273" s="33"/>
      <c r="O273" s="33"/>
      <c r="P273" s="33"/>
      <c r="Q273" s="33"/>
      <c r="R273" s="33"/>
      <c r="S273" s="33"/>
      <c r="T273" s="33"/>
      <c r="U273" s="33"/>
      <c r="V273" s="33"/>
      <c r="W273" s="33"/>
      <c r="X273" s="33"/>
      <c r="Y273" s="33"/>
      <c r="Z273" s="33"/>
    </row>
    <row r="274" spans="1:26" ht="13.5" customHeight="1">
      <c r="A274" s="33"/>
      <c r="B274" s="33"/>
      <c r="C274" s="33"/>
      <c r="D274" s="33"/>
      <c r="E274" s="33"/>
      <c r="F274" s="33"/>
      <c r="G274" s="33"/>
      <c r="H274" s="33"/>
      <c r="I274" s="33"/>
      <c r="J274" s="33"/>
      <c r="K274" s="33"/>
      <c r="L274" s="33"/>
      <c r="M274" s="33"/>
      <c r="N274" s="33"/>
      <c r="O274" s="33"/>
      <c r="P274" s="33"/>
      <c r="Q274" s="33"/>
      <c r="R274" s="33"/>
      <c r="S274" s="33"/>
      <c r="T274" s="33"/>
      <c r="U274" s="33"/>
      <c r="V274" s="33"/>
      <c r="W274" s="33"/>
      <c r="X274" s="33"/>
      <c r="Y274" s="33"/>
      <c r="Z274" s="33"/>
    </row>
    <row r="275" spans="1:26" ht="13.5" customHeight="1">
      <c r="A275" s="33"/>
      <c r="B275" s="33"/>
      <c r="C275" s="33"/>
      <c r="D275" s="33"/>
      <c r="E275" s="33"/>
      <c r="F275" s="33"/>
      <c r="G275" s="33"/>
      <c r="H275" s="33"/>
      <c r="I275" s="33"/>
      <c r="J275" s="33"/>
      <c r="K275" s="33"/>
      <c r="L275" s="33"/>
      <c r="M275" s="33"/>
      <c r="N275" s="33"/>
      <c r="O275" s="33"/>
      <c r="P275" s="33"/>
      <c r="Q275" s="33"/>
      <c r="R275" s="33"/>
      <c r="S275" s="33"/>
      <c r="T275" s="33"/>
      <c r="U275" s="33"/>
      <c r="V275" s="33"/>
      <c r="W275" s="33"/>
      <c r="X275" s="33"/>
      <c r="Y275" s="33"/>
      <c r="Z275" s="33"/>
    </row>
    <row r="276" spans="1:26" ht="13.5" customHeight="1">
      <c r="A276" s="33"/>
      <c r="B276" s="33"/>
      <c r="C276" s="33"/>
      <c r="D276" s="33"/>
      <c r="E276" s="33"/>
      <c r="F276" s="33"/>
      <c r="G276" s="33"/>
      <c r="H276" s="33"/>
      <c r="I276" s="33"/>
      <c r="J276" s="33"/>
      <c r="K276" s="33"/>
      <c r="L276" s="33"/>
      <c r="M276" s="33"/>
      <c r="N276" s="33"/>
      <c r="O276" s="33"/>
      <c r="P276" s="33"/>
      <c r="Q276" s="33"/>
      <c r="R276" s="33"/>
      <c r="S276" s="33"/>
      <c r="T276" s="33"/>
      <c r="U276" s="33"/>
      <c r="V276" s="33"/>
      <c r="W276" s="33"/>
      <c r="X276" s="33"/>
      <c r="Y276" s="33"/>
      <c r="Z276" s="33"/>
    </row>
    <row r="277" spans="1:26" ht="13.5" customHeight="1">
      <c r="A277" s="33"/>
      <c r="B277" s="33"/>
      <c r="C277" s="33"/>
      <c r="D277" s="33"/>
      <c r="E277" s="33"/>
      <c r="F277" s="33"/>
      <c r="G277" s="33"/>
      <c r="H277" s="33"/>
      <c r="I277" s="33"/>
      <c r="J277" s="33"/>
      <c r="K277" s="33"/>
      <c r="L277" s="33"/>
      <c r="M277" s="33"/>
      <c r="N277" s="33"/>
      <c r="O277" s="33"/>
      <c r="P277" s="33"/>
      <c r="Q277" s="33"/>
      <c r="R277" s="33"/>
      <c r="S277" s="33"/>
      <c r="T277" s="33"/>
      <c r="U277" s="33"/>
      <c r="V277" s="33"/>
      <c r="W277" s="33"/>
      <c r="X277" s="33"/>
      <c r="Y277" s="33"/>
      <c r="Z277" s="33"/>
    </row>
    <row r="278" spans="1:26" ht="13.5" customHeight="1">
      <c r="A278" s="33"/>
      <c r="B278" s="33"/>
      <c r="C278" s="33"/>
      <c r="D278" s="33"/>
      <c r="E278" s="33"/>
      <c r="F278" s="33"/>
      <c r="G278" s="33"/>
      <c r="H278" s="33"/>
      <c r="I278" s="33"/>
      <c r="J278" s="33"/>
      <c r="K278" s="33"/>
      <c r="L278" s="33"/>
      <c r="M278" s="33"/>
      <c r="N278" s="33"/>
      <c r="O278" s="33"/>
      <c r="P278" s="33"/>
      <c r="Q278" s="33"/>
      <c r="R278" s="33"/>
      <c r="S278" s="33"/>
      <c r="T278" s="33"/>
      <c r="U278" s="33"/>
      <c r="V278" s="33"/>
      <c r="W278" s="33"/>
      <c r="X278" s="33"/>
      <c r="Y278" s="33"/>
      <c r="Z278" s="33"/>
    </row>
    <row r="279" spans="1:26" ht="13.5" customHeight="1">
      <c r="A279" s="33"/>
      <c r="B279" s="33"/>
      <c r="C279" s="33"/>
      <c r="D279" s="33"/>
      <c r="E279" s="33"/>
      <c r="F279" s="33"/>
      <c r="G279" s="33"/>
      <c r="H279" s="33"/>
      <c r="I279" s="33"/>
      <c r="J279" s="33"/>
      <c r="K279" s="33"/>
      <c r="L279" s="33"/>
      <c r="M279" s="33"/>
      <c r="N279" s="33"/>
      <c r="O279" s="33"/>
      <c r="P279" s="33"/>
      <c r="Q279" s="33"/>
      <c r="R279" s="33"/>
      <c r="S279" s="33"/>
      <c r="T279" s="33"/>
      <c r="U279" s="33"/>
      <c r="V279" s="33"/>
      <c r="W279" s="33"/>
      <c r="X279" s="33"/>
      <c r="Y279" s="33"/>
      <c r="Z279" s="33"/>
    </row>
    <row r="280" spans="1:26" ht="13.5" customHeight="1">
      <c r="A280" s="33"/>
      <c r="B280" s="33"/>
      <c r="C280" s="33"/>
      <c r="D280" s="33"/>
      <c r="E280" s="33"/>
      <c r="F280" s="33"/>
      <c r="G280" s="33"/>
      <c r="H280" s="33"/>
      <c r="I280" s="33"/>
      <c r="J280" s="33"/>
      <c r="K280" s="33"/>
      <c r="L280" s="33"/>
      <c r="M280" s="33"/>
      <c r="N280" s="33"/>
      <c r="O280" s="33"/>
      <c r="P280" s="33"/>
      <c r="Q280" s="33"/>
      <c r="R280" s="33"/>
      <c r="S280" s="33"/>
      <c r="T280" s="33"/>
      <c r="U280" s="33"/>
      <c r="V280" s="33"/>
      <c r="W280" s="33"/>
      <c r="X280" s="33"/>
      <c r="Y280" s="33"/>
      <c r="Z280" s="33"/>
    </row>
    <row r="281" spans="1:26" ht="13.5" customHeight="1">
      <c r="A281" s="33"/>
      <c r="B281" s="33"/>
      <c r="C281" s="33"/>
      <c r="D281" s="33"/>
      <c r="E281" s="33"/>
      <c r="F281" s="33"/>
      <c r="G281" s="33"/>
      <c r="H281" s="33"/>
      <c r="I281" s="33"/>
      <c r="J281" s="33"/>
      <c r="K281" s="33"/>
      <c r="L281" s="33"/>
      <c r="M281" s="33"/>
      <c r="N281" s="33"/>
      <c r="O281" s="33"/>
      <c r="P281" s="33"/>
      <c r="Q281" s="33"/>
      <c r="R281" s="33"/>
      <c r="S281" s="33"/>
      <c r="T281" s="33"/>
      <c r="U281" s="33"/>
      <c r="V281" s="33"/>
      <c r="W281" s="33"/>
      <c r="X281" s="33"/>
      <c r="Y281" s="33"/>
      <c r="Z281" s="33"/>
    </row>
    <row r="282" spans="1:26" ht="13.5" customHeight="1">
      <c r="A282" s="33"/>
      <c r="B282" s="33"/>
      <c r="C282" s="33"/>
      <c r="D282" s="33"/>
      <c r="E282" s="33"/>
      <c r="F282" s="33"/>
      <c r="G282" s="33"/>
      <c r="H282" s="33"/>
      <c r="I282" s="33"/>
      <c r="J282" s="33"/>
      <c r="K282" s="33"/>
      <c r="L282" s="33"/>
      <c r="M282" s="33"/>
      <c r="N282" s="33"/>
      <c r="O282" s="33"/>
      <c r="P282" s="33"/>
      <c r="Q282" s="33"/>
      <c r="R282" s="33"/>
      <c r="S282" s="33"/>
      <c r="T282" s="33"/>
      <c r="U282" s="33"/>
      <c r="V282" s="33"/>
      <c r="W282" s="33"/>
      <c r="X282" s="33"/>
      <c r="Y282" s="33"/>
      <c r="Z282" s="33"/>
    </row>
    <row r="283" spans="1:26" ht="13.5" customHeight="1">
      <c r="A283" s="33"/>
      <c r="B283" s="33"/>
      <c r="C283" s="33"/>
      <c r="D283" s="33"/>
      <c r="E283" s="33"/>
      <c r="F283" s="33"/>
      <c r="G283" s="33"/>
      <c r="H283" s="33"/>
      <c r="I283" s="33"/>
      <c r="J283" s="33"/>
      <c r="K283" s="33"/>
      <c r="L283" s="33"/>
      <c r="M283" s="33"/>
      <c r="N283" s="33"/>
      <c r="O283" s="33"/>
      <c r="P283" s="33"/>
      <c r="Q283" s="33"/>
      <c r="R283" s="33"/>
      <c r="S283" s="33"/>
      <c r="T283" s="33"/>
      <c r="U283" s="33"/>
      <c r="V283" s="33"/>
      <c r="W283" s="33"/>
      <c r="X283" s="33"/>
      <c r="Y283" s="33"/>
      <c r="Z283" s="33"/>
    </row>
    <row r="284" spans="1:26" ht="13.5" customHeight="1">
      <c r="A284" s="33"/>
      <c r="B284" s="33"/>
      <c r="C284" s="33"/>
      <c r="D284" s="33"/>
      <c r="E284" s="33"/>
      <c r="F284" s="33"/>
      <c r="G284" s="33"/>
      <c r="H284" s="33"/>
      <c r="I284" s="33"/>
      <c r="J284" s="33"/>
      <c r="K284" s="33"/>
      <c r="L284" s="33"/>
      <c r="M284" s="33"/>
      <c r="N284" s="33"/>
      <c r="O284" s="33"/>
      <c r="P284" s="33"/>
      <c r="Q284" s="33"/>
      <c r="R284" s="33"/>
      <c r="S284" s="33"/>
      <c r="T284" s="33"/>
      <c r="U284" s="33"/>
      <c r="V284" s="33"/>
      <c r="W284" s="33"/>
      <c r="X284" s="33"/>
      <c r="Y284" s="33"/>
      <c r="Z284" s="33"/>
    </row>
    <row r="285" spans="1:26" ht="13.5" customHeight="1">
      <c r="A285" s="33"/>
      <c r="B285" s="33"/>
      <c r="C285" s="33"/>
      <c r="D285" s="33"/>
      <c r="E285" s="33"/>
      <c r="F285" s="33"/>
      <c r="G285" s="33"/>
      <c r="H285" s="33"/>
      <c r="I285" s="33"/>
      <c r="J285" s="33"/>
      <c r="K285" s="33"/>
      <c r="L285" s="33"/>
      <c r="M285" s="33"/>
      <c r="N285" s="33"/>
      <c r="O285" s="33"/>
      <c r="P285" s="33"/>
      <c r="Q285" s="33"/>
      <c r="R285" s="33"/>
      <c r="S285" s="33"/>
      <c r="T285" s="33"/>
      <c r="U285" s="33"/>
      <c r="V285" s="33"/>
      <c r="W285" s="33"/>
      <c r="X285" s="33"/>
      <c r="Y285" s="33"/>
      <c r="Z285" s="33"/>
    </row>
    <row r="286" spans="1:26" ht="13.5" customHeight="1">
      <c r="A286" s="33"/>
      <c r="B286" s="33"/>
      <c r="C286" s="33"/>
      <c r="D286" s="33"/>
      <c r="E286" s="33"/>
      <c r="F286" s="33"/>
      <c r="G286" s="33"/>
      <c r="H286" s="33"/>
      <c r="I286" s="33"/>
      <c r="J286" s="33"/>
      <c r="K286" s="33"/>
      <c r="L286" s="33"/>
      <c r="M286" s="33"/>
      <c r="N286" s="33"/>
      <c r="O286" s="33"/>
      <c r="P286" s="33"/>
      <c r="Q286" s="33"/>
      <c r="R286" s="33"/>
      <c r="S286" s="33"/>
      <c r="T286" s="33"/>
      <c r="U286" s="33"/>
      <c r="V286" s="33"/>
      <c r="W286" s="33"/>
      <c r="X286" s="33"/>
      <c r="Y286" s="33"/>
      <c r="Z286" s="33"/>
    </row>
    <row r="287" spans="1:26" ht="13.5" customHeight="1">
      <c r="A287" s="33"/>
      <c r="B287" s="33"/>
      <c r="C287" s="33"/>
      <c r="D287" s="33"/>
      <c r="E287" s="33"/>
      <c r="F287" s="33"/>
      <c r="G287" s="33"/>
      <c r="H287" s="33"/>
      <c r="I287" s="33"/>
      <c r="J287" s="33"/>
      <c r="K287" s="33"/>
      <c r="L287" s="33"/>
      <c r="M287" s="33"/>
      <c r="N287" s="33"/>
      <c r="O287" s="33"/>
      <c r="P287" s="33"/>
      <c r="Q287" s="33"/>
      <c r="R287" s="33"/>
      <c r="S287" s="33"/>
      <c r="T287" s="33"/>
      <c r="U287" s="33"/>
      <c r="V287" s="33"/>
      <c r="W287" s="33"/>
      <c r="X287" s="33"/>
      <c r="Y287" s="33"/>
      <c r="Z287" s="33"/>
    </row>
    <row r="288" spans="1:26" ht="13.5" customHeight="1">
      <c r="A288" s="33"/>
      <c r="B288" s="33"/>
      <c r="C288" s="33"/>
      <c r="D288" s="33"/>
      <c r="E288" s="33"/>
      <c r="F288" s="33"/>
      <c r="G288" s="33"/>
      <c r="H288" s="33"/>
      <c r="I288" s="33"/>
      <c r="J288" s="33"/>
      <c r="K288" s="33"/>
      <c r="L288" s="33"/>
      <c r="M288" s="33"/>
      <c r="N288" s="33"/>
      <c r="O288" s="33"/>
      <c r="P288" s="33"/>
      <c r="Q288" s="33"/>
      <c r="R288" s="33"/>
      <c r="S288" s="33"/>
      <c r="T288" s="33"/>
      <c r="U288" s="33"/>
      <c r="V288" s="33"/>
      <c r="W288" s="33"/>
      <c r="X288" s="33"/>
      <c r="Y288" s="33"/>
      <c r="Z288" s="33"/>
    </row>
    <row r="289" spans="1:26" ht="13.5" customHeight="1">
      <c r="A289" s="33"/>
      <c r="B289" s="33"/>
      <c r="C289" s="33"/>
      <c r="D289" s="33"/>
      <c r="E289" s="33"/>
      <c r="F289" s="33"/>
      <c r="G289" s="33"/>
      <c r="H289" s="33"/>
      <c r="I289" s="33"/>
      <c r="J289" s="33"/>
      <c r="K289" s="33"/>
      <c r="L289" s="33"/>
      <c r="M289" s="33"/>
      <c r="N289" s="33"/>
      <c r="O289" s="33"/>
      <c r="P289" s="33"/>
      <c r="Q289" s="33"/>
      <c r="R289" s="33"/>
      <c r="S289" s="33"/>
      <c r="T289" s="33"/>
      <c r="U289" s="33"/>
      <c r="V289" s="33"/>
      <c r="W289" s="33"/>
      <c r="X289" s="33"/>
      <c r="Y289" s="33"/>
      <c r="Z289" s="33"/>
    </row>
    <row r="290" spans="1:26" ht="13.5" customHeight="1">
      <c r="A290" s="33"/>
      <c r="B290" s="33"/>
      <c r="C290" s="33"/>
      <c r="D290" s="33"/>
      <c r="E290" s="33"/>
      <c r="F290" s="33"/>
      <c r="G290" s="33"/>
      <c r="H290" s="33"/>
      <c r="I290" s="33"/>
      <c r="J290" s="33"/>
      <c r="K290" s="33"/>
      <c r="L290" s="33"/>
      <c r="M290" s="33"/>
      <c r="N290" s="33"/>
      <c r="O290" s="33"/>
      <c r="P290" s="33"/>
      <c r="Q290" s="33"/>
      <c r="R290" s="33"/>
      <c r="S290" s="33"/>
      <c r="T290" s="33"/>
      <c r="U290" s="33"/>
      <c r="V290" s="33"/>
      <c r="W290" s="33"/>
      <c r="X290" s="33"/>
      <c r="Y290" s="33"/>
      <c r="Z290" s="33"/>
    </row>
    <row r="291" spans="1:26" ht="13.5" customHeight="1">
      <c r="A291" s="33"/>
      <c r="B291" s="33"/>
      <c r="C291" s="33"/>
      <c r="D291" s="33"/>
      <c r="E291" s="33"/>
      <c r="F291" s="33"/>
      <c r="G291" s="33"/>
      <c r="H291" s="33"/>
      <c r="I291" s="33"/>
      <c r="J291" s="33"/>
      <c r="K291" s="33"/>
      <c r="L291" s="33"/>
      <c r="M291" s="33"/>
      <c r="N291" s="33"/>
      <c r="O291" s="33"/>
      <c r="P291" s="33"/>
      <c r="Q291" s="33"/>
      <c r="R291" s="33"/>
      <c r="S291" s="33"/>
      <c r="T291" s="33"/>
      <c r="U291" s="33"/>
      <c r="V291" s="33"/>
      <c r="W291" s="33"/>
      <c r="X291" s="33"/>
      <c r="Y291" s="33"/>
      <c r="Z291" s="33"/>
    </row>
    <row r="292" spans="1:26" ht="13.5" customHeight="1">
      <c r="A292" s="33"/>
      <c r="B292" s="33"/>
      <c r="C292" s="33"/>
      <c r="D292" s="33"/>
      <c r="E292" s="33"/>
      <c r="F292" s="33"/>
      <c r="G292" s="33"/>
      <c r="H292" s="33"/>
      <c r="I292" s="33"/>
      <c r="J292" s="33"/>
      <c r="K292" s="33"/>
      <c r="L292" s="33"/>
      <c r="M292" s="33"/>
      <c r="N292" s="33"/>
      <c r="O292" s="33"/>
      <c r="P292" s="33"/>
      <c r="Q292" s="33"/>
      <c r="R292" s="33"/>
      <c r="S292" s="33"/>
      <c r="T292" s="33"/>
      <c r="U292" s="33"/>
      <c r="V292" s="33"/>
      <c r="W292" s="33"/>
      <c r="X292" s="33"/>
      <c r="Y292" s="33"/>
      <c r="Z292" s="33"/>
    </row>
    <row r="293" spans="1:26" ht="13.5" customHeight="1">
      <c r="A293" s="33"/>
      <c r="B293" s="33"/>
      <c r="C293" s="33"/>
      <c r="D293" s="33"/>
      <c r="E293" s="33"/>
      <c r="F293" s="33"/>
      <c r="G293" s="33"/>
      <c r="H293" s="33"/>
      <c r="I293" s="33"/>
      <c r="J293" s="33"/>
      <c r="K293" s="33"/>
      <c r="L293" s="33"/>
      <c r="M293" s="33"/>
      <c r="N293" s="33"/>
      <c r="O293" s="33"/>
      <c r="P293" s="33"/>
      <c r="Q293" s="33"/>
      <c r="R293" s="33"/>
      <c r="S293" s="33"/>
      <c r="T293" s="33"/>
      <c r="U293" s="33"/>
      <c r="V293" s="33"/>
      <c r="W293" s="33"/>
      <c r="X293" s="33"/>
      <c r="Y293" s="33"/>
      <c r="Z293" s="33"/>
    </row>
    <row r="294" spans="1:26" ht="13.5" customHeight="1">
      <c r="A294" s="33"/>
      <c r="B294" s="33"/>
      <c r="C294" s="33"/>
      <c r="D294" s="33"/>
      <c r="E294" s="33"/>
      <c r="F294" s="33"/>
      <c r="G294" s="33"/>
      <c r="H294" s="33"/>
      <c r="I294" s="33"/>
      <c r="J294" s="33"/>
      <c r="K294" s="33"/>
      <c r="L294" s="33"/>
      <c r="M294" s="33"/>
      <c r="N294" s="33"/>
      <c r="O294" s="33"/>
      <c r="P294" s="33"/>
      <c r="Q294" s="33"/>
      <c r="R294" s="33"/>
      <c r="S294" s="33"/>
      <c r="T294" s="33"/>
      <c r="U294" s="33"/>
      <c r="V294" s="33"/>
      <c r="W294" s="33"/>
      <c r="X294" s="33"/>
      <c r="Y294" s="33"/>
      <c r="Z294" s="33"/>
    </row>
    <row r="295" spans="1:26" ht="13.5" customHeight="1">
      <c r="A295" s="33"/>
      <c r="B295" s="33"/>
      <c r="C295" s="33"/>
      <c r="D295" s="33"/>
      <c r="E295" s="33"/>
      <c r="F295" s="33"/>
      <c r="G295" s="33"/>
      <c r="H295" s="33"/>
      <c r="I295" s="33"/>
      <c r="J295" s="33"/>
      <c r="K295" s="33"/>
      <c r="L295" s="33"/>
      <c r="M295" s="33"/>
      <c r="N295" s="33"/>
      <c r="O295" s="33"/>
      <c r="P295" s="33"/>
      <c r="Q295" s="33"/>
      <c r="R295" s="33"/>
      <c r="S295" s="33"/>
      <c r="T295" s="33"/>
      <c r="U295" s="33"/>
      <c r="V295" s="33"/>
      <c r="W295" s="33"/>
      <c r="X295" s="33"/>
      <c r="Y295" s="33"/>
      <c r="Z295" s="33"/>
    </row>
    <row r="296" spans="1:26" ht="13.5" customHeight="1">
      <c r="A296" s="33"/>
      <c r="B296" s="33"/>
      <c r="C296" s="33"/>
      <c r="D296" s="33"/>
      <c r="E296" s="33"/>
      <c r="F296" s="33"/>
      <c r="G296" s="33"/>
      <c r="H296" s="33"/>
      <c r="I296" s="33"/>
      <c r="J296" s="33"/>
      <c r="K296" s="33"/>
      <c r="L296" s="33"/>
      <c r="M296" s="33"/>
      <c r="N296" s="33"/>
      <c r="O296" s="33"/>
      <c r="P296" s="33"/>
      <c r="Q296" s="33"/>
      <c r="R296" s="33"/>
      <c r="S296" s="33"/>
      <c r="T296" s="33"/>
      <c r="U296" s="33"/>
      <c r="V296" s="33"/>
      <c r="W296" s="33"/>
      <c r="X296" s="33"/>
      <c r="Y296" s="33"/>
      <c r="Z296" s="33"/>
    </row>
    <row r="297" spans="1:26" ht="13.5" customHeight="1">
      <c r="A297" s="33"/>
      <c r="B297" s="33"/>
      <c r="C297" s="33"/>
      <c r="D297" s="33"/>
      <c r="E297" s="33"/>
      <c r="F297" s="33"/>
      <c r="G297" s="33"/>
      <c r="H297" s="33"/>
      <c r="I297" s="33"/>
      <c r="J297" s="33"/>
      <c r="K297" s="33"/>
      <c r="L297" s="33"/>
      <c r="M297" s="33"/>
      <c r="N297" s="33"/>
      <c r="O297" s="33"/>
      <c r="P297" s="33"/>
      <c r="Q297" s="33"/>
      <c r="R297" s="33"/>
      <c r="S297" s="33"/>
      <c r="T297" s="33"/>
      <c r="U297" s="33"/>
      <c r="V297" s="33"/>
      <c r="W297" s="33"/>
      <c r="X297" s="33"/>
      <c r="Y297" s="33"/>
      <c r="Z297" s="33"/>
    </row>
    <row r="298" spans="1:26" ht="13.5" customHeight="1">
      <c r="A298" s="33"/>
      <c r="B298" s="33"/>
      <c r="C298" s="33"/>
      <c r="D298" s="33"/>
      <c r="E298" s="33"/>
      <c r="F298" s="33"/>
      <c r="G298" s="33"/>
      <c r="H298" s="33"/>
      <c r="I298" s="33"/>
      <c r="J298" s="33"/>
      <c r="K298" s="33"/>
      <c r="L298" s="33"/>
      <c r="M298" s="33"/>
      <c r="N298" s="33"/>
      <c r="O298" s="33"/>
      <c r="P298" s="33"/>
      <c r="Q298" s="33"/>
      <c r="R298" s="33"/>
      <c r="S298" s="33"/>
      <c r="T298" s="33"/>
      <c r="U298" s="33"/>
      <c r="V298" s="33"/>
      <c r="W298" s="33"/>
      <c r="X298" s="33"/>
      <c r="Y298" s="33"/>
      <c r="Z298" s="33"/>
    </row>
    <row r="299" spans="1:26" ht="13.5" customHeight="1">
      <c r="A299" s="33"/>
      <c r="B299" s="33"/>
      <c r="C299" s="33"/>
      <c r="D299" s="33"/>
      <c r="E299" s="33"/>
      <c r="F299" s="33"/>
      <c r="G299" s="33"/>
      <c r="H299" s="33"/>
      <c r="I299" s="33"/>
      <c r="J299" s="33"/>
      <c r="K299" s="33"/>
      <c r="L299" s="33"/>
      <c r="M299" s="33"/>
      <c r="N299" s="33"/>
      <c r="O299" s="33"/>
      <c r="P299" s="33"/>
      <c r="Q299" s="33"/>
      <c r="R299" s="33"/>
      <c r="S299" s="33"/>
      <c r="T299" s="33"/>
      <c r="U299" s="33"/>
      <c r="V299" s="33"/>
      <c r="W299" s="33"/>
      <c r="X299" s="33"/>
      <c r="Y299" s="33"/>
      <c r="Z299" s="33"/>
    </row>
    <row r="300" spans="1:26" ht="13.5" customHeight="1">
      <c r="A300" s="33"/>
      <c r="B300" s="33"/>
      <c r="C300" s="33"/>
      <c r="D300" s="33"/>
      <c r="E300" s="33"/>
      <c r="F300" s="33"/>
      <c r="G300" s="33"/>
      <c r="H300" s="33"/>
      <c r="I300" s="33"/>
      <c r="J300" s="33"/>
      <c r="K300" s="33"/>
      <c r="L300" s="33"/>
      <c r="M300" s="33"/>
      <c r="N300" s="33"/>
      <c r="O300" s="33"/>
      <c r="P300" s="33"/>
      <c r="Q300" s="33"/>
      <c r="R300" s="33"/>
      <c r="S300" s="33"/>
      <c r="T300" s="33"/>
      <c r="U300" s="33"/>
      <c r="V300" s="33"/>
      <c r="W300" s="33"/>
      <c r="X300" s="33"/>
      <c r="Y300" s="33"/>
      <c r="Z300" s="33"/>
    </row>
    <row r="301" spans="1:26" ht="13.5" customHeight="1">
      <c r="A301" s="33"/>
      <c r="B301" s="33"/>
      <c r="C301" s="33"/>
      <c r="D301" s="33"/>
      <c r="E301" s="33"/>
      <c r="F301" s="33"/>
      <c r="G301" s="33"/>
      <c r="H301" s="33"/>
      <c r="I301" s="33"/>
      <c r="J301" s="33"/>
      <c r="K301" s="33"/>
      <c r="L301" s="33"/>
      <c r="M301" s="33"/>
      <c r="N301" s="33"/>
      <c r="O301" s="33"/>
      <c r="P301" s="33"/>
      <c r="Q301" s="33"/>
      <c r="R301" s="33"/>
      <c r="S301" s="33"/>
      <c r="T301" s="33"/>
      <c r="U301" s="33"/>
      <c r="V301" s="33"/>
      <c r="W301" s="33"/>
      <c r="X301" s="33"/>
      <c r="Y301" s="33"/>
      <c r="Z301" s="33"/>
    </row>
    <row r="302" spans="1:26" ht="13.5" customHeight="1">
      <c r="A302" s="33"/>
      <c r="B302" s="33"/>
      <c r="C302" s="33"/>
      <c r="D302" s="33"/>
      <c r="E302" s="33"/>
      <c r="F302" s="33"/>
      <c r="G302" s="33"/>
      <c r="H302" s="33"/>
      <c r="I302" s="33"/>
      <c r="J302" s="33"/>
      <c r="K302" s="33"/>
      <c r="L302" s="33"/>
      <c r="M302" s="33"/>
      <c r="N302" s="33"/>
      <c r="O302" s="33"/>
      <c r="P302" s="33"/>
      <c r="Q302" s="33"/>
      <c r="R302" s="33"/>
      <c r="S302" s="33"/>
      <c r="T302" s="33"/>
      <c r="U302" s="33"/>
      <c r="V302" s="33"/>
      <c r="W302" s="33"/>
      <c r="X302" s="33"/>
      <c r="Y302" s="33"/>
      <c r="Z302" s="33"/>
    </row>
    <row r="303" spans="1:26" ht="13.5" customHeight="1">
      <c r="A303" s="33"/>
      <c r="B303" s="33"/>
      <c r="C303" s="33"/>
      <c r="D303" s="33"/>
      <c r="E303" s="33"/>
      <c r="F303" s="33"/>
      <c r="G303" s="33"/>
      <c r="H303" s="33"/>
      <c r="I303" s="33"/>
      <c r="J303" s="33"/>
      <c r="K303" s="33"/>
      <c r="L303" s="33"/>
      <c r="M303" s="33"/>
      <c r="N303" s="33"/>
      <c r="O303" s="33"/>
      <c r="P303" s="33"/>
      <c r="Q303" s="33"/>
      <c r="R303" s="33"/>
      <c r="S303" s="33"/>
      <c r="T303" s="33"/>
      <c r="U303" s="33"/>
      <c r="V303" s="33"/>
      <c r="W303" s="33"/>
      <c r="X303" s="33"/>
      <c r="Y303" s="33"/>
      <c r="Z303" s="33"/>
    </row>
    <row r="304" spans="1:26" ht="13.5" customHeight="1">
      <c r="A304" s="33"/>
      <c r="B304" s="33"/>
      <c r="C304" s="33"/>
      <c r="D304" s="33"/>
      <c r="E304" s="33"/>
      <c r="F304" s="33"/>
      <c r="G304" s="33"/>
      <c r="H304" s="33"/>
      <c r="I304" s="33"/>
      <c r="J304" s="33"/>
      <c r="K304" s="33"/>
      <c r="L304" s="33"/>
      <c r="M304" s="33"/>
      <c r="N304" s="33"/>
      <c r="O304" s="33"/>
      <c r="P304" s="33"/>
      <c r="Q304" s="33"/>
      <c r="R304" s="33"/>
      <c r="S304" s="33"/>
      <c r="T304" s="33"/>
      <c r="U304" s="33"/>
      <c r="V304" s="33"/>
      <c r="W304" s="33"/>
      <c r="X304" s="33"/>
      <c r="Y304" s="33"/>
      <c r="Z304" s="33"/>
    </row>
    <row r="305" spans="1:26" ht="13.5" customHeight="1">
      <c r="A305" s="33"/>
      <c r="B305" s="33"/>
      <c r="C305" s="33"/>
      <c r="D305" s="33"/>
      <c r="E305" s="33"/>
      <c r="F305" s="33"/>
      <c r="G305" s="33"/>
      <c r="H305" s="33"/>
      <c r="I305" s="33"/>
      <c r="J305" s="33"/>
      <c r="K305" s="33"/>
      <c r="L305" s="33"/>
      <c r="M305" s="33"/>
      <c r="N305" s="33"/>
      <c r="O305" s="33"/>
      <c r="P305" s="33"/>
      <c r="Q305" s="33"/>
      <c r="R305" s="33"/>
      <c r="S305" s="33"/>
      <c r="T305" s="33"/>
      <c r="U305" s="33"/>
      <c r="V305" s="33"/>
      <c r="W305" s="33"/>
      <c r="X305" s="33"/>
      <c r="Y305" s="33"/>
      <c r="Z305" s="33"/>
    </row>
    <row r="306" spans="1:26" ht="13.5" customHeight="1">
      <c r="A306" s="33"/>
      <c r="B306" s="33"/>
      <c r="C306" s="33"/>
      <c r="D306" s="33"/>
      <c r="E306" s="33"/>
      <c r="F306" s="33"/>
      <c r="G306" s="33"/>
      <c r="H306" s="33"/>
      <c r="I306" s="33"/>
      <c r="J306" s="33"/>
      <c r="K306" s="33"/>
      <c r="L306" s="33"/>
      <c r="M306" s="33"/>
      <c r="N306" s="33"/>
      <c r="O306" s="33"/>
      <c r="P306" s="33"/>
      <c r="Q306" s="33"/>
      <c r="R306" s="33"/>
      <c r="S306" s="33"/>
      <c r="T306" s="33"/>
      <c r="U306" s="33"/>
      <c r="V306" s="33"/>
      <c r="W306" s="33"/>
      <c r="X306" s="33"/>
      <c r="Y306" s="33"/>
      <c r="Z306" s="33"/>
    </row>
    <row r="307" spans="1:26" ht="13.5" customHeight="1">
      <c r="A307" s="33"/>
      <c r="B307" s="33"/>
      <c r="C307" s="33"/>
      <c r="D307" s="33"/>
      <c r="E307" s="33"/>
      <c r="F307" s="33"/>
      <c r="G307" s="33"/>
      <c r="H307" s="33"/>
      <c r="I307" s="33"/>
      <c r="J307" s="33"/>
      <c r="K307" s="33"/>
      <c r="L307" s="33"/>
      <c r="M307" s="33"/>
      <c r="N307" s="33"/>
      <c r="O307" s="33"/>
      <c r="P307" s="33"/>
      <c r="Q307" s="33"/>
      <c r="R307" s="33"/>
      <c r="S307" s="33"/>
      <c r="T307" s="33"/>
      <c r="U307" s="33"/>
      <c r="V307" s="33"/>
      <c r="W307" s="33"/>
      <c r="X307" s="33"/>
      <c r="Y307" s="33"/>
      <c r="Z307" s="33"/>
    </row>
    <row r="308" spans="1:26" ht="13.5" customHeight="1">
      <c r="A308" s="33"/>
      <c r="B308" s="33"/>
      <c r="C308" s="33"/>
      <c r="D308" s="33"/>
      <c r="E308" s="33"/>
      <c r="F308" s="33"/>
      <c r="G308" s="33"/>
      <c r="H308" s="33"/>
      <c r="I308" s="33"/>
      <c r="J308" s="33"/>
      <c r="K308" s="33"/>
      <c r="L308" s="33"/>
      <c r="M308" s="33"/>
      <c r="N308" s="33"/>
      <c r="O308" s="33"/>
      <c r="P308" s="33"/>
      <c r="Q308" s="33"/>
      <c r="R308" s="33"/>
      <c r="S308" s="33"/>
      <c r="T308" s="33"/>
      <c r="U308" s="33"/>
      <c r="V308" s="33"/>
      <c r="W308" s="33"/>
      <c r="X308" s="33"/>
      <c r="Y308" s="33"/>
      <c r="Z308" s="33"/>
    </row>
    <row r="309" spans="1:26" ht="13.5" customHeight="1">
      <c r="A309" s="33"/>
      <c r="B309" s="33"/>
      <c r="C309" s="33"/>
      <c r="D309" s="33"/>
      <c r="E309" s="33"/>
      <c r="F309" s="33"/>
      <c r="G309" s="33"/>
      <c r="H309" s="33"/>
      <c r="I309" s="33"/>
      <c r="J309" s="33"/>
      <c r="K309" s="33"/>
      <c r="L309" s="33"/>
      <c r="M309" s="33"/>
      <c r="N309" s="33"/>
      <c r="O309" s="33"/>
      <c r="P309" s="33"/>
      <c r="Q309" s="33"/>
      <c r="R309" s="33"/>
      <c r="S309" s="33"/>
      <c r="T309" s="33"/>
      <c r="U309" s="33"/>
      <c r="V309" s="33"/>
      <c r="W309" s="33"/>
      <c r="X309" s="33"/>
      <c r="Y309" s="33"/>
      <c r="Z309" s="33"/>
    </row>
    <row r="310" spans="1:26" ht="13.5" customHeight="1">
      <c r="A310" s="33"/>
      <c r="B310" s="33"/>
      <c r="C310" s="33"/>
      <c r="D310" s="33"/>
      <c r="E310" s="33"/>
      <c r="F310" s="33"/>
      <c r="G310" s="33"/>
      <c r="H310" s="33"/>
      <c r="I310" s="33"/>
      <c r="J310" s="33"/>
      <c r="K310" s="33"/>
      <c r="L310" s="33"/>
      <c r="M310" s="33"/>
      <c r="N310" s="33"/>
      <c r="O310" s="33"/>
      <c r="P310" s="33"/>
      <c r="Q310" s="33"/>
      <c r="R310" s="33"/>
      <c r="S310" s="33"/>
      <c r="T310" s="33"/>
      <c r="U310" s="33"/>
      <c r="V310" s="33"/>
      <c r="W310" s="33"/>
      <c r="X310" s="33"/>
      <c r="Y310" s="33"/>
      <c r="Z310" s="33"/>
    </row>
    <row r="311" spans="1:26" ht="13.5" customHeight="1">
      <c r="A311" s="33"/>
      <c r="B311" s="33"/>
      <c r="C311" s="33"/>
      <c r="D311" s="33"/>
      <c r="E311" s="33"/>
      <c r="F311" s="33"/>
      <c r="G311" s="33"/>
      <c r="H311" s="33"/>
      <c r="I311" s="33"/>
      <c r="J311" s="33"/>
      <c r="K311" s="33"/>
      <c r="L311" s="33"/>
      <c r="M311" s="33"/>
      <c r="N311" s="33"/>
      <c r="O311" s="33"/>
      <c r="P311" s="33"/>
      <c r="Q311" s="33"/>
      <c r="R311" s="33"/>
      <c r="S311" s="33"/>
      <c r="T311" s="33"/>
      <c r="U311" s="33"/>
      <c r="V311" s="33"/>
      <c r="W311" s="33"/>
      <c r="X311" s="33"/>
      <c r="Y311" s="33"/>
      <c r="Z311" s="33"/>
    </row>
    <row r="312" spans="1:26" ht="13.5" customHeight="1">
      <c r="A312" s="33"/>
      <c r="B312" s="33"/>
      <c r="C312" s="33"/>
      <c r="D312" s="33"/>
      <c r="E312" s="33"/>
      <c r="F312" s="33"/>
      <c r="G312" s="33"/>
      <c r="H312" s="33"/>
      <c r="I312" s="33"/>
      <c r="J312" s="33"/>
      <c r="K312" s="33"/>
      <c r="L312" s="33"/>
      <c r="M312" s="33"/>
      <c r="N312" s="33"/>
      <c r="O312" s="33"/>
      <c r="P312" s="33"/>
      <c r="Q312" s="33"/>
      <c r="R312" s="33"/>
      <c r="S312" s="33"/>
      <c r="T312" s="33"/>
      <c r="U312" s="33"/>
      <c r="V312" s="33"/>
      <c r="W312" s="33"/>
      <c r="X312" s="33"/>
      <c r="Y312" s="33"/>
      <c r="Z312" s="33"/>
    </row>
    <row r="313" spans="1:26" ht="13.5" customHeight="1">
      <c r="A313" s="33"/>
      <c r="B313" s="33"/>
      <c r="C313" s="33"/>
      <c r="D313" s="33"/>
      <c r="E313" s="33"/>
      <c r="F313" s="33"/>
      <c r="G313" s="33"/>
      <c r="H313" s="33"/>
      <c r="I313" s="33"/>
      <c r="J313" s="33"/>
      <c r="K313" s="33"/>
      <c r="L313" s="33"/>
      <c r="M313" s="33"/>
      <c r="N313" s="33"/>
      <c r="O313" s="33"/>
      <c r="P313" s="33"/>
      <c r="Q313" s="33"/>
      <c r="R313" s="33"/>
      <c r="S313" s="33"/>
      <c r="T313" s="33"/>
      <c r="U313" s="33"/>
      <c r="V313" s="33"/>
      <c r="W313" s="33"/>
      <c r="X313" s="33"/>
      <c r="Y313" s="33"/>
      <c r="Z313" s="33"/>
    </row>
    <row r="314" spans="1:26" ht="13.5" customHeight="1">
      <c r="A314" s="33"/>
      <c r="B314" s="33"/>
      <c r="C314" s="33"/>
      <c r="D314" s="33"/>
      <c r="E314" s="33"/>
      <c r="F314" s="33"/>
      <c r="G314" s="33"/>
      <c r="H314" s="33"/>
      <c r="I314" s="33"/>
      <c r="J314" s="33"/>
      <c r="K314" s="33"/>
      <c r="L314" s="33"/>
      <c r="M314" s="33"/>
      <c r="N314" s="33"/>
      <c r="O314" s="33"/>
      <c r="P314" s="33"/>
      <c r="Q314" s="33"/>
      <c r="R314" s="33"/>
      <c r="S314" s="33"/>
      <c r="T314" s="33"/>
      <c r="U314" s="33"/>
      <c r="V314" s="33"/>
      <c r="W314" s="33"/>
      <c r="X314" s="33"/>
      <c r="Y314" s="33"/>
      <c r="Z314" s="33"/>
    </row>
    <row r="315" spans="1:26" ht="13.5" customHeight="1">
      <c r="A315" s="33"/>
      <c r="B315" s="33"/>
      <c r="C315" s="33"/>
      <c r="D315" s="33"/>
      <c r="E315" s="33"/>
      <c r="F315" s="33"/>
      <c r="G315" s="33"/>
      <c r="H315" s="33"/>
      <c r="I315" s="33"/>
      <c r="J315" s="33"/>
      <c r="K315" s="33"/>
      <c r="L315" s="33"/>
      <c r="M315" s="33"/>
      <c r="N315" s="33"/>
      <c r="O315" s="33"/>
      <c r="P315" s="33"/>
      <c r="Q315" s="33"/>
      <c r="R315" s="33"/>
      <c r="S315" s="33"/>
      <c r="T315" s="33"/>
      <c r="U315" s="33"/>
      <c r="V315" s="33"/>
      <c r="W315" s="33"/>
      <c r="X315" s="33"/>
      <c r="Y315" s="33"/>
      <c r="Z315" s="33"/>
    </row>
    <row r="316" spans="1:26" ht="13.5" customHeight="1">
      <c r="A316" s="33"/>
      <c r="B316" s="33"/>
      <c r="C316" s="33"/>
      <c r="D316" s="33"/>
      <c r="E316" s="33"/>
      <c r="F316" s="33"/>
      <c r="G316" s="33"/>
      <c r="H316" s="33"/>
      <c r="I316" s="33"/>
      <c r="J316" s="33"/>
      <c r="K316" s="33"/>
      <c r="L316" s="33"/>
      <c r="M316" s="33"/>
      <c r="N316" s="33"/>
      <c r="O316" s="33"/>
      <c r="P316" s="33"/>
      <c r="Q316" s="33"/>
      <c r="R316" s="33"/>
      <c r="S316" s="33"/>
      <c r="T316" s="33"/>
      <c r="U316" s="33"/>
      <c r="V316" s="33"/>
      <c r="W316" s="33"/>
      <c r="X316" s="33"/>
      <c r="Y316" s="33"/>
      <c r="Z316" s="33"/>
    </row>
    <row r="317" spans="1:26" ht="13.5" customHeight="1">
      <c r="A317" s="33"/>
      <c r="B317" s="33"/>
      <c r="C317" s="33"/>
      <c r="D317" s="33"/>
      <c r="E317" s="33"/>
      <c r="F317" s="33"/>
      <c r="G317" s="33"/>
      <c r="H317" s="33"/>
      <c r="I317" s="33"/>
      <c r="J317" s="33"/>
      <c r="K317" s="33"/>
      <c r="L317" s="33"/>
      <c r="M317" s="33"/>
      <c r="N317" s="33"/>
      <c r="O317" s="33"/>
      <c r="P317" s="33"/>
      <c r="Q317" s="33"/>
      <c r="R317" s="33"/>
      <c r="S317" s="33"/>
      <c r="T317" s="33"/>
      <c r="U317" s="33"/>
      <c r="V317" s="33"/>
      <c r="W317" s="33"/>
      <c r="X317" s="33"/>
      <c r="Y317" s="33"/>
      <c r="Z317" s="33"/>
    </row>
    <row r="318" spans="1:26" ht="13.5" customHeight="1">
      <c r="A318" s="33"/>
      <c r="B318" s="33"/>
      <c r="C318" s="33"/>
      <c r="D318" s="33"/>
      <c r="E318" s="33"/>
      <c r="F318" s="33"/>
      <c r="G318" s="33"/>
      <c r="H318" s="33"/>
      <c r="I318" s="33"/>
      <c r="J318" s="33"/>
      <c r="K318" s="33"/>
      <c r="L318" s="33"/>
      <c r="M318" s="33"/>
      <c r="N318" s="33"/>
      <c r="O318" s="33"/>
      <c r="P318" s="33"/>
      <c r="Q318" s="33"/>
      <c r="R318" s="33"/>
      <c r="S318" s="33"/>
      <c r="T318" s="33"/>
      <c r="U318" s="33"/>
      <c r="V318" s="33"/>
      <c r="W318" s="33"/>
      <c r="X318" s="33"/>
      <c r="Y318" s="33"/>
      <c r="Z318" s="33"/>
    </row>
    <row r="319" spans="1:26" ht="13.5" customHeight="1">
      <c r="A319" s="33"/>
      <c r="B319" s="33"/>
      <c r="C319" s="33"/>
      <c r="D319" s="33"/>
      <c r="E319" s="33"/>
      <c r="F319" s="33"/>
      <c r="G319" s="33"/>
      <c r="H319" s="33"/>
      <c r="I319" s="33"/>
      <c r="J319" s="33"/>
      <c r="K319" s="33"/>
      <c r="L319" s="33"/>
      <c r="M319" s="33"/>
      <c r="N319" s="33"/>
      <c r="O319" s="33"/>
      <c r="P319" s="33"/>
      <c r="Q319" s="33"/>
      <c r="R319" s="33"/>
      <c r="S319" s="33"/>
      <c r="T319" s="33"/>
      <c r="U319" s="33"/>
      <c r="V319" s="33"/>
      <c r="W319" s="33"/>
      <c r="X319" s="33"/>
      <c r="Y319" s="33"/>
      <c r="Z319" s="33"/>
    </row>
    <row r="320" spans="1:26" ht="13.5" customHeight="1">
      <c r="A320" s="33"/>
      <c r="B320" s="33"/>
      <c r="C320" s="33"/>
      <c r="D320" s="33"/>
      <c r="E320" s="33"/>
      <c r="F320" s="33"/>
      <c r="G320" s="33"/>
      <c r="H320" s="33"/>
      <c r="I320" s="33"/>
      <c r="J320" s="33"/>
      <c r="K320" s="33"/>
      <c r="L320" s="33"/>
      <c r="M320" s="33"/>
      <c r="N320" s="33"/>
      <c r="O320" s="33"/>
      <c r="P320" s="33"/>
      <c r="Q320" s="33"/>
      <c r="R320" s="33"/>
      <c r="S320" s="33"/>
      <c r="T320" s="33"/>
      <c r="U320" s="33"/>
      <c r="V320" s="33"/>
      <c r="W320" s="33"/>
      <c r="X320" s="33"/>
      <c r="Y320" s="33"/>
      <c r="Z320" s="33"/>
    </row>
    <row r="321" spans="1:26" ht="13.5" customHeight="1">
      <c r="A321" s="33"/>
      <c r="B321" s="33"/>
      <c r="C321" s="33"/>
      <c r="D321" s="33"/>
      <c r="E321" s="33"/>
      <c r="F321" s="33"/>
      <c r="G321" s="33"/>
      <c r="H321" s="33"/>
      <c r="I321" s="33"/>
      <c r="J321" s="33"/>
      <c r="K321" s="33"/>
      <c r="L321" s="33"/>
      <c r="M321" s="33"/>
      <c r="N321" s="33"/>
      <c r="O321" s="33"/>
      <c r="P321" s="33"/>
      <c r="Q321" s="33"/>
      <c r="R321" s="33"/>
      <c r="S321" s="33"/>
      <c r="T321" s="33"/>
      <c r="U321" s="33"/>
      <c r="V321" s="33"/>
      <c r="W321" s="33"/>
      <c r="X321" s="33"/>
      <c r="Y321" s="33"/>
      <c r="Z321" s="33"/>
    </row>
    <row r="322" spans="1:26" ht="13.5" customHeight="1">
      <c r="A322" s="33"/>
      <c r="B322" s="33"/>
      <c r="C322" s="33"/>
      <c r="D322" s="33"/>
      <c r="E322" s="33"/>
      <c r="F322" s="33"/>
      <c r="G322" s="33"/>
      <c r="H322" s="33"/>
      <c r="I322" s="33"/>
      <c r="J322" s="33"/>
      <c r="K322" s="33"/>
      <c r="L322" s="33"/>
      <c r="M322" s="33"/>
      <c r="N322" s="33"/>
      <c r="O322" s="33"/>
      <c r="P322" s="33"/>
      <c r="Q322" s="33"/>
      <c r="R322" s="33"/>
      <c r="S322" s="33"/>
      <c r="T322" s="33"/>
      <c r="U322" s="33"/>
      <c r="V322" s="33"/>
      <c r="W322" s="33"/>
      <c r="X322" s="33"/>
      <c r="Y322" s="33"/>
      <c r="Z322" s="33"/>
    </row>
    <row r="323" spans="1:26" ht="13.5" customHeight="1">
      <c r="A323" s="33"/>
      <c r="B323" s="33"/>
      <c r="C323" s="33"/>
      <c r="D323" s="33"/>
      <c r="E323" s="33"/>
      <c r="F323" s="33"/>
      <c r="G323" s="33"/>
      <c r="H323" s="33"/>
      <c r="I323" s="33"/>
      <c r="J323" s="33"/>
      <c r="K323" s="33"/>
      <c r="L323" s="33"/>
      <c r="M323" s="33"/>
      <c r="N323" s="33"/>
      <c r="O323" s="33"/>
      <c r="P323" s="33"/>
      <c r="Q323" s="33"/>
      <c r="R323" s="33"/>
      <c r="S323" s="33"/>
      <c r="T323" s="33"/>
      <c r="U323" s="33"/>
      <c r="V323" s="33"/>
      <c r="W323" s="33"/>
      <c r="X323" s="33"/>
      <c r="Y323" s="33"/>
      <c r="Z323" s="33"/>
    </row>
    <row r="324" spans="1:26" ht="13.5" customHeight="1">
      <c r="A324" s="33"/>
      <c r="B324" s="33"/>
      <c r="C324" s="33"/>
      <c r="D324" s="33"/>
      <c r="E324" s="33"/>
      <c r="F324" s="33"/>
      <c r="G324" s="33"/>
      <c r="H324" s="33"/>
      <c r="I324" s="33"/>
      <c r="J324" s="33"/>
      <c r="K324" s="33"/>
      <c r="L324" s="33"/>
      <c r="M324" s="33"/>
      <c r="N324" s="33"/>
      <c r="O324" s="33"/>
      <c r="P324" s="33"/>
      <c r="Q324" s="33"/>
      <c r="R324" s="33"/>
      <c r="S324" s="33"/>
      <c r="T324" s="33"/>
      <c r="U324" s="33"/>
      <c r="V324" s="33"/>
      <c r="W324" s="33"/>
      <c r="X324" s="33"/>
      <c r="Y324" s="33"/>
      <c r="Z324" s="33"/>
    </row>
    <row r="325" spans="1:26" ht="13.5" customHeight="1">
      <c r="A325" s="33"/>
      <c r="B325" s="33"/>
      <c r="C325" s="33"/>
      <c r="D325" s="33"/>
      <c r="E325" s="33"/>
      <c r="F325" s="33"/>
      <c r="G325" s="33"/>
      <c r="H325" s="33"/>
      <c r="I325" s="33"/>
      <c r="J325" s="33"/>
      <c r="K325" s="33"/>
      <c r="L325" s="33"/>
      <c r="M325" s="33"/>
      <c r="N325" s="33"/>
      <c r="O325" s="33"/>
      <c r="P325" s="33"/>
      <c r="Q325" s="33"/>
      <c r="R325" s="33"/>
      <c r="S325" s="33"/>
      <c r="T325" s="33"/>
      <c r="U325" s="33"/>
      <c r="V325" s="33"/>
      <c r="W325" s="33"/>
      <c r="X325" s="33"/>
      <c r="Y325" s="33"/>
      <c r="Z325" s="33"/>
    </row>
    <row r="326" spans="1:26" ht="13.5" customHeight="1">
      <c r="A326" s="33"/>
      <c r="B326" s="33"/>
      <c r="C326" s="33"/>
      <c r="D326" s="33"/>
      <c r="E326" s="33"/>
      <c r="F326" s="33"/>
      <c r="G326" s="33"/>
      <c r="H326" s="33"/>
      <c r="I326" s="33"/>
      <c r="J326" s="33"/>
      <c r="K326" s="33"/>
      <c r="L326" s="33"/>
      <c r="M326" s="33"/>
      <c r="N326" s="33"/>
      <c r="O326" s="33"/>
      <c r="P326" s="33"/>
      <c r="Q326" s="33"/>
      <c r="R326" s="33"/>
      <c r="S326" s="33"/>
      <c r="T326" s="33"/>
      <c r="U326" s="33"/>
      <c r="V326" s="33"/>
      <c r="W326" s="33"/>
      <c r="X326" s="33"/>
      <c r="Y326" s="33"/>
      <c r="Z326" s="33"/>
    </row>
    <row r="327" spans="1:26" ht="13.5" customHeight="1">
      <c r="A327" s="33"/>
      <c r="B327" s="33"/>
      <c r="C327" s="33"/>
      <c r="D327" s="33"/>
      <c r="E327" s="33"/>
      <c r="F327" s="33"/>
      <c r="G327" s="33"/>
      <c r="H327" s="33"/>
      <c r="I327" s="33"/>
      <c r="J327" s="33"/>
      <c r="K327" s="33"/>
      <c r="L327" s="33"/>
      <c r="M327" s="33"/>
      <c r="N327" s="33"/>
      <c r="O327" s="33"/>
      <c r="P327" s="33"/>
      <c r="Q327" s="33"/>
      <c r="R327" s="33"/>
      <c r="S327" s="33"/>
      <c r="T327" s="33"/>
      <c r="U327" s="33"/>
      <c r="V327" s="33"/>
      <c r="W327" s="33"/>
      <c r="X327" s="33"/>
      <c r="Y327" s="33"/>
      <c r="Z327" s="33"/>
    </row>
    <row r="328" spans="1:26" ht="13.5" customHeight="1">
      <c r="A328" s="33"/>
      <c r="B328" s="33"/>
      <c r="C328" s="33"/>
      <c r="D328" s="33"/>
      <c r="E328" s="33"/>
      <c r="F328" s="33"/>
      <c r="G328" s="33"/>
      <c r="H328" s="33"/>
      <c r="I328" s="33"/>
      <c r="J328" s="33"/>
      <c r="K328" s="33"/>
      <c r="L328" s="33"/>
      <c r="M328" s="33"/>
      <c r="N328" s="33"/>
      <c r="O328" s="33"/>
      <c r="P328" s="33"/>
      <c r="Q328" s="33"/>
      <c r="R328" s="33"/>
      <c r="S328" s="33"/>
      <c r="T328" s="33"/>
      <c r="U328" s="33"/>
      <c r="V328" s="33"/>
      <c r="W328" s="33"/>
      <c r="X328" s="33"/>
      <c r="Y328" s="33"/>
      <c r="Z328" s="33"/>
    </row>
    <row r="329" spans="1:26" ht="13.5" customHeight="1">
      <c r="A329" s="33"/>
      <c r="B329" s="33"/>
      <c r="C329" s="33"/>
      <c r="D329" s="33"/>
      <c r="E329" s="33"/>
      <c r="F329" s="33"/>
      <c r="G329" s="33"/>
      <c r="H329" s="33"/>
      <c r="I329" s="33"/>
      <c r="J329" s="33"/>
      <c r="K329" s="33"/>
      <c r="L329" s="33"/>
      <c r="M329" s="33"/>
      <c r="N329" s="33"/>
      <c r="O329" s="33"/>
      <c r="P329" s="33"/>
      <c r="Q329" s="33"/>
      <c r="R329" s="33"/>
      <c r="S329" s="33"/>
      <c r="T329" s="33"/>
      <c r="U329" s="33"/>
      <c r="V329" s="33"/>
      <c r="W329" s="33"/>
      <c r="X329" s="33"/>
      <c r="Y329" s="33"/>
      <c r="Z329" s="33"/>
    </row>
    <row r="330" spans="1:26" ht="13.5" customHeight="1">
      <c r="A330" s="33"/>
      <c r="B330" s="33"/>
      <c r="C330" s="33"/>
      <c r="D330" s="33"/>
      <c r="E330" s="33"/>
      <c r="F330" s="33"/>
      <c r="G330" s="33"/>
      <c r="H330" s="33"/>
      <c r="I330" s="33"/>
      <c r="J330" s="33"/>
      <c r="K330" s="33"/>
      <c r="L330" s="33"/>
      <c r="M330" s="33"/>
      <c r="N330" s="33"/>
      <c r="O330" s="33"/>
      <c r="P330" s="33"/>
      <c r="Q330" s="33"/>
      <c r="R330" s="33"/>
      <c r="S330" s="33"/>
      <c r="T330" s="33"/>
      <c r="U330" s="33"/>
      <c r="V330" s="33"/>
      <c r="W330" s="33"/>
      <c r="X330" s="33"/>
      <c r="Y330" s="33"/>
      <c r="Z330" s="33"/>
    </row>
    <row r="331" spans="1:26" ht="13.5" customHeight="1">
      <c r="A331" s="33"/>
      <c r="B331" s="33"/>
      <c r="C331" s="33"/>
      <c r="D331" s="33"/>
      <c r="E331" s="33"/>
      <c r="F331" s="33"/>
      <c r="G331" s="33"/>
      <c r="H331" s="33"/>
      <c r="I331" s="33"/>
      <c r="J331" s="33"/>
      <c r="K331" s="33"/>
      <c r="L331" s="33"/>
      <c r="M331" s="33"/>
      <c r="N331" s="33"/>
      <c r="O331" s="33"/>
      <c r="P331" s="33"/>
      <c r="Q331" s="33"/>
      <c r="R331" s="33"/>
      <c r="S331" s="33"/>
      <c r="T331" s="33"/>
      <c r="U331" s="33"/>
      <c r="V331" s="33"/>
      <c r="W331" s="33"/>
      <c r="X331" s="33"/>
      <c r="Y331" s="33"/>
      <c r="Z331" s="33"/>
    </row>
    <row r="332" spans="1:26" ht="13.5" customHeight="1">
      <c r="A332" s="33"/>
      <c r="B332" s="33"/>
      <c r="C332" s="33"/>
      <c r="D332" s="33"/>
      <c r="E332" s="33"/>
      <c r="F332" s="33"/>
      <c r="G332" s="33"/>
      <c r="H332" s="33"/>
      <c r="I332" s="33"/>
      <c r="J332" s="33"/>
      <c r="K332" s="33"/>
      <c r="L332" s="33"/>
      <c r="M332" s="33"/>
      <c r="N332" s="33"/>
      <c r="O332" s="33"/>
      <c r="P332" s="33"/>
      <c r="Q332" s="33"/>
      <c r="R332" s="33"/>
      <c r="S332" s="33"/>
      <c r="T332" s="33"/>
      <c r="U332" s="33"/>
      <c r="V332" s="33"/>
      <c r="W332" s="33"/>
      <c r="X332" s="33"/>
      <c r="Y332" s="33"/>
      <c r="Z332" s="33"/>
    </row>
    <row r="333" spans="1:26" ht="13.5" customHeight="1">
      <c r="A333" s="33"/>
      <c r="B333" s="33"/>
      <c r="C333" s="33"/>
      <c r="D333" s="33"/>
      <c r="E333" s="33"/>
      <c r="F333" s="33"/>
      <c r="G333" s="33"/>
      <c r="H333" s="33"/>
      <c r="I333" s="33"/>
      <c r="J333" s="33"/>
      <c r="K333" s="33"/>
      <c r="L333" s="33"/>
      <c r="M333" s="33"/>
      <c r="N333" s="33"/>
      <c r="O333" s="33"/>
      <c r="P333" s="33"/>
      <c r="Q333" s="33"/>
      <c r="R333" s="33"/>
      <c r="S333" s="33"/>
      <c r="T333" s="33"/>
      <c r="U333" s="33"/>
      <c r="V333" s="33"/>
      <c r="W333" s="33"/>
      <c r="X333" s="33"/>
      <c r="Y333" s="33"/>
      <c r="Z333" s="33"/>
    </row>
    <row r="334" spans="1:26" ht="13.5" customHeight="1">
      <c r="A334" s="33"/>
      <c r="B334" s="33"/>
      <c r="C334" s="33"/>
      <c r="D334" s="33"/>
      <c r="E334" s="33"/>
      <c r="F334" s="33"/>
      <c r="G334" s="33"/>
      <c r="H334" s="33"/>
      <c r="I334" s="33"/>
      <c r="J334" s="33"/>
      <c r="K334" s="33"/>
      <c r="L334" s="33"/>
      <c r="M334" s="33"/>
      <c r="N334" s="33"/>
      <c r="O334" s="33"/>
      <c r="P334" s="33"/>
      <c r="Q334" s="33"/>
      <c r="R334" s="33"/>
      <c r="S334" s="33"/>
      <c r="T334" s="33"/>
      <c r="U334" s="33"/>
      <c r="V334" s="33"/>
      <c r="W334" s="33"/>
      <c r="X334" s="33"/>
      <c r="Y334" s="33"/>
      <c r="Z334" s="33"/>
    </row>
    <row r="335" spans="1:26" ht="13.5" customHeight="1">
      <c r="A335" s="33"/>
      <c r="B335" s="33"/>
      <c r="C335" s="33"/>
      <c r="D335" s="33"/>
      <c r="E335" s="33"/>
      <c r="F335" s="33"/>
      <c r="G335" s="33"/>
      <c r="H335" s="33"/>
      <c r="I335" s="33"/>
      <c r="J335" s="33"/>
      <c r="K335" s="33"/>
      <c r="L335" s="33"/>
      <c r="M335" s="33"/>
      <c r="N335" s="33"/>
      <c r="O335" s="33"/>
      <c r="P335" s="33"/>
      <c r="Q335" s="33"/>
      <c r="R335" s="33"/>
      <c r="S335" s="33"/>
      <c r="T335" s="33"/>
      <c r="U335" s="33"/>
      <c r="V335" s="33"/>
      <c r="W335" s="33"/>
      <c r="X335" s="33"/>
      <c r="Y335" s="33"/>
      <c r="Z335" s="33"/>
    </row>
    <row r="336" spans="1:26" ht="13.5" customHeight="1">
      <c r="A336" s="33"/>
      <c r="B336" s="33"/>
      <c r="C336" s="33"/>
      <c r="D336" s="33"/>
      <c r="E336" s="33"/>
      <c r="F336" s="33"/>
      <c r="G336" s="33"/>
      <c r="H336" s="33"/>
      <c r="I336" s="33"/>
      <c r="J336" s="33"/>
      <c r="K336" s="33"/>
      <c r="L336" s="33"/>
      <c r="M336" s="33"/>
      <c r="N336" s="33"/>
      <c r="O336" s="33"/>
      <c r="P336" s="33"/>
      <c r="Q336" s="33"/>
      <c r="R336" s="33"/>
      <c r="S336" s="33"/>
      <c r="T336" s="33"/>
      <c r="U336" s="33"/>
      <c r="V336" s="33"/>
      <c r="W336" s="33"/>
      <c r="X336" s="33"/>
      <c r="Y336" s="33"/>
      <c r="Z336" s="33"/>
    </row>
    <row r="337" spans="1:26" ht="13.5" customHeight="1">
      <c r="A337" s="33"/>
      <c r="B337" s="33"/>
      <c r="C337" s="33"/>
      <c r="D337" s="33"/>
      <c r="E337" s="33"/>
      <c r="F337" s="33"/>
      <c r="G337" s="33"/>
      <c r="H337" s="33"/>
      <c r="I337" s="33"/>
      <c r="J337" s="33"/>
      <c r="K337" s="33"/>
      <c r="L337" s="33"/>
      <c r="M337" s="33"/>
      <c r="N337" s="33"/>
      <c r="O337" s="33"/>
      <c r="P337" s="33"/>
      <c r="Q337" s="33"/>
      <c r="R337" s="33"/>
      <c r="S337" s="33"/>
      <c r="T337" s="33"/>
      <c r="U337" s="33"/>
      <c r="V337" s="33"/>
      <c r="W337" s="33"/>
      <c r="X337" s="33"/>
      <c r="Y337" s="33"/>
      <c r="Z337" s="33"/>
    </row>
    <row r="338" spans="1:26" ht="13.5" customHeight="1">
      <c r="A338" s="33"/>
      <c r="B338" s="33"/>
      <c r="C338" s="33"/>
      <c r="D338" s="33"/>
      <c r="E338" s="33"/>
      <c r="F338" s="33"/>
      <c r="G338" s="33"/>
      <c r="H338" s="33"/>
      <c r="I338" s="33"/>
      <c r="J338" s="33"/>
      <c r="K338" s="33"/>
      <c r="L338" s="33"/>
      <c r="M338" s="33"/>
      <c r="N338" s="33"/>
      <c r="O338" s="33"/>
      <c r="P338" s="33"/>
      <c r="Q338" s="33"/>
      <c r="R338" s="33"/>
      <c r="S338" s="33"/>
      <c r="T338" s="33"/>
      <c r="U338" s="33"/>
      <c r="V338" s="33"/>
      <c r="W338" s="33"/>
      <c r="X338" s="33"/>
      <c r="Y338" s="33"/>
      <c r="Z338" s="33"/>
    </row>
    <row r="339" spans="1:26" ht="13.5" customHeight="1">
      <c r="A339" s="33"/>
      <c r="B339" s="33"/>
      <c r="C339" s="33"/>
      <c r="D339" s="33"/>
      <c r="E339" s="33"/>
      <c r="F339" s="33"/>
      <c r="G339" s="33"/>
      <c r="H339" s="33"/>
      <c r="I339" s="33"/>
      <c r="J339" s="33"/>
      <c r="K339" s="33"/>
      <c r="L339" s="33"/>
      <c r="M339" s="33"/>
      <c r="N339" s="33"/>
      <c r="O339" s="33"/>
      <c r="P339" s="33"/>
      <c r="Q339" s="33"/>
      <c r="R339" s="33"/>
      <c r="S339" s="33"/>
      <c r="T339" s="33"/>
      <c r="U339" s="33"/>
      <c r="V339" s="33"/>
      <c r="W339" s="33"/>
      <c r="X339" s="33"/>
      <c r="Y339" s="33"/>
      <c r="Z339" s="33"/>
    </row>
    <row r="340" spans="1:26" ht="13.5" customHeight="1">
      <c r="A340" s="33"/>
      <c r="B340" s="33"/>
      <c r="C340" s="33"/>
      <c r="D340" s="33"/>
      <c r="E340" s="33"/>
      <c r="F340" s="33"/>
      <c r="G340" s="33"/>
      <c r="H340" s="33"/>
      <c r="I340" s="33"/>
      <c r="J340" s="33"/>
      <c r="K340" s="33"/>
      <c r="L340" s="33"/>
      <c r="M340" s="33"/>
      <c r="N340" s="33"/>
      <c r="O340" s="33"/>
      <c r="P340" s="33"/>
      <c r="Q340" s="33"/>
      <c r="R340" s="33"/>
      <c r="S340" s="33"/>
      <c r="T340" s="33"/>
      <c r="U340" s="33"/>
      <c r="V340" s="33"/>
      <c r="W340" s="33"/>
      <c r="X340" s="33"/>
      <c r="Y340" s="33"/>
      <c r="Z340" s="33"/>
    </row>
    <row r="341" spans="1:26" ht="13.5" customHeight="1">
      <c r="A341" s="33"/>
      <c r="B341" s="33"/>
      <c r="C341" s="33"/>
      <c r="D341" s="33"/>
      <c r="E341" s="33"/>
      <c r="F341" s="33"/>
      <c r="G341" s="33"/>
      <c r="H341" s="33"/>
      <c r="I341" s="33"/>
      <c r="J341" s="33"/>
      <c r="K341" s="33"/>
      <c r="L341" s="33"/>
      <c r="M341" s="33"/>
      <c r="N341" s="33"/>
      <c r="O341" s="33"/>
      <c r="P341" s="33"/>
      <c r="Q341" s="33"/>
      <c r="R341" s="33"/>
      <c r="S341" s="33"/>
      <c r="T341" s="33"/>
      <c r="U341" s="33"/>
      <c r="V341" s="33"/>
      <c r="W341" s="33"/>
      <c r="X341" s="33"/>
      <c r="Y341" s="33"/>
      <c r="Z341" s="33"/>
    </row>
    <row r="342" spans="1:26" ht="13.5" customHeight="1">
      <c r="A342" s="33"/>
      <c r="B342" s="33"/>
      <c r="C342" s="33"/>
      <c r="D342" s="33"/>
      <c r="E342" s="33"/>
      <c r="F342" s="33"/>
      <c r="G342" s="33"/>
      <c r="H342" s="33"/>
      <c r="I342" s="33"/>
      <c r="J342" s="33"/>
      <c r="K342" s="33"/>
      <c r="L342" s="33"/>
      <c r="M342" s="33"/>
      <c r="N342" s="33"/>
      <c r="O342" s="33"/>
      <c r="P342" s="33"/>
      <c r="Q342" s="33"/>
      <c r="R342" s="33"/>
      <c r="S342" s="33"/>
      <c r="T342" s="33"/>
      <c r="U342" s="33"/>
      <c r="V342" s="33"/>
      <c r="W342" s="33"/>
      <c r="X342" s="33"/>
      <c r="Y342" s="33"/>
      <c r="Z342" s="33"/>
    </row>
    <row r="343" spans="1:26" ht="13.5" customHeight="1">
      <c r="A343" s="33"/>
      <c r="B343" s="33"/>
      <c r="C343" s="33"/>
      <c r="D343" s="33"/>
      <c r="E343" s="33"/>
      <c r="F343" s="33"/>
      <c r="G343" s="33"/>
      <c r="H343" s="33"/>
      <c r="I343" s="33"/>
      <c r="J343" s="33"/>
      <c r="K343" s="33"/>
      <c r="L343" s="33"/>
      <c r="M343" s="33"/>
      <c r="N343" s="33"/>
      <c r="O343" s="33"/>
      <c r="P343" s="33"/>
      <c r="Q343" s="33"/>
      <c r="R343" s="33"/>
      <c r="S343" s="33"/>
      <c r="T343" s="33"/>
      <c r="U343" s="33"/>
      <c r="V343" s="33"/>
      <c r="W343" s="33"/>
      <c r="X343" s="33"/>
      <c r="Y343" s="33"/>
      <c r="Z343" s="33"/>
    </row>
    <row r="344" spans="1:26" ht="13.5" customHeight="1">
      <c r="A344" s="33"/>
      <c r="B344" s="33"/>
      <c r="C344" s="33"/>
      <c r="D344" s="33"/>
      <c r="E344" s="33"/>
      <c r="F344" s="33"/>
      <c r="G344" s="33"/>
      <c r="H344" s="33"/>
      <c r="I344" s="33"/>
      <c r="J344" s="33"/>
      <c r="K344" s="33"/>
      <c r="L344" s="33"/>
      <c r="M344" s="33"/>
      <c r="N344" s="33"/>
      <c r="O344" s="33"/>
      <c r="P344" s="33"/>
      <c r="Q344" s="33"/>
      <c r="R344" s="33"/>
      <c r="S344" s="33"/>
      <c r="T344" s="33"/>
      <c r="U344" s="33"/>
      <c r="V344" s="33"/>
      <c r="W344" s="33"/>
      <c r="X344" s="33"/>
      <c r="Y344" s="33"/>
      <c r="Z344" s="33"/>
    </row>
    <row r="345" spans="1:26" ht="13.5" customHeight="1">
      <c r="A345" s="33"/>
      <c r="B345" s="33"/>
      <c r="C345" s="33"/>
      <c r="D345" s="33"/>
      <c r="E345" s="33"/>
      <c r="F345" s="33"/>
      <c r="G345" s="33"/>
      <c r="H345" s="33"/>
      <c r="I345" s="33"/>
      <c r="J345" s="33"/>
      <c r="K345" s="33"/>
      <c r="L345" s="33"/>
      <c r="M345" s="33"/>
      <c r="N345" s="33"/>
      <c r="O345" s="33"/>
      <c r="P345" s="33"/>
      <c r="Q345" s="33"/>
      <c r="R345" s="33"/>
      <c r="S345" s="33"/>
      <c r="T345" s="33"/>
      <c r="U345" s="33"/>
      <c r="V345" s="33"/>
      <c r="W345" s="33"/>
      <c r="X345" s="33"/>
      <c r="Y345" s="33"/>
      <c r="Z345" s="33"/>
    </row>
    <row r="346" spans="1:26" ht="13.5" customHeight="1">
      <c r="A346" s="33"/>
      <c r="B346" s="33"/>
      <c r="C346" s="33"/>
      <c r="D346" s="33"/>
      <c r="E346" s="33"/>
      <c r="F346" s="33"/>
      <c r="G346" s="33"/>
      <c r="H346" s="33"/>
      <c r="I346" s="33"/>
      <c r="J346" s="33"/>
      <c r="K346" s="33"/>
      <c r="L346" s="33"/>
      <c r="M346" s="33"/>
      <c r="N346" s="33"/>
      <c r="O346" s="33"/>
      <c r="P346" s="33"/>
      <c r="Q346" s="33"/>
      <c r="R346" s="33"/>
      <c r="S346" s="33"/>
      <c r="T346" s="33"/>
      <c r="U346" s="33"/>
      <c r="V346" s="33"/>
      <c r="W346" s="33"/>
      <c r="X346" s="33"/>
      <c r="Y346" s="33"/>
      <c r="Z346" s="33"/>
    </row>
    <row r="347" spans="1:26" ht="13.5" customHeight="1">
      <c r="A347" s="33"/>
      <c r="B347" s="33"/>
      <c r="C347" s="33"/>
      <c r="D347" s="33"/>
      <c r="E347" s="33"/>
      <c r="F347" s="33"/>
      <c r="G347" s="33"/>
      <c r="H347" s="33"/>
      <c r="I347" s="33"/>
      <c r="J347" s="33"/>
      <c r="K347" s="33"/>
      <c r="L347" s="33"/>
      <c r="M347" s="33"/>
      <c r="N347" s="33"/>
      <c r="O347" s="33"/>
      <c r="P347" s="33"/>
      <c r="Q347" s="33"/>
      <c r="R347" s="33"/>
      <c r="S347" s="33"/>
      <c r="T347" s="33"/>
      <c r="U347" s="33"/>
      <c r="V347" s="33"/>
      <c r="W347" s="33"/>
      <c r="X347" s="33"/>
      <c r="Y347" s="33"/>
      <c r="Z347" s="33"/>
    </row>
    <row r="348" spans="1:26" ht="13.5" customHeight="1">
      <c r="A348" s="33"/>
      <c r="B348" s="33"/>
      <c r="C348" s="33"/>
      <c r="D348" s="33"/>
      <c r="E348" s="33"/>
      <c r="F348" s="33"/>
      <c r="G348" s="33"/>
      <c r="H348" s="33"/>
      <c r="I348" s="33"/>
      <c r="J348" s="33"/>
      <c r="K348" s="33"/>
      <c r="L348" s="33"/>
      <c r="M348" s="33"/>
      <c r="N348" s="33"/>
      <c r="O348" s="33"/>
      <c r="P348" s="33"/>
      <c r="Q348" s="33"/>
      <c r="R348" s="33"/>
      <c r="S348" s="33"/>
      <c r="T348" s="33"/>
      <c r="U348" s="33"/>
      <c r="V348" s="33"/>
      <c r="W348" s="33"/>
      <c r="X348" s="33"/>
      <c r="Y348" s="33"/>
      <c r="Z348" s="33"/>
    </row>
    <row r="349" spans="1:26" ht="13.5" customHeight="1">
      <c r="A349" s="33"/>
      <c r="B349" s="33"/>
      <c r="C349" s="33"/>
      <c r="D349" s="33"/>
      <c r="E349" s="33"/>
      <c r="F349" s="33"/>
      <c r="G349" s="33"/>
      <c r="H349" s="33"/>
      <c r="I349" s="33"/>
      <c r="J349" s="33"/>
      <c r="K349" s="33"/>
      <c r="L349" s="33"/>
      <c r="M349" s="33"/>
      <c r="N349" s="33"/>
      <c r="O349" s="33"/>
      <c r="P349" s="33"/>
      <c r="Q349" s="33"/>
      <c r="R349" s="33"/>
      <c r="S349" s="33"/>
      <c r="T349" s="33"/>
      <c r="U349" s="33"/>
      <c r="V349" s="33"/>
      <c r="W349" s="33"/>
      <c r="X349" s="33"/>
      <c r="Y349" s="33"/>
      <c r="Z349" s="33"/>
    </row>
    <row r="350" spans="1:26" ht="13.5" customHeight="1">
      <c r="A350" s="33"/>
      <c r="B350" s="33"/>
      <c r="C350" s="33"/>
      <c r="D350" s="33"/>
      <c r="E350" s="33"/>
      <c r="F350" s="33"/>
      <c r="G350" s="33"/>
      <c r="H350" s="33"/>
      <c r="I350" s="33"/>
      <c r="J350" s="33"/>
      <c r="K350" s="33"/>
      <c r="L350" s="33"/>
      <c r="M350" s="33"/>
      <c r="N350" s="33"/>
      <c r="O350" s="33"/>
      <c r="P350" s="33"/>
      <c r="Q350" s="33"/>
      <c r="R350" s="33"/>
      <c r="S350" s="33"/>
      <c r="T350" s="33"/>
      <c r="U350" s="33"/>
      <c r="V350" s="33"/>
      <c r="W350" s="33"/>
      <c r="X350" s="33"/>
      <c r="Y350" s="33"/>
      <c r="Z350" s="33"/>
    </row>
    <row r="351" spans="1:26" ht="13.5" customHeight="1">
      <c r="A351" s="33"/>
      <c r="B351" s="33"/>
      <c r="C351" s="33"/>
      <c r="D351" s="33"/>
      <c r="E351" s="33"/>
      <c r="F351" s="33"/>
      <c r="G351" s="33"/>
      <c r="H351" s="33"/>
      <c r="I351" s="33"/>
      <c r="J351" s="33"/>
      <c r="K351" s="33"/>
      <c r="L351" s="33"/>
      <c r="M351" s="33"/>
      <c r="N351" s="33"/>
      <c r="O351" s="33"/>
      <c r="P351" s="33"/>
      <c r="Q351" s="33"/>
      <c r="R351" s="33"/>
      <c r="S351" s="33"/>
      <c r="T351" s="33"/>
      <c r="U351" s="33"/>
      <c r="V351" s="33"/>
      <c r="W351" s="33"/>
      <c r="X351" s="33"/>
      <c r="Y351" s="33"/>
      <c r="Z351" s="33"/>
    </row>
    <row r="352" spans="1:26" ht="13.5" customHeight="1">
      <c r="A352" s="33"/>
      <c r="B352" s="33"/>
      <c r="C352" s="33"/>
      <c r="D352" s="33"/>
      <c r="E352" s="33"/>
      <c r="F352" s="33"/>
      <c r="G352" s="33"/>
      <c r="H352" s="33"/>
      <c r="I352" s="33"/>
      <c r="J352" s="33"/>
      <c r="K352" s="33"/>
      <c r="L352" s="33"/>
      <c r="M352" s="33"/>
      <c r="N352" s="33"/>
      <c r="O352" s="33"/>
      <c r="P352" s="33"/>
      <c r="Q352" s="33"/>
      <c r="R352" s="33"/>
      <c r="S352" s="33"/>
      <c r="T352" s="33"/>
      <c r="U352" s="33"/>
      <c r="V352" s="33"/>
      <c r="W352" s="33"/>
      <c r="X352" s="33"/>
      <c r="Y352" s="33"/>
      <c r="Z352" s="33"/>
    </row>
    <row r="353" spans="1:26" ht="13.5" customHeight="1">
      <c r="A353" s="33"/>
      <c r="B353" s="33"/>
      <c r="C353" s="33"/>
      <c r="D353" s="33"/>
      <c r="E353" s="33"/>
      <c r="F353" s="33"/>
      <c r="G353" s="33"/>
      <c r="H353" s="33"/>
      <c r="I353" s="33"/>
      <c r="J353" s="33"/>
      <c r="K353" s="33"/>
      <c r="L353" s="33"/>
      <c r="M353" s="33"/>
      <c r="N353" s="33"/>
      <c r="O353" s="33"/>
      <c r="P353" s="33"/>
      <c r="Q353" s="33"/>
      <c r="R353" s="33"/>
      <c r="S353" s="33"/>
      <c r="T353" s="33"/>
      <c r="U353" s="33"/>
      <c r="V353" s="33"/>
      <c r="W353" s="33"/>
      <c r="X353" s="33"/>
      <c r="Y353" s="33"/>
      <c r="Z353" s="33"/>
    </row>
    <row r="354" spans="1:26" ht="13.5" customHeight="1">
      <c r="A354" s="33"/>
      <c r="B354" s="33"/>
      <c r="C354" s="33"/>
      <c r="D354" s="33"/>
      <c r="E354" s="33"/>
      <c r="F354" s="33"/>
      <c r="G354" s="33"/>
      <c r="H354" s="33"/>
      <c r="I354" s="33"/>
      <c r="J354" s="33"/>
      <c r="K354" s="33"/>
      <c r="L354" s="33"/>
      <c r="M354" s="33"/>
      <c r="N354" s="33"/>
      <c r="O354" s="33"/>
      <c r="P354" s="33"/>
      <c r="Q354" s="33"/>
      <c r="R354" s="33"/>
      <c r="S354" s="33"/>
      <c r="T354" s="33"/>
      <c r="U354" s="33"/>
      <c r="V354" s="33"/>
      <c r="W354" s="33"/>
      <c r="X354" s="33"/>
      <c r="Y354" s="33"/>
      <c r="Z354" s="33"/>
    </row>
    <row r="355" spans="1:26" ht="13.5" customHeight="1">
      <c r="A355" s="33"/>
      <c r="B355" s="33"/>
      <c r="C355" s="33"/>
      <c r="D355" s="33"/>
      <c r="E355" s="33"/>
      <c r="F355" s="33"/>
      <c r="G355" s="33"/>
      <c r="H355" s="33"/>
      <c r="I355" s="33"/>
      <c r="J355" s="33"/>
      <c r="K355" s="33"/>
      <c r="L355" s="33"/>
      <c r="M355" s="33"/>
      <c r="N355" s="33"/>
      <c r="O355" s="33"/>
      <c r="P355" s="33"/>
      <c r="Q355" s="33"/>
      <c r="R355" s="33"/>
      <c r="S355" s="33"/>
      <c r="T355" s="33"/>
      <c r="U355" s="33"/>
      <c r="V355" s="33"/>
      <c r="W355" s="33"/>
      <c r="X355" s="33"/>
      <c r="Y355" s="33"/>
      <c r="Z355" s="33"/>
    </row>
    <row r="356" spans="1:26" ht="13.5" customHeight="1">
      <c r="A356" s="33"/>
      <c r="B356" s="33"/>
      <c r="C356" s="33"/>
      <c r="D356" s="33"/>
      <c r="E356" s="33"/>
      <c r="F356" s="33"/>
      <c r="G356" s="33"/>
      <c r="H356" s="33"/>
      <c r="I356" s="33"/>
      <c r="J356" s="33"/>
      <c r="K356" s="33"/>
      <c r="L356" s="33"/>
      <c r="M356" s="33"/>
      <c r="N356" s="33"/>
      <c r="O356" s="33"/>
      <c r="P356" s="33"/>
      <c r="Q356" s="33"/>
      <c r="R356" s="33"/>
      <c r="S356" s="33"/>
      <c r="T356" s="33"/>
      <c r="U356" s="33"/>
      <c r="V356" s="33"/>
      <c r="W356" s="33"/>
      <c r="X356" s="33"/>
      <c r="Y356" s="33"/>
      <c r="Z356" s="33"/>
    </row>
    <row r="357" spans="1:26" ht="13.5" customHeight="1">
      <c r="A357" s="33"/>
      <c r="B357" s="33"/>
      <c r="C357" s="33"/>
      <c r="D357" s="33"/>
      <c r="E357" s="33"/>
      <c r="F357" s="33"/>
      <c r="G357" s="33"/>
      <c r="H357" s="33"/>
      <c r="I357" s="33"/>
      <c r="J357" s="33"/>
      <c r="K357" s="33"/>
      <c r="L357" s="33"/>
      <c r="M357" s="33"/>
      <c r="N357" s="33"/>
      <c r="O357" s="33"/>
      <c r="P357" s="33"/>
      <c r="Q357" s="33"/>
      <c r="R357" s="33"/>
      <c r="S357" s="33"/>
      <c r="T357" s="33"/>
      <c r="U357" s="33"/>
      <c r="V357" s="33"/>
      <c r="W357" s="33"/>
      <c r="X357" s="33"/>
      <c r="Y357" s="33"/>
      <c r="Z357" s="33"/>
    </row>
    <row r="358" spans="1:26" ht="13.5" customHeight="1">
      <c r="A358" s="33"/>
      <c r="B358" s="33"/>
      <c r="C358" s="33"/>
      <c r="D358" s="33"/>
      <c r="E358" s="33"/>
      <c r="F358" s="33"/>
      <c r="G358" s="33"/>
      <c r="H358" s="33"/>
      <c r="I358" s="33"/>
      <c r="J358" s="33"/>
      <c r="K358" s="33"/>
      <c r="L358" s="33"/>
      <c r="M358" s="33"/>
      <c r="N358" s="33"/>
      <c r="O358" s="33"/>
      <c r="P358" s="33"/>
      <c r="Q358" s="33"/>
      <c r="R358" s="33"/>
      <c r="S358" s="33"/>
      <c r="T358" s="33"/>
      <c r="U358" s="33"/>
      <c r="V358" s="33"/>
      <c r="W358" s="33"/>
      <c r="X358" s="33"/>
      <c r="Y358" s="33"/>
      <c r="Z358" s="33"/>
    </row>
    <row r="359" spans="1:26" ht="13.5" customHeight="1">
      <c r="A359" s="33"/>
      <c r="B359" s="33"/>
      <c r="C359" s="33"/>
      <c r="D359" s="33"/>
      <c r="E359" s="33"/>
      <c r="F359" s="33"/>
      <c r="G359" s="33"/>
      <c r="H359" s="33"/>
      <c r="I359" s="33"/>
      <c r="J359" s="33"/>
      <c r="K359" s="33"/>
      <c r="L359" s="33"/>
      <c r="M359" s="33"/>
      <c r="N359" s="33"/>
      <c r="O359" s="33"/>
      <c r="P359" s="33"/>
      <c r="Q359" s="33"/>
      <c r="R359" s="33"/>
      <c r="S359" s="33"/>
      <c r="T359" s="33"/>
      <c r="U359" s="33"/>
      <c r="V359" s="33"/>
      <c r="W359" s="33"/>
      <c r="X359" s="33"/>
      <c r="Y359" s="33"/>
      <c r="Z359" s="33"/>
    </row>
    <row r="360" spans="1:26" ht="13.5" customHeight="1">
      <c r="A360" s="33"/>
      <c r="B360" s="33"/>
      <c r="C360" s="33"/>
      <c r="D360" s="33"/>
      <c r="E360" s="33"/>
      <c r="F360" s="33"/>
      <c r="G360" s="33"/>
      <c r="H360" s="33"/>
      <c r="I360" s="33"/>
      <c r="J360" s="33"/>
      <c r="K360" s="33"/>
      <c r="L360" s="33"/>
      <c r="M360" s="33"/>
      <c r="N360" s="33"/>
      <c r="O360" s="33"/>
      <c r="P360" s="33"/>
      <c r="Q360" s="33"/>
      <c r="R360" s="33"/>
      <c r="S360" s="33"/>
      <c r="T360" s="33"/>
      <c r="U360" s="33"/>
      <c r="V360" s="33"/>
      <c r="W360" s="33"/>
      <c r="X360" s="33"/>
      <c r="Y360" s="33"/>
      <c r="Z360" s="33"/>
    </row>
    <row r="361" spans="1:26" ht="13.5" customHeight="1">
      <c r="A361" s="33"/>
      <c r="B361" s="33"/>
      <c r="C361" s="33"/>
      <c r="D361" s="33"/>
      <c r="E361" s="33"/>
      <c r="F361" s="33"/>
      <c r="G361" s="33"/>
      <c r="H361" s="33"/>
      <c r="I361" s="33"/>
      <c r="J361" s="33"/>
      <c r="K361" s="33"/>
      <c r="L361" s="33"/>
      <c r="M361" s="33"/>
      <c r="N361" s="33"/>
      <c r="O361" s="33"/>
      <c r="P361" s="33"/>
      <c r="Q361" s="33"/>
      <c r="R361" s="33"/>
      <c r="S361" s="33"/>
      <c r="T361" s="33"/>
      <c r="U361" s="33"/>
      <c r="V361" s="33"/>
      <c r="W361" s="33"/>
      <c r="X361" s="33"/>
      <c r="Y361" s="33"/>
      <c r="Z361" s="33"/>
    </row>
    <row r="362" spans="1:26" ht="13.5" customHeight="1">
      <c r="A362" s="33"/>
      <c r="B362" s="33"/>
      <c r="C362" s="33"/>
      <c r="D362" s="33"/>
      <c r="E362" s="33"/>
      <c r="F362" s="33"/>
      <c r="G362" s="33"/>
      <c r="H362" s="33"/>
      <c r="I362" s="33"/>
      <c r="J362" s="33"/>
      <c r="K362" s="33"/>
      <c r="L362" s="33"/>
      <c r="M362" s="33"/>
      <c r="N362" s="33"/>
      <c r="O362" s="33"/>
      <c r="P362" s="33"/>
      <c r="Q362" s="33"/>
      <c r="R362" s="33"/>
      <c r="S362" s="33"/>
      <c r="T362" s="33"/>
      <c r="U362" s="33"/>
      <c r="V362" s="33"/>
      <c r="W362" s="33"/>
      <c r="X362" s="33"/>
      <c r="Y362" s="33"/>
      <c r="Z362" s="33"/>
    </row>
    <row r="363" spans="1:26" ht="13.5" customHeight="1">
      <c r="A363" s="33"/>
      <c r="B363" s="33"/>
      <c r="C363" s="33"/>
      <c r="D363" s="33"/>
      <c r="E363" s="33"/>
      <c r="F363" s="33"/>
      <c r="G363" s="33"/>
      <c r="H363" s="33"/>
      <c r="I363" s="33"/>
      <c r="J363" s="33"/>
      <c r="K363" s="33"/>
      <c r="L363" s="33"/>
      <c r="M363" s="33"/>
      <c r="N363" s="33"/>
      <c r="O363" s="33"/>
      <c r="P363" s="33"/>
      <c r="Q363" s="33"/>
      <c r="R363" s="33"/>
      <c r="S363" s="33"/>
      <c r="T363" s="33"/>
      <c r="U363" s="33"/>
      <c r="V363" s="33"/>
      <c r="W363" s="33"/>
      <c r="X363" s="33"/>
      <c r="Y363" s="33"/>
      <c r="Z363" s="33"/>
    </row>
    <row r="364" spans="1:26" ht="13.5" customHeight="1">
      <c r="A364" s="33"/>
      <c r="B364" s="33"/>
      <c r="C364" s="33"/>
      <c r="D364" s="33"/>
      <c r="E364" s="33"/>
      <c r="F364" s="33"/>
      <c r="G364" s="33"/>
      <c r="H364" s="33"/>
      <c r="I364" s="33"/>
      <c r="J364" s="33"/>
      <c r="K364" s="33"/>
      <c r="L364" s="33"/>
      <c r="M364" s="33"/>
      <c r="N364" s="33"/>
      <c r="O364" s="33"/>
      <c r="P364" s="33"/>
      <c r="Q364" s="33"/>
      <c r="R364" s="33"/>
      <c r="S364" s="33"/>
      <c r="T364" s="33"/>
      <c r="U364" s="33"/>
      <c r="V364" s="33"/>
      <c r="W364" s="33"/>
      <c r="X364" s="33"/>
      <c r="Y364" s="33"/>
      <c r="Z364" s="33"/>
    </row>
    <row r="365" spans="1:26" ht="13.5" customHeight="1">
      <c r="A365" s="33"/>
      <c r="B365" s="33"/>
      <c r="C365" s="33"/>
      <c r="D365" s="33"/>
      <c r="E365" s="33"/>
      <c r="F365" s="33"/>
      <c r="G365" s="33"/>
      <c r="H365" s="33"/>
      <c r="I365" s="33"/>
      <c r="J365" s="33"/>
      <c r="K365" s="33"/>
      <c r="L365" s="33"/>
      <c r="M365" s="33"/>
      <c r="N365" s="33"/>
      <c r="O365" s="33"/>
      <c r="P365" s="33"/>
      <c r="Q365" s="33"/>
      <c r="R365" s="33"/>
      <c r="S365" s="33"/>
      <c r="T365" s="33"/>
      <c r="U365" s="33"/>
      <c r="V365" s="33"/>
      <c r="W365" s="33"/>
      <c r="X365" s="33"/>
      <c r="Y365" s="33"/>
      <c r="Z365" s="33"/>
    </row>
    <row r="366" spans="1:26" ht="13.5" customHeight="1">
      <c r="A366" s="33"/>
      <c r="B366" s="33"/>
      <c r="C366" s="33"/>
      <c r="D366" s="33"/>
      <c r="E366" s="33"/>
      <c r="F366" s="33"/>
      <c r="G366" s="33"/>
      <c r="H366" s="33"/>
      <c r="I366" s="33"/>
      <c r="J366" s="33"/>
      <c r="K366" s="33"/>
      <c r="L366" s="33"/>
      <c r="M366" s="33"/>
      <c r="N366" s="33"/>
      <c r="O366" s="33"/>
      <c r="P366" s="33"/>
      <c r="Q366" s="33"/>
      <c r="R366" s="33"/>
      <c r="S366" s="33"/>
      <c r="T366" s="33"/>
      <c r="U366" s="33"/>
      <c r="V366" s="33"/>
      <c r="W366" s="33"/>
      <c r="X366" s="33"/>
      <c r="Y366" s="33"/>
      <c r="Z366" s="33"/>
    </row>
    <row r="367" spans="1:26" ht="13.5" customHeight="1">
      <c r="A367" s="33"/>
      <c r="B367" s="33"/>
      <c r="C367" s="33"/>
      <c r="D367" s="33"/>
      <c r="E367" s="33"/>
      <c r="F367" s="33"/>
      <c r="G367" s="33"/>
      <c r="H367" s="33"/>
      <c r="I367" s="33"/>
      <c r="J367" s="33"/>
      <c r="K367" s="33"/>
      <c r="L367" s="33"/>
      <c r="M367" s="33"/>
      <c r="N367" s="33"/>
      <c r="O367" s="33"/>
      <c r="P367" s="33"/>
      <c r="Q367" s="33"/>
      <c r="R367" s="33"/>
      <c r="S367" s="33"/>
      <c r="T367" s="33"/>
      <c r="U367" s="33"/>
      <c r="V367" s="33"/>
      <c r="W367" s="33"/>
      <c r="X367" s="33"/>
      <c r="Y367" s="33"/>
      <c r="Z367" s="33"/>
    </row>
    <row r="368" spans="1:26" ht="13.5" customHeight="1">
      <c r="A368" s="33"/>
      <c r="B368" s="33"/>
      <c r="C368" s="33"/>
      <c r="D368" s="33"/>
      <c r="E368" s="33"/>
      <c r="F368" s="33"/>
      <c r="G368" s="33"/>
      <c r="H368" s="33"/>
      <c r="I368" s="33"/>
      <c r="J368" s="33"/>
      <c r="K368" s="33"/>
      <c r="L368" s="33"/>
      <c r="M368" s="33"/>
      <c r="N368" s="33"/>
      <c r="O368" s="33"/>
      <c r="P368" s="33"/>
      <c r="Q368" s="33"/>
      <c r="R368" s="33"/>
      <c r="S368" s="33"/>
      <c r="T368" s="33"/>
      <c r="U368" s="33"/>
      <c r="V368" s="33"/>
      <c r="W368" s="33"/>
      <c r="X368" s="33"/>
      <c r="Y368" s="33"/>
      <c r="Z368" s="33"/>
    </row>
    <row r="369" spans="1:26" ht="13.5" customHeight="1">
      <c r="A369" s="33"/>
      <c r="B369" s="33"/>
      <c r="C369" s="33"/>
      <c r="D369" s="33"/>
      <c r="E369" s="33"/>
      <c r="F369" s="33"/>
      <c r="G369" s="33"/>
      <c r="H369" s="33"/>
      <c r="I369" s="33"/>
      <c r="J369" s="33"/>
      <c r="K369" s="33"/>
      <c r="L369" s="33"/>
      <c r="M369" s="33"/>
      <c r="N369" s="33"/>
      <c r="O369" s="33"/>
      <c r="P369" s="33"/>
      <c r="Q369" s="33"/>
      <c r="R369" s="33"/>
      <c r="S369" s="33"/>
      <c r="T369" s="33"/>
      <c r="U369" s="33"/>
      <c r="V369" s="33"/>
      <c r="W369" s="33"/>
      <c r="X369" s="33"/>
      <c r="Y369" s="33"/>
      <c r="Z369" s="33"/>
    </row>
    <row r="370" spans="1:26" ht="13.5" customHeight="1">
      <c r="A370" s="33"/>
      <c r="B370" s="33"/>
      <c r="C370" s="33"/>
      <c r="D370" s="33"/>
      <c r="E370" s="33"/>
      <c r="F370" s="33"/>
      <c r="G370" s="33"/>
      <c r="H370" s="33"/>
      <c r="I370" s="33"/>
      <c r="J370" s="33"/>
      <c r="K370" s="33"/>
      <c r="L370" s="33"/>
      <c r="M370" s="33"/>
      <c r="N370" s="33"/>
      <c r="O370" s="33"/>
      <c r="P370" s="33"/>
      <c r="Q370" s="33"/>
      <c r="R370" s="33"/>
      <c r="S370" s="33"/>
      <c r="T370" s="33"/>
      <c r="U370" s="33"/>
      <c r="V370" s="33"/>
      <c r="W370" s="33"/>
      <c r="X370" s="33"/>
      <c r="Y370" s="33"/>
      <c r="Z370" s="33"/>
    </row>
    <row r="371" spans="1:26" ht="13.5" customHeight="1">
      <c r="A371" s="33"/>
      <c r="B371" s="33"/>
      <c r="C371" s="33"/>
      <c r="D371" s="33"/>
      <c r="E371" s="33"/>
      <c r="F371" s="33"/>
      <c r="G371" s="33"/>
      <c r="H371" s="33"/>
      <c r="I371" s="33"/>
      <c r="J371" s="33"/>
      <c r="K371" s="33"/>
      <c r="L371" s="33"/>
      <c r="M371" s="33"/>
      <c r="N371" s="33"/>
      <c r="O371" s="33"/>
      <c r="P371" s="33"/>
      <c r="Q371" s="33"/>
      <c r="R371" s="33"/>
      <c r="S371" s="33"/>
      <c r="T371" s="33"/>
      <c r="U371" s="33"/>
      <c r="V371" s="33"/>
      <c r="W371" s="33"/>
      <c r="X371" s="33"/>
      <c r="Y371" s="33"/>
      <c r="Z371" s="33"/>
    </row>
    <row r="372" spans="1:26" ht="13.5" customHeight="1">
      <c r="A372" s="33"/>
      <c r="B372" s="33"/>
      <c r="C372" s="33"/>
      <c r="D372" s="33"/>
      <c r="E372" s="33"/>
      <c r="F372" s="33"/>
      <c r="G372" s="33"/>
      <c r="H372" s="33"/>
      <c r="I372" s="33"/>
      <c r="J372" s="33"/>
      <c r="K372" s="33"/>
      <c r="L372" s="33"/>
      <c r="M372" s="33"/>
      <c r="N372" s="33"/>
      <c r="O372" s="33"/>
      <c r="P372" s="33"/>
      <c r="Q372" s="33"/>
      <c r="R372" s="33"/>
      <c r="S372" s="33"/>
      <c r="T372" s="33"/>
      <c r="U372" s="33"/>
      <c r="V372" s="33"/>
      <c r="W372" s="33"/>
      <c r="X372" s="33"/>
      <c r="Y372" s="33"/>
      <c r="Z372" s="33"/>
    </row>
    <row r="373" spans="1:26" ht="13.5" customHeight="1">
      <c r="A373" s="33"/>
      <c r="B373" s="33"/>
      <c r="C373" s="33"/>
      <c r="D373" s="33"/>
      <c r="E373" s="33"/>
      <c r="F373" s="33"/>
      <c r="G373" s="33"/>
      <c r="H373" s="33"/>
      <c r="I373" s="33"/>
      <c r="J373" s="33"/>
      <c r="K373" s="33"/>
      <c r="L373" s="33"/>
      <c r="M373" s="33"/>
      <c r="N373" s="33"/>
      <c r="O373" s="33"/>
      <c r="P373" s="33"/>
      <c r="Q373" s="33"/>
      <c r="R373" s="33"/>
      <c r="S373" s="33"/>
      <c r="T373" s="33"/>
      <c r="U373" s="33"/>
      <c r="V373" s="33"/>
      <c r="W373" s="33"/>
      <c r="X373" s="33"/>
      <c r="Y373" s="33"/>
      <c r="Z373" s="33"/>
    </row>
    <row r="374" spans="1:26" ht="13.5" customHeight="1">
      <c r="A374" s="33"/>
      <c r="B374" s="33"/>
      <c r="C374" s="33"/>
      <c r="D374" s="33"/>
      <c r="E374" s="33"/>
      <c r="F374" s="33"/>
      <c r="G374" s="33"/>
      <c r="H374" s="33"/>
      <c r="I374" s="33"/>
      <c r="J374" s="33"/>
      <c r="K374" s="33"/>
      <c r="L374" s="33"/>
      <c r="M374" s="33"/>
      <c r="N374" s="33"/>
      <c r="O374" s="33"/>
      <c r="P374" s="33"/>
      <c r="Q374" s="33"/>
      <c r="R374" s="33"/>
      <c r="S374" s="33"/>
      <c r="T374" s="33"/>
      <c r="U374" s="33"/>
      <c r="V374" s="33"/>
      <c r="W374" s="33"/>
      <c r="X374" s="33"/>
      <c r="Y374" s="33"/>
      <c r="Z374" s="33"/>
    </row>
    <row r="375" spans="1:26" ht="13.5" customHeight="1">
      <c r="A375" s="33"/>
      <c r="B375" s="33"/>
      <c r="C375" s="33"/>
      <c r="D375" s="33"/>
      <c r="E375" s="33"/>
      <c r="F375" s="33"/>
      <c r="G375" s="33"/>
      <c r="H375" s="33"/>
      <c r="I375" s="33"/>
      <c r="J375" s="33"/>
      <c r="K375" s="33"/>
      <c r="L375" s="33"/>
      <c r="M375" s="33"/>
      <c r="N375" s="33"/>
      <c r="O375" s="33"/>
      <c r="P375" s="33"/>
      <c r="Q375" s="33"/>
      <c r="R375" s="33"/>
      <c r="S375" s="33"/>
      <c r="T375" s="33"/>
      <c r="U375" s="33"/>
      <c r="V375" s="33"/>
      <c r="W375" s="33"/>
      <c r="X375" s="33"/>
      <c r="Y375" s="33"/>
      <c r="Z375" s="33"/>
    </row>
    <row r="376" spans="1:26" ht="13.5" customHeight="1">
      <c r="A376" s="33"/>
      <c r="B376" s="33"/>
      <c r="C376" s="33"/>
      <c r="D376" s="33"/>
      <c r="E376" s="33"/>
      <c r="F376" s="33"/>
      <c r="G376" s="33"/>
      <c r="H376" s="33"/>
      <c r="I376" s="33"/>
      <c r="J376" s="33"/>
      <c r="K376" s="33"/>
      <c r="L376" s="33"/>
      <c r="M376" s="33"/>
      <c r="N376" s="33"/>
      <c r="O376" s="33"/>
      <c r="P376" s="33"/>
      <c r="Q376" s="33"/>
      <c r="R376" s="33"/>
      <c r="S376" s="33"/>
      <c r="T376" s="33"/>
      <c r="U376" s="33"/>
      <c r="V376" s="33"/>
      <c r="W376" s="33"/>
      <c r="X376" s="33"/>
      <c r="Y376" s="33"/>
      <c r="Z376" s="33"/>
    </row>
    <row r="377" spans="1:26" ht="13.5" customHeight="1">
      <c r="A377" s="33"/>
      <c r="B377" s="33"/>
      <c r="C377" s="33"/>
      <c r="D377" s="33"/>
      <c r="E377" s="33"/>
      <c r="F377" s="33"/>
      <c r="G377" s="33"/>
      <c r="H377" s="33"/>
      <c r="I377" s="33"/>
      <c r="J377" s="33"/>
      <c r="K377" s="33"/>
      <c r="L377" s="33"/>
      <c r="M377" s="33"/>
      <c r="N377" s="33"/>
      <c r="O377" s="33"/>
      <c r="P377" s="33"/>
      <c r="Q377" s="33"/>
      <c r="R377" s="33"/>
      <c r="S377" s="33"/>
      <c r="T377" s="33"/>
      <c r="U377" s="33"/>
      <c r="V377" s="33"/>
      <c r="W377" s="33"/>
      <c r="X377" s="33"/>
      <c r="Y377" s="33"/>
      <c r="Z377" s="33"/>
    </row>
    <row r="378" spans="1:26" ht="13.5" customHeight="1">
      <c r="A378" s="33"/>
      <c r="B378" s="33"/>
      <c r="C378" s="33"/>
      <c r="D378" s="33"/>
      <c r="E378" s="33"/>
      <c r="F378" s="33"/>
      <c r="G378" s="33"/>
      <c r="H378" s="33"/>
      <c r="I378" s="33"/>
      <c r="J378" s="33"/>
      <c r="K378" s="33"/>
      <c r="L378" s="33"/>
      <c r="M378" s="33"/>
      <c r="N378" s="33"/>
      <c r="O378" s="33"/>
      <c r="P378" s="33"/>
      <c r="Q378" s="33"/>
      <c r="R378" s="33"/>
      <c r="S378" s="33"/>
      <c r="T378" s="33"/>
      <c r="U378" s="33"/>
      <c r="V378" s="33"/>
      <c r="W378" s="33"/>
      <c r="X378" s="33"/>
      <c r="Y378" s="33"/>
      <c r="Z378" s="33"/>
    </row>
    <row r="379" spans="1:26" ht="13.5" customHeight="1">
      <c r="A379" s="33"/>
      <c r="B379" s="33"/>
      <c r="C379" s="33"/>
      <c r="D379" s="33"/>
      <c r="E379" s="33"/>
      <c r="F379" s="33"/>
      <c r="G379" s="33"/>
      <c r="H379" s="33"/>
      <c r="I379" s="33"/>
      <c r="J379" s="33"/>
      <c r="K379" s="33"/>
      <c r="L379" s="33"/>
      <c r="M379" s="33"/>
      <c r="N379" s="33"/>
      <c r="O379" s="33"/>
      <c r="P379" s="33"/>
      <c r="Q379" s="33"/>
      <c r="R379" s="33"/>
      <c r="S379" s="33"/>
      <c r="T379" s="33"/>
      <c r="U379" s="33"/>
      <c r="V379" s="33"/>
      <c r="W379" s="33"/>
      <c r="X379" s="33"/>
      <c r="Y379" s="33"/>
      <c r="Z379" s="33"/>
    </row>
    <row r="380" spans="1:26" ht="13.5" customHeight="1">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row>
    <row r="381" spans="1:26" ht="13.5" customHeight="1">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row>
    <row r="382" spans="1:26" ht="13.5" customHeight="1">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row>
    <row r="383" spans="1:26" ht="13.5" customHeight="1">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row>
    <row r="384" spans="1:26" ht="13.5" customHeight="1">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row>
    <row r="385" spans="1:26" ht="13.5" customHeight="1">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row>
    <row r="386" spans="1:26" ht="13.5" customHeight="1">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row>
    <row r="387" spans="1:26" ht="13.5" customHeight="1">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row>
    <row r="388" spans="1:26" ht="13.5" customHeight="1">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row>
    <row r="389" spans="1:26" ht="13.5" customHeight="1">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row>
    <row r="390" spans="1:26" ht="13.5" customHeight="1">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row>
    <row r="391" spans="1:26" ht="13.5" customHeight="1">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row>
    <row r="392" spans="1:26" ht="13.5" customHeight="1">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row>
    <row r="393" spans="1:26" ht="13.5" customHeight="1">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row>
    <row r="394" spans="1:26" ht="13.5" customHeight="1">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row>
    <row r="395" spans="1:26" ht="13.5" customHeight="1">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row>
    <row r="396" spans="1:26" ht="13.5" customHeight="1">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row>
    <row r="397" spans="1:26" ht="13.5" customHeight="1">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row>
    <row r="398" spans="1:26" ht="13.5" customHeight="1">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row>
    <row r="399" spans="1:26" ht="13.5" customHeight="1">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row>
    <row r="400" spans="1:26" ht="13.5" customHeight="1">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row>
    <row r="401" spans="1:26" ht="13.5" customHeight="1">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row>
    <row r="402" spans="1:26" ht="13.5" customHeight="1">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row>
    <row r="403" spans="1:26" ht="13.5" customHeight="1">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row>
    <row r="404" spans="1:26" ht="13.5" customHeight="1">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row>
    <row r="405" spans="1:26" ht="13.5" customHeight="1">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row>
    <row r="406" spans="1:26" ht="13.5" customHeight="1">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row>
    <row r="407" spans="1:26" ht="13.5" customHeight="1">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row>
    <row r="408" spans="1:26" ht="13.5" customHeight="1">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row>
    <row r="409" spans="1:26" ht="13.5" customHeight="1">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row>
    <row r="410" spans="1:26" ht="13.5" customHeight="1">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row>
    <row r="411" spans="1:26" ht="13.5" customHeight="1">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row>
    <row r="412" spans="1:26" ht="13.5" customHeight="1">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row>
    <row r="413" spans="1:26" ht="13.5" customHeight="1">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row>
    <row r="414" spans="1:26" ht="13.5" customHeight="1">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row>
    <row r="415" spans="1:26" ht="13.5" customHeight="1">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row>
    <row r="416" spans="1:26" ht="13.5" customHeight="1">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row>
    <row r="417" spans="1:26" ht="13.5" customHeight="1">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row>
    <row r="418" spans="1:26" ht="13.5" customHeight="1">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row>
    <row r="419" spans="1:26" ht="13.5" customHeight="1">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row>
    <row r="420" spans="1:26" ht="13.5" customHeight="1">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row>
    <row r="421" spans="1:26" ht="13.5" customHeight="1">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row>
    <row r="422" spans="1:26" ht="13.5" customHeight="1">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row>
    <row r="423" spans="1:26" ht="13.5" customHeight="1">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row>
    <row r="424" spans="1:26" ht="13.5" customHeight="1">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row>
    <row r="425" spans="1:26" ht="13.5" customHeight="1">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row>
    <row r="426" spans="1:26" ht="13.5" customHeight="1">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row>
    <row r="427" spans="1:26" ht="13.5" customHeight="1">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row>
    <row r="428" spans="1:26" ht="13.5" customHeight="1">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row>
    <row r="429" spans="1:26" ht="13.5" customHeight="1">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row>
    <row r="430" spans="1:26" ht="13.5" customHeight="1">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row>
    <row r="431" spans="1:26" ht="13.5" customHeight="1">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row>
    <row r="432" spans="1:26" ht="13.5" customHeight="1">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row>
    <row r="433" spans="1:26" ht="13.5" customHeight="1">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row>
    <row r="434" spans="1:26" ht="13.5" customHeight="1">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row>
    <row r="435" spans="1:26" ht="13.5" customHeight="1">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row>
    <row r="436" spans="1:26" ht="13.5" customHeight="1">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row>
    <row r="437" spans="1:26" ht="13.5" customHeight="1">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row>
    <row r="438" spans="1:26" ht="13.5" customHeight="1">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row>
    <row r="439" spans="1:26" ht="13.5" customHeight="1">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row>
    <row r="440" spans="1:26" ht="13.5" customHeight="1">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row>
    <row r="441" spans="1:26" ht="13.5" customHeight="1">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row>
    <row r="442" spans="1:26" ht="13.5" customHeight="1">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row>
    <row r="443" spans="1:26" ht="13.5" customHeight="1">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row>
    <row r="444" spans="1:26" ht="13.5" customHeight="1">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row>
    <row r="445" spans="1:26" ht="13.5" customHeight="1">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row>
    <row r="446" spans="1:26" ht="13.5" customHeight="1">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row>
    <row r="447" spans="1:26" ht="13.5" customHeight="1">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row>
    <row r="448" spans="1:26" ht="13.5" customHeight="1">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row>
    <row r="449" spans="1:26" ht="13.5" customHeight="1">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row>
    <row r="450" spans="1:26" ht="13.5" customHeight="1">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row>
    <row r="451" spans="1:26" ht="13.5" customHeight="1">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row>
    <row r="452" spans="1:26" ht="13.5" customHeight="1">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row>
    <row r="453" spans="1:26" ht="13.5" customHeight="1">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row>
    <row r="454" spans="1:26" ht="13.5" customHeight="1">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row>
    <row r="455" spans="1:26" ht="13.5" customHeight="1">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row>
    <row r="456" spans="1:26" ht="13.5" customHeight="1">
      <c r="A456" s="33"/>
      <c r="B456" s="33"/>
      <c r="C456" s="33"/>
      <c r="D456" s="33"/>
      <c r="E456" s="33"/>
      <c r="F456" s="33"/>
      <c r="G456" s="33"/>
      <c r="H456" s="33"/>
      <c r="I456" s="33"/>
      <c r="J456" s="33"/>
      <c r="K456" s="33"/>
      <c r="L456" s="33"/>
      <c r="M456" s="33"/>
      <c r="N456" s="33"/>
      <c r="O456" s="33"/>
      <c r="P456" s="33"/>
      <c r="Q456" s="33"/>
      <c r="R456" s="33"/>
      <c r="S456" s="33"/>
      <c r="T456" s="33"/>
      <c r="U456" s="33"/>
      <c r="V456" s="33"/>
      <c r="W456" s="33"/>
      <c r="X456" s="33"/>
      <c r="Y456" s="33"/>
      <c r="Z456" s="33"/>
    </row>
    <row r="457" spans="1:26" ht="13.5" customHeight="1">
      <c r="A457" s="33"/>
      <c r="B457" s="33"/>
      <c r="C457" s="33"/>
      <c r="D457" s="33"/>
      <c r="E457" s="33"/>
      <c r="F457" s="33"/>
      <c r="G457" s="33"/>
      <c r="H457" s="33"/>
      <c r="I457" s="33"/>
      <c r="J457" s="33"/>
      <c r="K457" s="33"/>
      <c r="L457" s="33"/>
      <c r="M457" s="33"/>
      <c r="N457" s="33"/>
      <c r="O457" s="33"/>
      <c r="P457" s="33"/>
      <c r="Q457" s="33"/>
      <c r="R457" s="33"/>
      <c r="S457" s="33"/>
      <c r="T457" s="33"/>
      <c r="U457" s="33"/>
      <c r="V457" s="33"/>
      <c r="W457" s="33"/>
      <c r="X457" s="33"/>
      <c r="Y457" s="33"/>
      <c r="Z457" s="33"/>
    </row>
    <row r="458" spans="1:26" ht="13.5" customHeight="1">
      <c r="A458" s="33"/>
      <c r="B458" s="33"/>
      <c r="C458" s="33"/>
      <c r="D458" s="33"/>
      <c r="E458" s="33"/>
      <c r="F458" s="33"/>
      <c r="G458" s="33"/>
      <c r="H458" s="33"/>
      <c r="I458" s="33"/>
      <c r="J458" s="33"/>
      <c r="K458" s="33"/>
      <c r="L458" s="33"/>
      <c r="M458" s="33"/>
      <c r="N458" s="33"/>
      <c r="O458" s="33"/>
      <c r="P458" s="33"/>
      <c r="Q458" s="33"/>
      <c r="R458" s="33"/>
      <c r="S458" s="33"/>
      <c r="T458" s="33"/>
      <c r="U458" s="33"/>
      <c r="V458" s="33"/>
      <c r="W458" s="33"/>
      <c r="X458" s="33"/>
      <c r="Y458" s="33"/>
      <c r="Z458" s="33"/>
    </row>
    <row r="459" spans="1:26" ht="13.5" customHeight="1">
      <c r="A459" s="33"/>
      <c r="B459" s="33"/>
      <c r="C459" s="33"/>
      <c r="D459" s="33"/>
      <c r="E459" s="33"/>
      <c r="F459" s="33"/>
      <c r="G459" s="33"/>
      <c r="H459" s="33"/>
      <c r="I459" s="33"/>
      <c r="J459" s="33"/>
      <c r="K459" s="33"/>
      <c r="L459" s="33"/>
      <c r="M459" s="33"/>
      <c r="N459" s="33"/>
      <c r="O459" s="33"/>
      <c r="P459" s="33"/>
      <c r="Q459" s="33"/>
      <c r="R459" s="33"/>
      <c r="S459" s="33"/>
      <c r="T459" s="33"/>
      <c r="U459" s="33"/>
      <c r="V459" s="33"/>
      <c r="W459" s="33"/>
      <c r="X459" s="33"/>
      <c r="Y459" s="33"/>
      <c r="Z459" s="33"/>
    </row>
    <row r="460" spans="1:26" ht="13.5" customHeight="1">
      <c r="A460" s="33"/>
      <c r="B460" s="33"/>
      <c r="C460" s="33"/>
      <c r="D460" s="33"/>
      <c r="E460" s="33"/>
      <c r="F460" s="33"/>
      <c r="G460" s="33"/>
      <c r="H460" s="33"/>
      <c r="I460" s="33"/>
      <c r="J460" s="33"/>
      <c r="K460" s="33"/>
      <c r="L460" s="33"/>
      <c r="M460" s="33"/>
      <c r="N460" s="33"/>
      <c r="O460" s="33"/>
      <c r="P460" s="33"/>
      <c r="Q460" s="33"/>
      <c r="R460" s="33"/>
      <c r="S460" s="33"/>
      <c r="T460" s="33"/>
      <c r="U460" s="33"/>
      <c r="V460" s="33"/>
      <c r="W460" s="33"/>
      <c r="X460" s="33"/>
      <c r="Y460" s="33"/>
      <c r="Z460" s="33"/>
    </row>
    <row r="461" spans="1:26" ht="13.5" customHeight="1">
      <c r="A461" s="33"/>
      <c r="B461" s="33"/>
      <c r="C461" s="33"/>
      <c r="D461" s="33"/>
      <c r="E461" s="33"/>
      <c r="F461" s="33"/>
      <c r="G461" s="33"/>
      <c r="H461" s="33"/>
      <c r="I461" s="33"/>
      <c r="J461" s="33"/>
      <c r="K461" s="33"/>
      <c r="L461" s="33"/>
      <c r="M461" s="33"/>
      <c r="N461" s="33"/>
      <c r="O461" s="33"/>
      <c r="P461" s="33"/>
      <c r="Q461" s="33"/>
      <c r="R461" s="33"/>
      <c r="S461" s="33"/>
      <c r="T461" s="33"/>
      <c r="U461" s="33"/>
      <c r="V461" s="33"/>
      <c r="W461" s="33"/>
      <c r="X461" s="33"/>
      <c r="Y461" s="33"/>
      <c r="Z461" s="33"/>
    </row>
    <row r="462" spans="1:26" ht="13.5" customHeight="1">
      <c r="A462" s="33"/>
      <c r="B462" s="33"/>
      <c r="C462" s="33"/>
      <c r="D462" s="33"/>
      <c r="E462" s="33"/>
      <c r="F462" s="33"/>
      <c r="G462" s="33"/>
      <c r="H462" s="33"/>
      <c r="I462" s="33"/>
      <c r="J462" s="33"/>
      <c r="K462" s="33"/>
      <c r="L462" s="33"/>
      <c r="M462" s="33"/>
      <c r="N462" s="33"/>
      <c r="O462" s="33"/>
      <c r="P462" s="33"/>
      <c r="Q462" s="33"/>
      <c r="R462" s="33"/>
      <c r="S462" s="33"/>
      <c r="T462" s="33"/>
      <c r="U462" s="33"/>
      <c r="V462" s="33"/>
      <c r="W462" s="33"/>
      <c r="X462" s="33"/>
      <c r="Y462" s="33"/>
      <c r="Z462" s="33"/>
    </row>
    <row r="463" spans="1:26" ht="13.5" customHeight="1">
      <c r="A463" s="33"/>
      <c r="B463" s="33"/>
      <c r="C463" s="33"/>
      <c r="D463" s="33"/>
      <c r="E463" s="33"/>
      <c r="F463" s="33"/>
      <c r="G463" s="33"/>
      <c r="H463" s="33"/>
      <c r="I463" s="33"/>
      <c r="J463" s="33"/>
      <c r="K463" s="33"/>
      <c r="L463" s="33"/>
      <c r="M463" s="33"/>
      <c r="N463" s="33"/>
      <c r="O463" s="33"/>
      <c r="P463" s="33"/>
      <c r="Q463" s="33"/>
      <c r="R463" s="33"/>
      <c r="S463" s="33"/>
      <c r="T463" s="33"/>
      <c r="U463" s="33"/>
      <c r="V463" s="33"/>
      <c r="W463" s="33"/>
      <c r="X463" s="33"/>
      <c r="Y463" s="33"/>
      <c r="Z463" s="33"/>
    </row>
    <row r="464" spans="1:26" ht="13.5" customHeight="1">
      <c r="A464" s="33"/>
      <c r="B464" s="33"/>
      <c r="C464" s="33"/>
      <c r="D464" s="33"/>
      <c r="E464" s="33"/>
      <c r="F464" s="33"/>
      <c r="G464" s="33"/>
      <c r="H464" s="33"/>
      <c r="I464" s="33"/>
      <c r="J464" s="33"/>
      <c r="K464" s="33"/>
      <c r="L464" s="33"/>
      <c r="M464" s="33"/>
      <c r="N464" s="33"/>
      <c r="O464" s="33"/>
      <c r="P464" s="33"/>
      <c r="Q464" s="33"/>
      <c r="R464" s="33"/>
      <c r="S464" s="33"/>
      <c r="T464" s="33"/>
      <c r="U464" s="33"/>
      <c r="V464" s="33"/>
      <c r="W464" s="33"/>
      <c r="X464" s="33"/>
      <c r="Y464" s="33"/>
      <c r="Z464" s="33"/>
    </row>
    <row r="465" spans="1:26" ht="13.5" customHeight="1">
      <c r="A465" s="33"/>
      <c r="B465" s="33"/>
      <c r="C465" s="33"/>
      <c r="D465" s="33"/>
      <c r="E465" s="33"/>
      <c r="F465" s="33"/>
      <c r="G465" s="33"/>
      <c r="H465" s="33"/>
      <c r="I465" s="33"/>
      <c r="J465" s="33"/>
      <c r="K465" s="33"/>
      <c r="L465" s="33"/>
      <c r="M465" s="33"/>
      <c r="N465" s="33"/>
      <c r="O465" s="33"/>
      <c r="P465" s="33"/>
      <c r="Q465" s="33"/>
      <c r="R465" s="33"/>
      <c r="S465" s="33"/>
      <c r="T465" s="33"/>
      <c r="U465" s="33"/>
      <c r="V465" s="33"/>
      <c r="W465" s="33"/>
      <c r="X465" s="33"/>
      <c r="Y465" s="33"/>
      <c r="Z465" s="33"/>
    </row>
    <row r="466" spans="1:26" ht="13.5" customHeight="1">
      <c r="A466" s="33"/>
      <c r="B466" s="33"/>
      <c r="C466" s="33"/>
      <c r="D466" s="33"/>
      <c r="E466" s="33"/>
      <c r="F466" s="33"/>
      <c r="G466" s="33"/>
      <c r="H466" s="33"/>
      <c r="I466" s="33"/>
      <c r="J466" s="33"/>
      <c r="K466" s="33"/>
      <c r="L466" s="33"/>
      <c r="M466" s="33"/>
      <c r="N466" s="33"/>
      <c r="O466" s="33"/>
      <c r="P466" s="33"/>
      <c r="Q466" s="33"/>
      <c r="R466" s="33"/>
      <c r="S466" s="33"/>
      <c r="T466" s="33"/>
      <c r="U466" s="33"/>
      <c r="V466" s="33"/>
      <c r="W466" s="33"/>
      <c r="X466" s="33"/>
      <c r="Y466" s="33"/>
      <c r="Z466" s="33"/>
    </row>
    <row r="467" spans="1:26" ht="13.5" customHeight="1">
      <c r="A467" s="33"/>
      <c r="B467" s="33"/>
      <c r="C467" s="33"/>
      <c r="D467" s="33"/>
      <c r="E467" s="33"/>
      <c r="F467" s="33"/>
      <c r="G467" s="33"/>
      <c r="H467" s="33"/>
      <c r="I467" s="33"/>
      <c r="J467" s="33"/>
      <c r="K467" s="33"/>
      <c r="L467" s="33"/>
      <c r="M467" s="33"/>
      <c r="N467" s="33"/>
      <c r="O467" s="33"/>
      <c r="P467" s="33"/>
      <c r="Q467" s="33"/>
      <c r="R467" s="33"/>
      <c r="S467" s="33"/>
      <c r="T467" s="33"/>
      <c r="U467" s="33"/>
      <c r="V467" s="33"/>
      <c r="W467" s="33"/>
      <c r="X467" s="33"/>
      <c r="Y467" s="33"/>
      <c r="Z467" s="33"/>
    </row>
    <row r="468" spans="1:26" ht="13.5" customHeight="1">
      <c r="A468" s="33"/>
      <c r="B468" s="33"/>
      <c r="C468" s="33"/>
      <c r="D468" s="33"/>
      <c r="E468" s="33"/>
      <c r="F468" s="33"/>
      <c r="G468" s="33"/>
      <c r="H468" s="33"/>
      <c r="I468" s="33"/>
      <c r="J468" s="33"/>
      <c r="K468" s="33"/>
      <c r="L468" s="33"/>
      <c r="M468" s="33"/>
      <c r="N468" s="33"/>
      <c r="O468" s="33"/>
      <c r="P468" s="33"/>
      <c r="Q468" s="33"/>
      <c r="R468" s="33"/>
      <c r="S468" s="33"/>
      <c r="T468" s="33"/>
      <c r="U468" s="33"/>
      <c r="V468" s="33"/>
      <c r="W468" s="33"/>
      <c r="X468" s="33"/>
      <c r="Y468" s="33"/>
      <c r="Z468" s="33"/>
    </row>
    <row r="469" spans="1:26" ht="13.5" customHeight="1">
      <c r="A469" s="33"/>
      <c r="B469" s="33"/>
      <c r="C469" s="33"/>
      <c r="D469" s="33"/>
      <c r="E469" s="33"/>
      <c r="F469" s="33"/>
      <c r="G469" s="33"/>
      <c r="H469" s="33"/>
      <c r="I469" s="33"/>
      <c r="J469" s="33"/>
      <c r="K469" s="33"/>
      <c r="L469" s="33"/>
      <c r="M469" s="33"/>
      <c r="N469" s="33"/>
      <c r="O469" s="33"/>
      <c r="P469" s="33"/>
      <c r="Q469" s="33"/>
      <c r="R469" s="33"/>
      <c r="S469" s="33"/>
      <c r="T469" s="33"/>
      <c r="U469" s="33"/>
      <c r="V469" s="33"/>
      <c r="W469" s="33"/>
      <c r="X469" s="33"/>
      <c r="Y469" s="33"/>
      <c r="Z469" s="33"/>
    </row>
    <row r="470" spans="1:26" ht="13.5" customHeight="1">
      <c r="A470" s="33"/>
      <c r="B470" s="33"/>
      <c r="C470" s="33"/>
      <c r="D470" s="33"/>
      <c r="E470" s="33"/>
      <c r="F470" s="33"/>
      <c r="G470" s="33"/>
      <c r="H470" s="33"/>
      <c r="I470" s="33"/>
      <c r="J470" s="33"/>
      <c r="K470" s="33"/>
      <c r="L470" s="33"/>
      <c r="M470" s="33"/>
      <c r="N470" s="33"/>
      <c r="O470" s="33"/>
      <c r="P470" s="33"/>
      <c r="Q470" s="33"/>
      <c r="R470" s="33"/>
      <c r="S470" s="33"/>
      <c r="T470" s="33"/>
      <c r="U470" s="33"/>
      <c r="V470" s="33"/>
      <c r="W470" s="33"/>
      <c r="X470" s="33"/>
      <c r="Y470" s="33"/>
      <c r="Z470" s="33"/>
    </row>
    <row r="471" spans="1:26" ht="13.5" customHeight="1">
      <c r="A471" s="33"/>
      <c r="B471" s="33"/>
      <c r="C471" s="33"/>
      <c r="D471" s="33"/>
      <c r="E471" s="33"/>
      <c r="F471" s="33"/>
      <c r="G471" s="33"/>
      <c r="H471" s="33"/>
      <c r="I471" s="33"/>
      <c r="J471" s="33"/>
      <c r="K471" s="33"/>
      <c r="L471" s="33"/>
      <c r="M471" s="33"/>
      <c r="N471" s="33"/>
      <c r="O471" s="33"/>
      <c r="P471" s="33"/>
      <c r="Q471" s="33"/>
      <c r="R471" s="33"/>
      <c r="S471" s="33"/>
      <c r="T471" s="33"/>
      <c r="U471" s="33"/>
      <c r="V471" s="33"/>
      <c r="W471" s="33"/>
      <c r="X471" s="33"/>
      <c r="Y471" s="33"/>
      <c r="Z471" s="33"/>
    </row>
    <row r="472" spans="1:26" ht="13.5" customHeight="1">
      <c r="A472" s="33"/>
      <c r="B472" s="33"/>
      <c r="C472" s="33"/>
      <c r="D472" s="33"/>
      <c r="E472" s="33"/>
      <c r="F472" s="33"/>
      <c r="G472" s="33"/>
      <c r="H472" s="33"/>
      <c r="I472" s="33"/>
      <c r="J472" s="33"/>
      <c r="K472" s="33"/>
      <c r="L472" s="33"/>
      <c r="M472" s="33"/>
      <c r="N472" s="33"/>
      <c r="O472" s="33"/>
      <c r="P472" s="33"/>
      <c r="Q472" s="33"/>
      <c r="R472" s="33"/>
      <c r="S472" s="33"/>
      <c r="T472" s="33"/>
      <c r="U472" s="33"/>
      <c r="V472" s="33"/>
      <c r="W472" s="33"/>
      <c r="X472" s="33"/>
      <c r="Y472" s="33"/>
      <c r="Z472" s="33"/>
    </row>
    <row r="473" spans="1:26" ht="13.5" customHeight="1">
      <c r="A473" s="33"/>
      <c r="B473" s="33"/>
      <c r="C473" s="33"/>
      <c r="D473" s="33"/>
      <c r="E473" s="33"/>
      <c r="F473" s="33"/>
      <c r="G473" s="33"/>
      <c r="H473" s="33"/>
      <c r="I473" s="33"/>
      <c r="J473" s="33"/>
      <c r="K473" s="33"/>
      <c r="L473" s="33"/>
      <c r="M473" s="33"/>
      <c r="N473" s="33"/>
      <c r="O473" s="33"/>
      <c r="P473" s="33"/>
      <c r="Q473" s="33"/>
      <c r="R473" s="33"/>
      <c r="S473" s="33"/>
      <c r="T473" s="33"/>
      <c r="U473" s="33"/>
      <c r="V473" s="33"/>
      <c r="W473" s="33"/>
      <c r="X473" s="33"/>
      <c r="Y473" s="33"/>
      <c r="Z473" s="33"/>
    </row>
    <row r="474" spans="1:26" ht="13.5" customHeight="1">
      <c r="A474" s="33"/>
      <c r="B474" s="33"/>
      <c r="C474" s="33"/>
      <c r="D474" s="33"/>
      <c r="E474" s="33"/>
      <c r="F474" s="33"/>
      <c r="G474" s="33"/>
      <c r="H474" s="33"/>
      <c r="I474" s="33"/>
      <c r="J474" s="33"/>
      <c r="K474" s="33"/>
      <c r="L474" s="33"/>
      <c r="M474" s="33"/>
      <c r="N474" s="33"/>
      <c r="O474" s="33"/>
      <c r="P474" s="33"/>
      <c r="Q474" s="33"/>
      <c r="R474" s="33"/>
      <c r="S474" s="33"/>
      <c r="T474" s="33"/>
      <c r="U474" s="33"/>
      <c r="V474" s="33"/>
      <c r="W474" s="33"/>
      <c r="X474" s="33"/>
      <c r="Y474" s="33"/>
      <c r="Z474" s="33"/>
    </row>
    <row r="475" spans="1:26" ht="13.5" customHeight="1">
      <c r="A475" s="33"/>
      <c r="B475" s="33"/>
      <c r="C475" s="33"/>
      <c r="D475" s="33"/>
      <c r="E475" s="33"/>
      <c r="F475" s="33"/>
      <c r="G475" s="33"/>
      <c r="H475" s="33"/>
      <c r="I475" s="33"/>
      <c r="J475" s="33"/>
      <c r="K475" s="33"/>
      <c r="L475" s="33"/>
      <c r="M475" s="33"/>
      <c r="N475" s="33"/>
      <c r="O475" s="33"/>
      <c r="P475" s="33"/>
      <c r="Q475" s="33"/>
      <c r="R475" s="33"/>
      <c r="S475" s="33"/>
      <c r="T475" s="33"/>
      <c r="U475" s="33"/>
      <c r="V475" s="33"/>
      <c r="W475" s="33"/>
      <c r="X475" s="33"/>
      <c r="Y475" s="33"/>
      <c r="Z475" s="33"/>
    </row>
    <row r="476" spans="1:26" ht="13.5" customHeight="1">
      <c r="A476" s="33"/>
      <c r="B476" s="33"/>
      <c r="C476" s="33"/>
      <c r="D476" s="33"/>
      <c r="E476" s="33"/>
      <c r="F476" s="33"/>
      <c r="G476" s="33"/>
      <c r="H476" s="33"/>
      <c r="I476" s="33"/>
      <c r="J476" s="33"/>
      <c r="K476" s="33"/>
      <c r="L476" s="33"/>
      <c r="M476" s="33"/>
      <c r="N476" s="33"/>
      <c r="O476" s="33"/>
      <c r="P476" s="33"/>
      <c r="Q476" s="33"/>
      <c r="R476" s="33"/>
      <c r="S476" s="33"/>
      <c r="T476" s="33"/>
      <c r="U476" s="33"/>
      <c r="V476" s="33"/>
      <c r="W476" s="33"/>
      <c r="X476" s="33"/>
      <c r="Y476" s="33"/>
      <c r="Z476" s="33"/>
    </row>
    <row r="477" spans="1:26" ht="13.5" customHeight="1">
      <c r="A477" s="33"/>
      <c r="B477" s="33"/>
      <c r="C477" s="33"/>
      <c r="D477" s="33"/>
      <c r="E477" s="33"/>
      <c r="F477" s="33"/>
      <c r="G477" s="33"/>
      <c r="H477" s="33"/>
      <c r="I477" s="33"/>
      <c r="J477" s="33"/>
      <c r="K477" s="33"/>
      <c r="L477" s="33"/>
      <c r="M477" s="33"/>
      <c r="N477" s="33"/>
      <c r="O477" s="33"/>
      <c r="P477" s="33"/>
      <c r="Q477" s="33"/>
      <c r="R477" s="33"/>
      <c r="S477" s="33"/>
      <c r="T477" s="33"/>
      <c r="U477" s="33"/>
      <c r="V477" s="33"/>
      <c r="W477" s="33"/>
      <c r="X477" s="33"/>
      <c r="Y477" s="33"/>
      <c r="Z477" s="33"/>
    </row>
    <row r="478" spans="1:26" ht="13.5" customHeight="1">
      <c r="A478" s="33"/>
      <c r="B478" s="33"/>
      <c r="C478" s="33"/>
      <c r="D478" s="33"/>
      <c r="E478" s="33"/>
      <c r="F478" s="33"/>
      <c r="G478" s="33"/>
      <c r="H478" s="33"/>
      <c r="I478" s="33"/>
      <c r="J478" s="33"/>
      <c r="K478" s="33"/>
      <c r="L478" s="33"/>
      <c r="M478" s="33"/>
      <c r="N478" s="33"/>
      <c r="O478" s="33"/>
      <c r="P478" s="33"/>
      <c r="Q478" s="33"/>
      <c r="R478" s="33"/>
      <c r="S478" s="33"/>
      <c r="T478" s="33"/>
      <c r="U478" s="33"/>
      <c r="V478" s="33"/>
      <c r="W478" s="33"/>
      <c r="X478" s="33"/>
      <c r="Y478" s="33"/>
      <c r="Z478" s="33"/>
    </row>
    <row r="479" spans="1:26" ht="13.5" customHeight="1">
      <c r="A479" s="33"/>
      <c r="B479" s="33"/>
      <c r="C479" s="33"/>
      <c r="D479" s="33"/>
      <c r="E479" s="33"/>
      <c r="F479" s="33"/>
      <c r="G479" s="33"/>
      <c r="H479" s="33"/>
      <c r="I479" s="33"/>
      <c r="J479" s="33"/>
      <c r="K479" s="33"/>
      <c r="L479" s="33"/>
      <c r="M479" s="33"/>
      <c r="N479" s="33"/>
      <c r="O479" s="33"/>
      <c r="P479" s="33"/>
      <c r="Q479" s="33"/>
      <c r="R479" s="33"/>
      <c r="S479" s="33"/>
      <c r="T479" s="33"/>
      <c r="U479" s="33"/>
      <c r="V479" s="33"/>
      <c r="W479" s="33"/>
      <c r="X479" s="33"/>
      <c r="Y479" s="33"/>
      <c r="Z479" s="33"/>
    </row>
    <row r="480" spans="1:26" ht="13.5" customHeight="1">
      <c r="A480" s="33"/>
      <c r="B480" s="33"/>
      <c r="C480" s="33"/>
      <c r="D480" s="33"/>
      <c r="E480" s="33"/>
      <c r="F480" s="33"/>
      <c r="G480" s="33"/>
      <c r="H480" s="33"/>
      <c r="I480" s="33"/>
      <c r="J480" s="33"/>
      <c r="K480" s="33"/>
      <c r="L480" s="33"/>
      <c r="M480" s="33"/>
      <c r="N480" s="33"/>
      <c r="O480" s="33"/>
      <c r="P480" s="33"/>
      <c r="Q480" s="33"/>
      <c r="R480" s="33"/>
      <c r="S480" s="33"/>
      <c r="T480" s="33"/>
      <c r="U480" s="33"/>
      <c r="V480" s="33"/>
      <c r="W480" s="33"/>
      <c r="X480" s="33"/>
      <c r="Y480" s="33"/>
      <c r="Z480" s="33"/>
    </row>
    <row r="481" spans="1:26" ht="13.5" customHeight="1">
      <c r="A481" s="33"/>
      <c r="B481" s="33"/>
      <c r="C481" s="33"/>
      <c r="D481" s="33"/>
      <c r="E481" s="33"/>
      <c r="F481" s="33"/>
      <c r="G481" s="33"/>
      <c r="H481" s="33"/>
      <c r="I481" s="33"/>
      <c r="J481" s="33"/>
      <c r="K481" s="33"/>
      <c r="L481" s="33"/>
      <c r="M481" s="33"/>
      <c r="N481" s="33"/>
      <c r="O481" s="33"/>
      <c r="P481" s="33"/>
      <c r="Q481" s="33"/>
      <c r="R481" s="33"/>
      <c r="S481" s="33"/>
      <c r="T481" s="33"/>
      <c r="U481" s="33"/>
      <c r="V481" s="33"/>
      <c r="W481" s="33"/>
      <c r="X481" s="33"/>
      <c r="Y481" s="33"/>
      <c r="Z481" s="33"/>
    </row>
    <row r="482" spans="1:26" ht="13.5" customHeight="1">
      <c r="A482" s="33"/>
      <c r="B482" s="33"/>
      <c r="C482" s="33"/>
      <c r="D482" s="33"/>
      <c r="E482" s="33"/>
      <c r="F482" s="33"/>
      <c r="G482" s="33"/>
      <c r="H482" s="33"/>
      <c r="I482" s="33"/>
      <c r="J482" s="33"/>
      <c r="K482" s="33"/>
      <c r="L482" s="33"/>
      <c r="M482" s="33"/>
      <c r="N482" s="33"/>
      <c r="O482" s="33"/>
      <c r="P482" s="33"/>
      <c r="Q482" s="33"/>
      <c r="R482" s="33"/>
      <c r="S482" s="33"/>
      <c r="T482" s="33"/>
      <c r="U482" s="33"/>
      <c r="V482" s="33"/>
      <c r="W482" s="33"/>
      <c r="X482" s="33"/>
      <c r="Y482" s="33"/>
      <c r="Z482" s="33"/>
    </row>
    <row r="483" spans="1:26" ht="13.5" customHeight="1">
      <c r="A483" s="33"/>
      <c r="B483" s="33"/>
      <c r="C483" s="33"/>
      <c r="D483" s="33"/>
      <c r="E483" s="33"/>
      <c r="F483" s="33"/>
      <c r="G483" s="33"/>
      <c r="H483" s="33"/>
      <c r="I483" s="33"/>
      <c r="J483" s="33"/>
      <c r="K483" s="33"/>
      <c r="L483" s="33"/>
      <c r="M483" s="33"/>
      <c r="N483" s="33"/>
      <c r="O483" s="33"/>
      <c r="P483" s="33"/>
      <c r="Q483" s="33"/>
      <c r="R483" s="33"/>
      <c r="S483" s="33"/>
      <c r="T483" s="33"/>
      <c r="U483" s="33"/>
      <c r="V483" s="33"/>
      <c r="W483" s="33"/>
      <c r="X483" s="33"/>
      <c r="Y483" s="33"/>
      <c r="Z483" s="33"/>
    </row>
    <row r="484" spans="1:26" ht="13.5" customHeight="1">
      <c r="A484" s="33"/>
      <c r="B484" s="33"/>
      <c r="C484" s="33"/>
      <c r="D484" s="33"/>
      <c r="E484" s="33"/>
      <c r="F484" s="33"/>
      <c r="G484" s="33"/>
      <c r="H484" s="33"/>
      <c r="I484" s="33"/>
      <c r="J484" s="33"/>
      <c r="K484" s="33"/>
      <c r="L484" s="33"/>
      <c r="M484" s="33"/>
      <c r="N484" s="33"/>
      <c r="O484" s="33"/>
      <c r="P484" s="33"/>
      <c r="Q484" s="33"/>
      <c r="R484" s="33"/>
      <c r="S484" s="33"/>
      <c r="T484" s="33"/>
      <c r="U484" s="33"/>
      <c r="V484" s="33"/>
      <c r="W484" s="33"/>
      <c r="X484" s="33"/>
      <c r="Y484" s="33"/>
      <c r="Z484" s="33"/>
    </row>
    <row r="485" spans="1:26" ht="13.5" customHeight="1">
      <c r="A485" s="33"/>
      <c r="B485" s="33"/>
      <c r="C485" s="33"/>
      <c r="D485" s="33"/>
      <c r="E485" s="33"/>
      <c r="F485" s="33"/>
      <c r="G485" s="33"/>
      <c r="H485" s="33"/>
      <c r="I485" s="33"/>
      <c r="J485" s="33"/>
      <c r="K485" s="33"/>
      <c r="L485" s="33"/>
      <c r="M485" s="33"/>
      <c r="N485" s="33"/>
      <c r="O485" s="33"/>
      <c r="P485" s="33"/>
      <c r="Q485" s="33"/>
      <c r="R485" s="33"/>
      <c r="S485" s="33"/>
      <c r="T485" s="33"/>
      <c r="U485" s="33"/>
      <c r="V485" s="33"/>
      <c r="W485" s="33"/>
      <c r="X485" s="33"/>
      <c r="Y485" s="33"/>
      <c r="Z485" s="33"/>
    </row>
    <row r="486" spans="1:26" ht="13.5" customHeight="1">
      <c r="A486" s="33"/>
      <c r="B486" s="33"/>
      <c r="C486" s="33"/>
      <c r="D486" s="33"/>
      <c r="E486" s="33"/>
      <c r="F486" s="33"/>
      <c r="G486" s="33"/>
      <c r="H486" s="33"/>
      <c r="I486" s="33"/>
      <c r="J486" s="33"/>
      <c r="K486" s="33"/>
      <c r="L486" s="33"/>
      <c r="M486" s="33"/>
      <c r="N486" s="33"/>
      <c r="O486" s="33"/>
      <c r="P486" s="33"/>
      <c r="Q486" s="33"/>
      <c r="R486" s="33"/>
      <c r="S486" s="33"/>
      <c r="T486" s="33"/>
      <c r="U486" s="33"/>
      <c r="V486" s="33"/>
      <c r="W486" s="33"/>
      <c r="X486" s="33"/>
      <c r="Y486" s="33"/>
      <c r="Z486" s="33"/>
    </row>
    <row r="487" spans="1:26" ht="13.5" customHeight="1">
      <c r="A487" s="33"/>
      <c r="B487" s="33"/>
      <c r="C487" s="33"/>
      <c r="D487" s="33"/>
      <c r="E487" s="33"/>
      <c r="F487" s="33"/>
      <c r="G487" s="33"/>
      <c r="H487" s="33"/>
      <c r="I487" s="33"/>
      <c r="J487" s="33"/>
      <c r="K487" s="33"/>
      <c r="L487" s="33"/>
      <c r="M487" s="33"/>
      <c r="N487" s="33"/>
      <c r="O487" s="33"/>
      <c r="P487" s="33"/>
      <c r="Q487" s="33"/>
      <c r="R487" s="33"/>
      <c r="S487" s="33"/>
      <c r="T487" s="33"/>
      <c r="U487" s="33"/>
      <c r="V487" s="33"/>
      <c r="W487" s="33"/>
      <c r="X487" s="33"/>
      <c r="Y487" s="33"/>
      <c r="Z487" s="33"/>
    </row>
    <row r="488" spans="1:26" ht="13.5" customHeight="1">
      <c r="A488" s="33"/>
      <c r="B488" s="33"/>
      <c r="C488" s="33"/>
      <c r="D488" s="33"/>
      <c r="E488" s="33"/>
      <c r="F488" s="33"/>
      <c r="G488" s="33"/>
      <c r="H488" s="33"/>
      <c r="I488" s="33"/>
      <c r="J488" s="33"/>
      <c r="K488" s="33"/>
      <c r="L488" s="33"/>
      <c r="M488" s="33"/>
      <c r="N488" s="33"/>
      <c r="O488" s="33"/>
      <c r="P488" s="33"/>
      <c r="Q488" s="33"/>
      <c r="R488" s="33"/>
      <c r="S488" s="33"/>
      <c r="T488" s="33"/>
      <c r="U488" s="33"/>
      <c r="V488" s="33"/>
      <c r="W488" s="33"/>
      <c r="X488" s="33"/>
      <c r="Y488" s="33"/>
      <c r="Z488" s="33"/>
    </row>
    <row r="489" spans="1:26" ht="13.5" customHeight="1">
      <c r="A489" s="33"/>
      <c r="B489" s="33"/>
      <c r="C489" s="33"/>
      <c r="D489" s="33"/>
      <c r="E489" s="33"/>
      <c r="F489" s="33"/>
      <c r="G489" s="33"/>
      <c r="H489" s="33"/>
      <c r="I489" s="33"/>
      <c r="J489" s="33"/>
      <c r="K489" s="33"/>
      <c r="L489" s="33"/>
      <c r="M489" s="33"/>
      <c r="N489" s="33"/>
      <c r="O489" s="33"/>
      <c r="P489" s="33"/>
      <c r="Q489" s="33"/>
      <c r="R489" s="33"/>
      <c r="S489" s="33"/>
      <c r="T489" s="33"/>
      <c r="U489" s="33"/>
      <c r="V489" s="33"/>
      <c r="W489" s="33"/>
      <c r="X489" s="33"/>
      <c r="Y489" s="33"/>
      <c r="Z489" s="33"/>
    </row>
    <row r="490" spans="1:26" ht="13.5" customHeight="1">
      <c r="A490" s="33"/>
      <c r="B490" s="33"/>
      <c r="C490" s="33"/>
      <c r="D490" s="33"/>
      <c r="E490" s="33"/>
      <c r="F490" s="33"/>
      <c r="G490" s="33"/>
      <c r="H490" s="33"/>
      <c r="I490" s="33"/>
      <c r="J490" s="33"/>
      <c r="K490" s="33"/>
      <c r="L490" s="33"/>
      <c r="M490" s="33"/>
      <c r="N490" s="33"/>
      <c r="O490" s="33"/>
      <c r="P490" s="33"/>
      <c r="Q490" s="33"/>
      <c r="R490" s="33"/>
      <c r="S490" s="33"/>
      <c r="T490" s="33"/>
      <c r="U490" s="33"/>
      <c r="V490" s="33"/>
      <c r="W490" s="33"/>
      <c r="X490" s="33"/>
      <c r="Y490" s="33"/>
      <c r="Z490" s="33"/>
    </row>
    <row r="491" spans="1:26" ht="13.5" customHeight="1">
      <c r="A491" s="33"/>
      <c r="B491" s="33"/>
      <c r="C491" s="33"/>
      <c r="D491" s="33"/>
      <c r="E491" s="33"/>
      <c r="F491" s="33"/>
      <c r="G491" s="33"/>
      <c r="H491" s="33"/>
      <c r="I491" s="33"/>
      <c r="J491" s="33"/>
      <c r="K491" s="33"/>
      <c r="L491" s="33"/>
      <c r="M491" s="33"/>
      <c r="N491" s="33"/>
      <c r="O491" s="33"/>
      <c r="P491" s="33"/>
      <c r="Q491" s="33"/>
      <c r="R491" s="33"/>
      <c r="S491" s="33"/>
      <c r="T491" s="33"/>
      <c r="U491" s="33"/>
      <c r="V491" s="33"/>
      <c r="W491" s="33"/>
      <c r="X491" s="33"/>
      <c r="Y491" s="33"/>
      <c r="Z491" s="33"/>
    </row>
    <row r="492" spans="1:26" ht="13.5" customHeight="1">
      <c r="A492" s="33"/>
      <c r="B492" s="33"/>
      <c r="C492" s="33"/>
      <c r="D492" s="33"/>
      <c r="E492" s="33"/>
      <c r="F492" s="33"/>
      <c r="G492" s="33"/>
      <c r="H492" s="33"/>
      <c r="I492" s="33"/>
      <c r="J492" s="33"/>
      <c r="K492" s="33"/>
      <c r="L492" s="33"/>
      <c r="M492" s="33"/>
      <c r="N492" s="33"/>
      <c r="O492" s="33"/>
      <c r="P492" s="33"/>
      <c r="Q492" s="33"/>
      <c r="R492" s="33"/>
      <c r="S492" s="33"/>
      <c r="T492" s="33"/>
      <c r="U492" s="33"/>
      <c r="V492" s="33"/>
      <c r="W492" s="33"/>
      <c r="X492" s="33"/>
      <c r="Y492" s="33"/>
      <c r="Z492" s="33"/>
    </row>
    <row r="493" spans="1:26" ht="13.5" customHeight="1">
      <c r="A493" s="33"/>
      <c r="B493" s="33"/>
      <c r="C493" s="33"/>
      <c r="D493" s="33"/>
      <c r="E493" s="33"/>
      <c r="F493" s="33"/>
      <c r="G493" s="33"/>
      <c r="H493" s="33"/>
      <c r="I493" s="33"/>
      <c r="J493" s="33"/>
      <c r="K493" s="33"/>
      <c r="L493" s="33"/>
      <c r="M493" s="33"/>
      <c r="N493" s="33"/>
      <c r="O493" s="33"/>
      <c r="P493" s="33"/>
      <c r="Q493" s="33"/>
      <c r="R493" s="33"/>
      <c r="S493" s="33"/>
      <c r="T493" s="33"/>
      <c r="U493" s="33"/>
      <c r="V493" s="33"/>
      <c r="W493" s="33"/>
      <c r="X493" s="33"/>
      <c r="Y493" s="33"/>
      <c r="Z493" s="33"/>
    </row>
    <row r="494" spans="1:26" ht="13.5" customHeight="1">
      <c r="A494" s="33"/>
      <c r="B494" s="33"/>
      <c r="C494" s="33"/>
      <c r="D494" s="33"/>
      <c r="E494" s="33"/>
      <c r="F494" s="33"/>
      <c r="G494" s="33"/>
      <c r="H494" s="33"/>
      <c r="I494" s="33"/>
      <c r="J494" s="33"/>
      <c r="K494" s="33"/>
      <c r="L494" s="33"/>
      <c r="M494" s="33"/>
      <c r="N494" s="33"/>
      <c r="O494" s="33"/>
      <c r="P494" s="33"/>
      <c r="Q494" s="33"/>
      <c r="R494" s="33"/>
      <c r="S494" s="33"/>
      <c r="T494" s="33"/>
      <c r="U494" s="33"/>
      <c r="V494" s="33"/>
      <c r="W494" s="33"/>
      <c r="X494" s="33"/>
      <c r="Y494" s="33"/>
      <c r="Z494" s="33"/>
    </row>
    <row r="495" spans="1:26" ht="13.5" customHeight="1">
      <c r="A495" s="33"/>
      <c r="B495" s="33"/>
      <c r="C495" s="33"/>
      <c r="D495" s="33"/>
      <c r="E495" s="33"/>
      <c r="F495" s="33"/>
      <c r="G495" s="33"/>
      <c r="H495" s="33"/>
      <c r="I495" s="33"/>
      <c r="J495" s="33"/>
      <c r="K495" s="33"/>
      <c r="L495" s="33"/>
      <c r="M495" s="33"/>
      <c r="N495" s="33"/>
      <c r="O495" s="33"/>
      <c r="P495" s="33"/>
      <c r="Q495" s="33"/>
      <c r="R495" s="33"/>
      <c r="S495" s="33"/>
      <c r="T495" s="33"/>
      <c r="U495" s="33"/>
      <c r="V495" s="33"/>
      <c r="W495" s="33"/>
      <c r="X495" s="33"/>
      <c r="Y495" s="33"/>
      <c r="Z495" s="33"/>
    </row>
    <row r="496" spans="1:26" ht="13.5" customHeight="1">
      <c r="A496" s="33"/>
      <c r="B496" s="33"/>
      <c r="C496" s="33"/>
      <c r="D496" s="33"/>
      <c r="E496" s="33"/>
      <c r="F496" s="33"/>
      <c r="G496" s="33"/>
      <c r="H496" s="33"/>
      <c r="I496" s="33"/>
      <c r="J496" s="33"/>
      <c r="K496" s="33"/>
      <c r="L496" s="33"/>
      <c r="M496" s="33"/>
      <c r="N496" s="33"/>
      <c r="O496" s="33"/>
      <c r="P496" s="33"/>
      <c r="Q496" s="33"/>
      <c r="R496" s="33"/>
      <c r="S496" s="33"/>
      <c r="T496" s="33"/>
      <c r="U496" s="33"/>
      <c r="V496" s="33"/>
      <c r="W496" s="33"/>
      <c r="X496" s="33"/>
      <c r="Y496" s="33"/>
      <c r="Z496" s="33"/>
    </row>
    <row r="497" spans="1:26" ht="13.5" customHeight="1">
      <c r="A497" s="33"/>
      <c r="B497" s="33"/>
      <c r="C497" s="33"/>
      <c r="D497" s="33"/>
      <c r="E497" s="33"/>
      <c r="F497" s="33"/>
      <c r="G497" s="33"/>
      <c r="H497" s="33"/>
      <c r="I497" s="33"/>
      <c r="J497" s="33"/>
      <c r="K497" s="33"/>
      <c r="L497" s="33"/>
      <c r="M497" s="33"/>
      <c r="N497" s="33"/>
      <c r="O497" s="33"/>
      <c r="P497" s="33"/>
      <c r="Q497" s="33"/>
      <c r="R497" s="33"/>
      <c r="S497" s="33"/>
      <c r="T497" s="33"/>
      <c r="U497" s="33"/>
      <c r="V497" s="33"/>
      <c r="W497" s="33"/>
      <c r="X497" s="33"/>
      <c r="Y497" s="33"/>
      <c r="Z497" s="33"/>
    </row>
    <row r="498" spans="1:26" ht="13.5" customHeight="1">
      <c r="A498" s="33"/>
      <c r="B498" s="33"/>
      <c r="C498" s="33"/>
      <c r="D498" s="33"/>
      <c r="E498" s="33"/>
      <c r="F498" s="33"/>
      <c r="G498" s="33"/>
      <c r="H498" s="33"/>
      <c r="I498" s="33"/>
      <c r="J498" s="33"/>
      <c r="K498" s="33"/>
      <c r="L498" s="33"/>
      <c r="M498" s="33"/>
      <c r="N498" s="33"/>
      <c r="O498" s="33"/>
      <c r="P498" s="33"/>
      <c r="Q498" s="33"/>
      <c r="R498" s="33"/>
      <c r="S498" s="33"/>
      <c r="T498" s="33"/>
      <c r="U498" s="33"/>
      <c r="V498" s="33"/>
      <c r="W498" s="33"/>
      <c r="X498" s="33"/>
      <c r="Y498" s="33"/>
      <c r="Z498" s="33"/>
    </row>
    <row r="499" spans="1:26" ht="13.5" customHeight="1">
      <c r="A499" s="33"/>
      <c r="B499" s="33"/>
      <c r="C499" s="33"/>
      <c r="D499" s="33"/>
      <c r="E499" s="33"/>
      <c r="F499" s="33"/>
      <c r="G499" s="33"/>
      <c r="H499" s="33"/>
      <c r="I499" s="33"/>
      <c r="J499" s="33"/>
      <c r="K499" s="33"/>
      <c r="L499" s="33"/>
      <c r="M499" s="33"/>
      <c r="N499" s="33"/>
      <c r="O499" s="33"/>
      <c r="P499" s="33"/>
      <c r="Q499" s="33"/>
      <c r="R499" s="33"/>
      <c r="S499" s="33"/>
      <c r="T499" s="33"/>
      <c r="U499" s="33"/>
      <c r="V499" s="33"/>
      <c r="W499" s="33"/>
      <c r="X499" s="33"/>
      <c r="Y499" s="33"/>
      <c r="Z499" s="33"/>
    </row>
    <row r="500" spans="1:26" ht="13.5" customHeight="1">
      <c r="A500" s="33"/>
      <c r="B500" s="33"/>
      <c r="C500" s="33"/>
      <c r="D500" s="33"/>
      <c r="E500" s="33"/>
      <c r="F500" s="33"/>
      <c r="G500" s="33"/>
      <c r="H500" s="33"/>
      <c r="I500" s="33"/>
      <c r="J500" s="33"/>
      <c r="K500" s="33"/>
      <c r="L500" s="33"/>
      <c r="M500" s="33"/>
      <c r="N500" s="33"/>
      <c r="O500" s="33"/>
      <c r="P500" s="33"/>
      <c r="Q500" s="33"/>
      <c r="R500" s="33"/>
      <c r="S500" s="33"/>
      <c r="T500" s="33"/>
      <c r="U500" s="33"/>
      <c r="V500" s="33"/>
      <c r="W500" s="33"/>
      <c r="X500" s="33"/>
      <c r="Y500" s="33"/>
      <c r="Z500" s="33"/>
    </row>
    <row r="501" spans="1:26" ht="13.5" customHeight="1">
      <c r="A501" s="33"/>
      <c r="B501" s="33"/>
      <c r="C501" s="33"/>
      <c r="D501" s="33"/>
      <c r="E501" s="33"/>
      <c r="F501" s="33"/>
      <c r="G501" s="33"/>
      <c r="H501" s="33"/>
      <c r="I501" s="33"/>
      <c r="J501" s="33"/>
      <c r="K501" s="33"/>
      <c r="L501" s="33"/>
      <c r="M501" s="33"/>
      <c r="N501" s="33"/>
      <c r="O501" s="33"/>
      <c r="P501" s="33"/>
      <c r="Q501" s="33"/>
      <c r="R501" s="33"/>
      <c r="S501" s="33"/>
      <c r="T501" s="33"/>
      <c r="U501" s="33"/>
      <c r="V501" s="33"/>
      <c r="W501" s="33"/>
      <c r="X501" s="33"/>
      <c r="Y501" s="33"/>
      <c r="Z501" s="33"/>
    </row>
    <row r="502" spans="1:26" ht="13.5" customHeight="1">
      <c r="A502" s="33"/>
      <c r="B502" s="33"/>
      <c r="C502" s="33"/>
      <c r="D502" s="33"/>
      <c r="E502" s="33"/>
      <c r="F502" s="33"/>
      <c r="G502" s="33"/>
      <c r="H502" s="33"/>
      <c r="I502" s="33"/>
      <c r="J502" s="33"/>
      <c r="K502" s="33"/>
      <c r="L502" s="33"/>
      <c r="M502" s="33"/>
      <c r="N502" s="33"/>
      <c r="O502" s="33"/>
      <c r="P502" s="33"/>
      <c r="Q502" s="33"/>
      <c r="R502" s="33"/>
      <c r="S502" s="33"/>
      <c r="T502" s="33"/>
      <c r="U502" s="33"/>
      <c r="V502" s="33"/>
      <c r="W502" s="33"/>
      <c r="X502" s="33"/>
      <c r="Y502" s="33"/>
      <c r="Z502" s="33"/>
    </row>
    <row r="503" spans="1:26" ht="13.5" customHeight="1">
      <c r="A503" s="33"/>
      <c r="B503" s="33"/>
      <c r="C503" s="33"/>
      <c r="D503" s="33"/>
      <c r="E503" s="33"/>
      <c r="F503" s="33"/>
      <c r="G503" s="33"/>
      <c r="H503" s="33"/>
      <c r="I503" s="33"/>
      <c r="J503" s="33"/>
      <c r="K503" s="33"/>
      <c r="L503" s="33"/>
      <c r="M503" s="33"/>
      <c r="N503" s="33"/>
      <c r="O503" s="33"/>
      <c r="P503" s="33"/>
      <c r="Q503" s="33"/>
      <c r="R503" s="33"/>
      <c r="S503" s="33"/>
      <c r="T503" s="33"/>
      <c r="U503" s="33"/>
      <c r="V503" s="33"/>
      <c r="W503" s="33"/>
      <c r="X503" s="33"/>
      <c r="Y503" s="33"/>
      <c r="Z503" s="33"/>
    </row>
    <row r="504" spans="1:26" ht="13.5" customHeight="1">
      <c r="A504" s="33"/>
      <c r="B504" s="33"/>
      <c r="C504" s="33"/>
      <c r="D504" s="33"/>
      <c r="E504" s="33"/>
      <c r="F504" s="33"/>
      <c r="G504" s="33"/>
      <c r="H504" s="33"/>
      <c r="I504" s="33"/>
      <c r="J504" s="33"/>
      <c r="K504" s="33"/>
      <c r="L504" s="33"/>
      <c r="M504" s="33"/>
      <c r="N504" s="33"/>
      <c r="O504" s="33"/>
      <c r="P504" s="33"/>
      <c r="Q504" s="33"/>
      <c r="R504" s="33"/>
      <c r="S504" s="33"/>
      <c r="T504" s="33"/>
      <c r="U504" s="33"/>
      <c r="V504" s="33"/>
      <c r="W504" s="33"/>
      <c r="X504" s="33"/>
      <c r="Y504" s="33"/>
      <c r="Z504" s="33"/>
    </row>
    <row r="505" spans="1:26" ht="13.5" customHeight="1">
      <c r="A505" s="33"/>
      <c r="B505" s="33"/>
      <c r="C505" s="33"/>
      <c r="D505" s="33"/>
      <c r="E505" s="33"/>
      <c r="F505" s="33"/>
      <c r="G505" s="33"/>
      <c r="H505" s="33"/>
      <c r="I505" s="33"/>
      <c r="J505" s="33"/>
      <c r="K505" s="33"/>
      <c r="L505" s="33"/>
      <c r="M505" s="33"/>
      <c r="N505" s="33"/>
      <c r="O505" s="33"/>
      <c r="P505" s="33"/>
      <c r="Q505" s="33"/>
      <c r="R505" s="33"/>
      <c r="S505" s="33"/>
      <c r="T505" s="33"/>
      <c r="U505" s="33"/>
      <c r="V505" s="33"/>
      <c r="W505" s="33"/>
      <c r="X505" s="33"/>
      <c r="Y505" s="33"/>
      <c r="Z505" s="33"/>
    </row>
    <row r="506" spans="1:26" ht="13.5" customHeight="1">
      <c r="A506" s="33"/>
      <c r="B506" s="33"/>
      <c r="C506" s="33"/>
      <c r="D506" s="33"/>
      <c r="E506" s="33"/>
      <c r="F506" s="33"/>
      <c r="G506" s="33"/>
      <c r="H506" s="33"/>
      <c r="I506" s="33"/>
      <c r="J506" s="33"/>
      <c r="K506" s="33"/>
      <c r="L506" s="33"/>
      <c r="M506" s="33"/>
      <c r="N506" s="33"/>
      <c r="O506" s="33"/>
      <c r="P506" s="33"/>
      <c r="Q506" s="33"/>
      <c r="R506" s="33"/>
      <c r="S506" s="33"/>
      <c r="T506" s="33"/>
      <c r="U506" s="33"/>
      <c r="V506" s="33"/>
      <c r="W506" s="33"/>
      <c r="X506" s="33"/>
      <c r="Y506" s="33"/>
      <c r="Z506" s="33"/>
    </row>
    <row r="507" spans="1:26" ht="13.5" customHeight="1">
      <c r="A507" s="33"/>
      <c r="B507" s="33"/>
      <c r="C507" s="33"/>
      <c r="D507" s="33"/>
      <c r="E507" s="33"/>
      <c r="F507" s="33"/>
      <c r="G507" s="33"/>
      <c r="H507" s="33"/>
      <c r="I507" s="33"/>
      <c r="J507" s="33"/>
      <c r="K507" s="33"/>
      <c r="L507" s="33"/>
      <c r="M507" s="33"/>
      <c r="N507" s="33"/>
      <c r="O507" s="33"/>
      <c r="P507" s="33"/>
      <c r="Q507" s="33"/>
      <c r="R507" s="33"/>
      <c r="S507" s="33"/>
      <c r="T507" s="33"/>
      <c r="U507" s="33"/>
      <c r="V507" s="33"/>
      <c r="W507" s="33"/>
      <c r="X507" s="33"/>
      <c r="Y507" s="33"/>
      <c r="Z507" s="33"/>
    </row>
    <row r="508" spans="1:26" ht="13.5" customHeight="1">
      <c r="A508" s="33"/>
      <c r="B508" s="33"/>
      <c r="C508" s="33"/>
      <c r="D508" s="33"/>
      <c r="E508" s="33"/>
      <c r="F508" s="33"/>
      <c r="G508" s="33"/>
      <c r="H508" s="33"/>
      <c r="I508" s="33"/>
      <c r="J508" s="33"/>
      <c r="K508" s="33"/>
      <c r="L508" s="33"/>
      <c r="M508" s="33"/>
      <c r="N508" s="33"/>
      <c r="O508" s="33"/>
      <c r="P508" s="33"/>
      <c r="Q508" s="33"/>
      <c r="R508" s="33"/>
      <c r="S508" s="33"/>
      <c r="T508" s="33"/>
      <c r="U508" s="33"/>
      <c r="V508" s="33"/>
      <c r="W508" s="33"/>
      <c r="X508" s="33"/>
      <c r="Y508" s="33"/>
      <c r="Z508" s="33"/>
    </row>
    <row r="509" spans="1:26" ht="13.5" customHeight="1">
      <c r="A509" s="33"/>
      <c r="B509" s="33"/>
      <c r="C509" s="33"/>
      <c r="D509" s="33"/>
      <c r="E509" s="33"/>
      <c r="F509" s="33"/>
      <c r="G509" s="33"/>
      <c r="H509" s="33"/>
      <c r="I509" s="33"/>
      <c r="J509" s="33"/>
      <c r="K509" s="33"/>
      <c r="L509" s="33"/>
      <c r="M509" s="33"/>
      <c r="N509" s="33"/>
      <c r="O509" s="33"/>
      <c r="P509" s="33"/>
      <c r="Q509" s="33"/>
      <c r="R509" s="33"/>
      <c r="S509" s="33"/>
      <c r="T509" s="33"/>
      <c r="U509" s="33"/>
      <c r="V509" s="33"/>
      <c r="W509" s="33"/>
      <c r="X509" s="33"/>
      <c r="Y509" s="33"/>
      <c r="Z509" s="33"/>
    </row>
    <row r="510" spans="1:26" ht="13.5" customHeight="1">
      <c r="A510" s="33"/>
      <c r="B510" s="33"/>
      <c r="C510" s="33"/>
      <c r="D510" s="33"/>
      <c r="E510" s="33"/>
      <c r="F510" s="33"/>
      <c r="G510" s="33"/>
      <c r="H510" s="33"/>
      <c r="I510" s="33"/>
      <c r="J510" s="33"/>
      <c r="K510" s="33"/>
      <c r="L510" s="33"/>
      <c r="M510" s="33"/>
      <c r="N510" s="33"/>
      <c r="O510" s="33"/>
      <c r="P510" s="33"/>
      <c r="Q510" s="33"/>
      <c r="R510" s="33"/>
      <c r="S510" s="33"/>
      <c r="T510" s="33"/>
      <c r="U510" s="33"/>
      <c r="V510" s="33"/>
      <c r="W510" s="33"/>
      <c r="X510" s="33"/>
      <c r="Y510" s="33"/>
      <c r="Z510" s="33"/>
    </row>
    <row r="511" spans="1:26" ht="13.5" customHeight="1">
      <c r="A511" s="33"/>
      <c r="B511" s="33"/>
      <c r="C511" s="33"/>
      <c r="D511" s="33"/>
      <c r="E511" s="33"/>
      <c r="F511" s="33"/>
      <c r="G511" s="33"/>
      <c r="H511" s="33"/>
      <c r="I511" s="33"/>
      <c r="J511" s="33"/>
      <c r="K511" s="33"/>
      <c r="L511" s="33"/>
      <c r="M511" s="33"/>
      <c r="N511" s="33"/>
      <c r="O511" s="33"/>
      <c r="P511" s="33"/>
      <c r="Q511" s="33"/>
      <c r="R511" s="33"/>
      <c r="S511" s="33"/>
      <c r="T511" s="33"/>
      <c r="U511" s="33"/>
      <c r="V511" s="33"/>
      <c r="W511" s="33"/>
      <c r="X511" s="33"/>
      <c r="Y511" s="33"/>
      <c r="Z511" s="33"/>
    </row>
    <row r="512" spans="1:26" ht="13.5" customHeight="1">
      <c r="A512" s="33"/>
      <c r="B512" s="33"/>
      <c r="C512" s="33"/>
      <c r="D512" s="33"/>
      <c r="E512" s="33"/>
      <c r="F512" s="33"/>
      <c r="G512" s="33"/>
      <c r="H512" s="33"/>
      <c r="I512" s="33"/>
      <c r="J512" s="33"/>
      <c r="K512" s="33"/>
      <c r="L512" s="33"/>
      <c r="M512" s="33"/>
      <c r="N512" s="33"/>
      <c r="O512" s="33"/>
      <c r="P512" s="33"/>
      <c r="Q512" s="33"/>
      <c r="R512" s="33"/>
      <c r="S512" s="33"/>
      <c r="T512" s="33"/>
      <c r="U512" s="33"/>
      <c r="V512" s="33"/>
      <c r="W512" s="33"/>
      <c r="X512" s="33"/>
      <c r="Y512" s="33"/>
      <c r="Z512" s="33"/>
    </row>
    <row r="513" spans="1:26" ht="13.5" customHeight="1">
      <c r="A513" s="33"/>
      <c r="B513" s="33"/>
      <c r="C513" s="33"/>
      <c r="D513" s="33"/>
      <c r="E513" s="33"/>
      <c r="F513" s="33"/>
      <c r="G513" s="33"/>
      <c r="H513" s="33"/>
      <c r="I513" s="33"/>
      <c r="J513" s="33"/>
      <c r="K513" s="33"/>
      <c r="L513" s="33"/>
      <c r="M513" s="33"/>
      <c r="N513" s="33"/>
      <c r="O513" s="33"/>
      <c r="P513" s="33"/>
      <c r="Q513" s="33"/>
      <c r="R513" s="33"/>
      <c r="S513" s="33"/>
      <c r="T513" s="33"/>
      <c r="U513" s="33"/>
      <c r="V513" s="33"/>
      <c r="W513" s="33"/>
      <c r="X513" s="33"/>
      <c r="Y513" s="33"/>
      <c r="Z513" s="33"/>
    </row>
    <row r="514" spans="1:26" ht="13.5" customHeight="1">
      <c r="A514" s="33"/>
      <c r="B514" s="33"/>
      <c r="C514" s="33"/>
      <c r="D514" s="33"/>
      <c r="E514" s="33"/>
      <c r="F514" s="33"/>
      <c r="G514" s="33"/>
      <c r="H514" s="33"/>
      <c r="I514" s="33"/>
      <c r="J514" s="33"/>
      <c r="K514" s="33"/>
      <c r="L514" s="33"/>
      <c r="M514" s="33"/>
      <c r="N514" s="33"/>
      <c r="O514" s="33"/>
      <c r="P514" s="33"/>
      <c r="Q514" s="33"/>
      <c r="R514" s="33"/>
      <c r="S514" s="33"/>
      <c r="T514" s="33"/>
      <c r="U514" s="33"/>
      <c r="V514" s="33"/>
      <c r="W514" s="33"/>
      <c r="X514" s="33"/>
      <c r="Y514" s="33"/>
      <c r="Z514" s="33"/>
    </row>
    <row r="515" spans="1:26" ht="13.5" customHeight="1">
      <c r="A515" s="33"/>
      <c r="B515" s="33"/>
      <c r="C515" s="33"/>
      <c r="D515" s="33"/>
      <c r="E515" s="33"/>
      <c r="F515" s="33"/>
      <c r="G515" s="33"/>
      <c r="H515" s="33"/>
      <c r="I515" s="33"/>
      <c r="J515" s="33"/>
      <c r="K515" s="33"/>
      <c r="L515" s="33"/>
      <c r="M515" s="33"/>
      <c r="N515" s="33"/>
      <c r="O515" s="33"/>
      <c r="P515" s="33"/>
      <c r="Q515" s="33"/>
      <c r="R515" s="33"/>
      <c r="S515" s="33"/>
      <c r="T515" s="33"/>
      <c r="U515" s="33"/>
      <c r="V515" s="33"/>
      <c r="W515" s="33"/>
      <c r="X515" s="33"/>
      <c r="Y515" s="33"/>
      <c r="Z515" s="33"/>
    </row>
    <row r="516" spans="1:26" ht="13.5" customHeight="1">
      <c r="A516" s="33"/>
      <c r="B516" s="33"/>
      <c r="C516" s="33"/>
      <c r="D516" s="33"/>
      <c r="E516" s="33"/>
      <c r="F516" s="33"/>
      <c r="G516" s="33"/>
      <c r="H516" s="33"/>
      <c r="I516" s="33"/>
      <c r="J516" s="33"/>
      <c r="K516" s="33"/>
      <c r="L516" s="33"/>
      <c r="M516" s="33"/>
      <c r="N516" s="33"/>
      <c r="O516" s="33"/>
      <c r="P516" s="33"/>
      <c r="Q516" s="33"/>
      <c r="R516" s="33"/>
      <c r="S516" s="33"/>
      <c r="T516" s="33"/>
      <c r="U516" s="33"/>
      <c r="V516" s="33"/>
      <c r="W516" s="33"/>
      <c r="X516" s="33"/>
      <c r="Y516" s="33"/>
      <c r="Z516" s="33"/>
    </row>
    <row r="517" spans="1:26" ht="13.5" customHeight="1">
      <c r="A517" s="33"/>
      <c r="B517" s="33"/>
      <c r="C517" s="33"/>
      <c r="D517" s="33"/>
      <c r="E517" s="33"/>
      <c r="F517" s="33"/>
      <c r="G517" s="33"/>
      <c r="H517" s="33"/>
      <c r="I517" s="33"/>
      <c r="J517" s="33"/>
      <c r="K517" s="33"/>
      <c r="L517" s="33"/>
      <c r="M517" s="33"/>
      <c r="N517" s="33"/>
      <c r="O517" s="33"/>
      <c r="P517" s="33"/>
      <c r="Q517" s="33"/>
      <c r="R517" s="33"/>
      <c r="S517" s="33"/>
      <c r="T517" s="33"/>
      <c r="U517" s="33"/>
      <c r="V517" s="33"/>
      <c r="W517" s="33"/>
      <c r="X517" s="33"/>
      <c r="Y517" s="33"/>
      <c r="Z517" s="33"/>
    </row>
    <row r="518" spans="1:26" ht="13.5" customHeight="1">
      <c r="A518" s="33"/>
      <c r="B518" s="33"/>
      <c r="C518" s="33"/>
      <c r="D518" s="33"/>
      <c r="E518" s="33"/>
      <c r="F518" s="33"/>
      <c r="G518" s="33"/>
      <c r="H518" s="33"/>
      <c r="I518" s="33"/>
      <c r="J518" s="33"/>
      <c r="K518" s="33"/>
      <c r="L518" s="33"/>
      <c r="M518" s="33"/>
      <c r="N518" s="33"/>
      <c r="O518" s="33"/>
      <c r="P518" s="33"/>
      <c r="Q518" s="33"/>
      <c r="R518" s="33"/>
      <c r="S518" s="33"/>
      <c r="T518" s="33"/>
      <c r="U518" s="33"/>
      <c r="V518" s="33"/>
      <c r="W518" s="33"/>
      <c r="X518" s="33"/>
      <c r="Y518" s="33"/>
      <c r="Z518" s="33"/>
    </row>
    <row r="519" spans="1:26" ht="13.5" customHeight="1">
      <c r="A519" s="33"/>
      <c r="B519" s="33"/>
      <c r="C519" s="33"/>
      <c r="D519" s="33"/>
      <c r="E519" s="33"/>
      <c r="F519" s="33"/>
      <c r="G519" s="33"/>
      <c r="H519" s="33"/>
      <c r="I519" s="33"/>
      <c r="J519" s="33"/>
      <c r="K519" s="33"/>
      <c r="L519" s="33"/>
      <c r="M519" s="33"/>
      <c r="N519" s="33"/>
      <c r="O519" s="33"/>
      <c r="P519" s="33"/>
      <c r="Q519" s="33"/>
      <c r="R519" s="33"/>
      <c r="S519" s="33"/>
      <c r="T519" s="33"/>
      <c r="U519" s="33"/>
      <c r="V519" s="33"/>
      <c r="W519" s="33"/>
      <c r="X519" s="33"/>
      <c r="Y519" s="33"/>
      <c r="Z519" s="33"/>
    </row>
    <row r="520" spans="1:26" ht="13.5" customHeight="1">
      <c r="A520" s="33"/>
      <c r="B520" s="33"/>
      <c r="C520" s="33"/>
      <c r="D520" s="33"/>
      <c r="E520" s="33"/>
      <c r="F520" s="33"/>
      <c r="G520" s="33"/>
      <c r="H520" s="33"/>
      <c r="I520" s="33"/>
      <c r="J520" s="33"/>
      <c r="K520" s="33"/>
      <c r="L520" s="33"/>
      <c r="M520" s="33"/>
      <c r="N520" s="33"/>
      <c r="O520" s="33"/>
      <c r="P520" s="33"/>
      <c r="Q520" s="33"/>
      <c r="R520" s="33"/>
      <c r="S520" s="33"/>
      <c r="T520" s="33"/>
      <c r="U520" s="33"/>
      <c r="V520" s="33"/>
      <c r="W520" s="33"/>
      <c r="X520" s="33"/>
      <c r="Y520" s="33"/>
      <c r="Z520" s="33"/>
    </row>
    <row r="521" spans="1:26" ht="13.5" customHeight="1">
      <c r="A521" s="33"/>
      <c r="B521" s="33"/>
      <c r="C521" s="33"/>
      <c r="D521" s="33"/>
      <c r="E521" s="33"/>
      <c r="F521" s="33"/>
      <c r="G521" s="33"/>
      <c r="H521" s="33"/>
      <c r="I521" s="33"/>
      <c r="J521" s="33"/>
      <c r="K521" s="33"/>
      <c r="L521" s="33"/>
      <c r="M521" s="33"/>
      <c r="N521" s="33"/>
      <c r="O521" s="33"/>
      <c r="P521" s="33"/>
      <c r="Q521" s="33"/>
      <c r="R521" s="33"/>
      <c r="S521" s="33"/>
      <c r="T521" s="33"/>
      <c r="U521" s="33"/>
      <c r="V521" s="33"/>
      <c r="W521" s="33"/>
      <c r="X521" s="33"/>
      <c r="Y521" s="33"/>
      <c r="Z521" s="33"/>
    </row>
    <row r="522" spans="1:26" ht="13.5" customHeight="1">
      <c r="A522" s="33"/>
      <c r="B522" s="33"/>
      <c r="C522" s="33"/>
      <c r="D522" s="33"/>
      <c r="E522" s="33"/>
      <c r="F522" s="33"/>
      <c r="G522" s="33"/>
      <c r="H522" s="33"/>
      <c r="I522" s="33"/>
      <c r="J522" s="33"/>
      <c r="K522" s="33"/>
      <c r="L522" s="33"/>
      <c r="M522" s="33"/>
      <c r="N522" s="33"/>
      <c r="O522" s="33"/>
      <c r="P522" s="33"/>
      <c r="Q522" s="33"/>
      <c r="R522" s="33"/>
      <c r="S522" s="33"/>
      <c r="T522" s="33"/>
      <c r="U522" s="33"/>
      <c r="V522" s="33"/>
      <c r="W522" s="33"/>
      <c r="X522" s="33"/>
      <c r="Y522" s="33"/>
      <c r="Z522" s="33"/>
    </row>
    <row r="523" spans="1:26" ht="13.5" customHeight="1">
      <c r="A523" s="33"/>
      <c r="B523" s="33"/>
      <c r="C523" s="33"/>
      <c r="D523" s="33"/>
      <c r="E523" s="33"/>
      <c r="F523" s="33"/>
      <c r="G523" s="33"/>
      <c r="H523" s="33"/>
      <c r="I523" s="33"/>
      <c r="J523" s="33"/>
      <c r="K523" s="33"/>
      <c r="L523" s="33"/>
      <c r="M523" s="33"/>
      <c r="N523" s="33"/>
      <c r="O523" s="33"/>
      <c r="P523" s="33"/>
      <c r="Q523" s="33"/>
      <c r="R523" s="33"/>
      <c r="S523" s="33"/>
      <c r="T523" s="33"/>
      <c r="U523" s="33"/>
      <c r="V523" s="33"/>
      <c r="W523" s="33"/>
      <c r="X523" s="33"/>
      <c r="Y523" s="33"/>
      <c r="Z523" s="33"/>
    </row>
    <row r="524" spans="1:26" ht="13.5" customHeight="1">
      <c r="A524" s="33"/>
      <c r="B524" s="33"/>
      <c r="C524" s="33"/>
      <c r="D524" s="33"/>
      <c r="E524" s="33"/>
      <c r="F524" s="33"/>
      <c r="G524" s="33"/>
      <c r="H524" s="33"/>
      <c r="I524" s="33"/>
      <c r="J524" s="33"/>
      <c r="K524" s="33"/>
      <c r="L524" s="33"/>
      <c r="M524" s="33"/>
      <c r="N524" s="33"/>
      <c r="O524" s="33"/>
      <c r="P524" s="33"/>
      <c r="Q524" s="33"/>
      <c r="R524" s="33"/>
      <c r="S524" s="33"/>
      <c r="T524" s="33"/>
      <c r="U524" s="33"/>
      <c r="V524" s="33"/>
      <c r="W524" s="33"/>
      <c r="X524" s="33"/>
      <c r="Y524" s="33"/>
      <c r="Z524" s="33"/>
    </row>
    <row r="525" spans="1:26" ht="13.5" customHeight="1">
      <c r="A525" s="33"/>
      <c r="B525" s="33"/>
      <c r="C525" s="33"/>
      <c r="D525" s="33"/>
      <c r="E525" s="33"/>
      <c r="F525" s="33"/>
      <c r="G525" s="33"/>
      <c r="H525" s="33"/>
      <c r="I525" s="33"/>
      <c r="J525" s="33"/>
      <c r="K525" s="33"/>
      <c r="L525" s="33"/>
      <c r="M525" s="33"/>
      <c r="N525" s="33"/>
      <c r="O525" s="33"/>
      <c r="P525" s="33"/>
      <c r="Q525" s="33"/>
      <c r="R525" s="33"/>
      <c r="S525" s="33"/>
      <c r="T525" s="33"/>
      <c r="U525" s="33"/>
      <c r="V525" s="33"/>
      <c r="W525" s="33"/>
      <c r="X525" s="33"/>
      <c r="Y525" s="33"/>
      <c r="Z525" s="33"/>
    </row>
    <row r="526" spans="1:26" ht="13.5" customHeight="1">
      <c r="A526" s="33"/>
      <c r="B526" s="33"/>
      <c r="C526" s="33"/>
      <c r="D526" s="33"/>
      <c r="E526" s="33"/>
      <c r="F526" s="33"/>
      <c r="G526" s="33"/>
      <c r="H526" s="33"/>
      <c r="I526" s="33"/>
      <c r="J526" s="33"/>
      <c r="K526" s="33"/>
      <c r="L526" s="33"/>
      <c r="M526" s="33"/>
      <c r="N526" s="33"/>
      <c r="O526" s="33"/>
      <c r="P526" s="33"/>
      <c r="Q526" s="33"/>
      <c r="R526" s="33"/>
      <c r="S526" s="33"/>
      <c r="T526" s="33"/>
      <c r="U526" s="33"/>
      <c r="V526" s="33"/>
      <c r="W526" s="33"/>
      <c r="X526" s="33"/>
      <c r="Y526" s="33"/>
      <c r="Z526" s="33"/>
    </row>
    <row r="527" spans="1:26" ht="13.5" customHeight="1">
      <c r="A527" s="33"/>
      <c r="B527" s="33"/>
      <c r="C527" s="33"/>
      <c r="D527" s="33"/>
      <c r="E527" s="33"/>
      <c r="F527" s="33"/>
      <c r="G527" s="33"/>
      <c r="H527" s="33"/>
      <c r="I527" s="33"/>
      <c r="J527" s="33"/>
      <c r="K527" s="33"/>
      <c r="L527" s="33"/>
      <c r="M527" s="33"/>
      <c r="N527" s="33"/>
      <c r="O527" s="33"/>
      <c r="P527" s="33"/>
      <c r="Q527" s="33"/>
      <c r="R527" s="33"/>
      <c r="S527" s="33"/>
      <c r="T527" s="33"/>
      <c r="U527" s="33"/>
      <c r="V527" s="33"/>
      <c r="W527" s="33"/>
      <c r="X527" s="33"/>
      <c r="Y527" s="33"/>
      <c r="Z527" s="33"/>
    </row>
    <row r="528" spans="1:26" ht="13.5" customHeight="1">
      <c r="A528" s="33"/>
      <c r="B528" s="33"/>
      <c r="C528" s="33"/>
      <c r="D528" s="33"/>
      <c r="E528" s="33"/>
      <c r="F528" s="33"/>
      <c r="G528" s="33"/>
      <c r="H528" s="33"/>
      <c r="I528" s="33"/>
      <c r="J528" s="33"/>
      <c r="K528" s="33"/>
      <c r="L528" s="33"/>
      <c r="M528" s="33"/>
      <c r="N528" s="33"/>
      <c r="O528" s="33"/>
      <c r="P528" s="33"/>
      <c r="Q528" s="33"/>
      <c r="R528" s="33"/>
      <c r="S528" s="33"/>
      <c r="T528" s="33"/>
      <c r="U528" s="33"/>
      <c r="V528" s="33"/>
      <c r="W528" s="33"/>
      <c r="X528" s="33"/>
      <c r="Y528" s="33"/>
      <c r="Z528" s="33"/>
    </row>
    <row r="529" spans="1:26" ht="13.5" customHeight="1">
      <c r="A529" s="33"/>
      <c r="B529" s="33"/>
      <c r="C529" s="33"/>
      <c r="D529" s="33"/>
      <c r="E529" s="33"/>
      <c r="F529" s="33"/>
      <c r="G529" s="33"/>
      <c r="H529" s="33"/>
      <c r="I529" s="33"/>
      <c r="J529" s="33"/>
      <c r="K529" s="33"/>
      <c r="L529" s="33"/>
      <c r="M529" s="33"/>
      <c r="N529" s="33"/>
      <c r="O529" s="33"/>
      <c r="P529" s="33"/>
      <c r="Q529" s="33"/>
      <c r="R529" s="33"/>
      <c r="S529" s="33"/>
      <c r="T529" s="33"/>
      <c r="U529" s="33"/>
      <c r="V529" s="33"/>
      <c r="W529" s="33"/>
      <c r="X529" s="33"/>
      <c r="Y529" s="33"/>
      <c r="Z529" s="33"/>
    </row>
    <row r="530" spans="1:26" ht="13.5" customHeight="1">
      <c r="A530" s="33"/>
      <c r="B530" s="33"/>
      <c r="C530" s="33"/>
      <c r="D530" s="33"/>
      <c r="E530" s="33"/>
      <c r="F530" s="33"/>
      <c r="G530" s="33"/>
      <c r="H530" s="33"/>
      <c r="I530" s="33"/>
      <c r="J530" s="33"/>
      <c r="K530" s="33"/>
      <c r="L530" s="33"/>
      <c r="M530" s="33"/>
      <c r="N530" s="33"/>
      <c r="O530" s="33"/>
      <c r="P530" s="33"/>
      <c r="Q530" s="33"/>
      <c r="R530" s="33"/>
      <c r="S530" s="33"/>
      <c r="T530" s="33"/>
      <c r="U530" s="33"/>
      <c r="V530" s="33"/>
      <c r="W530" s="33"/>
      <c r="X530" s="33"/>
      <c r="Y530" s="33"/>
      <c r="Z530" s="33"/>
    </row>
    <row r="531" spans="1:26" ht="13.5" customHeight="1">
      <c r="A531" s="33"/>
      <c r="B531" s="33"/>
      <c r="C531" s="33"/>
      <c r="D531" s="33"/>
      <c r="E531" s="33"/>
      <c r="F531" s="33"/>
      <c r="G531" s="33"/>
      <c r="H531" s="33"/>
      <c r="I531" s="33"/>
      <c r="J531" s="33"/>
      <c r="K531" s="33"/>
      <c r="L531" s="33"/>
      <c r="M531" s="33"/>
      <c r="N531" s="33"/>
      <c r="O531" s="33"/>
      <c r="P531" s="33"/>
      <c r="Q531" s="33"/>
      <c r="R531" s="33"/>
      <c r="S531" s="33"/>
      <c r="T531" s="33"/>
      <c r="U531" s="33"/>
      <c r="V531" s="33"/>
      <c r="W531" s="33"/>
      <c r="X531" s="33"/>
      <c r="Y531" s="33"/>
      <c r="Z531" s="33"/>
    </row>
    <row r="532" spans="1:26" ht="13.5" customHeight="1">
      <c r="A532" s="33"/>
      <c r="B532" s="33"/>
      <c r="C532" s="33"/>
      <c r="D532" s="33"/>
      <c r="E532" s="33"/>
      <c r="F532" s="33"/>
      <c r="G532" s="33"/>
      <c r="H532" s="33"/>
      <c r="I532" s="33"/>
      <c r="J532" s="33"/>
      <c r="K532" s="33"/>
      <c r="L532" s="33"/>
      <c r="M532" s="33"/>
      <c r="N532" s="33"/>
      <c r="O532" s="33"/>
      <c r="P532" s="33"/>
      <c r="Q532" s="33"/>
      <c r="R532" s="33"/>
      <c r="S532" s="33"/>
      <c r="T532" s="33"/>
      <c r="U532" s="33"/>
      <c r="V532" s="33"/>
      <c r="W532" s="33"/>
      <c r="X532" s="33"/>
      <c r="Y532" s="33"/>
      <c r="Z532" s="33"/>
    </row>
    <row r="533" spans="1:26" ht="13.5" customHeight="1">
      <c r="A533" s="33"/>
      <c r="B533" s="33"/>
      <c r="C533" s="33"/>
      <c r="D533" s="33"/>
      <c r="E533" s="33"/>
      <c r="F533" s="33"/>
      <c r="G533" s="33"/>
      <c r="H533" s="33"/>
      <c r="I533" s="33"/>
      <c r="J533" s="33"/>
      <c r="K533" s="33"/>
      <c r="L533" s="33"/>
      <c r="M533" s="33"/>
      <c r="N533" s="33"/>
      <c r="O533" s="33"/>
      <c r="P533" s="33"/>
      <c r="Q533" s="33"/>
      <c r="R533" s="33"/>
      <c r="S533" s="33"/>
      <c r="T533" s="33"/>
      <c r="U533" s="33"/>
      <c r="V533" s="33"/>
      <c r="W533" s="33"/>
      <c r="X533" s="33"/>
      <c r="Y533" s="33"/>
      <c r="Z533" s="33"/>
    </row>
    <row r="534" spans="1:26" ht="13.5" customHeight="1">
      <c r="A534" s="33"/>
      <c r="B534" s="3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row>
    <row r="535" spans="1:26" ht="13.5" customHeight="1">
      <c r="A535" s="33"/>
      <c r="B535" s="3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row>
    <row r="536" spans="1:26" ht="13.5" customHeight="1">
      <c r="A536" s="33"/>
      <c r="B536" s="3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row>
    <row r="537" spans="1:26" ht="13.5" customHeight="1">
      <c r="A537" s="33"/>
      <c r="B537" s="3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row>
    <row r="538" spans="1:26" ht="13.5" customHeight="1">
      <c r="A538" s="33"/>
      <c r="B538" s="3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row>
    <row r="539" spans="1:26" ht="13.5" customHeight="1">
      <c r="A539" s="33"/>
      <c r="B539" s="3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row>
    <row r="540" spans="1:26" ht="13.5" customHeight="1">
      <c r="A540" s="33"/>
      <c r="B540" s="3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row>
    <row r="541" spans="1:26" ht="13.5" customHeight="1">
      <c r="A541" s="33"/>
      <c r="B541" s="3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row>
    <row r="542" spans="1:26" ht="13.5" customHeight="1">
      <c r="A542" s="33"/>
      <c r="B542" s="3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row>
    <row r="543" spans="1:26" ht="13.5" customHeight="1">
      <c r="A543" s="33"/>
      <c r="B543" s="3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row>
    <row r="544" spans="1:26" ht="13.5" customHeight="1">
      <c r="A544" s="33"/>
      <c r="B544" s="3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row>
    <row r="545" spans="1:26" ht="13.5" customHeight="1">
      <c r="A545" s="33"/>
      <c r="B545" s="3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row>
    <row r="546" spans="1:26" ht="13.5" customHeight="1">
      <c r="A546" s="33"/>
      <c r="B546" s="3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row>
    <row r="547" spans="1:26" ht="13.5" customHeight="1">
      <c r="A547" s="33"/>
      <c r="B547" s="3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row>
    <row r="548" spans="1:26" ht="13.5" customHeight="1">
      <c r="A548" s="33"/>
      <c r="B548" s="3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row>
    <row r="549" spans="1:26" ht="13.5" customHeight="1">
      <c r="A549" s="33"/>
      <c r="B549" s="3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row>
    <row r="550" spans="1:26" ht="13.5" customHeight="1">
      <c r="A550" s="33"/>
      <c r="B550" s="3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row>
    <row r="551" spans="1:26" ht="13.5" customHeight="1">
      <c r="A551" s="33"/>
      <c r="B551" s="3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row>
    <row r="552" spans="1:26" ht="13.5" customHeight="1">
      <c r="A552" s="33"/>
      <c r="B552" s="3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row>
    <row r="553" spans="1:26" ht="13.5" customHeight="1">
      <c r="A553" s="33"/>
      <c r="B553" s="3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row>
    <row r="554" spans="1:26" ht="13.5" customHeight="1">
      <c r="A554" s="33"/>
      <c r="B554" s="3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row>
    <row r="555" spans="1:26" ht="13.5" customHeight="1">
      <c r="A555" s="33"/>
      <c r="B555" s="3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row>
    <row r="556" spans="1:26" ht="13.5" customHeight="1">
      <c r="A556" s="33"/>
      <c r="B556" s="3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row>
    <row r="557" spans="1:26" ht="13.5" customHeight="1">
      <c r="A557" s="33"/>
      <c r="B557" s="3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row>
    <row r="558" spans="1:26" ht="13.5" customHeight="1">
      <c r="A558" s="33"/>
      <c r="B558" s="3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row>
    <row r="559" spans="1:26" ht="13.5" customHeight="1">
      <c r="A559" s="33"/>
      <c r="B559" s="3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row>
    <row r="560" spans="1:26" ht="13.5" customHeight="1">
      <c r="A560" s="33"/>
      <c r="B560" s="3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row>
    <row r="561" spans="1:26" ht="13.5" customHeight="1">
      <c r="A561" s="33"/>
      <c r="B561" s="3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row>
    <row r="562" spans="1:26" ht="13.5" customHeight="1">
      <c r="A562" s="33"/>
      <c r="B562" s="3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row>
    <row r="563" spans="1:26" ht="13.5" customHeight="1">
      <c r="A563" s="33"/>
      <c r="B563" s="3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row>
    <row r="564" spans="1:26" ht="13.5" customHeight="1">
      <c r="A564" s="33"/>
      <c r="B564" s="3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row>
    <row r="565" spans="1:26" ht="13.5" customHeight="1">
      <c r="A565" s="33"/>
      <c r="B565" s="3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row>
    <row r="566" spans="1:26" ht="13.5" customHeight="1">
      <c r="A566" s="33"/>
      <c r="B566" s="3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row>
    <row r="567" spans="1:26" ht="13.5" customHeight="1">
      <c r="A567" s="33"/>
      <c r="B567" s="3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row>
    <row r="568" spans="1:26" ht="13.5" customHeight="1">
      <c r="A568" s="33"/>
      <c r="B568" s="3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row>
    <row r="569" spans="1:26" ht="13.5" customHeight="1">
      <c r="A569" s="33"/>
      <c r="B569" s="3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row>
    <row r="570" spans="1:26" ht="13.5" customHeight="1">
      <c r="A570" s="33"/>
      <c r="B570" s="3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row>
    <row r="571" spans="1:26" ht="13.5" customHeight="1">
      <c r="A571" s="33"/>
      <c r="B571" s="3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row>
    <row r="572" spans="1:26" ht="13.5" customHeight="1">
      <c r="A572" s="33"/>
      <c r="B572" s="3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row>
    <row r="573" spans="1:26" ht="13.5" customHeight="1">
      <c r="A573" s="33"/>
      <c r="B573" s="3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row>
    <row r="574" spans="1:26" ht="13.5" customHeight="1">
      <c r="A574" s="33"/>
      <c r="B574" s="3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row>
    <row r="575" spans="1:26" ht="13.5" customHeight="1">
      <c r="A575" s="33"/>
      <c r="B575" s="3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row>
    <row r="576" spans="1:26" ht="13.5" customHeight="1">
      <c r="A576" s="33"/>
      <c r="B576" s="3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row>
    <row r="577" spans="1:26" ht="13.5" customHeight="1">
      <c r="A577" s="33"/>
      <c r="B577" s="3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row>
    <row r="578" spans="1:26" ht="13.5" customHeight="1">
      <c r="A578" s="33"/>
      <c r="B578" s="3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row>
    <row r="579" spans="1:26" ht="13.5" customHeight="1">
      <c r="A579" s="33"/>
      <c r="B579" s="3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row>
    <row r="580" spans="1:26" ht="13.5" customHeight="1">
      <c r="A580" s="33"/>
      <c r="B580" s="3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row>
    <row r="581" spans="1:26" ht="13.5" customHeight="1">
      <c r="A581" s="33"/>
      <c r="B581" s="3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row>
    <row r="582" spans="1:26" ht="13.5" customHeight="1">
      <c r="A582" s="33"/>
      <c r="B582" s="3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row>
    <row r="583" spans="1:26" ht="13.5" customHeight="1">
      <c r="A583" s="33"/>
      <c r="B583" s="3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row>
    <row r="584" spans="1:26" ht="13.5" customHeight="1">
      <c r="A584" s="33"/>
      <c r="B584" s="3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row>
    <row r="585" spans="1:26" ht="13.5" customHeight="1">
      <c r="A585" s="33"/>
      <c r="B585" s="3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row>
    <row r="586" spans="1:26" ht="13.5" customHeight="1">
      <c r="A586" s="33"/>
      <c r="B586" s="3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row>
    <row r="587" spans="1:26" ht="13.5" customHeight="1">
      <c r="A587" s="33"/>
      <c r="B587" s="3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row>
    <row r="588" spans="1:26" ht="13.5" customHeight="1">
      <c r="A588" s="33"/>
      <c r="B588" s="3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row>
    <row r="589" spans="1:26" ht="13.5" customHeight="1">
      <c r="A589" s="33"/>
      <c r="B589" s="3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row>
    <row r="590" spans="1:26" ht="13.5" customHeight="1">
      <c r="A590" s="33"/>
      <c r="B590" s="3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row>
    <row r="591" spans="1:26" ht="13.5" customHeight="1">
      <c r="A591" s="33"/>
      <c r="B591" s="3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row>
    <row r="592" spans="1:26" ht="13.5" customHeight="1">
      <c r="A592" s="33"/>
      <c r="B592" s="3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row>
    <row r="593" spans="1:26" ht="13.5" customHeight="1">
      <c r="A593" s="33"/>
      <c r="B593" s="3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row>
    <row r="594" spans="1:26" ht="13.5" customHeight="1">
      <c r="A594" s="33"/>
      <c r="B594" s="3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row>
    <row r="595" spans="1:26" ht="13.5" customHeight="1">
      <c r="A595" s="33"/>
      <c r="B595" s="3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row>
    <row r="596" spans="1:26" ht="13.5" customHeight="1">
      <c r="A596" s="33"/>
      <c r="B596" s="3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row>
    <row r="597" spans="1:26" ht="13.5" customHeight="1">
      <c r="A597" s="33"/>
      <c r="B597" s="3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row>
    <row r="598" spans="1:26" ht="13.5" customHeight="1">
      <c r="A598" s="33"/>
      <c r="B598" s="3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row>
    <row r="599" spans="1:26" ht="13.5" customHeight="1">
      <c r="A599" s="33"/>
      <c r="B599" s="3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row>
    <row r="600" spans="1:26" ht="13.5" customHeight="1">
      <c r="A600" s="33"/>
      <c r="B600" s="3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row>
    <row r="601" spans="1:26" ht="13.5" customHeight="1">
      <c r="A601" s="33"/>
      <c r="B601" s="3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row>
    <row r="602" spans="1:26" ht="13.5" customHeight="1">
      <c r="A602" s="33"/>
      <c r="B602" s="3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row>
    <row r="603" spans="1:26" ht="13.5" customHeight="1">
      <c r="A603" s="33"/>
      <c r="B603" s="3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row>
    <row r="604" spans="1:26" ht="13.5" customHeight="1">
      <c r="A604" s="33"/>
      <c r="B604" s="3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row>
    <row r="605" spans="1:26" ht="13.5" customHeight="1">
      <c r="A605" s="33"/>
      <c r="B605" s="3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row>
    <row r="606" spans="1:26" ht="13.5" customHeight="1">
      <c r="A606" s="33"/>
      <c r="B606" s="3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row>
    <row r="607" spans="1:26" ht="13.5" customHeight="1">
      <c r="A607" s="33"/>
      <c r="B607" s="3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row>
    <row r="608" spans="1:26" ht="13.5" customHeight="1">
      <c r="A608" s="33"/>
      <c r="B608" s="3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row>
    <row r="609" spans="1:26" ht="13.5" customHeight="1">
      <c r="A609" s="33"/>
      <c r="B609" s="3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row>
    <row r="610" spans="1:26" ht="13.5" customHeight="1">
      <c r="A610" s="33"/>
      <c r="B610" s="3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row>
    <row r="611" spans="1:26" ht="13.5" customHeight="1">
      <c r="A611" s="33"/>
      <c r="B611" s="3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row>
    <row r="612" spans="1:26" ht="13.5" customHeight="1">
      <c r="A612" s="33"/>
      <c r="B612" s="3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row>
    <row r="613" spans="1:26" ht="13.5" customHeight="1">
      <c r="A613" s="33"/>
      <c r="B613" s="3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row>
    <row r="614" spans="1:26" ht="13.5" customHeight="1">
      <c r="A614" s="33"/>
      <c r="B614" s="3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row>
    <row r="615" spans="1:26" ht="13.5" customHeight="1">
      <c r="A615" s="33"/>
      <c r="B615" s="3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row>
    <row r="616" spans="1:26" ht="13.5" customHeight="1">
      <c r="A616" s="33"/>
      <c r="B616" s="3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row>
    <row r="617" spans="1:26" ht="13.5" customHeight="1">
      <c r="A617" s="33"/>
      <c r="B617" s="3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row>
    <row r="618" spans="1:26" ht="13.5" customHeight="1">
      <c r="A618" s="33"/>
      <c r="B618" s="3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row>
    <row r="619" spans="1:26" ht="13.5" customHeight="1">
      <c r="A619" s="33"/>
      <c r="B619" s="3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row>
    <row r="620" spans="1:26" ht="13.5" customHeight="1">
      <c r="A620" s="33"/>
      <c r="B620" s="3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row>
    <row r="621" spans="1:26" ht="13.5" customHeight="1">
      <c r="A621" s="33"/>
      <c r="B621" s="3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row>
    <row r="622" spans="1:26" ht="13.5" customHeight="1">
      <c r="A622" s="33"/>
      <c r="B622" s="3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row>
    <row r="623" spans="1:26" ht="13.5" customHeight="1">
      <c r="A623" s="33"/>
      <c r="B623" s="3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row>
    <row r="624" spans="1:26" ht="13.5" customHeight="1">
      <c r="A624" s="33"/>
      <c r="B624" s="3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row>
    <row r="625" spans="1:26" ht="13.5" customHeight="1">
      <c r="A625" s="33"/>
      <c r="B625" s="3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row>
    <row r="626" spans="1:26" ht="13.5" customHeight="1">
      <c r="A626" s="33"/>
      <c r="B626" s="3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row>
    <row r="627" spans="1:26" ht="13.5" customHeight="1">
      <c r="A627" s="33"/>
      <c r="B627" s="33"/>
      <c r="C627" s="33"/>
      <c r="D627" s="33"/>
      <c r="E627" s="33"/>
      <c r="F627" s="33"/>
      <c r="G627" s="33"/>
      <c r="H627" s="33"/>
      <c r="I627" s="33"/>
      <c r="J627" s="33"/>
      <c r="K627" s="33"/>
      <c r="L627" s="33"/>
      <c r="M627" s="33"/>
      <c r="N627" s="33"/>
      <c r="O627" s="33"/>
      <c r="P627" s="33"/>
      <c r="Q627" s="33"/>
      <c r="R627" s="33"/>
      <c r="S627" s="33"/>
      <c r="T627" s="33"/>
      <c r="U627" s="33"/>
      <c r="V627" s="33"/>
      <c r="W627" s="33"/>
      <c r="X627" s="33"/>
      <c r="Y627" s="33"/>
      <c r="Z627" s="33"/>
    </row>
    <row r="628" spans="1:26" ht="13.5" customHeight="1">
      <c r="A628" s="33"/>
      <c r="B628" s="33"/>
      <c r="C628" s="33"/>
      <c r="D628" s="33"/>
      <c r="E628" s="33"/>
      <c r="F628" s="33"/>
      <c r="G628" s="33"/>
      <c r="H628" s="33"/>
      <c r="I628" s="33"/>
      <c r="J628" s="33"/>
      <c r="K628" s="33"/>
      <c r="L628" s="33"/>
      <c r="M628" s="33"/>
      <c r="N628" s="33"/>
      <c r="O628" s="33"/>
      <c r="P628" s="33"/>
      <c r="Q628" s="33"/>
      <c r="R628" s="33"/>
      <c r="S628" s="33"/>
      <c r="T628" s="33"/>
      <c r="U628" s="33"/>
      <c r="V628" s="33"/>
      <c r="W628" s="33"/>
      <c r="X628" s="33"/>
      <c r="Y628" s="33"/>
      <c r="Z628" s="33"/>
    </row>
    <row r="629" spans="1:26" ht="13.5" customHeight="1">
      <c r="A629" s="33"/>
      <c r="B629" s="33"/>
      <c r="C629" s="33"/>
      <c r="D629" s="33"/>
      <c r="E629" s="33"/>
      <c r="F629" s="33"/>
      <c r="G629" s="33"/>
      <c r="H629" s="33"/>
      <c r="I629" s="33"/>
      <c r="J629" s="33"/>
      <c r="K629" s="33"/>
      <c r="L629" s="33"/>
      <c r="M629" s="33"/>
      <c r="N629" s="33"/>
      <c r="O629" s="33"/>
      <c r="P629" s="33"/>
      <c r="Q629" s="33"/>
      <c r="R629" s="33"/>
      <c r="S629" s="33"/>
      <c r="T629" s="33"/>
      <c r="U629" s="33"/>
      <c r="V629" s="33"/>
      <c r="W629" s="33"/>
      <c r="X629" s="33"/>
      <c r="Y629" s="33"/>
      <c r="Z629" s="33"/>
    </row>
    <row r="630" spans="1:26" ht="13.5" customHeight="1">
      <c r="A630" s="33"/>
      <c r="B630" s="33"/>
      <c r="C630" s="33"/>
      <c r="D630" s="33"/>
      <c r="E630" s="33"/>
      <c r="F630" s="33"/>
      <c r="G630" s="33"/>
      <c r="H630" s="33"/>
      <c r="I630" s="33"/>
      <c r="J630" s="33"/>
      <c r="K630" s="33"/>
      <c r="L630" s="33"/>
      <c r="M630" s="33"/>
      <c r="N630" s="33"/>
      <c r="O630" s="33"/>
      <c r="P630" s="33"/>
      <c r="Q630" s="33"/>
      <c r="R630" s="33"/>
      <c r="S630" s="33"/>
      <c r="T630" s="33"/>
      <c r="U630" s="33"/>
      <c r="V630" s="33"/>
      <c r="W630" s="33"/>
      <c r="X630" s="33"/>
      <c r="Y630" s="33"/>
      <c r="Z630" s="33"/>
    </row>
    <row r="631" spans="1:26" ht="13.5" customHeight="1">
      <c r="A631" s="33"/>
      <c r="B631" s="33"/>
      <c r="C631" s="33"/>
      <c r="D631" s="33"/>
      <c r="E631" s="33"/>
      <c r="F631" s="33"/>
      <c r="G631" s="33"/>
      <c r="H631" s="33"/>
      <c r="I631" s="33"/>
      <c r="J631" s="33"/>
      <c r="K631" s="33"/>
      <c r="L631" s="33"/>
      <c r="M631" s="33"/>
      <c r="N631" s="33"/>
      <c r="O631" s="33"/>
      <c r="P631" s="33"/>
      <c r="Q631" s="33"/>
      <c r="R631" s="33"/>
      <c r="S631" s="33"/>
      <c r="T631" s="33"/>
      <c r="U631" s="33"/>
      <c r="V631" s="33"/>
      <c r="W631" s="33"/>
      <c r="X631" s="33"/>
      <c r="Y631" s="33"/>
      <c r="Z631" s="33"/>
    </row>
    <row r="632" spans="1:26" ht="13.5" customHeight="1">
      <c r="A632" s="33"/>
      <c r="B632" s="33"/>
      <c r="C632" s="33"/>
      <c r="D632" s="33"/>
      <c r="E632" s="33"/>
      <c r="F632" s="33"/>
      <c r="G632" s="33"/>
      <c r="H632" s="33"/>
      <c r="I632" s="33"/>
      <c r="J632" s="33"/>
      <c r="K632" s="33"/>
      <c r="L632" s="33"/>
      <c r="M632" s="33"/>
      <c r="N632" s="33"/>
      <c r="O632" s="33"/>
      <c r="P632" s="33"/>
      <c r="Q632" s="33"/>
      <c r="R632" s="33"/>
      <c r="S632" s="33"/>
      <c r="T632" s="33"/>
      <c r="U632" s="33"/>
      <c r="V632" s="33"/>
      <c r="W632" s="33"/>
      <c r="X632" s="33"/>
      <c r="Y632" s="33"/>
      <c r="Z632" s="33"/>
    </row>
    <row r="633" spans="1:26" ht="13.5" customHeight="1">
      <c r="A633" s="33"/>
      <c r="B633" s="33"/>
      <c r="C633" s="33"/>
      <c r="D633" s="33"/>
      <c r="E633" s="33"/>
      <c r="F633" s="33"/>
      <c r="G633" s="33"/>
      <c r="H633" s="33"/>
      <c r="I633" s="33"/>
      <c r="J633" s="33"/>
      <c r="K633" s="33"/>
      <c r="L633" s="33"/>
      <c r="M633" s="33"/>
      <c r="N633" s="33"/>
      <c r="O633" s="33"/>
      <c r="P633" s="33"/>
      <c r="Q633" s="33"/>
      <c r="R633" s="33"/>
      <c r="S633" s="33"/>
      <c r="T633" s="33"/>
      <c r="U633" s="33"/>
      <c r="V633" s="33"/>
      <c r="W633" s="33"/>
      <c r="X633" s="33"/>
      <c r="Y633" s="33"/>
      <c r="Z633" s="33"/>
    </row>
    <row r="634" spans="1:26" ht="13.5" customHeight="1">
      <c r="A634" s="33"/>
      <c r="B634" s="33"/>
      <c r="C634" s="33"/>
      <c r="D634" s="33"/>
      <c r="E634" s="33"/>
      <c r="F634" s="33"/>
      <c r="G634" s="33"/>
      <c r="H634" s="33"/>
      <c r="I634" s="33"/>
      <c r="J634" s="33"/>
      <c r="K634" s="33"/>
      <c r="L634" s="33"/>
      <c r="M634" s="33"/>
      <c r="N634" s="33"/>
      <c r="O634" s="33"/>
      <c r="P634" s="33"/>
      <c r="Q634" s="33"/>
      <c r="R634" s="33"/>
      <c r="S634" s="33"/>
      <c r="T634" s="33"/>
      <c r="U634" s="33"/>
      <c r="V634" s="33"/>
      <c r="W634" s="33"/>
      <c r="X634" s="33"/>
      <c r="Y634" s="33"/>
      <c r="Z634" s="33"/>
    </row>
    <row r="635" spans="1:26" ht="13.5" customHeight="1">
      <c r="A635" s="33"/>
      <c r="B635" s="33"/>
      <c r="C635" s="33"/>
      <c r="D635" s="33"/>
      <c r="E635" s="33"/>
      <c r="F635" s="33"/>
      <c r="G635" s="33"/>
      <c r="H635" s="33"/>
      <c r="I635" s="33"/>
      <c r="J635" s="33"/>
      <c r="K635" s="33"/>
      <c r="L635" s="33"/>
      <c r="M635" s="33"/>
      <c r="N635" s="33"/>
      <c r="O635" s="33"/>
      <c r="P635" s="33"/>
      <c r="Q635" s="33"/>
      <c r="R635" s="33"/>
      <c r="S635" s="33"/>
      <c r="T635" s="33"/>
      <c r="U635" s="33"/>
      <c r="V635" s="33"/>
      <c r="W635" s="33"/>
      <c r="X635" s="33"/>
      <c r="Y635" s="33"/>
      <c r="Z635" s="33"/>
    </row>
    <row r="636" spans="1:26" ht="13.5" customHeight="1">
      <c r="A636" s="33"/>
      <c r="B636" s="33"/>
      <c r="C636" s="33"/>
      <c r="D636" s="33"/>
      <c r="E636" s="33"/>
      <c r="F636" s="33"/>
      <c r="G636" s="33"/>
      <c r="H636" s="33"/>
      <c r="I636" s="33"/>
      <c r="J636" s="33"/>
      <c r="K636" s="33"/>
      <c r="L636" s="33"/>
      <c r="M636" s="33"/>
      <c r="N636" s="33"/>
      <c r="O636" s="33"/>
      <c r="P636" s="33"/>
      <c r="Q636" s="33"/>
      <c r="R636" s="33"/>
      <c r="S636" s="33"/>
      <c r="T636" s="33"/>
      <c r="U636" s="33"/>
      <c r="V636" s="33"/>
      <c r="W636" s="33"/>
      <c r="X636" s="33"/>
      <c r="Y636" s="33"/>
      <c r="Z636" s="33"/>
    </row>
    <row r="637" spans="1:26" ht="13.5" customHeight="1">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row>
    <row r="638" spans="1:26" ht="13.5" customHeight="1">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row>
    <row r="639" spans="1:26" ht="13.5" customHeight="1">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row>
    <row r="640" spans="1:26" ht="13.5" customHeight="1">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row>
    <row r="641" spans="1:26" ht="13.5" customHeight="1">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row>
    <row r="642" spans="1:26" ht="13.5" customHeight="1">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row>
    <row r="643" spans="1:26" ht="13.5" customHeight="1">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row>
    <row r="644" spans="1:26" ht="13.5" customHeight="1">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row>
    <row r="645" spans="1:26" ht="13.5" customHeight="1">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row>
    <row r="646" spans="1:26" ht="13.5" customHeight="1">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row>
    <row r="647" spans="1:26" ht="13.5" customHeight="1">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row>
    <row r="648" spans="1:26" ht="13.5" customHeight="1">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row>
    <row r="649" spans="1:26" ht="13.5" customHeight="1">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row>
    <row r="650" spans="1:26" ht="13.5" customHeight="1">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row>
    <row r="651" spans="1:26" ht="13.5" customHeight="1">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row>
    <row r="652" spans="1:26" ht="13.5" customHeight="1">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row>
    <row r="653" spans="1:26" ht="13.5" customHeight="1">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row>
    <row r="654" spans="1:26" ht="13.5" customHeight="1">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row>
    <row r="655" spans="1:26" ht="13.5" customHeight="1">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row>
    <row r="656" spans="1:26" ht="13.5" customHeight="1">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row>
    <row r="657" spans="1:26" ht="13.5" customHeight="1">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row>
    <row r="658" spans="1:26" ht="13.5" customHeight="1">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row>
    <row r="659" spans="1:26" ht="13.5" customHeight="1">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row>
    <row r="660" spans="1:26" ht="13.5" customHeight="1">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row>
    <row r="661" spans="1:26" ht="13.5" customHeight="1">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row>
    <row r="662" spans="1:26" ht="13.5" customHeight="1">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row>
    <row r="663" spans="1:26" ht="13.5" customHeight="1">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row>
    <row r="664" spans="1:26" ht="13.5" customHeight="1">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row>
    <row r="665" spans="1:26" ht="13.5" customHeight="1">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row>
    <row r="666" spans="1:26" ht="13.5" customHeight="1">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row>
    <row r="667" spans="1:26" ht="13.5" customHeight="1">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row>
    <row r="668" spans="1:26" ht="13.5" customHeight="1">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row>
    <row r="669" spans="1:26" ht="13.5" customHeight="1">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row>
    <row r="670" spans="1:26" ht="13.5" customHeight="1">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row>
    <row r="671" spans="1:26" ht="13.5" customHeight="1">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row>
    <row r="672" spans="1:26" ht="13.5" customHeight="1">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row>
    <row r="673" spans="1:26" ht="13.5" customHeight="1">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row>
    <row r="674" spans="1:26" ht="13.5" customHeight="1">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row>
    <row r="675" spans="1:26" ht="13.5" customHeight="1">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row>
    <row r="676" spans="1:26" ht="13.5" customHeight="1">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row>
    <row r="677" spans="1:26" ht="13.5" customHeight="1">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row>
    <row r="678" spans="1:26" ht="13.5" customHeight="1">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row>
    <row r="679" spans="1:26" ht="13.5" customHeight="1">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row>
    <row r="680" spans="1:26" ht="13.5" customHeight="1">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row>
    <row r="681" spans="1:26" ht="13.5" customHeight="1">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row>
    <row r="682" spans="1:26" ht="13.5" customHeight="1">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row>
    <row r="683" spans="1:26" ht="13.5" customHeight="1">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row>
    <row r="684" spans="1:26" ht="13.5" customHeight="1">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row>
    <row r="685" spans="1:26" ht="13.5" customHeight="1">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row>
    <row r="686" spans="1:26" ht="13.5" customHeight="1">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row>
    <row r="687" spans="1:26" ht="13.5" customHeight="1">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row>
    <row r="688" spans="1:26" ht="13.5" customHeight="1">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row>
    <row r="689" spans="1:26" ht="13.5" customHeight="1">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row>
    <row r="690" spans="1:26" ht="13.5" customHeight="1">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row>
    <row r="691" spans="1:26" ht="13.5" customHeight="1">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row>
    <row r="692" spans="1:26" ht="13.5" customHeight="1">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row>
    <row r="693" spans="1:26" ht="13.5" customHeight="1">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row>
    <row r="694" spans="1:26" ht="13.5" customHeight="1">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row>
    <row r="695" spans="1:26" ht="13.5" customHeight="1">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row>
    <row r="696" spans="1:26" ht="13.5" customHeight="1">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row>
    <row r="697" spans="1:26" ht="13.5" customHeight="1">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row>
    <row r="698" spans="1:26" ht="13.5" customHeight="1">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row>
    <row r="699" spans="1:26" ht="13.5" customHeight="1">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row>
    <row r="700" spans="1:26" ht="13.5" customHeight="1">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row>
    <row r="701" spans="1:26" ht="13.5" customHeight="1">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row>
    <row r="702" spans="1:26" ht="13.5" customHeight="1">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row>
    <row r="703" spans="1:26" ht="13.5" customHeight="1">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row>
    <row r="704" spans="1:26" ht="13.5" customHeight="1">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row>
    <row r="705" spans="1:26" ht="13.5" customHeight="1">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row>
    <row r="706" spans="1:26" ht="13.5" customHeight="1">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row>
    <row r="707" spans="1:26" ht="13.5" customHeight="1">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row>
    <row r="708" spans="1:26" ht="13.5" customHeight="1">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row>
    <row r="709" spans="1:26" ht="13.5" customHeight="1">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row>
    <row r="710" spans="1:26" ht="13.5" customHeight="1">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row>
    <row r="711" spans="1:26" ht="13.5" customHeight="1">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row>
    <row r="712" spans="1:26" ht="13.5" customHeight="1">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row>
    <row r="713" spans="1:26" ht="13.5" customHeight="1">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row>
    <row r="714" spans="1:26" ht="13.5" customHeight="1">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row>
    <row r="715" spans="1:26" ht="13.5" customHeight="1">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row>
    <row r="716" spans="1:26" ht="13.5" customHeight="1">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row>
    <row r="717" spans="1:26" ht="13.5" customHeight="1">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row>
    <row r="718" spans="1:26" ht="13.5" customHeight="1">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row>
    <row r="719" spans="1:26" ht="13.5" customHeight="1">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row>
    <row r="720" spans="1:26" ht="13.5" customHeight="1">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row>
    <row r="721" spans="1:26" ht="13.5" customHeight="1">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row>
    <row r="722" spans="1:26" ht="13.5" customHeight="1">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row>
    <row r="723" spans="1:26" ht="13.5" customHeight="1">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row>
    <row r="724" spans="1:26" ht="13.5" customHeight="1">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row>
    <row r="725" spans="1:26" ht="13.5" customHeight="1">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row>
    <row r="726" spans="1:26" ht="13.5" customHeight="1">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row>
    <row r="727" spans="1:26" ht="13.5" customHeight="1">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row>
    <row r="728" spans="1:26" ht="13.5" customHeight="1">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row>
    <row r="729" spans="1:26" ht="13.5" customHeight="1">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row>
    <row r="730" spans="1:26" ht="13.5" customHeight="1">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row>
    <row r="731" spans="1:26" ht="13.5" customHeight="1">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row>
    <row r="732" spans="1:26" ht="13.5" customHeight="1">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row>
    <row r="733" spans="1:26" ht="13.5" customHeight="1">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row>
    <row r="734" spans="1:26" ht="13.5" customHeight="1">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row>
    <row r="735" spans="1:26" ht="13.5" customHeight="1">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row>
    <row r="736" spans="1:26" ht="13.5" customHeight="1">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row>
    <row r="737" spans="1:26" ht="13.5" customHeight="1">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row>
    <row r="738" spans="1:26" ht="13.5" customHeight="1">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row>
    <row r="739" spans="1:26" ht="13.5" customHeight="1">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row>
    <row r="740" spans="1:26" ht="13.5" customHeight="1">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row>
    <row r="741" spans="1:26" ht="13.5" customHeight="1">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row>
    <row r="742" spans="1:26" ht="13.5" customHeight="1">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row>
    <row r="743" spans="1:26" ht="13.5" customHeight="1">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row>
    <row r="744" spans="1:26" ht="13.5" customHeight="1">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row>
    <row r="745" spans="1:26" ht="13.5" customHeight="1">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row>
    <row r="746" spans="1:26" ht="13.5" customHeight="1">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row>
    <row r="747" spans="1:26" ht="13.5" customHeight="1">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row>
    <row r="748" spans="1:26" ht="13.5" customHeight="1">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row>
    <row r="749" spans="1:26" ht="13.5" customHeight="1">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row>
    <row r="750" spans="1:26" ht="13.5" customHeight="1">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row>
    <row r="751" spans="1:26" ht="13.5" customHeight="1">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row>
    <row r="752" spans="1:26" ht="13.5" customHeight="1">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row>
    <row r="753" spans="1:26" ht="13.5" customHeight="1">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row>
    <row r="754" spans="1:26" ht="13.5" customHeight="1">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row>
    <row r="755" spans="1:26" ht="13.5" customHeight="1">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row>
    <row r="756" spans="1:26" ht="13.5" customHeight="1">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row>
    <row r="757" spans="1:26" ht="13.5" customHeight="1">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row>
    <row r="758" spans="1:26" ht="13.5" customHeight="1">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row>
    <row r="759" spans="1:26" ht="13.5" customHeight="1">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row>
    <row r="760" spans="1:26" ht="13.5" customHeight="1">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row>
    <row r="761" spans="1:26" ht="13.5" customHeight="1">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row>
    <row r="762" spans="1:26" ht="13.5" customHeight="1">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row>
    <row r="763" spans="1:26" ht="13.5" customHeight="1">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row>
    <row r="764" spans="1:26" ht="13.5" customHeight="1">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row>
    <row r="765" spans="1:26" ht="13.5" customHeight="1">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row>
    <row r="766" spans="1:26" ht="13.5" customHeight="1">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row>
    <row r="767" spans="1:26" ht="13.5" customHeight="1">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row>
    <row r="768" spans="1:26" ht="13.5" customHeight="1">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row>
    <row r="769" spans="1:26" ht="13.5" customHeight="1">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row>
    <row r="770" spans="1:26" ht="13.5" customHeight="1">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row>
    <row r="771" spans="1:26" ht="13.5" customHeight="1">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row>
    <row r="772" spans="1:26" ht="13.5" customHeight="1">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row>
    <row r="773" spans="1:26" ht="13.5" customHeight="1">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row>
    <row r="774" spans="1:26" ht="13.5" customHeight="1">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row>
    <row r="775" spans="1:26" ht="13.5" customHeight="1">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row>
    <row r="776" spans="1:26" ht="13.5" customHeight="1">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row>
    <row r="777" spans="1:26" ht="13.5" customHeight="1">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row>
    <row r="778" spans="1:26" ht="13.5" customHeight="1">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row>
    <row r="779" spans="1:26" ht="13.5" customHeight="1">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row>
    <row r="780" spans="1:26" ht="13.5" customHeight="1">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row>
    <row r="781" spans="1:26" ht="13.5" customHeight="1">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row>
    <row r="782" spans="1:26" ht="13.5" customHeight="1">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row>
    <row r="783" spans="1:26" ht="13.5" customHeight="1">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row>
    <row r="784" spans="1:26" ht="13.5" customHeight="1">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row>
    <row r="785" spans="1:26" ht="13.5" customHeight="1">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row>
    <row r="786" spans="1:26" ht="13.5" customHeight="1">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row>
    <row r="787" spans="1:26" ht="13.5" customHeight="1">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row>
    <row r="788" spans="1:26" ht="13.5" customHeight="1">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row>
    <row r="789" spans="1:26" ht="13.5" customHeight="1">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row>
    <row r="790" spans="1:26" ht="13.5" customHeight="1">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row>
    <row r="791" spans="1:26" ht="13.5" customHeight="1">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row>
    <row r="792" spans="1:26" ht="13.5" customHeight="1">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row>
    <row r="793" spans="1:26" ht="13.5" customHeight="1">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row>
    <row r="794" spans="1:26" ht="13.5" customHeight="1">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row>
    <row r="795" spans="1:26" ht="13.5" customHeight="1">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row>
    <row r="796" spans="1:26" ht="13.5" customHeight="1">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row>
    <row r="797" spans="1:26" ht="13.5" customHeight="1">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row>
    <row r="798" spans="1:26" ht="13.5" customHeight="1">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row>
    <row r="799" spans="1:26" ht="13.5" customHeight="1">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row>
    <row r="800" spans="1:26" ht="13.5" customHeight="1">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row>
    <row r="801" spans="1:26" ht="13.5" customHeight="1">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row>
    <row r="802" spans="1:26" ht="13.5" customHeight="1">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row>
    <row r="803" spans="1:26" ht="13.5" customHeight="1">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row>
    <row r="804" spans="1:26" ht="13.5" customHeight="1">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row>
    <row r="805" spans="1:26" ht="13.5" customHeight="1">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row>
    <row r="806" spans="1:26" ht="13.5" customHeight="1">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row>
    <row r="807" spans="1:26" ht="13.5" customHeight="1">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row>
    <row r="808" spans="1:26" ht="13.5" customHeight="1">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row>
    <row r="809" spans="1:26" ht="13.5" customHeight="1">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row>
    <row r="810" spans="1:26" ht="13.5" customHeight="1">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row>
    <row r="811" spans="1:26" ht="13.5" customHeight="1">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row>
    <row r="812" spans="1:26" ht="13.5" customHeight="1">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row>
    <row r="813" spans="1:26" ht="13.5" customHeight="1">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row>
    <row r="814" spans="1:26" ht="13.5" customHeight="1">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row>
    <row r="815" spans="1:26" ht="13.5" customHeight="1">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row>
    <row r="816" spans="1:26" ht="13.5" customHeight="1">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row>
    <row r="817" spans="1:26" ht="13.5" customHeight="1">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row>
    <row r="818" spans="1:26" ht="13.5" customHeight="1">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row>
    <row r="819" spans="1:26" ht="13.5" customHeight="1">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row>
    <row r="820" spans="1:26" ht="13.5" customHeight="1">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row>
    <row r="821" spans="1:26" ht="13.5" customHeight="1">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row>
    <row r="822" spans="1:26" ht="13.5" customHeight="1">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row>
    <row r="823" spans="1:26" ht="13.5" customHeight="1">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row>
    <row r="824" spans="1:26" ht="13.5" customHeight="1">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row>
    <row r="825" spans="1:26" ht="13.5" customHeight="1">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row>
    <row r="826" spans="1:26" ht="13.5" customHeight="1">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row>
    <row r="827" spans="1:26" ht="13.5" customHeight="1">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row>
    <row r="828" spans="1:26" ht="13.5" customHeight="1">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row>
    <row r="829" spans="1:26" ht="13.5" customHeight="1">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row>
    <row r="830" spans="1:26" ht="13.5" customHeight="1">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row>
    <row r="831" spans="1:26" ht="13.5" customHeight="1">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row>
    <row r="832" spans="1:26" ht="13.5" customHeight="1">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row>
    <row r="833" spans="1:26" ht="13.5" customHeight="1">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row>
    <row r="834" spans="1:26" ht="13.5" customHeight="1">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row>
    <row r="835" spans="1:26" ht="13.5" customHeight="1">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row>
    <row r="836" spans="1:26" ht="13.5" customHeight="1">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row>
    <row r="837" spans="1:26" ht="13.5" customHeight="1">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row>
    <row r="838" spans="1:26" ht="13.5" customHeight="1">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row>
    <row r="839" spans="1:26" ht="13.5" customHeight="1">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row>
    <row r="840" spans="1:26" ht="13.5" customHeight="1">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row>
    <row r="841" spans="1:26" ht="13.5" customHeight="1">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row>
    <row r="842" spans="1:26" ht="13.5" customHeight="1">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row>
    <row r="843" spans="1:26" ht="13.5" customHeight="1">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row>
    <row r="844" spans="1:26" ht="13.5" customHeight="1">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row>
    <row r="845" spans="1:26" ht="13.5" customHeight="1">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row>
    <row r="846" spans="1:26" ht="13.5" customHeight="1">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row>
    <row r="847" spans="1:26" ht="13.5" customHeight="1">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row>
    <row r="848" spans="1:26" ht="13.5" customHeight="1">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row>
    <row r="849" spans="1:26" ht="13.5" customHeight="1">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row>
    <row r="850" spans="1:26" ht="13.5" customHeight="1">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row>
    <row r="851" spans="1:26" ht="13.5" customHeight="1">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row>
    <row r="852" spans="1:26" ht="13.5" customHeight="1">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row>
    <row r="853" spans="1:26" ht="13.5" customHeight="1">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row>
    <row r="854" spans="1:26" ht="13.5" customHeight="1">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row>
    <row r="855" spans="1:26" ht="13.5" customHeight="1">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row>
    <row r="856" spans="1:26" ht="13.5" customHeight="1">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row>
    <row r="857" spans="1:26" ht="13.5" customHeight="1">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row>
    <row r="858" spans="1:26" ht="13.5" customHeight="1">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row>
    <row r="859" spans="1:26" ht="13.5" customHeight="1">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row>
    <row r="860" spans="1:26" ht="13.5" customHeight="1">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row>
    <row r="861" spans="1:26" ht="13.5" customHeight="1">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row>
    <row r="862" spans="1:26" ht="13.5" customHeight="1">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row>
    <row r="863" spans="1:26" ht="13.5" customHeight="1">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row>
    <row r="864" spans="1:26" ht="13.5" customHeight="1">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row>
    <row r="865" spans="1:26" ht="13.5" customHeight="1">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row>
    <row r="866" spans="1:26" ht="13.5" customHeight="1">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row>
    <row r="867" spans="1:26" ht="13.5" customHeight="1">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row>
    <row r="868" spans="1:26" ht="13.5" customHeight="1">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row>
    <row r="869" spans="1:26" ht="13.5" customHeight="1">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row>
    <row r="870" spans="1:26" ht="13.5" customHeight="1">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row>
    <row r="871" spans="1:26" ht="13.5" customHeight="1">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row>
    <row r="872" spans="1:26" ht="13.5" customHeight="1">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row>
    <row r="873" spans="1:26" ht="13.5" customHeight="1">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row>
    <row r="874" spans="1:26" ht="13.5" customHeight="1">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row>
    <row r="875" spans="1:26" ht="13.5" customHeight="1">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row>
    <row r="876" spans="1:26" ht="13.5" customHeight="1">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row>
    <row r="877" spans="1:26" ht="13.5" customHeight="1">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row>
    <row r="878" spans="1:26" ht="13.5" customHeight="1">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row>
    <row r="879" spans="1:26" ht="13.5" customHeight="1">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row>
    <row r="880" spans="1:26" ht="13.5" customHeight="1">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row>
    <row r="881" spans="1:26" ht="13.5" customHeight="1">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row>
    <row r="882" spans="1:26" ht="13.5" customHeight="1">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row>
    <row r="883" spans="1:26" ht="13.5" customHeight="1">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row>
    <row r="884" spans="1:26" ht="13.5" customHeight="1">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row>
    <row r="885" spans="1:26" ht="13.5" customHeight="1">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row>
    <row r="886" spans="1:26" ht="13.5" customHeight="1">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row>
    <row r="887" spans="1:26" ht="13.5" customHeight="1">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row>
    <row r="888" spans="1:26" ht="13.5" customHeight="1">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row>
    <row r="889" spans="1:26" ht="13.5" customHeight="1">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row>
    <row r="890" spans="1:26" ht="13.5" customHeight="1">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row>
    <row r="891" spans="1:26" ht="13.5" customHeight="1">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row>
    <row r="892" spans="1:26" ht="13.5" customHeight="1">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row>
    <row r="893" spans="1:26" ht="13.5" customHeight="1">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row>
    <row r="894" spans="1:26" ht="13.5" customHeight="1">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row>
    <row r="895" spans="1:26" ht="13.5" customHeight="1">
      <c r="A895" s="33"/>
      <c r="B895" s="33"/>
      <c r="C895" s="33"/>
      <c r="D895" s="33"/>
      <c r="E895" s="33"/>
      <c r="F895" s="33"/>
      <c r="G895" s="33"/>
      <c r="H895" s="33"/>
      <c r="I895" s="33"/>
      <c r="J895" s="33"/>
      <c r="K895" s="33"/>
      <c r="L895" s="33"/>
      <c r="M895" s="33"/>
      <c r="N895" s="33"/>
      <c r="O895" s="33"/>
      <c r="P895" s="33"/>
      <c r="Q895" s="33"/>
      <c r="R895" s="33"/>
      <c r="S895" s="33"/>
      <c r="T895" s="33"/>
      <c r="U895" s="33"/>
      <c r="V895" s="33"/>
      <c r="W895" s="33"/>
      <c r="X895" s="33"/>
      <c r="Y895" s="33"/>
      <c r="Z895" s="33"/>
    </row>
    <row r="896" spans="1:26" ht="13.5" customHeight="1">
      <c r="A896" s="33"/>
      <c r="B896" s="33"/>
      <c r="C896" s="33"/>
      <c r="D896" s="33"/>
      <c r="E896" s="33"/>
      <c r="F896" s="33"/>
      <c r="G896" s="33"/>
      <c r="H896" s="33"/>
      <c r="I896" s="33"/>
      <c r="J896" s="33"/>
      <c r="K896" s="33"/>
      <c r="L896" s="33"/>
      <c r="M896" s="33"/>
      <c r="N896" s="33"/>
      <c r="O896" s="33"/>
      <c r="P896" s="33"/>
      <c r="Q896" s="33"/>
      <c r="R896" s="33"/>
      <c r="S896" s="33"/>
      <c r="T896" s="33"/>
      <c r="U896" s="33"/>
      <c r="V896" s="33"/>
      <c r="W896" s="33"/>
      <c r="X896" s="33"/>
      <c r="Y896" s="33"/>
      <c r="Z896" s="33"/>
    </row>
    <row r="897" spans="1:26" ht="13.5" customHeight="1">
      <c r="A897" s="33"/>
      <c r="B897" s="33"/>
      <c r="C897" s="33"/>
      <c r="D897" s="33"/>
      <c r="E897" s="33"/>
      <c r="F897" s="33"/>
      <c r="G897" s="33"/>
      <c r="H897" s="33"/>
      <c r="I897" s="33"/>
      <c r="J897" s="33"/>
      <c r="K897" s="33"/>
      <c r="L897" s="33"/>
      <c r="M897" s="33"/>
      <c r="N897" s="33"/>
      <c r="O897" s="33"/>
      <c r="P897" s="33"/>
      <c r="Q897" s="33"/>
      <c r="R897" s="33"/>
      <c r="S897" s="33"/>
      <c r="T897" s="33"/>
      <c r="U897" s="33"/>
      <c r="V897" s="33"/>
      <c r="W897" s="33"/>
      <c r="X897" s="33"/>
      <c r="Y897" s="33"/>
      <c r="Z897" s="33"/>
    </row>
    <row r="898" spans="1:26" ht="13.5" customHeight="1">
      <c r="A898" s="33"/>
      <c r="B898" s="33"/>
      <c r="C898" s="33"/>
      <c r="D898" s="33"/>
      <c r="E898" s="33"/>
      <c r="F898" s="33"/>
      <c r="G898" s="33"/>
      <c r="H898" s="33"/>
      <c r="I898" s="33"/>
      <c r="J898" s="33"/>
      <c r="K898" s="33"/>
      <c r="L898" s="33"/>
      <c r="M898" s="33"/>
      <c r="N898" s="33"/>
      <c r="O898" s="33"/>
      <c r="P898" s="33"/>
      <c r="Q898" s="33"/>
      <c r="R898" s="33"/>
      <c r="S898" s="33"/>
      <c r="T898" s="33"/>
      <c r="U898" s="33"/>
      <c r="V898" s="33"/>
      <c r="W898" s="33"/>
      <c r="X898" s="33"/>
      <c r="Y898" s="33"/>
      <c r="Z898" s="33"/>
    </row>
    <row r="899" spans="1:26" ht="13.5" customHeight="1">
      <c r="A899" s="33"/>
      <c r="B899" s="33"/>
      <c r="C899" s="33"/>
      <c r="D899" s="33"/>
      <c r="E899" s="33"/>
      <c r="F899" s="33"/>
      <c r="G899" s="33"/>
      <c r="H899" s="33"/>
      <c r="I899" s="33"/>
      <c r="J899" s="33"/>
      <c r="K899" s="33"/>
      <c r="L899" s="33"/>
      <c r="M899" s="33"/>
      <c r="N899" s="33"/>
      <c r="O899" s="33"/>
      <c r="P899" s="33"/>
      <c r="Q899" s="33"/>
      <c r="R899" s="33"/>
      <c r="S899" s="33"/>
      <c r="T899" s="33"/>
      <c r="U899" s="33"/>
      <c r="V899" s="33"/>
      <c r="W899" s="33"/>
      <c r="X899" s="33"/>
      <c r="Y899" s="33"/>
      <c r="Z899" s="33"/>
    </row>
    <row r="900" spans="1:26" ht="13.5" customHeight="1">
      <c r="A900" s="33"/>
      <c r="B900" s="33"/>
      <c r="C900" s="33"/>
      <c r="D900" s="33"/>
      <c r="E900" s="33"/>
      <c r="F900" s="33"/>
      <c r="G900" s="33"/>
      <c r="H900" s="33"/>
      <c r="I900" s="33"/>
      <c r="J900" s="33"/>
      <c r="K900" s="33"/>
      <c r="L900" s="33"/>
      <c r="M900" s="33"/>
      <c r="N900" s="33"/>
      <c r="O900" s="33"/>
      <c r="P900" s="33"/>
      <c r="Q900" s="33"/>
      <c r="R900" s="33"/>
      <c r="S900" s="33"/>
      <c r="T900" s="33"/>
      <c r="U900" s="33"/>
      <c r="V900" s="33"/>
      <c r="W900" s="33"/>
      <c r="X900" s="33"/>
      <c r="Y900" s="33"/>
      <c r="Z900" s="33"/>
    </row>
    <row r="901" spans="1:26" ht="13.5" customHeight="1">
      <c r="A901" s="33"/>
      <c r="B901" s="33"/>
      <c r="C901" s="33"/>
      <c r="D901" s="33"/>
      <c r="E901" s="33"/>
      <c r="F901" s="33"/>
      <c r="G901" s="33"/>
      <c r="H901" s="33"/>
      <c r="I901" s="33"/>
      <c r="J901" s="33"/>
      <c r="K901" s="33"/>
      <c r="L901" s="33"/>
      <c r="M901" s="33"/>
      <c r="N901" s="33"/>
      <c r="O901" s="33"/>
      <c r="P901" s="33"/>
      <c r="Q901" s="33"/>
      <c r="R901" s="33"/>
      <c r="S901" s="33"/>
      <c r="T901" s="33"/>
      <c r="U901" s="33"/>
      <c r="V901" s="33"/>
      <c r="W901" s="33"/>
      <c r="X901" s="33"/>
      <c r="Y901" s="33"/>
      <c r="Z901" s="33"/>
    </row>
    <row r="902" spans="1:26" ht="13.5" customHeight="1">
      <c r="A902" s="33"/>
      <c r="B902" s="33"/>
      <c r="C902" s="33"/>
      <c r="D902" s="33"/>
      <c r="E902" s="33"/>
      <c r="F902" s="33"/>
      <c r="G902" s="33"/>
      <c r="H902" s="33"/>
      <c r="I902" s="33"/>
      <c r="J902" s="33"/>
      <c r="K902" s="33"/>
      <c r="L902" s="33"/>
      <c r="M902" s="33"/>
      <c r="N902" s="33"/>
      <c r="O902" s="33"/>
      <c r="P902" s="33"/>
      <c r="Q902" s="33"/>
      <c r="R902" s="33"/>
      <c r="S902" s="33"/>
      <c r="T902" s="33"/>
      <c r="U902" s="33"/>
      <c r="V902" s="33"/>
      <c r="W902" s="33"/>
      <c r="X902" s="33"/>
      <c r="Y902" s="33"/>
      <c r="Z902" s="33"/>
    </row>
    <row r="903" spans="1:26" ht="13.5" customHeight="1">
      <c r="A903" s="33"/>
      <c r="B903" s="33"/>
      <c r="C903" s="33"/>
      <c r="D903" s="33"/>
      <c r="E903" s="33"/>
      <c r="F903" s="33"/>
      <c r="G903" s="33"/>
      <c r="H903" s="33"/>
      <c r="I903" s="33"/>
      <c r="J903" s="33"/>
      <c r="K903" s="33"/>
      <c r="L903" s="33"/>
      <c r="M903" s="33"/>
      <c r="N903" s="33"/>
      <c r="O903" s="33"/>
      <c r="P903" s="33"/>
      <c r="Q903" s="33"/>
      <c r="R903" s="33"/>
      <c r="S903" s="33"/>
      <c r="T903" s="33"/>
      <c r="U903" s="33"/>
      <c r="V903" s="33"/>
      <c r="W903" s="33"/>
      <c r="X903" s="33"/>
      <c r="Y903" s="33"/>
      <c r="Z903" s="33"/>
    </row>
    <row r="904" spans="1:26" ht="13.5" customHeight="1">
      <c r="A904" s="33"/>
      <c r="B904" s="33"/>
      <c r="C904" s="33"/>
      <c r="D904" s="33"/>
      <c r="E904" s="33"/>
      <c r="F904" s="33"/>
      <c r="G904" s="33"/>
      <c r="H904" s="33"/>
      <c r="I904" s="33"/>
      <c r="J904" s="33"/>
      <c r="K904" s="33"/>
      <c r="L904" s="33"/>
      <c r="M904" s="33"/>
      <c r="N904" s="33"/>
      <c r="O904" s="33"/>
      <c r="P904" s="33"/>
      <c r="Q904" s="33"/>
      <c r="R904" s="33"/>
      <c r="S904" s="33"/>
      <c r="T904" s="33"/>
      <c r="U904" s="33"/>
      <c r="V904" s="33"/>
      <c r="W904" s="33"/>
      <c r="X904" s="33"/>
      <c r="Y904" s="33"/>
      <c r="Z904" s="33"/>
    </row>
    <row r="905" spans="1:26" ht="13.5" customHeight="1">
      <c r="A905" s="33"/>
      <c r="B905" s="33"/>
      <c r="C905" s="33"/>
      <c r="D905" s="33"/>
      <c r="E905" s="33"/>
      <c r="F905" s="33"/>
      <c r="G905" s="33"/>
      <c r="H905" s="33"/>
      <c r="I905" s="33"/>
      <c r="J905" s="33"/>
      <c r="K905" s="33"/>
      <c r="L905" s="33"/>
      <c r="M905" s="33"/>
      <c r="N905" s="33"/>
      <c r="O905" s="33"/>
      <c r="P905" s="33"/>
      <c r="Q905" s="33"/>
      <c r="R905" s="33"/>
      <c r="S905" s="33"/>
      <c r="T905" s="33"/>
      <c r="U905" s="33"/>
      <c r="V905" s="33"/>
      <c r="W905" s="33"/>
      <c r="X905" s="33"/>
      <c r="Y905" s="33"/>
      <c r="Z905" s="33"/>
    </row>
    <row r="906" spans="1:26" ht="13.5" customHeight="1">
      <c r="A906" s="33"/>
      <c r="B906" s="33"/>
      <c r="C906" s="33"/>
      <c r="D906" s="33"/>
      <c r="E906" s="33"/>
      <c r="F906" s="33"/>
      <c r="G906" s="33"/>
      <c r="H906" s="33"/>
      <c r="I906" s="33"/>
      <c r="J906" s="33"/>
      <c r="K906" s="33"/>
      <c r="L906" s="33"/>
      <c r="M906" s="33"/>
      <c r="N906" s="33"/>
      <c r="O906" s="33"/>
      <c r="P906" s="33"/>
      <c r="Q906" s="33"/>
      <c r="R906" s="33"/>
      <c r="S906" s="33"/>
      <c r="T906" s="33"/>
      <c r="U906" s="33"/>
      <c r="V906" s="33"/>
      <c r="W906" s="33"/>
      <c r="X906" s="33"/>
      <c r="Y906" s="33"/>
      <c r="Z906" s="33"/>
    </row>
    <row r="907" spans="1:26" ht="13.5" customHeight="1">
      <c r="A907" s="33"/>
      <c r="B907" s="33"/>
      <c r="C907" s="33"/>
      <c r="D907" s="33"/>
      <c r="E907" s="33"/>
      <c r="F907" s="33"/>
      <c r="G907" s="33"/>
      <c r="H907" s="33"/>
      <c r="I907" s="33"/>
      <c r="J907" s="33"/>
      <c r="K907" s="33"/>
      <c r="L907" s="33"/>
      <c r="M907" s="33"/>
      <c r="N907" s="33"/>
      <c r="O907" s="33"/>
      <c r="P907" s="33"/>
      <c r="Q907" s="33"/>
      <c r="R907" s="33"/>
      <c r="S907" s="33"/>
      <c r="T907" s="33"/>
      <c r="U907" s="33"/>
      <c r="V907" s="33"/>
      <c r="W907" s="33"/>
      <c r="X907" s="33"/>
      <c r="Y907" s="33"/>
      <c r="Z907" s="33"/>
    </row>
    <row r="908" spans="1:26" ht="13.5" customHeight="1">
      <c r="A908" s="33"/>
      <c r="B908" s="33"/>
      <c r="C908" s="33"/>
      <c r="D908" s="33"/>
      <c r="E908" s="33"/>
      <c r="F908" s="33"/>
      <c r="G908" s="33"/>
      <c r="H908" s="33"/>
      <c r="I908" s="33"/>
      <c r="J908" s="33"/>
      <c r="K908" s="33"/>
      <c r="L908" s="33"/>
      <c r="M908" s="33"/>
      <c r="N908" s="33"/>
      <c r="O908" s="33"/>
      <c r="P908" s="33"/>
      <c r="Q908" s="33"/>
      <c r="R908" s="33"/>
      <c r="S908" s="33"/>
      <c r="T908" s="33"/>
      <c r="U908" s="33"/>
      <c r="V908" s="33"/>
      <c r="W908" s="33"/>
      <c r="X908" s="33"/>
      <c r="Y908" s="33"/>
      <c r="Z908" s="33"/>
    </row>
    <row r="909" spans="1:26" ht="13.5" customHeight="1">
      <c r="A909" s="33"/>
      <c r="B909" s="33"/>
      <c r="C909" s="33"/>
      <c r="D909" s="33"/>
      <c r="E909" s="33"/>
      <c r="F909" s="33"/>
      <c r="G909" s="33"/>
      <c r="H909" s="33"/>
      <c r="I909" s="33"/>
      <c r="J909" s="33"/>
      <c r="K909" s="33"/>
      <c r="L909" s="33"/>
      <c r="M909" s="33"/>
      <c r="N909" s="33"/>
      <c r="O909" s="33"/>
      <c r="P909" s="33"/>
      <c r="Q909" s="33"/>
      <c r="R909" s="33"/>
      <c r="S909" s="33"/>
      <c r="T909" s="33"/>
      <c r="U909" s="33"/>
      <c r="V909" s="33"/>
      <c r="W909" s="33"/>
      <c r="X909" s="33"/>
      <c r="Y909" s="33"/>
      <c r="Z909" s="33"/>
    </row>
    <row r="910" spans="1:26" ht="13.5" customHeight="1">
      <c r="A910" s="33"/>
      <c r="B910" s="33"/>
      <c r="C910" s="33"/>
      <c r="D910" s="33"/>
      <c r="E910" s="33"/>
      <c r="F910" s="33"/>
      <c r="G910" s="33"/>
      <c r="H910" s="33"/>
      <c r="I910" s="33"/>
      <c r="J910" s="33"/>
      <c r="K910" s="33"/>
      <c r="L910" s="33"/>
      <c r="M910" s="33"/>
      <c r="N910" s="33"/>
      <c r="O910" s="33"/>
      <c r="P910" s="33"/>
      <c r="Q910" s="33"/>
      <c r="R910" s="33"/>
      <c r="S910" s="33"/>
      <c r="T910" s="33"/>
      <c r="U910" s="33"/>
      <c r="V910" s="33"/>
      <c r="W910" s="33"/>
      <c r="X910" s="33"/>
      <c r="Y910" s="33"/>
      <c r="Z910" s="33"/>
    </row>
    <row r="911" spans="1:26" ht="13.5" customHeight="1">
      <c r="A911" s="33"/>
      <c r="B911" s="33"/>
      <c r="C911" s="33"/>
      <c r="D911" s="33"/>
      <c r="E911" s="33"/>
      <c r="F911" s="33"/>
      <c r="G911" s="33"/>
      <c r="H911" s="33"/>
      <c r="I911" s="33"/>
      <c r="J911" s="33"/>
      <c r="K911" s="33"/>
      <c r="L911" s="33"/>
      <c r="M911" s="33"/>
      <c r="N911" s="33"/>
      <c r="O911" s="33"/>
      <c r="P911" s="33"/>
      <c r="Q911" s="33"/>
      <c r="R911" s="33"/>
      <c r="S911" s="33"/>
      <c r="T911" s="33"/>
      <c r="U911" s="33"/>
      <c r="V911" s="33"/>
      <c r="W911" s="33"/>
      <c r="X911" s="33"/>
      <c r="Y911" s="33"/>
      <c r="Z911" s="33"/>
    </row>
    <row r="912" spans="1:26" ht="13.5" customHeight="1">
      <c r="A912" s="33"/>
      <c r="B912" s="33"/>
      <c r="C912" s="33"/>
      <c r="D912" s="33"/>
      <c r="E912" s="33"/>
      <c r="F912" s="33"/>
      <c r="G912" s="33"/>
      <c r="H912" s="33"/>
      <c r="I912" s="33"/>
      <c r="J912" s="33"/>
      <c r="K912" s="33"/>
      <c r="L912" s="33"/>
      <c r="M912" s="33"/>
      <c r="N912" s="33"/>
      <c r="O912" s="33"/>
      <c r="P912" s="33"/>
      <c r="Q912" s="33"/>
      <c r="R912" s="33"/>
      <c r="S912" s="33"/>
      <c r="T912" s="33"/>
      <c r="U912" s="33"/>
      <c r="V912" s="33"/>
      <c r="W912" s="33"/>
      <c r="X912" s="33"/>
      <c r="Y912" s="33"/>
      <c r="Z912" s="33"/>
    </row>
    <row r="913" spans="1:26" ht="13.5" customHeight="1">
      <c r="A913" s="33"/>
      <c r="B913" s="33"/>
      <c r="C913" s="33"/>
      <c r="D913" s="33"/>
      <c r="E913" s="33"/>
      <c r="F913" s="33"/>
      <c r="G913" s="33"/>
      <c r="H913" s="33"/>
      <c r="I913" s="33"/>
      <c r="J913" s="33"/>
      <c r="K913" s="33"/>
      <c r="L913" s="33"/>
      <c r="M913" s="33"/>
      <c r="N913" s="33"/>
      <c r="O913" s="33"/>
      <c r="P913" s="33"/>
      <c r="Q913" s="33"/>
      <c r="R913" s="33"/>
      <c r="S913" s="33"/>
      <c r="T913" s="33"/>
      <c r="U913" s="33"/>
      <c r="V913" s="33"/>
      <c r="W913" s="33"/>
      <c r="X913" s="33"/>
      <c r="Y913" s="33"/>
      <c r="Z913" s="33"/>
    </row>
    <row r="914" spans="1:26" ht="13.5" customHeight="1">
      <c r="A914" s="33"/>
      <c r="B914" s="33"/>
      <c r="C914" s="33"/>
      <c r="D914" s="33"/>
      <c r="E914" s="33"/>
      <c r="F914" s="33"/>
      <c r="G914" s="33"/>
      <c r="H914" s="33"/>
      <c r="I914" s="33"/>
      <c r="J914" s="33"/>
      <c r="K914" s="33"/>
      <c r="L914" s="33"/>
      <c r="M914" s="33"/>
      <c r="N914" s="33"/>
      <c r="O914" s="33"/>
      <c r="P914" s="33"/>
      <c r="Q914" s="33"/>
      <c r="R914" s="33"/>
      <c r="S914" s="33"/>
      <c r="T914" s="33"/>
      <c r="U914" s="33"/>
      <c r="V914" s="33"/>
      <c r="W914" s="33"/>
      <c r="X914" s="33"/>
      <c r="Y914" s="33"/>
      <c r="Z914" s="33"/>
    </row>
    <row r="915" spans="1:26" ht="13.5" customHeight="1">
      <c r="A915" s="33"/>
      <c r="B915" s="33"/>
      <c r="C915" s="33"/>
      <c r="D915" s="33"/>
      <c r="E915" s="33"/>
      <c r="F915" s="33"/>
      <c r="G915" s="33"/>
      <c r="H915" s="33"/>
      <c r="I915" s="33"/>
      <c r="J915" s="33"/>
      <c r="K915" s="33"/>
      <c r="L915" s="33"/>
      <c r="M915" s="33"/>
      <c r="N915" s="33"/>
      <c r="O915" s="33"/>
      <c r="P915" s="33"/>
      <c r="Q915" s="33"/>
      <c r="R915" s="33"/>
      <c r="S915" s="33"/>
      <c r="T915" s="33"/>
      <c r="U915" s="33"/>
      <c r="V915" s="33"/>
      <c r="W915" s="33"/>
      <c r="X915" s="33"/>
      <c r="Y915" s="33"/>
      <c r="Z915" s="33"/>
    </row>
    <row r="916" spans="1:26" ht="13.5" customHeight="1">
      <c r="A916" s="33"/>
      <c r="B916" s="33"/>
      <c r="C916" s="33"/>
      <c r="D916" s="33"/>
      <c r="E916" s="33"/>
      <c r="F916" s="33"/>
      <c r="G916" s="33"/>
      <c r="H916" s="33"/>
      <c r="I916" s="33"/>
      <c r="J916" s="33"/>
      <c r="K916" s="33"/>
      <c r="L916" s="33"/>
      <c r="M916" s="33"/>
      <c r="N916" s="33"/>
      <c r="O916" s="33"/>
      <c r="P916" s="33"/>
      <c r="Q916" s="33"/>
      <c r="R916" s="33"/>
      <c r="S916" s="33"/>
      <c r="T916" s="33"/>
      <c r="U916" s="33"/>
      <c r="V916" s="33"/>
      <c r="W916" s="33"/>
      <c r="X916" s="33"/>
      <c r="Y916" s="33"/>
      <c r="Z916" s="33"/>
    </row>
    <row r="917" spans="1:26" ht="13.5" customHeight="1">
      <c r="A917" s="33"/>
      <c r="B917" s="33"/>
      <c r="C917" s="33"/>
      <c r="D917" s="33"/>
      <c r="E917" s="33"/>
      <c r="F917" s="33"/>
      <c r="G917" s="33"/>
      <c r="H917" s="33"/>
      <c r="I917" s="33"/>
      <c r="J917" s="33"/>
      <c r="K917" s="33"/>
      <c r="L917" s="33"/>
      <c r="M917" s="33"/>
      <c r="N917" s="33"/>
      <c r="O917" s="33"/>
      <c r="P917" s="33"/>
      <c r="Q917" s="33"/>
      <c r="R917" s="33"/>
      <c r="S917" s="33"/>
      <c r="T917" s="33"/>
      <c r="U917" s="33"/>
      <c r="V917" s="33"/>
      <c r="W917" s="33"/>
      <c r="X917" s="33"/>
      <c r="Y917" s="33"/>
      <c r="Z917" s="33"/>
    </row>
    <row r="918" spans="1:26" ht="13.5" customHeight="1">
      <c r="A918" s="33"/>
      <c r="B918" s="33"/>
      <c r="C918" s="33"/>
      <c r="D918" s="33"/>
      <c r="E918" s="33"/>
      <c r="F918" s="33"/>
      <c r="G918" s="33"/>
      <c r="H918" s="33"/>
      <c r="I918" s="33"/>
      <c r="J918" s="33"/>
      <c r="K918" s="33"/>
      <c r="L918" s="33"/>
      <c r="M918" s="33"/>
      <c r="N918" s="33"/>
      <c r="O918" s="33"/>
      <c r="P918" s="33"/>
      <c r="Q918" s="33"/>
      <c r="R918" s="33"/>
      <c r="S918" s="33"/>
      <c r="T918" s="33"/>
      <c r="U918" s="33"/>
      <c r="V918" s="33"/>
      <c r="W918" s="33"/>
      <c r="X918" s="33"/>
      <c r="Y918" s="33"/>
      <c r="Z918" s="33"/>
    </row>
    <row r="919" spans="1:26" ht="13.5" customHeight="1">
      <c r="A919" s="33"/>
      <c r="B919" s="33"/>
      <c r="C919" s="33"/>
      <c r="D919" s="33"/>
      <c r="E919" s="33"/>
      <c r="F919" s="33"/>
      <c r="G919" s="33"/>
      <c r="H919" s="33"/>
      <c r="I919" s="33"/>
      <c r="J919" s="33"/>
      <c r="K919" s="33"/>
      <c r="L919" s="33"/>
      <c r="M919" s="33"/>
      <c r="N919" s="33"/>
      <c r="O919" s="33"/>
      <c r="P919" s="33"/>
      <c r="Q919" s="33"/>
      <c r="R919" s="33"/>
      <c r="S919" s="33"/>
      <c r="T919" s="33"/>
      <c r="U919" s="33"/>
      <c r="V919" s="33"/>
      <c r="W919" s="33"/>
      <c r="X919" s="33"/>
      <c r="Y919" s="33"/>
      <c r="Z919" s="33"/>
    </row>
    <row r="920" spans="1:26" ht="13.5" customHeight="1">
      <c r="A920" s="33"/>
      <c r="B920" s="33"/>
      <c r="C920" s="33"/>
      <c r="D920" s="33"/>
      <c r="E920" s="33"/>
      <c r="F920" s="33"/>
      <c r="G920" s="33"/>
      <c r="H920" s="33"/>
      <c r="I920" s="33"/>
      <c r="J920" s="33"/>
      <c r="K920" s="33"/>
      <c r="L920" s="33"/>
      <c r="M920" s="33"/>
      <c r="N920" s="33"/>
      <c r="O920" s="33"/>
      <c r="P920" s="33"/>
      <c r="Q920" s="33"/>
      <c r="R920" s="33"/>
      <c r="S920" s="33"/>
      <c r="T920" s="33"/>
      <c r="U920" s="33"/>
      <c r="V920" s="33"/>
      <c r="W920" s="33"/>
      <c r="X920" s="33"/>
      <c r="Y920" s="33"/>
      <c r="Z920" s="33"/>
    </row>
    <row r="921" spans="1:26" ht="13.5" customHeight="1">
      <c r="A921" s="33"/>
      <c r="B921" s="33"/>
      <c r="C921" s="33"/>
      <c r="D921" s="33"/>
      <c r="E921" s="33"/>
      <c r="F921" s="33"/>
      <c r="G921" s="33"/>
      <c r="H921" s="33"/>
      <c r="I921" s="33"/>
      <c r="J921" s="33"/>
      <c r="K921" s="33"/>
      <c r="L921" s="33"/>
      <c r="M921" s="33"/>
      <c r="N921" s="33"/>
      <c r="O921" s="33"/>
      <c r="P921" s="33"/>
      <c r="Q921" s="33"/>
      <c r="R921" s="33"/>
      <c r="S921" s="33"/>
      <c r="T921" s="33"/>
      <c r="U921" s="33"/>
      <c r="V921" s="33"/>
      <c r="W921" s="33"/>
      <c r="X921" s="33"/>
      <c r="Y921" s="33"/>
      <c r="Z921" s="33"/>
    </row>
    <row r="922" spans="1:26" ht="13.5" customHeight="1">
      <c r="A922" s="33"/>
      <c r="B922" s="33"/>
      <c r="C922" s="33"/>
      <c r="D922" s="33"/>
      <c r="E922" s="33"/>
      <c r="F922" s="33"/>
      <c r="G922" s="33"/>
      <c r="H922" s="33"/>
      <c r="I922" s="33"/>
      <c r="J922" s="33"/>
      <c r="K922" s="33"/>
      <c r="L922" s="33"/>
      <c r="M922" s="33"/>
      <c r="N922" s="33"/>
      <c r="O922" s="33"/>
      <c r="P922" s="33"/>
      <c r="Q922" s="33"/>
      <c r="R922" s="33"/>
      <c r="S922" s="33"/>
      <c r="T922" s="33"/>
      <c r="U922" s="33"/>
      <c r="V922" s="33"/>
      <c r="W922" s="33"/>
      <c r="X922" s="33"/>
      <c r="Y922" s="33"/>
      <c r="Z922" s="33"/>
    </row>
    <row r="923" spans="1:26" ht="13.5" customHeight="1">
      <c r="A923" s="33"/>
      <c r="B923" s="33"/>
      <c r="C923" s="33"/>
      <c r="D923" s="33"/>
      <c r="E923" s="33"/>
      <c r="F923" s="33"/>
      <c r="G923" s="33"/>
      <c r="H923" s="33"/>
      <c r="I923" s="33"/>
      <c r="J923" s="33"/>
      <c r="K923" s="33"/>
      <c r="L923" s="33"/>
      <c r="M923" s="33"/>
      <c r="N923" s="33"/>
      <c r="O923" s="33"/>
      <c r="P923" s="33"/>
      <c r="Q923" s="33"/>
      <c r="R923" s="33"/>
      <c r="S923" s="33"/>
      <c r="T923" s="33"/>
      <c r="U923" s="33"/>
      <c r="V923" s="33"/>
      <c r="W923" s="33"/>
      <c r="X923" s="33"/>
      <c r="Y923" s="33"/>
      <c r="Z923" s="33"/>
    </row>
    <row r="924" spans="1:26" ht="13.5" customHeight="1">
      <c r="A924" s="33"/>
      <c r="B924" s="33"/>
      <c r="C924" s="33"/>
      <c r="D924" s="33"/>
      <c r="E924" s="33"/>
      <c r="F924" s="33"/>
      <c r="G924" s="33"/>
      <c r="H924" s="33"/>
      <c r="I924" s="33"/>
      <c r="J924" s="33"/>
      <c r="K924" s="33"/>
      <c r="L924" s="33"/>
      <c r="M924" s="33"/>
      <c r="N924" s="33"/>
      <c r="O924" s="33"/>
      <c r="P924" s="33"/>
      <c r="Q924" s="33"/>
      <c r="R924" s="33"/>
      <c r="S924" s="33"/>
      <c r="T924" s="33"/>
      <c r="U924" s="33"/>
      <c r="V924" s="33"/>
      <c r="W924" s="33"/>
      <c r="X924" s="33"/>
      <c r="Y924" s="33"/>
      <c r="Z924" s="33"/>
    </row>
    <row r="925" spans="1:26" ht="13.5" customHeight="1">
      <c r="A925" s="33"/>
      <c r="B925" s="33"/>
      <c r="C925" s="33"/>
      <c r="D925" s="33"/>
      <c r="E925" s="33"/>
      <c r="F925" s="33"/>
      <c r="G925" s="33"/>
      <c r="H925" s="33"/>
      <c r="I925" s="33"/>
      <c r="J925" s="33"/>
      <c r="K925" s="33"/>
      <c r="L925" s="33"/>
      <c r="M925" s="33"/>
      <c r="N925" s="33"/>
      <c r="O925" s="33"/>
      <c r="P925" s="33"/>
      <c r="Q925" s="33"/>
      <c r="R925" s="33"/>
      <c r="S925" s="33"/>
      <c r="T925" s="33"/>
      <c r="U925" s="33"/>
      <c r="V925" s="33"/>
      <c r="W925" s="33"/>
      <c r="X925" s="33"/>
      <c r="Y925" s="33"/>
      <c r="Z925" s="33"/>
    </row>
    <row r="926" spans="1:26" ht="13.5" customHeight="1">
      <c r="A926" s="33"/>
      <c r="B926" s="33"/>
      <c r="C926" s="33"/>
      <c r="D926" s="33"/>
      <c r="E926" s="33"/>
      <c r="F926" s="33"/>
      <c r="G926" s="33"/>
      <c r="H926" s="33"/>
      <c r="I926" s="33"/>
      <c r="J926" s="33"/>
      <c r="K926" s="33"/>
      <c r="L926" s="33"/>
      <c r="M926" s="33"/>
      <c r="N926" s="33"/>
      <c r="O926" s="33"/>
      <c r="P926" s="33"/>
      <c r="Q926" s="33"/>
      <c r="R926" s="33"/>
      <c r="S926" s="33"/>
      <c r="T926" s="33"/>
      <c r="U926" s="33"/>
      <c r="V926" s="33"/>
      <c r="W926" s="33"/>
      <c r="X926" s="33"/>
      <c r="Y926" s="33"/>
      <c r="Z926" s="33"/>
    </row>
    <row r="927" spans="1:26" ht="13.5" customHeight="1">
      <c r="A927" s="33"/>
      <c r="B927" s="33"/>
      <c r="C927" s="33"/>
      <c r="D927" s="33"/>
      <c r="E927" s="33"/>
      <c r="F927" s="33"/>
      <c r="G927" s="33"/>
      <c r="H927" s="33"/>
      <c r="I927" s="33"/>
      <c r="J927" s="33"/>
      <c r="K927" s="33"/>
      <c r="L927" s="33"/>
      <c r="M927" s="33"/>
      <c r="N927" s="33"/>
      <c r="O927" s="33"/>
      <c r="P927" s="33"/>
      <c r="Q927" s="33"/>
      <c r="R927" s="33"/>
      <c r="S927" s="33"/>
      <c r="T927" s="33"/>
      <c r="U927" s="33"/>
      <c r="V927" s="33"/>
      <c r="W927" s="33"/>
      <c r="X927" s="33"/>
      <c r="Y927" s="33"/>
      <c r="Z927" s="33"/>
    </row>
    <row r="928" spans="1:26" ht="13.5" customHeight="1">
      <c r="A928" s="33"/>
      <c r="B928" s="33"/>
      <c r="C928" s="33"/>
      <c r="D928" s="33"/>
      <c r="E928" s="33"/>
      <c r="F928" s="33"/>
      <c r="G928" s="33"/>
      <c r="H928" s="33"/>
      <c r="I928" s="33"/>
      <c r="J928" s="33"/>
      <c r="K928" s="33"/>
      <c r="L928" s="33"/>
      <c r="M928" s="33"/>
      <c r="N928" s="33"/>
      <c r="O928" s="33"/>
      <c r="P928" s="33"/>
      <c r="Q928" s="33"/>
      <c r="R928" s="33"/>
      <c r="S928" s="33"/>
      <c r="T928" s="33"/>
      <c r="U928" s="33"/>
      <c r="V928" s="33"/>
      <c r="W928" s="33"/>
      <c r="X928" s="33"/>
      <c r="Y928" s="33"/>
      <c r="Z928" s="33"/>
    </row>
    <row r="929" spans="1:26" ht="13.5" customHeight="1">
      <c r="A929" s="33"/>
      <c r="B929" s="33"/>
      <c r="C929" s="33"/>
      <c r="D929" s="33"/>
      <c r="E929" s="33"/>
      <c r="F929" s="33"/>
      <c r="G929" s="33"/>
      <c r="H929" s="33"/>
      <c r="I929" s="33"/>
      <c r="J929" s="33"/>
      <c r="K929" s="33"/>
      <c r="L929" s="33"/>
      <c r="M929" s="33"/>
      <c r="N929" s="33"/>
      <c r="O929" s="33"/>
      <c r="P929" s="33"/>
      <c r="Q929" s="33"/>
      <c r="R929" s="33"/>
      <c r="S929" s="33"/>
      <c r="T929" s="33"/>
      <c r="U929" s="33"/>
      <c r="V929" s="33"/>
      <c r="W929" s="33"/>
      <c r="X929" s="33"/>
      <c r="Y929" s="33"/>
      <c r="Z929" s="33"/>
    </row>
    <row r="930" spans="1:26" ht="13.5" customHeight="1">
      <c r="A930" s="33"/>
      <c r="B930" s="33"/>
      <c r="C930" s="33"/>
      <c r="D930" s="33"/>
      <c r="E930" s="33"/>
      <c r="F930" s="33"/>
      <c r="G930" s="33"/>
      <c r="H930" s="33"/>
      <c r="I930" s="33"/>
      <c r="J930" s="33"/>
      <c r="K930" s="33"/>
      <c r="L930" s="33"/>
      <c r="M930" s="33"/>
      <c r="N930" s="33"/>
      <c r="O930" s="33"/>
      <c r="P930" s="33"/>
      <c r="Q930" s="33"/>
      <c r="R930" s="33"/>
      <c r="S930" s="33"/>
      <c r="T930" s="33"/>
      <c r="U930" s="33"/>
      <c r="V930" s="33"/>
      <c r="W930" s="33"/>
      <c r="X930" s="33"/>
      <c r="Y930" s="33"/>
      <c r="Z930" s="33"/>
    </row>
    <row r="931" spans="1:26" ht="13.5" customHeight="1">
      <c r="A931" s="33"/>
      <c r="B931" s="33"/>
      <c r="C931" s="33"/>
      <c r="D931" s="33"/>
      <c r="E931" s="33"/>
      <c r="F931" s="33"/>
      <c r="G931" s="33"/>
      <c r="H931" s="33"/>
      <c r="I931" s="33"/>
      <c r="J931" s="33"/>
      <c r="K931" s="33"/>
      <c r="L931" s="33"/>
      <c r="M931" s="33"/>
      <c r="N931" s="33"/>
      <c r="O931" s="33"/>
      <c r="P931" s="33"/>
      <c r="Q931" s="33"/>
      <c r="R931" s="33"/>
      <c r="S931" s="33"/>
      <c r="T931" s="33"/>
      <c r="U931" s="33"/>
      <c r="V931" s="33"/>
      <c r="W931" s="33"/>
      <c r="X931" s="33"/>
      <c r="Y931" s="33"/>
      <c r="Z931" s="33"/>
    </row>
    <row r="932" spans="1:26" ht="13.5" customHeight="1">
      <c r="A932" s="33"/>
      <c r="B932" s="33"/>
      <c r="C932" s="33"/>
      <c r="D932" s="33"/>
      <c r="E932" s="33"/>
      <c r="F932" s="33"/>
      <c r="G932" s="33"/>
      <c r="H932" s="33"/>
      <c r="I932" s="33"/>
      <c r="J932" s="33"/>
      <c r="K932" s="33"/>
      <c r="L932" s="33"/>
      <c r="M932" s="33"/>
      <c r="N932" s="33"/>
      <c r="O932" s="33"/>
      <c r="P932" s="33"/>
      <c r="Q932" s="33"/>
      <c r="R932" s="33"/>
      <c r="S932" s="33"/>
      <c r="T932" s="33"/>
      <c r="U932" s="33"/>
      <c r="V932" s="33"/>
      <c r="W932" s="33"/>
      <c r="X932" s="33"/>
      <c r="Y932" s="33"/>
      <c r="Z932" s="33"/>
    </row>
    <row r="933" spans="1:26" ht="13.5" customHeight="1">
      <c r="A933" s="33"/>
      <c r="B933" s="33"/>
      <c r="C933" s="33"/>
      <c r="D933" s="33"/>
      <c r="E933" s="33"/>
      <c r="F933" s="33"/>
      <c r="G933" s="33"/>
      <c r="H933" s="33"/>
      <c r="I933" s="33"/>
      <c r="J933" s="33"/>
      <c r="K933" s="33"/>
      <c r="L933" s="33"/>
      <c r="M933" s="33"/>
      <c r="N933" s="33"/>
      <c r="O933" s="33"/>
      <c r="P933" s="33"/>
      <c r="Q933" s="33"/>
      <c r="R933" s="33"/>
      <c r="S933" s="33"/>
      <c r="T933" s="33"/>
      <c r="U933" s="33"/>
      <c r="V933" s="33"/>
      <c r="W933" s="33"/>
      <c r="X933" s="33"/>
      <c r="Y933" s="33"/>
      <c r="Z933" s="33"/>
    </row>
    <row r="934" spans="1:26" ht="13.5" customHeight="1">
      <c r="A934" s="33"/>
      <c r="B934" s="33"/>
      <c r="C934" s="33"/>
      <c r="D934" s="33"/>
      <c r="E934" s="33"/>
      <c r="F934" s="33"/>
      <c r="G934" s="33"/>
      <c r="H934" s="33"/>
      <c r="I934" s="33"/>
      <c r="J934" s="33"/>
      <c r="K934" s="33"/>
      <c r="L934" s="33"/>
      <c r="M934" s="33"/>
      <c r="N934" s="33"/>
      <c r="O934" s="33"/>
      <c r="P934" s="33"/>
      <c r="Q934" s="33"/>
      <c r="R934" s="33"/>
      <c r="S934" s="33"/>
      <c r="T934" s="33"/>
      <c r="U934" s="33"/>
      <c r="V934" s="33"/>
      <c r="W934" s="33"/>
      <c r="X934" s="33"/>
      <c r="Y934" s="33"/>
      <c r="Z934" s="33"/>
    </row>
    <row r="935" spans="1:26" ht="13.5" customHeight="1">
      <c r="A935" s="33"/>
      <c r="B935" s="33"/>
      <c r="C935" s="33"/>
      <c r="D935" s="33"/>
      <c r="E935" s="33"/>
      <c r="F935" s="33"/>
      <c r="G935" s="33"/>
      <c r="H935" s="33"/>
      <c r="I935" s="33"/>
      <c r="J935" s="33"/>
      <c r="K935" s="33"/>
      <c r="L935" s="33"/>
      <c r="M935" s="33"/>
      <c r="N935" s="33"/>
      <c r="O935" s="33"/>
      <c r="P935" s="33"/>
      <c r="Q935" s="33"/>
      <c r="R935" s="33"/>
      <c r="S935" s="33"/>
      <c r="T935" s="33"/>
      <c r="U935" s="33"/>
      <c r="V935" s="33"/>
      <c r="W935" s="33"/>
      <c r="X935" s="33"/>
      <c r="Y935" s="33"/>
      <c r="Z935" s="33"/>
    </row>
    <row r="936" spans="1:26" ht="13.5" customHeight="1">
      <c r="A936" s="33"/>
      <c r="B936" s="33"/>
      <c r="C936" s="33"/>
      <c r="D936" s="33"/>
      <c r="E936" s="33"/>
      <c r="F936" s="33"/>
      <c r="G936" s="33"/>
      <c r="H936" s="33"/>
      <c r="I936" s="33"/>
      <c r="J936" s="33"/>
      <c r="K936" s="33"/>
      <c r="L936" s="33"/>
      <c r="M936" s="33"/>
      <c r="N936" s="33"/>
      <c r="O936" s="33"/>
      <c r="P936" s="33"/>
      <c r="Q936" s="33"/>
      <c r="R936" s="33"/>
      <c r="S936" s="33"/>
      <c r="T936" s="33"/>
      <c r="U936" s="33"/>
      <c r="V936" s="33"/>
      <c r="W936" s="33"/>
      <c r="X936" s="33"/>
      <c r="Y936" s="33"/>
      <c r="Z936" s="33"/>
    </row>
    <row r="937" spans="1:26" ht="13.5" customHeight="1">
      <c r="A937" s="33"/>
      <c r="B937" s="33"/>
      <c r="C937" s="33"/>
      <c r="D937" s="33"/>
      <c r="E937" s="33"/>
      <c r="F937" s="33"/>
      <c r="G937" s="33"/>
      <c r="H937" s="33"/>
      <c r="I937" s="33"/>
      <c r="J937" s="33"/>
      <c r="K937" s="33"/>
      <c r="L937" s="33"/>
      <c r="M937" s="33"/>
      <c r="N937" s="33"/>
      <c r="O937" s="33"/>
      <c r="P937" s="33"/>
      <c r="Q937" s="33"/>
      <c r="R937" s="33"/>
      <c r="S937" s="33"/>
      <c r="T937" s="33"/>
      <c r="U937" s="33"/>
      <c r="V937" s="33"/>
      <c r="W937" s="33"/>
      <c r="X937" s="33"/>
      <c r="Y937" s="33"/>
      <c r="Z937" s="33"/>
    </row>
    <row r="938" spans="1:26" ht="13.5" customHeight="1">
      <c r="A938" s="33"/>
      <c r="B938" s="33"/>
      <c r="C938" s="33"/>
      <c r="D938" s="33"/>
      <c r="E938" s="33"/>
      <c r="F938" s="33"/>
      <c r="G938" s="33"/>
      <c r="H938" s="33"/>
      <c r="I938" s="33"/>
      <c r="J938" s="33"/>
      <c r="K938" s="33"/>
      <c r="L938" s="33"/>
      <c r="M938" s="33"/>
      <c r="N938" s="33"/>
      <c r="O938" s="33"/>
      <c r="P938" s="33"/>
      <c r="Q938" s="33"/>
      <c r="R938" s="33"/>
      <c r="S938" s="33"/>
      <c r="T938" s="33"/>
      <c r="U938" s="33"/>
      <c r="V938" s="33"/>
      <c r="W938" s="33"/>
      <c r="X938" s="33"/>
      <c r="Y938" s="33"/>
      <c r="Z938" s="33"/>
    </row>
    <row r="939" spans="1:26" ht="13.5" customHeight="1">
      <c r="A939" s="33"/>
      <c r="B939" s="33"/>
      <c r="C939" s="33"/>
      <c r="D939" s="33"/>
      <c r="E939" s="33"/>
      <c r="F939" s="33"/>
      <c r="G939" s="33"/>
      <c r="H939" s="33"/>
      <c r="I939" s="33"/>
      <c r="J939" s="33"/>
      <c r="K939" s="33"/>
      <c r="L939" s="33"/>
      <c r="M939" s="33"/>
      <c r="N939" s="33"/>
      <c r="O939" s="33"/>
      <c r="P939" s="33"/>
      <c r="Q939" s="33"/>
      <c r="R939" s="33"/>
      <c r="S939" s="33"/>
      <c r="T939" s="33"/>
      <c r="U939" s="33"/>
      <c r="V939" s="33"/>
      <c r="W939" s="33"/>
      <c r="X939" s="33"/>
      <c r="Y939" s="33"/>
      <c r="Z939" s="33"/>
    </row>
    <row r="940" spans="1:26" ht="13.5" customHeight="1">
      <c r="A940" s="33"/>
      <c r="B940" s="33"/>
      <c r="C940" s="33"/>
      <c r="D940" s="33"/>
      <c r="E940" s="33"/>
      <c r="F940" s="33"/>
      <c r="G940" s="33"/>
      <c r="H940" s="33"/>
      <c r="I940" s="33"/>
      <c r="J940" s="33"/>
      <c r="K940" s="33"/>
      <c r="L940" s="33"/>
      <c r="M940" s="33"/>
      <c r="N940" s="33"/>
      <c r="O940" s="33"/>
      <c r="P940" s="33"/>
      <c r="Q940" s="33"/>
      <c r="R940" s="33"/>
      <c r="S940" s="33"/>
      <c r="T940" s="33"/>
      <c r="U940" s="33"/>
      <c r="V940" s="33"/>
      <c r="W940" s="33"/>
      <c r="X940" s="33"/>
      <c r="Y940" s="33"/>
      <c r="Z940" s="33"/>
    </row>
    <row r="941" spans="1:26" ht="13.5" customHeight="1">
      <c r="A941" s="33"/>
      <c r="B941" s="33"/>
      <c r="C941" s="33"/>
      <c r="D941" s="33"/>
      <c r="E941" s="33"/>
      <c r="F941" s="33"/>
      <c r="G941" s="33"/>
      <c r="H941" s="33"/>
      <c r="I941" s="33"/>
      <c r="J941" s="33"/>
      <c r="K941" s="33"/>
      <c r="L941" s="33"/>
      <c r="M941" s="33"/>
      <c r="N941" s="33"/>
      <c r="O941" s="33"/>
      <c r="P941" s="33"/>
      <c r="Q941" s="33"/>
      <c r="R941" s="33"/>
      <c r="S941" s="33"/>
      <c r="T941" s="33"/>
      <c r="U941" s="33"/>
      <c r="V941" s="33"/>
      <c r="W941" s="33"/>
      <c r="X941" s="33"/>
      <c r="Y941" s="33"/>
      <c r="Z941" s="33"/>
    </row>
    <row r="942" spans="1:26" ht="13.5" customHeight="1">
      <c r="A942" s="33"/>
      <c r="B942" s="33"/>
      <c r="C942" s="33"/>
      <c r="D942" s="33"/>
      <c r="E942" s="33"/>
      <c r="F942" s="33"/>
      <c r="G942" s="33"/>
      <c r="H942" s="33"/>
      <c r="I942" s="33"/>
      <c r="J942" s="33"/>
      <c r="K942" s="33"/>
      <c r="L942" s="33"/>
      <c r="M942" s="33"/>
      <c r="N942" s="33"/>
      <c r="O942" s="33"/>
      <c r="P942" s="33"/>
      <c r="Q942" s="33"/>
      <c r="R942" s="33"/>
      <c r="S942" s="33"/>
      <c r="T942" s="33"/>
      <c r="U942" s="33"/>
      <c r="V942" s="33"/>
      <c r="W942" s="33"/>
      <c r="X942" s="33"/>
      <c r="Y942" s="33"/>
      <c r="Z942" s="33"/>
    </row>
    <row r="943" spans="1:26" ht="13.5" customHeight="1">
      <c r="A943" s="33"/>
      <c r="B943" s="33"/>
      <c r="C943" s="33"/>
      <c r="D943" s="33"/>
      <c r="E943" s="33"/>
      <c r="F943" s="33"/>
      <c r="G943" s="33"/>
      <c r="H943" s="33"/>
      <c r="I943" s="33"/>
      <c r="J943" s="33"/>
      <c r="K943" s="33"/>
      <c r="L943" s="33"/>
      <c r="M943" s="33"/>
      <c r="N943" s="33"/>
      <c r="O943" s="33"/>
      <c r="P943" s="33"/>
      <c r="Q943" s="33"/>
      <c r="R943" s="33"/>
      <c r="S943" s="33"/>
      <c r="T943" s="33"/>
      <c r="U943" s="33"/>
      <c r="V943" s="33"/>
      <c r="W943" s="33"/>
      <c r="X943" s="33"/>
      <c r="Y943" s="33"/>
      <c r="Z943" s="33"/>
    </row>
    <row r="944" spans="1:26" ht="13.5" customHeight="1">
      <c r="A944" s="33"/>
      <c r="B944" s="33"/>
      <c r="C944" s="33"/>
      <c r="D944" s="33"/>
      <c r="E944" s="33"/>
      <c r="F944" s="33"/>
      <c r="G944" s="33"/>
      <c r="H944" s="33"/>
      <c r="I944" s="33"/>
      <c r="J944" s="33"/>
      <c r="K944" s="33"/>
      <c r="L944" s="33"/>
      <c r="M944" s="33"/>
      <c r="N944" s="33"/>
      <c r="O944" s="33"/>
      <c r="P944" s="33"/>
      <c r="Q944" s="33"/>
      <c r="R944" s="33"/>
      <c r="S944" s="33"/>
      <c r="T944" s="33"/>
      <c r="U944" s="33"/>
      <c r="V944" s="33"/>
      <c r="W944" s="33"/>
      <c r="X944" s="33"/>
      <c r="Y944" s="33"/>
      <c r="Z944" s="33"/>
    </row>
    <row r="945" spans="1:26" ht="13.5" customHeight="1">
      <c r="A945" s="33"/>
      <c r="B945" s="33"/>
      <c r="C945" s="33"/>
      <c r="D945" s="33"/>
      <c r="E945" s="33"/>
      <c r="F945" s="33"/>
      <c r="G945" s="33"/>
      <c r="H945" s="33"/>
      <c r="I945" s="33"/>
      <c r="J945" s="33"/>
      <c r="K945" s="33"/>
      <c r="L945" s="33"/>
      <c r="M945" s="33"/>
      <c r="N945" s="33"/>
      <c r="O945" s="33"/>
      <c r="P945" s="33"/>
      <c r="Q945" s="33"/>
      <c r="R945" s="33"/>
      <c r="S945" s="33"/>
      <c r="T945" s="33"/>
      <c r="U945" s="33"/>
      <c r="V945" s="33"/>
      <c r="W945" s="33"/>
      <c r="X945" s="33"/>
      <c r="Y945" s="33"/>
      <c r="Z945" s="33"/>
    </row>
    <row r="946" spans="1:26" ht="13.5" customHeight="1">
      <c r="A946" s="33"/>
      <c r="B946" s="33"/>
      <c r="C946" s="33"/>
      <c r="D946" s="33"/>
      <c r="E946" s="33"/>
      <c r="F946" s="33"/>
      <c r="G946" s="33"/>
      <c r="H946" s="33"/>
      <c r="I946" s="33"/>
      <c r="J946" s="33"/>
      <c r="K946" s="33"/>
      <c r="L946" s="33"/>
      <c r="M946" s="33"/>
      <c r="N946" s="33"/>
      <c r="O946" s="33"/>
      <c r="P946" s="33"/>
      <c r="Q946" s="33"/>
      <c r="R946" s="33"/>
      <c r="S946" s="33"/>
      <c r="T946" s="33"/>
      <c r="U946" s="33"/>
      <c r="V946" s="33"/>
      <c r="W946" s="33"/>
      <c r="X946" s="33"/>
      <c r="Y946" s="33"/>
      <c r="Z946" s="33"/>
    </row>
    <row r="947" spans="1:26" ht="13.5" customHeight="1">
      <c r="A947" s="33"/>
      <c r="B947" s="33"/>
      <c r="C947" s="33"/>
      <c r="D947" s="33"/>
      <c r="E947" s="33"/>
      <c r="F947" s="33"/>
      <c r="G947" s="33"/>
      <c r="H947" s="33"/>
      <c r="I947" s="33"/>
      <c r="J947" s="33"/>
      <c r="K947" s="33"/>
      <c r="L947" s="33"/>
      <c r="M947" s="33"/>
      <c r="N947" s="33"/>
      <c r="O947" s="33"/>
      <c r="P947" s="33"/>
      <c r="Q947" s="33"/>
      <c r="R947" s="33"/>
      <c r="S947" s="33"/>
      <c r="T947" s="33"/>
      <c r="U947" s="33"/>
      <c r="V947" s="33"/>
      <c r="W947" s="33"/>
      <c r="X947" s="33"/>
      <c r="Y947" s="33"/>
      <c r="Z947" s="33"/>
    </row>
    <row r="948" spans="1:26" ht="13.5" customHeight="1">
      <c r="A948" s="33"/>
      <c r="B948" s="33"/>
      <c r="C948" s="33"/>
      <c r="D948" s="33"/>
      <c r="E948" s="33"/>
      <c r="F948" s="33"/>
      <c r="G948" s="33"/>
      <c r="H948" s="33"/>
      <c r="I948" s="33"/>
      <c r="J948" s="33"/>
      <c r="K948" s="33"/>
      <c r="L948" s="33"/>
      <c r="M948" s="33"/>
      <c r="N948" s="33"/>
      <c r="O948" s="33"/>
      <c r="P948" s="33"/>
      <c r="Q948" s="33"/>
      <c r="R948" s="33"/>
      <c r="S948" s="33"/>
      <c r="T948" s="33"/>
      <c r="U948" s="33"/>
      <c r="V948" s="33"/>
      <c r="W948" s="33"/>
      <c r="X948" s="33"/>
      <c r="Y948" s="33"/>
      <c r="Z948" s="33"/>
    </row>
    <row r="949" spans="1:26" ht="13.5" customHeight="1">
      <c r="A949" s="33"/>
      <c r="B949" s="33"/>
      <c r="C949" s="33"/>
      <c r="D949" s="33"/>
      <c r="E949" s="33"/>
      <c r="F949" s="33"/>
      <c r="G949" s="33"/>
      <c r="H949" s="33"/>
      <c r="I949" s="33"/>
      <c r="J949" s="33"/>
      <c r="K949" s="33"/>
      <c r="L949" s="33"/>
      <c r="M949" s="33"/>
      <c r="N949" s="33"/>
      <c r="O949" s="33"/>
      <c r="P949" s="33"/>
      <c r="Q949" s="33"/>
      <c r="R949" s="33"/>
      <c r="S949" s="33"/>
      <c r="T949" s="33"/>
      <c r="U949" s="33"/>
      <c r="V949" s="33"/>
      <c r="W949" s="33"/>
      <c r="X949" s="33"/>
      <c r="Y949" s="33"/>
      <c r="Z949" s="33"/>
    </row>
    <row r="950" spans="1:26" ht="13.5" customHeight="1">
      <c r="A950" s="33"/>
      <c r="B950" s="33"/>
      <c r="C950" s="33"/>
      <c r="D950" s="33"/>
      <c r="E950" s="33"/>
      <c r="F950" s="33"/>
      <c r="G950" s="33"/>
      <c r="H950" s="33"/>
      <c r="I950" s="33"/>
      <c r="J950" s="33"/>
      <c r="K950" s="33"/>
      <c r="L950" s="33"/>
      <c r="M950" s="33"/>
      <c r="N950" s="33"/>
      <c r="O950" s="33"/>
      <c r="P950" s="33"/>
      <c r="Q950" s="33"/>
      <c r="R950" s="33"/>
      <c r="S950" s="33"/>
      <c r="T950" s="33"/>
      <c r="U950" s="33"/>
      <c r="V950" s="33"/>
      <c r="W950" s="33"/>
      <c r="X950" s="33"/>
      <c r="Y950" s="33"/>
      <c r="Z950" s="33"/>
    </row>
    <row r="951" spans="1:26" ht="13.5" customHeight="1">
      <c r="A951" s="33"/>
      <c r="B951" s="33"/>
      <c r="C951" s="33"/>
      <c r="D951" s="33"/>
      <c r="E951" s="33"/>
      <c r="F951" s="33"/>
      <c r="G951" s="33"/>
      <c r="H951" s="33"/>
      <c r="I951" s="33"/>
      <c r="J951" s="33"/>
      <c r="K951" s="33"/>
      <c r="L951" s="33"/>
      <c r="M951" s="33"/>
      <c r="N951" s="33"/>
      <c r="O951" s="33"/>
      <c r="P951" s="33"/>
      <c r="Q951" s="33"/>
      <c r="R951" s="33"/>
      <c r="S951" s="33"/>
      <c r="T951" s="33"/>
      <c r="U951" s="33"/>
      <c r="V951" s="33"/>
      <c r="W951" s="33"/>
      <c r="X951" s="33"/>
      <c r="Y951" s="33"/>
      <c r="Z951" s="33"/>
    </row>
    <row r="952" spans="1:26" ht="13.5" customHeight="1">
      <c r="A952" s="33"/>
      <c r="B952" s="33"/>
      <c r="C952" s="33"/>
      <c r="D952" s="33"/>
      <c r="E952" s="33"/>
      <c r="F952" s="33"/>
      <c r="G952" s="33"/>
      <c r="H952" s="33"/>
      <c r="I952" s="33"/>
      <c r="J952" s="33"/>
      <c r="K952" s="33"/>
      <c r="L952" s="33"/>
      <c r="M952" s="33"/>
      <c r="N952" s="33"/>
      <c r="O952" s="33"/>
      <c r="P952" s="33"/>
      <c r="Q952" s="33"/>
      <c r="R952" s="33"/>
      <c r="S952" s="33"/>
      <c r="T952" s="33"/>
      <c r="U952" s="33"/>
      <c r="V952" s="33"/>
      <c r="W952" s="33"/>
      <c r="X952" s="33"/>
      <c r="Y952" s="33"/>
      <c r="Z952" s="33"/>
    </row>
    <row r="953" spans="1:26" ht="13.5" customHeight="1">
      <c r="A953" s="33"/>
      <c r="B953" s="33"/>
      <c r="C953" s="33"/>
      <c r="D953" s="33"/>
      <c r="E953" s="33"/>
      <c r="F953" s="33"/>
      <c r="G953" s="33"/>
      <c r="H953" s="33"/>
      <c r="I953" s="33"/>
      <c r="J953" s="33"/>
      <c r="K953" s="33"/>
      <c r="L953" s="33"/>
      <c r="M953" s="33"/>
      <c r="N953" s="33"/>
      <c r="O953" s="33"/>
      <c r="P953" s="33"/>
      <c r="Q953" s="33"/>
      <c r="R953" s="33"/>
      <c r="S953" s="33"/>
      <c r="T953" s="33"/>
      <c r="U953" s="33"/>
      <c r="V953" s="33"/>
      <c r="W953" s="33"/>
      <c r="X953" s="33"/>
      <c r="Y953" s="33"/>
      <c r="Z953" s="33"/>
    </row>
    <row r="954" spans="1:26" ht="13.5" customHeight="1">
      <c r="A954" s="33"/>
      <c r="B954" s="33"/>
      <c r="C954" s="33"/>
      <c r="D954" s="33"/>
      <c r="E954" s="33"/>
      <c r="F954" s="33"/>
      <c r="G954" s="33"/>
      <c r="H954" s="33"/>
      <c r="I954" s="33"/>
      <c r="J954" s="33"/>
      <c r="K954" s="33"/>
      <c r="L954" s="33"/>
      <c r="M954" s="33"/>
      <c r="N954" s="33"/>
      <c r="O954" s="33"/>
      <c r="P954" s="33"/>
      <c r="Q954" s="33"/>
      <c r="R954" s="33"/>
      <c r="S954" s="33"/>
      <c r="T954" s="33"/>
      <c r="U954" s="33"/>
      <c r="V954" s="33"/>
      <c r="W954" s="33"/>
      <c r="X954" s="33"/>
      <c r="Y954" s="33"/>
      <c r="Z954" s="33"/>
    </row>
    <row r="955" spans="1:26" ht="13.5" customHeight="1">
      <c r="A955" s="33"/>
      <c r="B955" s="33"/>
      <c r="C955" s="33"/>
      <c r="D955" s="33"/>
      <c r="E955" s="33"/>
      <c r="F955" s="33"/>
      <c r="G955" s="33"/>
      <c r="H955" s="33"/>
      <c r="I955" s="33"/>
      <c r="J955" s="33"/>
      <c r="K955" s="33"/>
      <c r="L955" s="33"/>
      <c r="M955" s="33"/>
      <c r="N955" s="33"/>
      <c r="O955" s="33"/>
      <c r="P955" s="33"/>
      <c r="Q955" s="33"/>
      <c r="R955" s="33"/>
      <c r="S955" s="33"/>
      <c r="T955" s="33"/>
      <c r="U955" s="33"/>
      <c r="V955" s="33"/>
      <c r="W955" s="33"/>
      <c r="X955" s="33"/>
      <c r="Y955" s="33"/>
      <c r="Z955" s="33"/>
    </row>
    <row r="956" spans="1:26" ht="13.5" customHeight="1">
      <c r="A956" s="33"/>
      <c r="B956" s="33"/>
      <c r="C956" s="33"/>
      <c r="D956" s="33"/>
      <c r="E956" s="33"/>
      <c r="F956" s="33"/>
      <c r="G956" s="33"/>
      <c r="H956" s="33"/>
      <c r="I956" s="33"/>
      <c r="J956" s="33"/>
      <c r="K956" s="33"/>
      <c r="L956" s="33"/>
      <c r="M956" s="33"/>
      <c r="N956" s="33"/>
      <c r="O956" s="33"/>
      <c r="P956" s="33"/>
      <c r="Q956" s="33"/>
      <c r="R956" s="33"/>
      <c r="S956" s="33"/>
      <c r="T956" s="33"/>
      <c r="U956" s="33"/>
      <c r="V956" s="33"/>
      <c r="W956" s="33"/>
      <c r="X956" s="33"/>
      <c r="Y956" s="33"/>
      <c r="Z956" s="33"/>
    </row>
    <row r="957" spans="1:26" ht="13.5" customHeight="1">
      <c r="A957" s="33"/>
      <c r="B957" s="33"/>
      <c r="C957" s="33"/>
      <c r="D957" s="33"/>
      <c r="E957" s="33"/>
      <c r="F957" s="33"/>
      <c r="G957" s="33"/>
      <c r="H957" s="33"/>
      <c r="I957" s="33"/>
      <c r="J957" s="33"/>
      <c r="K957" s="33"/>
      <c r="L957" s="33"/>
      <c r="M957" s="33"/>
      <c r="N957" s="33"/>
      <c r="O957" s="33"/>
      <c r="P957" s="33"/>
      <c r="Q957" s="33"/>
      <c r="R957" s="33"/>
      <c r="S957" s="33"/>
      <c r="T957" s="33"/>
      <c r="U957" s="33"/>
      <c r="V957" s="33"/>
      <c r="W957" s="33"/>
      <c r="X957" s="33"/>
      <c r="Y957" s="33"/>
      <c r="Z957" s="33"/>
    </row>
    <row r="958" spans="1:26" ht="13.5" customHeight="1">
      <c r="A958" s="33"/>
      <c r="B958" s="33"/>
      <c r="C958" s="33"/>
      <c r="D958" s="33"/>
      <c r="E958" s="33"/>
      <c r="F958" s="33"/>
      <c r="G958" s="33"/>
      <c r="H958" s="33"/>
      <c r="I958" s="33"/>
      <c r="J958" s="33"/>
      <c r="K958" s="33"/>
      <c r="L958" s="33"/>
      <c r="M958" s="33"/>
      <c r="N958" s="33"/>
      <c r="O958" s="33"/>
      <c r="P958" s="33"/>
      <c r="Q958" s="33"/>
      <c r="R958" s="33"/>
      <c r="S958" s="33"/>
      <c r="T958" s="33"/>
      <c r="U958" s="33"/>
      <c r="V958" s="33"/>
      <c r="W958" s="33"/>
      <c r="X958" s="33"/>
      <c r="Y958" s="33"/>
      <c r="Z958" s="33"/>
    </row>
    <row r="959" spans="1:26" ht="13.5" customHeight="1">
      <c r="A959" s="33"/>
      <c r="B959" s="33"/>
      <c r="C959" s="33"/>
      <c r="D959" s="33"/>
      <c r="E959" s="33"/>
      <c r="F959" s="33"/>
      <c r="G959" s="33"/>
      <c r="H959" s="33"/>
      <c r="I959" s="33"/>
      <c r="J959" s="33"/>
      <c r="K959" s="33"/>
      <c r="L959" s="33"/>
      <c r="M959" s="33"/>
      <c r="N959" s="33"/>
      <c r="O959" s="33"/>
      <c r="P959" s="33"/>
      <c r="Q959" s="33"/>
      <c r="R959" s="33"/>
      <c r="S959" s="33"/>
      <c r="T959" s="33"/>
      <c r="U959" s="33"/>
      <c r="V959" s="33"/>
      <c r="W959" s="33"/>
      <c r="X959" s="33"/>
      <c r="Y959" s="33"/>
      <c r="Z959" s="33"/>
    </row>
    <row r="960" spans="1:26" ht="13.5" customHeight="1">
      <c r="A960" s="33"/>
      <c r="B960" s="33"/>
      <c r="C960" s="33"/>
      <c r="D960" s="33"/>
      <c r="E960" s="33"/>
      <c r="F960" s="33"/>
      <c r="G960" s="33"/>
      <c r="H960" s="33"/>
      <c r="I960" s="33"/>
      <c r="J960" s="33"/>
      <c r="K960" s="33"/>
      <c r="L960" s="33"/>
      <c r="M960" s="33"/>
      <c r="N960" s="33"/>
      <c r="O960" s="33"/>
      <c r="P960" s="33"/>
      <c r="Q960" s="33"/>
      <c r="R960" s="33"/>
      <c r="S960" s="33"/>
      <c r="T960" s="33"/>
      <c r="U960" s="33"/>
      <c r="V960" s="33"/>
      <c r="W960" s="33"/>
      <c r="X960" s="33"/>
      <c r="Y960" s="33"/>
      <c r="Z960" s="33"/>
    </row>
    <row r="961" spans="1:26" ht="13.5" customHeight="1">
      <c r="A961" s="33"/>
      <c r="B961" s="33"/>
      <c r="C961" s="33"/>
      <c r="D961" s="33"/>
      <c r="E961" s="33"/>
      <c r="F961" s="33"/>
      <c r="G961" s="33"/>
      <c r="H961" s="33"/>
      <c r="I961" s="33"/>
      <c r="J961" s="33"/>
      <c r="K961" s="33"/>
      <c r="L961" s="33"/>
      <c r="M961" s="33"/>
      <c r="N961" s="33"/>
      <c r="O961" s="33"/>
      <c r="P961" s="33"/>
      <c r="Q961" s="33"/>
      <c r="R961" s="33"/>
      <c r="S961" s="33"/>
      <c r="T961" s="33"/>
      <c r="U961" s="33"/>
      <c r="V961" s="33"/>
      <c r="W961" s="33"/>
      <c r="X961" s="33"/>
      <c r="Y961" s="33"/>
      <c r="Z961" s="33"/>
    </row>
    <row r="962" spans="1:26" ht="13.5" customHeight="1">
      <c r="A962" s="33"/>
      <c r="B962" s="33"/>
      <c r="C962" s="33"/>
      <c r="D962" s="33"/>
      <c r="E962" s="33"/>
      <c r="F962" s="33"/>
      <c r="G962" s="33"/>
      <c r="H962" s="33"/>
      <c r="I962" s="33"/>
      <c r="J962" s="33"/>
      <c r="K962" s="33"/>
      <c r="L962" s="33"/>
      <c r="M962" s="33"/>
      <c r="N962" s="33"/>
      <c r="O962" s="33"/>
      <c r="P962" s="33"/>
      <c r="Q962" s="33"/>
      <c r="R962" s="33"/>
      <c r="S962" s="33"/>
      <c r="T962" s="33"/>
      <c r="U962" s="33"/>
      <c r="V962" s="33"/>
      <c r="W962" s="33"/>
      <c r="X962" s="33"/>
      <c r="Y962" s="33"/>
      <c r="Z962" s="33"/>
    </row>
    <row r="963" spans="1:26" ht="13.5" customHeight="1">
      <c r="A963" s="33"/>
      <c r="B963" s="33"/>
      <c r="C963" s="33"/>
      <c r="D963" s="33"/>
      <c r="E963" s="33"/>
      <c r="F963" s="33"/>
      <c r="G963" s="33"/>
      <c r="H963" s="33"/>
      <c r="I963" s="33"/>
      <c r="J963" s="33"/>
      <c r="K963" s="33"/>
      <c r="L963" s="33"/>
      <c r="M963" s="33"/>
      <c r="N963" s="33"/>
      <c r="O963" s="33"/>
      <c r="P963" s="33"/>
      <c r="Q963" s="33"/>
      <c r="R963" s="33"/>
      <c r="S963" s="33"/>
      <c r="T963" s="33"/>
      <c r="U963" s="33"/>
      <c r="V963" s="33"/>
      <c r="W963" s="33"/>
      <c r="X963" s="33"/>
      <c r="Y963" s="33"/>
      <c r="Z963" s="33"/>
    </row>
    <row r="964" spans="1:26" ht="13.5" customHeight="1">
      <c r="A964" s="33"/>
      <c r="B964" s="33"/>
      <c r="C964" s="33"/>
      <c r="D964" s="33"/>
      <c r="E964" s="33"/>
      <c r="F964" s="33"/>
      <c r="G964" s="33"/>
      <c r="H964" s="33"/>
      <c r="I964" s="33"/>
      <c r="J964" s="33"/>
      <c r="K964" s="33"/>
      <c r="L964" s="33"/>
      <c r="M964" s="33"/>
      <c r="N964" s="33"/>
      <c r="O964" s="33"/>
      <c r="P964" s="33"/>
      <c r="Q964" s="33"/>
      <c r="R964" s="33"/>
      <c r="S964" s="33"/>
      <c r="T964" s="33"/>
      <c r="U964" s="33"/>
      <c r="V964" s="33"/>
      <c r="W964" s="33"/>
      <c r="X964" s="33"/>
      <c r="Y964" s="33"/>
      <c r="Z964" s="33"/>
    </row>
    <row r="965" spans="1:26" ht="13.5" customHeight="1">
      <c r="A965" s="33"/>
      <c r="B965" s="33"/>
      <c r="C965" s="33"/>
      <c r="D965" s="33"/>
      <c r="E965" s="33"/>
      <c r="F965" s="33"/>
      <c r="G965" s="33"/>
      <c r="H965" s="33"/>
      <c r="I965" s="33"/>
      <c r="J965" s="33"/>
      <c r="K965" s="33"/>
      <c r="L965" s="33"/>
      <c r="M965" s="33"/>
      <c r="N965" s="33"/>
      <c r="O965" s="33"/>
      <c r="P965" s="33"/>
      <c r="Q965" s="33"/>
      <c r="R965" s="33"/>
      <c r="S965" s="33"/>
      <c r="T965" s="33"/>
      <c r="U965" s="33"/>
      <c r="V965" s="33"/>
      <c r="W965" s="33"/>
      <c r="X965" s="33"/>
      <c r="Y965" s="33"/>
      <c r="Z965" s="33"/>
    </row>
    <row r="966" spans="1:26" ht="13.5" customHeight="1">
      <c r="A966" s="33"/>
      <c r="B966" s="33"/>
      <c r="C966" s="33"/>
      <c r="D966" s="33"/>
      <c r="E966" s="33"/>
      <c r="F966" s="33"/>
      <c r="G966" s="33"/>
      <c r="H966" s="33"/>
      <c r="I966" s="33"/>
      <c r="J966" s="33"/>
      <c r="K966" s="33"/>
      <c r="L966" s="33"/>
      <c r="M966" s="33"/>
      <c r="N966" s="33"/>
      <c r="O966" s="33"/>
      <c r="P966" s="33"/>
      <c r="Q966" s="33"/>
      <c r="R966" s="33"/>
      <c r="S966" s="33"/>
      <c r="T966" s="33"/>
      <c r="U966" s="33"/>
      <c r="V966" s="33"/>
      <c r="W966" s="33"/>
      <c r="X966" s="33"/>
      <c r="Y966" s="33"/>
      <c r="Z966" s="33"/>
    </row>
    <row r="967" spans="1:26" ht="13.5" customHeight="1">
      <c r="A967" s="33"/>
      <c r="B967" s="33"/>
      <c r="C967" s="33"/>
      <c r="D967" s="33"/>
      <c r="E967" s="33"/>
      <c r="F967" s="33"/>
      <c r="G967" s="33"/>
      <c r="H967" s="33"/>
      <c r="I967" s="33"/>
      <c r="J967" s="33"/>
      <c r="K967" s="33"/>
      <c r="L967" s="33"/>
      <c r="M967" s="33"/>
      <c r="N967" s="33"/>
      <c r="O967" s="33"/>
      <c r="P967" s="33"/>
      <c r="Q967" s="33"/>
      <c r="R967" s="33"/>
      <c r="S967" s="33"/>
      <c r="T967" s="33"/>
      <c r="U967" s="33"/>
      <c r="V967" s="33"/>
      <c r="W967" s="33"/>
      <c r="X967" s="33"/>
      <c r="Y967" s="33"/>
      <c r="Z967" s="33"/>
    </row>
    <row r="968" spans="1:26" ht="13.5" customHeight="1">
      <c r="A968" s="33"/>
      <c r="B968" s="33"/>
      <c r="C968" s="33"/>
      <c r="D968" s="33"/>
      <c r="E968" s="33"/>
      <c r="F968" s="33"/>
      <c r="G968" s="33"/>
      <c r="H968" s="33"/>
      <c r="I968" s="33"/>
      <c r="J968" s="33"/>
      <c r="K968" s="33"/>
      <c r="L968" s="33"/>
      <c r="M968" s="33"/>
      <c r="N968" s="33"/>
      <c r="O968" s="33"/>
      <c r="P968" s="33"/>
      <c r="Q968" s="33"/>
      <c r="R968" s="33"/>
      <c r="S968" s="33"/>
      <c r="T968" s="33"/>
      <c r="U968" s="33"/>
      <c r="V968" s="33"/>
      <c r="W968" s="33"/>
      <c r="X968" s="33"/>
      <c r="Y968" s="33"/>
      <c r="Z968" s="33"/>
    </row>
    <row r="969" spans="1:26" ht="13.5" customHeight="1">
      <c r="A969" s="33"/>
      <c r="B969" s="33"/>
      <c r="C969" s="33"/>
      <c r="D969" s="33"/>
      <c r="E969" s="33"/>
      <c r="F969" s="33"/>
      <c r="G969" s="33"/>
      <c r="H969" s="33"/>
      <c r="I969" s="33"/>
      <c r="J969" s="33"/>
      <c r="K969" s="33"/>
      <c r="L969" s="33"/>
      <c r="M969" s="33"/>
      <c r="N969" s="33"/>
      <c r="O969" s="33"/>
      <c r="P969" s="33"/>
      <c r="Q969" s="33"/>
      <c r="R969" s="33"/>
      <c r="S969" s="33"/>
      <c r="T969" s="33"/>
      <c r="U969" s="33"/>
      <c r="V969" s="33"/>
      <c r="W969" s="33"/>
      <c r="X969" s="33"/>
      <c r="Y969" s="33"/>
      <c r="Z969" s="33"/>
    </row>
    <row r="970" spans="1:26" ht="13.5" customHeight="1">
      <c r="A970" s="33"/>
      <c r="B970" s="33"/>
      <c r="C970" s="33"/>
      <c r="D970" s="33"/>
      <c r="E970" s="33"/>
      <c r="F970" s="33"/>
      <c r="G970" s="33"/>
      <c r="H970" s="33"/>
      <c r="I970" s="33"/>
      <c r="J970" s="33"/>
      <c r="K970" s="33"/>
      <c r="L970" s="33"/>
      <c r="M970" s="33"/>
      <c r="N970" s="33"/>
      <c r="O970" s="33"/>
      <c r="P970" s="33"/>
      <c r="Q970" s="33"/>
      <c r="R970" s="33"/>
      <c r="S970" s="33"/>
      <c r="T970" s="33"/>
      <c r="U970" s="33"/>
      <c r="V970" s="33"/>
      <c r="W970" s="33"/>
      <c r="X970" s="33"/>
      <c r="Y970" s="33"/>
      <c r="Z970" s="33"/>
    </row>
    <row r="971" spans="1:26" ht="13.5" customHeight="1">
      <c r="A971" s="33"/>
      <c r="B971" s="33"/>
      <c r="C971" s="33"/>
      <c r="D971" s="33"/>
      <c r="E971" s="33"/>
      <c r="F971" s="33"/>
      <c r="G971" s="33"/>
      <c r="H971" s="33"/>
      <c r="I971" s="33"/>
      <c r="J971" s="33"/>
      <c r="K971" s="33"/>
      <c r="L971" s="33"/>
      <c r="M971" s="33"/>
      <c r="N971" s="33"/>
      <c r="O971" s="33"/>
      <c r="P971" s="33"/>
      <c r="Q971" s="33"/>
      <c r="R971" s="33"/>
      <c r="S971" s="33"/>
      <c r="T971" s="33"/>
      <c r="U971" s="33"/>
      <c r="V971" s="33"/>
      <c r="W971" s="33"/>
      <c r="X971" s="33"/>
      <c r="Y971" s="33"/>
      <c r="Z971" s="33"/>
    </row>
    <row r="972" spans="1:26" ht="13.5" customHeight="1">
      <c r="A972" s="33"/>
      <c r="B972" s="33"/>
      <c r="C972" s="33"/>
      <c r="D972" s="33"/>
      <c r="E972" s="33"/>
      <c r="F972" s="33"/>
      <c r="G972" s="33"/>
      <c r="H972" s="33"/>
      <c r="I972" s="33"/>
      <c r="J972" s="33"/>
      <c r="K972" s="33"/>
      <c r="L972" s="33"/>
      <c r="M972" s="33"/>
      <c r="N972" s="33"/>
      <c r="O972" s="33"/>
      <c r="P972" s="33"/>
      <c r="Q972" s="33"/>
      <c r="R972" s="33"/>
      <c r="S972" s="33"/>
      <c r="T972" s="33"/>
      <c r="U972" s="33"/>
      <c r="V972" s="33"/>
      <c r="W972" s="33"/>
      <c r="X972" s="33"/>
      <c r="Y972" s="33"/>
      <c r="Z972" s="33"/>
    </row>
    <row r="973" spans="1:26" ht="13.5" customHeight="1">
      <c r="A973" s="33"/>
      <c r="B973" s="33"/>
      <c r="C973" s="33"/>
      <c r="D973" s="33"/>
      <c r="E973" s="33"/>
      <c r="F973" s="33"/>
      <c r="G973" s="33"/>
      <c r="H973" s="33"/>
      <c r="I973" s="33"/>
      <c r="J973" s="33"/>
      <c r="K973" s="33"/>
      <c r="L973" s="33"/>
      <c r="M973" s="33"/>
      <c r="N973" s="33"/>
      <c r="O973" s="33"/>
      <c r="P973" s="33"/>
      <c r="Q973" s="33"/>
      <c r="R973" s="33"/>
      <c r="S973" s="33"/>
      <c r="T973" s="33"/>
      <c r="U973" s="33"/>
      <c r="V973" s="33"/>
      <c r="W973" s="33"/>
      <c r="X973" s="33"/>
      <c r="Y973" s="33"/>
      <c r="Z973" s="33"/>
    </row>
    <row r="974" spans="1:26" ht="13.5" customHeight="1">
      <c r="A974" s="33"/>
      <c r="B974" s="33"/>
      <c r="C974" s="33"/>
      <c r="D974" s="33"/>
      <c r="E974" s="33"/>
      <c r="F974" s="33"/>
      <c r="G974" s="33"/>
      <c r="H974" s="33"/>
      <c r="I974" s="33"/>
      <c r="J974" s="33"/>
      <c r="K974" s="33"/>
      <c r="L974" s="33"/>
      <c r="M974" s="33"/>
      <c r="N974" s="33"/>
      <c r="O974" s="33"/>
      <c r="P974" s="33"/>
      <c r="Q974" s="33"/>
      <c r="R974" s="33"/>
      <c r="S974" s="33"/>
      <c r="T974" s="33"/>
      <c r="U974" s="33"/>
      <c r="V974" s="33"/>
      <c r="W974" s="33"/>
      <c r="X974" s="33"/>
      <c r="Y974" s="33"/>
      <c r="Z974" s="33"/>
    </row>
    <row r="975" spans="1:26" ht="13.5" customHeight="1">
      <c r="A975" s="33"/>
      <c r="B975" s="33"/>
      <c r="C975" s="33"/>
      <c r="D975" s="33"/>
      <c r="E975" s="33"/>
      <c r="F975" s="33"/>
      <c r="G975" s="33"/>
      <c r="H975" s="33"/>
      <c r="I975" s="33"/>
      <c r="J975" s="33"/>
      <c r="K975" s="33"/>
      <c r="L975" s="33"/>
      <c r="M975" s="33"/>
      <c r="N975" s="33"/>
      <c r="O975" s="33"/>
      <c r="P975" s="33"/>
      <c r="Q975" s="33"/>
      <c r="R975" s="33"/>
      <c r="S975" s="33"/>
      <c r="T975" s="33"/>
      <c r="U975" s="33"/>
      <c r="V975" s="33"/>
      <c r="W975" s="33"/>
      <c r="X975" s="33"/>
      <c r="Y975" s="33"/>
      <c r="Z975" s="33"/>
    </row>
    <row r="976" spans="1:26" ht="13.5" customHeight="1">
      <c r="A976" s="33"/>
      <c r="B976" s="33"/>
      <c r="C976" s="33"/>
      <c r="D976" s="33"/>
      <c r="E976" s="33"/>
      <c r="F976" s="33"/>
      <c r="G976" s="33"/>
      <c r="H976" s="33"/>
      <c r="I976" s="33"/>
      <c r="J976" s="33"/>
      <c r="K976" s="33"/>
      <c r="L976" s="33"/>
      <c r="M976" s="33"/>
      <c r="N976" s="33"/>
      <c r="O976" s="33"/>
      <c r="P976" s="33"/>
      <c r="Q976" s="33"/>
      <c r="R976" s="33"/>
      <c r="S976" s="33"/>
      <c r="T976" s="33"/>
      <c r="U976" s="33"/>
      <c r="V976" s="33"/>
      <c r="W976" s="33"/>
      <c r="X976" s="33"/>
      <c r="Y976" s="33"/>
      <c r="Z976" s="33"/>
    </row>
    <row r="977" spans="1:26" ht="13.5" customHeight="1">
      <c r="A977" s="33"/>
      <c r="B977" s="33"/>
      <c r="C977" s="33"/>
      <c r="D977" s="33"/>
      <c r="E977" s="33"/>
      <c r="F977" s="33"/>
      <c r="G977" s="33"/>
      <c r="H977" s="33"/>
      <c r="I977" s="33"/>
      <c r="J977" s="33"/>
      <c r="K977" s="33"/>
      <c r="L977" s="33"/>
      <c r="M977" s="33"/>
      <c r="N977" s="33"/>
      <c r="O977" s="33"/>
      <c r="P977" s="33"/>
      <c r="Q977" s="33"/>
      <c r="R977" s="33"/>
      <c r="S977" s="33"/>
      <c r="T977" s="33"/>
      <c r="U977" s="33"/>
      <c r="V977" s="33"/>
      <c r="W977" s="33"/>
      <c r="X977" s="33"/>
      <c r="Y977" s="33"/>
      <c r="Z977" s="33"/>
    </row>
    <row r="978" spans="1:26" ht="13.5" customHeight="1">
      <c r="A978" s="33"/>
      <c r="B978" s="33"/>
      <c r="C978" s="33"/>
      <c r="D978" s="33"/>
      <c r="E978" s="33"/>
      <c r="F978" s="33"/>
      <c r="G978" s="33"/>
      <c r="H978" s="33"/>
      <c r="I978" s="33"/>
      <c r="J978" s="33"/>
      <c r="K978" s="33"/>
      <c r="L978" s="33"/>
      <c r="M978" s="33"/>
      <c r="N978" s="33"/>
      <c r="O978" s="33"/>
      <c r="P978" s="33"/>
      <c r="Q978" s="33"/>
      <c r="R978" s="33"/>
      <c r="S978" s="33"/>
      <c r="T978" s="33"/>
      <c r="U978" s="33"/>
      <c r="V978" s="33"/>
      <c r="W978" s="33"/>
      <c r="X978" s="33"/>
      <c r="Y978" s="33"/>
      <c r="Z978" s="33"/>
    </row>
    <row r="979" spans="1:26" ht="13.5" customHeight="1">
      <c r="A979" s="33"/>
      <c r="B979" s="33"/>
      <c r="C979" s="33"/>
      <c r="D979" s="33"/>
      <c r="E979" s="33"/>
      <c r="F979" s="33"/>
      <c r="G979" s="33"/>
      <c r="H979" s="33"/>
      <c r="I979" s="33"/>
      <c r="J979" s="33"/>
      <c r="K979" s="33"/>
      <c r="L979" s="33"/>
      <c r="M979" s="33"/>
      <c r="N979" s="33"/>
      <c r="O979" s="33"/>
      <c r="P979" s="33"/>
      <c r="Q979" s="33"/>
      <c r="R979" s="33"/>
      <c r="S979" s="33"/>
      <c r="T979" s="33"/>
      <c r="U979" s="33"/>
      <c r="V979" s="33"/>
      <c r="W979" s="33"/>
      <c r="X979" s="33"/>
      <c r="Y979" s="33"/>
      <c r="Z979" s="33"/>
    </row>
    <row r="980" spans="1:26" ht="13.5" customHeight="1">
      <c r="A980" s="33"/>
      <c r="B980" s="33"/>
      <c r="C980" s="33"/>
      <c r="D980" s="33"/>
      <c r="E980" s="33"/>
      <c r="F980" s="33"/>
      <c r="G980" s="33"/>
      <c r="H980" s="33"/>
      <c r="I980" s="33"/>
      <c r="J980" s="33"/>
      <c r="K980" s="33"/>
      <c r="L980" s="33"/>
      <c r="M980" s="33"/>
      <c r="N980" s="33"/>
      <c r="O980" s="33"/>
      <c r="P980" s="33"/>
      <c r="Q980" s="33"/>
      <c r="R980" s="33"/>
      <c r="S980" s="33"/>
      <c r="T980" s="33"/>
      <c r="U980" s="33"/>
      <c r="V980" s="33"/>
      <c r="W980" s="33"/>
      <c r="X980" s="33"/>
      <c r="Y980" s="33"/>
      <c r="Z980" s="33"/>
    </row>
    <row r="981" spans="1:26" ht="13.5" customHeight="1">
      <c r="A981" s="33"/>
      <c r="B981" s="33"/>
      <c r="C981" s="33"/>
      <c r="D981" s="33"/>
      <c r="E981" s="33"/>
      <c r="F981" s="33"/>
      <c r="G981" s="33"/>
      <c r="H981" s="33"/>
      <c r="I981" s="33"/>
      <c r="J981" s="33"/>
      <c r="K981" s="33"/>
      <c r="L981" s="33"/>
      <c r="M981" s="33"/>
      <c r="N981" s="33"/>
      <c r="O981" s="33"/>
      <c r="P981" s="33"/>
      <c r="Q981" s="33"/>
      <c r="R981" s="33"/>
      <c r="S981" s="33"/>
      <c r="T981" s="33"/>
      <c r="U981" s="33"/>
      <c r="V981" s="33"/>
      <c r="W981" s="33"/>
      <c r="X981" s="33"/>
      <c r="Y981" s="33"/>
      <c r="Z981" s="33"/>
    </row>
    <row r="982" spans="1:26" ht="13.5" customHeight="1">
      <c r="A982" s="33"/>
      <c r="B982" s="33"/>
      <c r="C982" s="33"/>
      <c r="D982" s="33"/>
      <c r="E982" s="33"/>
      <c r="F982" s="33"/>
      <c r="G982" s="33"/>
      <c r="H982" s="33"/>
      <c r="I982" s="33"/>
      <c r="J982" s="33"/>
      <c r="K982" s="33"/>
      <c r="L982" s="33"/>
      <c r="M982" s="33"/>
      <c r="N982" s="33"/>
      <c r="O982" s="33"/>
      <c r="P982" s="33"/>
      <c r="Q982" s="33"/>
      <c r="R982" s="33"/>
      <c r="S982" s="33"/>
      <c r="T982" s="33"/>
      <c r="U982" s="33"/>
      <c r="V982" s="33"/>
      <c r="W982" s="33"/>
      <c r="X982" s="33"/>
      <c r="Y982" s="33"/>
      <c r="Z982" s="33"/>
    </row>
    <row r="983" spans="1:26" ht="13.5" customHeight="1">
      <c r="A983" s="33"/>
      <c r="B983" s="33"/>
      <c r="C983" s="33"/>
      <c r="D983" s="33"/>
      <c r="E983" s="33"/>
      <c r="F983" s="33"/>
      <c r="G983" s="33"/>
      <c r="H983" s="33"/>
      <c r="I983" s="33"/>
      <c r="J983" s="33"/>
      <c r="K983" s="33"/>
      <c r="L983" s="33"/>
      <c r="M983" s="33"/>
      <c r="N983" s="33"/>
      <c r="O983" s="33"/>
      <c r="P983" s="33"/>
      <c r="Q983" s="33"/>
      <c r="R983" s="33"/>
      <c r="S983" s="33"/>
      <c r="T983" s="33"/>
      <c r="U983" s="33"/>
      <c r="V983" s="33"/>
      <c r="W983" s="33"/>
      <c r="X983" s="33"/>
      <c r="Y983" s="33"/>
      <c r="Z983" s="33"/>
    </row>
    <row r="984" spans="1:26" ht="13.5" customHeight="1">
      <c r="A984" s="33"/>
      <c r="B984" s="33"/>
      <c r="C984" s="33"/>
      <c r="D984" s="33"/>
      <c r="E984" s="33"/>
      <c r="F984" s="33"/>
      <c r="G984" s="33"/>
      <c r="H984" s="33"/>
      <c r="I984" s="33"/>
      <c r="J984" s="33"/>
      <c r="K984" s="33"/>
      <c r="L984" s="33"/>
      <c r="M984" s="33"/>
      <c r="N984" s="33"/>
      <c r="O984" s="33"/>
      <c r="P984" s="33"/>
      <c r="Q984" s="33"/>
      <c r="R984" s="33"/>
      <c r="S984" s="33"/>
      <c r="T984" s="33"/>
      <c r="U984" s="33"/>
      <c r="V984" s="33"/>
      <c r="W984" s="33"/>
      <c r="X984" s="33"/>
      <c r="Y984" s="33"/>
      <c r="Z984" s="33"/>
    </row>
    <row r="985" spans="1:26" ht="13.5" customHeight="1">
      <c r="A985" s="33"/>
      <c r="B985" s="33"/>
      <c r="C985" s="33"/>
      <c r="D985" s="33"/>
      <c r="E985" s="33"/>
      <c r="F985" s="33"/>
      <c r="G985" s="33"/>
      <c r="H985" s="33"/>
      <c r="I985" s="33"/>
      <c r="J985" s="33"/>
      <c r="K985" s="33"/>
      <c r="L985" s="33"/>
      <c r="M985" s="33"/>
      <c r="N985" s="33"/>
      <c r="O985" s="33"/>
      <c r="P985" s="33"/>
      <c r="Q985" s="33"/>
      <c r="R985" s="33"/>
      <c r="S985" s="33"/>
      <c r="T985" s="33"/>
      <c r="U985" s="33"/>
      <c r="V985" s="33"/>
      <c r="W985" s="33"/>
      <c r="X985" s="33"/>
      <c r="Y985" s="33"/>
      <c r="Z985" s="33"/>
    </row>
    <row r="986" spans="1:26" ht="13.5" customHeight="1">
      <c r="A986" s="33"/>
      <c r="B986" s="33"/>
      <c r="C986" s="33"/>
      <c r="D986" s="33"/>
      <c r="E986" s="33"/>
      <c r="F986" s="33"/>
      <c r="G986" s="33"/>
      <c r="H986" s="33"/>
      <c r="I986" s="33"/>
      <c r="J986" s="33"/>
      <c r="K986" s="33"/>
      <c r="L986" s="33"/>
      <c r="M986" s="33"/>
      <c r="N986" s="33"/>
      <c r="O986" s="33"/>
      <c r="P986" s="33"/>
      <c r="Q986" s="33"/>
      <c r="R986" s="33"/>
      <c r="S986" s="33"/>
      <c r="T986" s="33"/>
      <c r="U986" s="33"/>
      <c r="V986" s="33"/>
      <c r="W986" s="33"/>
      <c r="X986" s="33"/>
      <c r="Y986" s="33"/>
      <c r="Z986" s="33"/>
    </row>
    <row r="987" spans="1:26" ht="13.5" customHeight="1">
      <c r="A987" s="33"/>
      <c r="B987" s="33"/>
      <c r="C987" s="33"/>
      <c r="D987" s="33"/>
      <c r="E987" s="33"/>
      <c r="F987" s="33"/>
      <c r="G987" s="33"/>
      <c r="H987" s="33"/>
      <c r="I987" s="33"/>
      <c r="J987" s="33"/>
      <c r="K987" s="33"/>
      <c r="L987" s="33"/>
      <c r="M987" s="33"/>
      <c r="N987" s="33"/>
      <c r="O987" s="33"/>
      <c r="P987" s="33"/>
      <c r="Q987" s="33"/>
      <c r="R987" s="33"/>
      <c r="S987" s="33"/>
      <c r="T987" s="33"/>
      <c r="U987" s="33"/>
      <c r="V987" s="33"/>
      <c r="W987" s="33"/>
      <c r="X987" s="33"/>
      <c r="Y987" s="33"/>
      <c r="Z987" s="33"/>
    </row>
    <row r="988" spans="1:26" ht="13.5" customHeight="1">
      <c r="A988" s="33"/>
      <c r="B988" s="33"/>
      <c r="C988" s="33"/>
      <c r="D988" s="33"/>
      <c r="E988" s="33"/>
      <c r="F988" s="33"/>
      <c r="G988" s="33"/>
      <c r="H988" s="33"/>
      <c r="I988" s="33"/>
      <c r="J988" s="33"/>
      <c r="K988" s="33"/>
      <c r="L988" s="33"/>
      <c r="M988" s="33"/>
      <c r="N988" s="33"/>
      <c r="O988" s="33"/>
      <c r="P988" s="33"/>
      <c r="Q988" s="33"/>
      <c r="R988" s="33"/>
      <c r="S988" s="33"/>
      <c r="T988" s="33"/>
      <c r="U988" s="33"/>
      <c r="V988" s="33"/>
      <c r="W988" s="33"/>
      <c r="X988" s="33"/>
      <c r="Y988" s="33"/>
      <c r="Z988" s="33"/>
    </row>
    <row r="989" spans="1:26" ht="13.5" customHeight="1">
      <c r="A989" s="33"/>
      <c r="B989" s="33"/>
      <c r="C989" s="33"/>
      <c r="D989" s="33"/>
      <c r="E989" s="33"/>
      <c r="F989" s="33"/>
      <c r="G989" s="33"/>
      <c r="H989" s="33"/>
      <c r="I989" s="33"/>
      <c r="J989" s="33"/>
      <c r="K989" s="33"/>
      <c r="L989" s="33"/>
      <c r="M989" s="33"/>
      <c r="N989" s="33"/>
      <c r="O989" s="33"/>
      <c r="P989" s="33"/>
      <c r="Q989" s="33"/>
      <c r="R989" s="33"/>
      <c r="S989" s="33"/>
      <c r="T989" s="33"/>
      <c r="U989" s="33"/>
      <c r="V989" s="33"/>
      <c r="W989" s="33"/>
      <c r="X989" s="33"/>
      <c r="Y989" s="33"/>
      <c r="Z989" s="33"/>
    </row>
    <row r="990" spans="1:26" ht="13.5" customHeight="1">
      <c r="A990" s="33"/>
      <c r="B990" s="33"/>
      <c r="C990" s="33"/>
      <c r="D990" s="33"/>
      <c r="E990" s="33"/>
      <c r="F990" s="33"/>
      <c r="G990" s="33"/>
      <c r="H990" s="33"/>
      <c r="I990" s="33"/>
      <c r="J990" s="33"/>
      <c r="K990" s="33"/>
      <c r="L990" s="33"/>
      <c r="M990" s="33"/>
      <c r="N990" s="33"/>
      <c r="O990" s="33"/>
      <c r="P990" s="33"/>
      <c r="Q990" s="33"/>
      <c r="R990" s="33"/>
      <c r="S990" s="33"/>
      <c r="T990" s="33"/>
      <c r="U990" s="33"/>
      <c r="V990" s="33"/>
      <c r="W990" s="33"/>
      <c r="X990" s="33"/>
      <c r="Y990" s="33"/>
      <c r="Z990" s="33"/>
    </row>
    <row r="991" spans="1:26" ht="13.5" customHeight="1">
      <c r="A991" s="33"/>
      <c r="B991" s="33"/>
      <c r="C991" s="33"/>
      <c r="D991" s="33"/>
      <c r="E991" s="33"/>
      <c r="F991" s="33"/>
      <c r="G991" s="33"/>
      <c r="H991" s="33"/>
      <c r="I991" s="33"/>
      <c r="J991" s="33"/>
      <c r="K991" s="33"/>
      <c r="L991" s="33"/>
      <c r="M991" s="33"/>
      <c r="N991" s="33"/>
      <c r="O991" s="33"/>
      <c r="P991" s="33"/>
      <c r="Q991" s="33"/>
      <c r="R991" s="33"/>
      <c r="S991" s="33"/>
      <c r="T991" s="33"/>
      <c r="U991" s="33"/>
      <c r="V991" s="33"/>
      <c r="W991" s="33"/>
      <c r="X991" s="33"/>
      <c r="Y991" s="33"/>
      <c r="Z991" s="33"/>
    </row>
    <row r="992" spans="1:26" ht="13.5" customHeight="1">
      <c r="A992" s="33"/>
      <c r="B992" s="33"/>
      <c r="C992" s="33"/>
      <c r="D992" s="33"/>
      <c r="E992" s="33"/>
      <c r="F992" s="33"/>
      <c r="G992" s="33"/>
      <c r="H992" s="33"/>
      <c r="I992" s="33"/>
      <c r="J992" s="33"/>
      <c r="K992" s="33"/>
      <c r="L992" s="33"/>
      <c r="M992" s="33"/>
      <c r="N992" s="33"/>
      <c r="O992" s="33"/>
      <c r="P992" s="33"/>
      <c r="Q992" s="33"/>
      <c r="R992" s="33"/>
      <c r="S992" s="33"/>
      <c r="T992" s="33"/>
      <c r="U992" s="33"/>
      <c r="V992" s="33"/>
      <c r="W992" s="33"/>
      <c r="X992" s="33"/>
      <c r="Y992" s="33"/>
      <c r="Z992" s="33"/>
    </row>
    <row r="993" spans="1:26" ht="13.5" customHeight="1">
      <c r="A993" s="33"/>
      <c r="B993" s="33"/>
      <c r="C993" s="33"/>
      <c r="D993" s="33"/>
      <c r="E993" s="33"/>
      <c r="F993" s="33"/>
      <c r="G993" s="33"/>
      <c r="H993" s="33"/>
      <c r="I993" s="33"/>
      <c r="J993" s="33"/>
      <c r="K993" s="33"/>
      <c r="L993" s="33"/>
      <c r="M993" s="33"/>
      <c r="N993" s="33"/>
      <c r="O993" s="33"/>
      <c r="P993" s="33"/>
      <c r="Q993" s="33"/>
      <c r="R993" s="33"/>
      <c r="S993" s="33"/>
      <c r="T993" s="33"/>
      <c r="U993" s="33"/>
      <c r="V993" s="33"/>
      <c r="W993" s="33"/>
      <c r="X993" s="33"/>
      <c r="Y993" s="33"/>
      <c r="Z993" s="33"/>
    </row>
    <row r="994" spans="1:26" ht="13.5" customHeight="1">
      <c r="A994" s="33"/>
      <c r="B994" s="33"/>
      <c r="C994" s="33"/>
      <c r="D994" s="33"/>
      <c r="E994" s="33"/>
      <c r="F994" s="33"/>
      <c r="G994" s="33"/>
      <c r="H994" s="33"/>
      <c r="I994" s="33"/>
      <c r="J994" s="33"/>
      <c r="K994" s="33"/>
      <c r="L994" s="33"/>
      <c r="M994" s="33"/>
      <c r="N994" s="33"/>
      <c r="O994" s="33"/>
      <c r="P994" s="33"/>
      <c r="Q994" s="33"/>
      <c r="R994" s="33"/>
      <c r="S994" s="33"/>
      <c r="T994" s="33"/>
      <c r="U994" s="33"/>
      <c r="V994" s="33"/>
      <c r="W994" s="33"/>
      <c r="X994" s="33"/>
      <c r="Y994" s="33"/>
      <c r="Z994" s="33"/>
    </row>
    <row r="995" spans="1:26" ht="13.5" customHeight="1">
      <c r="A995" s="33"/>
      <c r="B995" s="33"/>
      <c r="C995" s="33"/>
      <c r="D995" s="33"/>
      <c r="E995" s="33"/>
      <c r="F995" s="33"/>
      <c r="G995" s="33"/>
      <c r="H995" s="33"/>
      <c r="I995" s="33"/>
      <c r="J995" s="33"/>
      <c r="K995" s="33"/>
      <c r="L995" s="33"/>
      <c r="M995" s="33"/>
      <c r="N995" s="33"/>
      <c r="O995" s="33"/>
      <c r="P995" s="33"/>
      <c r="Q995" s="33"/>
      <c r="R995" s="33"/>
      <c r="S995" s="33"/>
      <c r="T995" s="33"/>
      <c r="U995" s="33"/>
      <c r="V995" s="33"/>
      <c r="W995" s="33"/>
      <c r="X995" s="33"/>
      <c r="Y995" s="33"/>
      <c r="Z995" s="33"/>
    </row>
    <row r="996" spans="1:26" ht="13.5" customHeight="1">
      <c r="A996" s="33"/>
      <c r="B996" s="33"/>
      <c r="C996" s="33"/>
      <c r="D996" s="33"/>
      <c r="E996" s="33"/>
      <c r="F996" s="33"/>
      <c r="G996" s="33"/>
      <c r="H996" s="33"/>
      <c r="I996" s="33"/>
      <c r="J996" s="33"/>
      <c r="K996" s="33"/>
      <c r="L996" s="33"/>
      <c r="M996" s="33"/>
      <c r="N996" s="33"/>
      <c r="O996" s="33"/>
      <c r="P996" s="33"/>
      <c r="Q996" s="33"/>
      <c r="R996" s="33"/>
      <c r="S996" s="33"/>
      <c r="T996" s="33"/>
      <c r="U996" s="33"/>
      <c r="V996" s="33"/>
      <c r="W996" s="33"/>
      <c r="X996" s="33"/>
      <c r="Y996" s="33"/>
      <c r="Z996" s="33"/>
    </row>
    <row r="997" spans="1:26" ht="13.5" customHeight="1">
      <c r="A997" s="33"/>
      <c r="B997" s="33"/>
      <c r="C997" s="33"/>
      <c r="D997" s="33"/>
      <c r="E997" s="33"/>
      <c r="F997" s="33"/>
      <c r="G997" s="33"/>
      <c r="H997" s="33"/>
      <c r="I997" s="33"/>
      <c r="J997" s="33"/>
      <c r="K997" s="33"/>
      <c r="L997" s="33"/>
      <c r="M997" s="33"/>
      <c r="N997" s="33"/>
      <c r="O997" s="33"/>
      <c r="P997" s="33"/>
      <c r="Q997" s="33"/>
      <c r="R997" s="33"/>
      <c r="S997" s="33"/>
      <c r="T997" s="33"/>
      <c r="U997" s="33"/>
      <c r="V997" s="33"/>
      <c r="W997" s="33"/>
      <c r="X997" s="33"/>
      <c r="Y997" s="33"/>
      <c r="Z997" s="33"/>
    </row>
    <row r="998" spans="1:26" ht="13.5" customHeight="1">
      <c r="A998" s="33"/>
      <c r="B998" s="33"/>
      <c r="C998" s="33"/>
      <c r="D998" s="33"/>
      <c r="E998" s="33"/>
      <c r="F998" s="33"/>
      <c r="G998" s="33"/>
      <c r="H998" s="33"/>
      <c r="I998" s="33"/>
      <c r="J998" s="33"/>
      <c r="K998" s="33"/>
      <c r="L998" s="33"/>
      <c r="M998" s="33"/>
      <c r="N998" s="33"/>
      <c r="O998" s="33"/>
      <c r="P998" s="33"/>
      <c r="Q998" s="33"/>
      <c r="R998" s="33"/>
      <c r="S998" s="33"/>
      <c r="T998" s="33"/>
      <c r="U998" s="33"/>
      <c r="V998" s="33"/>
      <c r="W998" s="33"/>
      <c r="X998" s="33"/>
      <c r="Y998" s="33"/>
      <c r="Z998" s="33"/>
    </row>
    <row r="999" spans="1:26" ht="13.5" customHeight="1">
      <c r="A999" s="33"/>
      <c r="B999" s="33"/>
      <c r="C999" s="33"/>
      <c r="D999" s="33"/>
      <c r="E999" s="33"/>
      <c r="F999" s="33"/>
      <c r="G999" s="33"/>
      <c r="H999" s="33"/>
      <c r="I999" s="33"/>
      <c r="J999" s="33"/>
      <c r="K999" s="33"/>
      <c r="L999" s="33"/>
      <c r="M999" s="33"/>
      <c r="N999" s="33"/>
      <c r="O999" s="33"/>
      <c r="P999" s="33"/>
      <c r="Q999" s="33"/>
      <c r="R999" s="33"/>
      <c r="S999" s="33"/>
      <c r="T999" s="33"/>
      <c r="U999" s="33"/>
      <c r="V999" s="33"/>
      <c r="W999" s="33"/>
      <c r="X999" s="33"/>
      <c r="Y999" s="33"/>
      <c r="Z999" s="33"/>
    </row>
    <row r="1000" spans="1:26" ht="13.5" customHeight="1">
      <c r="A1000" s="33"/>
      <c r="B1000" s="33"/>
      <c r="C1000" s="33"/>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3"/>
      <c r="Z1000" s="33"/>
    </row>
    <row r="1001" spans="1:26" ht="13.5" customHeight="1">
      <c r="A1001" s="33"/>
      <c r="B1001" s="33"/>
      <c r="C1001" s="33"/>
      <c r="D1001" s="33"/>
      <c r="E1001" s="33"/>
      <c r="F1001" s="33"/>
      <c r="G1001" s="33"/>
      <c r="H1001" s="33"/>
      <c r="I1001" s="33"/>
      <c r="J1001" s="33"/>
      <c r="K1001" s="33"/>
      <c r="L1001" s="33"/>
      <c r="M1001" s="33"/>
      <c r="N1001" s="33"/>
      <c r="O1001" s="33"/>
      <c r="P1001" s="33"/>
      <c r="Q1001" s="33"/>
      <c r="R1001" s="33"/>
      <c r="S1001" s="33"/>
      <c r="T1001" s="33"/>
      <c r="U1001" s="33"/>
      <c r="V1001" s="33"/>
      <c r="W1001" s="33"/>
      <c r="X1001" s="33"/>
      <c r="Y1001" s="33"/>
      <c r="Z1001" s="33"/>
    </row>
    <row r="1002" spans="1:26" ht="13.5" customHeight="1">
      <c r="A1002" s="33"/>
      <c r="B1002" s="33"/>
      <c r="C1002" s="33"/>
      <c r="D1002" s="33"/>
      <c r="E1002" s="33"/>
      <c r="F1002" s="33"/>
      <c r="G1002" s="33"/>
      <c r="H1002" s="33"/>
      <c r="I1002" s="33"/>
      <c r="J1002" s="33"/>
      <c r="K1002" s="33"/>
      <c r="L1002" s="33"/>
      <c r="M1002" s="33"/>
      <c r="N1002" s="33"/>
      <c r="O1002" s="33"/>
      <c r="P1002" s="33"/>
      <c r="Q1002" s="33"/>
      <c r="R1002" s="33"/>
      <c r="S1002" s="33"/>
      <c r="T1002" s="33"/>
      <c r="U1002" s="33"/>
      <c r="V1002" s="33"/>
      <c r="W1002" s="33"/>
      <c r="X1002" s="33"/>
      <c r="Y1002" s="33"/>
      <c r="Z1002" s="33"/>
    </row>
    <row r="1003" spans="1:26" ht="13.5" customHeight="1">
      <c r="A1003" s="33"/>
      <c r="B1003" s="33"/>
      <c r="C1003" s="33"/>
      <c r="D1003" s="33"/>
      <c r="E1003" s="33"/>
      <c r="F1003" s="33"/>
      <c r="G1003" s="33"/>
      <c r="H1003" s="33"/>
      <c r="I1003" s="33"/>
      <c r="J1003" s="33"/>
      <c r="K1003" s="33"/>
      <c r="L1003" s="33"/>
      <c r="M1003" s="33"/>
      <c r="N1003" s="33"/>
      <c r="O1003" s="33"/>
      <c r="P1003" s="33"/>
      <c r="Q1003" s="33"/>
      <c r="R1003" s="33"/>
      <c r="S1003" s="33"/>
      <c r="T1003" s="33"/>
      <c r="U1003" s="33"/>
      <c r="V1003" s="33"/>
      <c r="W1003" s="33"/>
      <c r="X1003" s="33"/>
      <c r="Y1003" s="33"/>
      <c r="Z1003" s="33"/>
    </row>
    <row r="1004" spans="1:26" ht="13.5" customHeight="1">
      <c r="A1004" s="33"/>
      <c r="B1004" s="33"/>
      <c r="C1004" s="33"/>
      <c r="D1004" s="33"/>
      <c r="E1004" s="33"/>
      <c r="F1004" s="33"/>
      <c r="G1004" s="33"/>
      <c r="H1004" s="33"/>
      <c r="I1004" s="33"/>
      <c r="J1004" s="33"/>
      <c r="K1004" s="33"/>
      <c r="L1004" s="33"/>
      <c r="M1004" s="33"/>
      <c r="N1004" s="33"/>
      <c r="O1004" s="33"/>
      <c r="P1004" s="33"/>
      <c r="Q1004" s="33"/>
      <c r="R1004" s="33"/>
      <c r="S1004" s="33"/>
      <c r="T1004" s="33"/>
      <c r="U1004" s="33"/>
      <c r="V1004" s="33"/>
      <c r="W1004" s="33"/>
      <c r="X1004" s="33"/>
      <c r="Y1004" s="33"/>
      <c r="Z1004" s="33"/>
    </row>
    <row r="1005" spans="1:26" ht="13.5" customHeight="1">
      <c r="A1005" s="33"/>
      <c r="B1005" s="33"/>
      <c r="C1005" s="33"/>
      <c r="D1005" s="33"/>
      <c r="E1005" s="33"/>
      <c r="F1005" s="33"/>
      <c r="G1005" s="33"/>
      <c r="H1005" s="33"/>
      <c r="I1005" s="33"/>
      <c r="J1005" s="33"/>
      <c r="K1005" s="33"/>
      <c r="L1005" s="33"/>
      <c r="M1005" s="33"/>
      <c r="N1005" s="33"/>
      <c r="O1005" s="33"/>
      <c r="P1005" s="33"/>
      <c r="Q1005" s="33"/>
      <c r="R1005" s="33"/>
      <c r="S1005" s="33"/>
      <c r="T1005" s="33"/>
      <c r="U1005" s="33"/>
      <c r="V1005" s="33"/>
      <c r="W1005" s="33"/>
      <c r="X1005" s="33"/>
      <c r="Y1005" s="33"/>
      <c r="Z1005" s="33"/>
    </row>
    <row r="1006" spans="1:26" ht="13.5" customHeight="1">
      <c r="A1006" s="33"/>
      <c r="B1006" s="33"/>
      <c r="C1006" s="33"/>
      <c r="D1006" s="33"/>
      <c r="E1006" s="33"/>
      <c r="F1006" s="33"/>
      <c r="G1006" s="33"/>
      <c r="H1006" s="33"/>
      <c r="I1006" s="33"/>
      <c r="J1006" s="33"/>
      <c r="K1006" s="33"/>
      <c r="L1006" s="33"/>
      <c r="M1006" s="33"/>
      <c r="N1006" s="33"/>
      <c r="O1006" s="33"/>
      <c r="P1006" s="33"/>
      <c r="Q1006" s="33"/>
      <c r="R1006" s="33"/>
      <c r="S1006" s="33"/>
      <c r="T1006" s="33"/>
      <c r="U1006" s="33"/>
      <c r="V1006" s="33"/>
      <c r="W1006" s="33"/>
      <c r="X1006" s="33"/>
      <c r="Y1006" s="33"/>
      <c r="Z1006" s="33"/>
    </row>
    <row r="1007" spans="1:26" ht="13.5" customHeight="1">
      <c r="A1007" s="33"/>
      <c r="B1007" s="33"/>
      <c r="C1007" s="33"/>
      <c r="D1007" s="33"/>
      <c r="E1007" s="33"/>
      <c r="F1007" s="33"/>
      <c r="G1007" s="33"/>
      <c r="H1007" s="33"/>
      <c r="I1007" s="33"/>
      <c r="J1007" s="33"/>
      <c r="K1007" s="33"/>
      <c r="L1007" s="33"/>
      <c r="M1007" s="33"/>
      <c r="N1007" s="33"/>
      <c r="O1007" s="33"/>
      <c r="P1007" s="33"/>
      <c r="Q1007" s="33"/>
      <c r="R1007" s="33"/>
      <c r="S1007" s="33"/>
      <c r="T1007" s="33"/>
      <c r="U1007" s="33"/>
      <c r="V1007" s="33"/>
      <c r="W1007" s="33"/>
      <c r="X1007" s="33"/>
      <c r="Y1007" s="33"/>
      <c r="Z1007" s="33"/>
    </row>
    <row r="1008" spans="1:26" ht="13.5" customHeight="1">
      <c r="A1008" s="33"/>
      <c r="B1008" s="33"/>
      <c r="C1008" s="33"/>
      <c r="D1008" s="33"/>
      <c r="E1008" s="33"/>
      <c r="F1008" s="33"/>
      <c r="G1008" s="33"/>
      <c r="H1008" s="33"/>
      <c r="I1008" s="33"/>
      <c r="J1008" s="33"/>
      <c r="K1008" s="33"/>
      <c r="L1008" s="33"/>
      <c r="M1008" s="33"/>
      <c r="N1008" s="33"/>
      <c r="O1008" s="33"/>
      <c r="P1008" s="33"/>
      <c r="Q1008" s="33"/>
      <c r="R1008" s="33"/>
      <c r="S1008" s="33"/>
      <c r="T1008" s="33"/>
      <c r="U1008" s="33"/>
      <c r="V1008" s="33"/>
      <c r="W1008" s="33"/>
      <c r="X1008" s="33"/>
      <c r="Y1008" s="33"/>
      <c r="Z1008" s="33"/>
    </row>
    <row r="1009" spans="1:26" ht="13.5" customHeight="1">
      <c r="A1009" s="33"/>
      <c r="B1009" s="33"/>
      <c r="C1009" s="33"/>
      <c r="D1009" s="33"/>
      <c r="E1009" s="33"/>
      <c r="F1009" s="33"/>
      <c r="G1009" s="33"/>
      <c r="H1009" s="33"/>
      <c r="I1009" s="33"/>
      <c r="J1009" s="33"/>
      <c r="K1009" s="33"/>
      <c r="L1009" s="33"/>
      <c r="M1009" s="33"/>
      <c r="N1009" s="33"/>
      <c r="O1009" s="33"/>
      <c r="P1009" s="33"/>
      <c r="Q1009" s="33"/>
      <c r="R1009" s="33"/>
      <c r="S1009" s="33"/>
      <c r="T1009" s="33"/>
      <c r="U1009" s="33"/>
      <c r="V1009" s="33"/>
      <c r="W1009" s="33"/>
      <c r="X1009" s="33"/>
      <c r="Y1009" s="33"/>
      <c r="Z1009" s="33"/>
    </row>
    <row r="1010" spans="1:26" ht="13.5" customHeight="1">
      <c r="A1010" s="33"/>
      <c r="B1010" s="33"/>
      <c r="C1010" s="33"/>
      <c r="D1010" s="33"/>
      <c r="E1010" s="33"/>
      <c r="F1010" s="33"/>
      <c r="G1010" s="33"/>
      <c r="H1010" s="33"/>
      <c r="I1010" s="33"/>
      <c r="J1010" s="33"/>
      <c r="K1010" s="33"/>
      <c r="L1010" s="33"/>
      <c r="M1010" s="33"/>
      <c r="N1010" s="33"/>
      <c r="O1010" s="33"/>
      <c r="P1010" s="33"/>
      <c r="Q1010" s="33"/>
      <c r="R1010" s="33"/>
      <c r="S1010" s="33"/>
      <c r="T1010" s="33"/>
      <c r="U1010" s="33"/>
      <c r="V1010" s="33"/>
      <c r="W1010" s="33"/>
      <c r="X1010" s="33"/>
      <c r="Y1010" s="33"/>
      <c r="Z1010" s="33"/>
    </row>
    <row r="1011" spans="1:26" ht="13.5" customHeight="1">
      <c r="A1011" s="33"/>
      <c r="B1011" s="33"/>
      <c r="C1011" s="33"/>
      <c r="D1011" s="33"/>
      <c r="E1011" s="33"/>
      <c r="F1011" s="33"/>
      <c r="G1011" s="33"/>
      <c r="H1011" s="33"/>
      <c r="I1011" s="33"/>
      <c r="J1011" s="33"/>
      <c r="K1011" s="33"/>
      <c r="L1011" s="33"/>
      <c r="M1011" s="33"/>
      <c r="N1011" s="33"/>
      <c r="O1011" s="33"/>
      <c r="P1011" s="33"/>
      <c r="Q1011" s="33"/>
      <c r="R1011" s="33"/>
      <c r="S1011" s="33"/>
      <c r="T1011" s="33"/>
      <c r="U1011" s="33"/>
      <c r="V1011" s="33"/>
      <c r="W1011" s="33"/>
      <c r="X1011" s="33"/>
      <c r="Y1011" s="33"/>
      <c r="Z1011" s="33"/>
    </row>
    <row r="1012" spans="1:26" ht="13.5" customHeight="1">
      <c r="A1012" s="33"/>
      <c r="B1012" s="33"/>
      <c r="C1012" s="33"/>
      <c r="D1012" s="33"/>
      <c r="E1012" s="33"/>
      <c r="F1012" s="33"/>
      <c r="G1012" s="33"/>
      <c r="H1012" s="33"/>
      <c r="I1012" s="33"/>
      <c r="J1012" s="33"/>
      <c r="K1012" s="33"/>
      <c r="L1012" s="33"/>
      <c r="M1012" s="33"/>
      <c r="N1012" s="33"/>
      <c r="O1012" s="33"/>
      <c r="P1012" s="33"/>
      <c r="Q1012" s="33"/>
      <c r="R1012" s="33"/>
      <c r="S1012" s="33"/>
      <c r="T1012" s="33"/>
      <c r="U1012" s="33"/>
      <c r="V1012" s="33"/>
      <c r="W1012" s="33"/>
      <c r="X1012" s="33"/>
      <c r="Y1012" s="33"/>
      <c r="Z1012" s="33"/>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10.1 Payroll</vt:lpstr>
      <vt:lpstr>10.2 Revenue&amp;Expenditure</vt:lpstr>
      <vt:lpstr>SelectDept</vt:lpstr>
      <vt:lpstr>Level I_Departments</vt:lpstr>
      <vt:lpstr>Level IIandIII_Departments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mayona-pi</cp:lastModifiedBy>
  <dcterms:created xsi:type="dcterms:W3CDTF">2018-05-11T10:00:25Z</dcterms:created>
  <dcterms:modified xsi:type="dcterms:W3CDTF">2018-06-20T06:08:51Z</dcterms:modified>
</cp:coreProperties>
</file>