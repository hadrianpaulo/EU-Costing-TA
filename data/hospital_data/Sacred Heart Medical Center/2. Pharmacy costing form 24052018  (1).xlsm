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workbookProtection lockStructure="1"/>
  <bookViews>
    <workbookView xWindow="0" yWindow="0" windowWidth="19200" windowHeight="7050" tabRatio="871"/>
  </bookViews>
  <sheets>
    <sheet name="2.1 Drug&amp;Supplies_Amount" sheetId="23" r:id="rId1"/>
    <sheet name="2.2 Drug&amp;Meds_Consumption" sheetId="14" r:id="rId2"/>
    <sheet name="2.3 Supplies_Consumption" sheetId="20" r:id="rId3"/>
  </sheets>
  <definedNames>
    <definedName name="Drugs" localSheetId="0">#REF!</definedName>
    <definedName name="Drugs" localSheetId="2">#REF!</definedName>
    <definedName name="Drugs">#REF!</definedName>
    <definedName name="_xlnm.Print_Area" localSheetId="0">'2.1 Drug&amp;Supplies_Amount'!$B$1:$E$130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4" i="20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H366" i="14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DR13"/>
  <c r="DZ14" i="20"/>
  <c r="DZ15"/>
  <c r="DZ16"/>
  <c r="DZ17"/>
  <c r="DZ18"/>
  <c r="DZ19"/>
  <c r="DZ20"/>
  <c r="DZ21"/>
  <c r="DZ22"/>
  <c r="DZ23"/>
  <c r="DZ24"/>
  <c r="DZ25"/>
  <c r="DZ26"/>
  <c r="DZ27"/>
  <c r="DZ28"/>
  <c r="DZ29"/>
  <c r="DZ30"/>
  <c r="DZ31"/>
  <c r="DZ32"/>
  <c r="DZ33"/>
  <c r="DZ34"/>
  <c r="DZ35"/>
  <c r="DZ36"/>
  <c r="DZ37"/>
  <c r="DZ38"/>
  <c r="DZ39"/>
  <c r="DZ40"/>
  <c r="DZ41"/>
  <c r="DZ42"/>
  <c r="DZ43"/>
  <c r="DZ44"/>
  <c r="DZ45"/>
  <c r="DZ46"/>
  <c r="DZ47"/>
  <c r="DZ48"/>
  <c r="DZ49"/>
  <c r="DZ50"/>
  <c r="DZ51"/>
  <c r="DZ52"/>
  <c r="DZ53"/>
  <c r="DZ54"/>
  <c r="DZ55"/>
  <c r="DZ56"/>
  <c r="DZ57"/>
  <c r="DZ58"/>
  <c r="DZ59"/>
  <c r="DZ60"/>
  <c r="DZ61"/>
  <c r="DZ62"/>
  <c r="DZ63"/>
  <c r="DZ64"/>
  <c r="DZ65"/>
  <c r="DZ66"/>
  <c r="DZ67"/>
  <c r="DZ68"/>
  <c r="DZ69"/>
  <c r="DZ70"/>
  <c r="DZ71"/>
  <c r="DZ72"/>
  <c r="DZ73"/>
  <c r="DZ74"/>
  <c r="DZ75"/>
  <c r="DZ76"/>
  <c r="DZ77"/>
  <c r="DZ78"/>
  <c r="DZ79"/>
  <c r="DZ80"/>
  <c r="DZ81"/>
  <c r="DZ82"/>
  <c r="DZ83"/>
  <c r="DZ84"/>
  <c r="DZ85"/>
  <c r="DZ86"/>
  <c r="DZ87"/>
  <c r="DZ88"/>
  <c r="DZ89"/>
  <c r="DZ90"/>
  <c r="DZ91"/>
  <c r="DZ92"/>
  <c r="DZ93"/>
  <c r="DZ94"/>
  <c r="DZ95"/>
  <c r="DZ96"/>
  <c r="DZ97"/>
  <c r="DZ98"/>
  <c r="DZ99"/>
  <c r="DZ100"/>
  <c r="DZ101"/>
  <c r="DZ102"/>
  <c r="DZ103"/>
  <c r="DZ104"/>
  <c r="DZ105"/>
  <c r="DZ106"/>
  <c r="DZ107"/>
  <c r="DZ108"/>
  <c r="DZ109"/>
  <c r="DZ110"/>
  <c r="DZ111"/>
  <c r="DZ112"/>
  <c r="DZ113"/>
  <c r="DZ114"/>
  <c r="DZ115"/>
  <c r="DZ116"/>
  <c r="DZ117"/>
  <c r="DZ118"/>
  <c r="DZ119"/>
  <c r="DZ120"/>
  <c r="DZ121"/>
  <c r="DZ122"/>
  <c r="DZ123"/>
  <c r="DZ124"/>
  <c r="DZ125"/>
  <c r="DZ126"/>
  <c r="DZ127"/>
  <c r="DZ128"/>
  <c r="DZ129"/>
  <c r="DZ130"/>
  <c r="DZ131"/>
  <c r="DZ132"/>
  <c r="DZ133"/>
  <c r="DZ134"/>
  <c r="DZ135"/>
  <c r="DZ136"/>
  <c r="DZ137"/>
  <c r="DZ138"/>
  <c r="DZ139"/>
  <c r="DZ140"/>
  <c r="DZ141"/>
  <c r="DZ142"/>
  <c r="DZ143"/>
  <c r="DZ144"/>
  <c r="DZ145"/>
  <c r="DZ146"/>
  <c r="DZ147"/>
  <c r="DZ148"/>
  <c r="DZ149"/>
  <c r="DZ150"/>
  <c r="DZ151"/>
  <c r="DZ152"/>
  <c r="DZ153"/>
  <c r="DZ154"/>
  <c r="DZ155"/>
  <c r="DZ156"/>
  <c r="DZ157"/>
  <c r="DZ158"/>
  <c r="DZ159"/>
  <c r="DZ160"/>
  <c r="DZ161"/>
  <c r="DZ162"/>
  <c r="DZ163"/>
  <c r="DZ164"/>
  <c r="DZ165"/>
  <c r="DZ166"/>
  <c r="DZ167"/>
  <c r="DZ168"/>
  <c r="DZ169"/>
  <c r="DZ170"/>
  <c r="DZ171"/>
  <c r="DZ172"/>
  <c r="DZ173"/>
  <c r="DZ174"/>
  <c r="DZ175"/>
  <c r="DZ176"/>
  <c r="DZ177"/>
  <c r="DZ178"/>
  <c r="DZ179"/>
  <c r="DZ180"/>
  <c r="DZ181"/>
  <c r="DZ182"/>
  <c r="DZ183"/>
  <c r="DZ184"/>
  <c r="DZ185"/>
  <c r="DZ186"/>
  <c r="DZ187"/>
  <c r="DZ188"/>
  <c r="DZ189"/>
  <c r="DZ190"/>
  <c r="DZ191"/>
  <c r="DZ192"/>
  <c r="DZ193"/>
  <c r="DZ194"/>
  <c r="DZ195"/>
  <c r="DZ196"/>
  <c r="DZ197"/>
  <c r="DZ198"/>
  <c r="DZ199"/>
  <c r="DZ200"/>
  <c r="DZ201"/>
  <c r="DZ202"/>
  <c r="DZ203"/>
  <c r="DZ204"/>
  <c r="DZ205"/>
  <c r="DZ206"/>
  <c r="DZ207"/>
  <c r="DZ208"/>
  <c r="DZ209"/>
  <c r="DZ210"/>
  <c r="DZ211"/>
  <c r="DZ212"/>
  <c r="DZ213"/>
  <c r="DZ214"/>
  <c r="DZ215"/>
  <c r="DZ216"/>
  <c r="DZ217"/>
  <c r="DZ218"/>
  <c r="DZ219"/>
  <c r="DZ220"/>
  <c r="DZ221"/>
  <c r="DZ222"/>
  <c r="DZ223"/>
  <c r="DZ224"/>
  <c r="DZ225"/>
  <c r="DZ226"/>
  <c r="DZ227"/>
  <c r="DZ228"/>
  <c r="DZ229"/>
  <c r="DZ230"/>
  <c r="DZ231"/>
  <c r="DZ232"/>
  <c r="DZ233"/>
  <c r="DZ234"/>
  <c r="DZ235"/>
  <c r="DZ236"/>
  <c r="DZ237"/>
  <c r="DZ238"/>
  <c r="DZ239"/>
  <c r="DZ240"/>
  <c r="DZ241"/>
  <c r="DZ242"/>
  <c r="DZ13"/>
  <c r="DZ243" s="1"/>
  <c r="E127" i="23" s="1"/>
  <c r="DX14" i="20"/>
  <c r="DX15"/>
  <c r="DX16"/>
  <c r="DX17"/>
  <c r="DX18"/>
  <c r="DX19"/>
  <c r="DX20"/>
  <c r="DX21"/>
  <c r="DX22"/>
  <c r="DX23"/>
  <c r="DX24"/>
  <c r="DX25"/>
  <c r="DX26"/>
  <c r="DX27"/>
  <c r="DX28"/>
  <c r="DX29"/>
  <c r="DX30"/>
  <c r="DX31"/>
  <c r="DX32"/>
  <c r="DX33"/>
  <c r="DX34"/>
  <c r="DX35"/>
  <c r="DX36"/>
  <c r="DX37"/>
  <c r="DX38"/>
  <c r="DX39"/>
  <c r="DX40"/>
  <c r="DX41"/>
  <c r="DX42"/>
  <c r="DX43"/>
  <c r="DX44"/>
  <c r="DX45"/>
  <c r="DX46"/>
  <c r="DX47"/>
  <c r="DX48"/>
  <c r="DX49"/>
  <c r="DX50"/>
  <c r="DX51"/>
  <c r="DX52"/>
  <c r="DX53"/>
  <c r="DX54"/>
  <c r="DX55"/>
  <c r="DX56"/>
  <c r="DX57"/>
  <c r="DX58"/>
  <c r="DX59"/>
  <c r="DX60"/>
  <c r="DX61"/>
  <c r="DX62"/>
  <c r="DX63"/>
  <c r="DX64"/>
  <c r="DX65"/>
  <c r="DX66"/>
  <c r="DX67"/>
  <c r="DX68"/>
  <c r="DX69"/>
  <c r="DX70"/>
  <c r="DX71"/>
  <c r="DX72"/>
  <c r="DX73"/>
  <c r="DX74"/>
  <c r="DX75"/>
  <c r="DX76"/>
  <c r="DX77"/>
  <c r="DX78"/>
  <c r="DX79"/>
  <c r="DX80"/>
  <c r="DX81"/>
  <c r="DX82"/>
  <c r="DX83"/>
  <c r="DX84"/>
  <c r="DX85"/>
  <c r="DX86"/>
  <c r="DX87"/>
  <c r="DX88"/>
  <c r="DX89"/>
  <c r="DX90"/>
  <c r="DX91"/>
  <c r="DX92"/>
  <c r="DX93"/>
  <c r="DX94"/>
  <c r="DX95"/>
  <c r="DX96"/>
  <c r="DX97"/>
  <c r="DX98"/>
  <c r="DX99"/>
  <c r="DX100"/>
  <c r="DX101"/>
  <c r="DX102"/>
  <c r="DX103"/>
  <c r="DX104"/>
  <c r="DX105"/>
  <c r="DX106"/>
  <c r="DX107"/>
  <c r="DX108"/>
  <c r="DX109"/>
  <c r="DX110"/>
  <c r="DX111"/>
  <c r="DX112"/>
  <c r="DX113"/>
  <c r="DX114"/>
  <c r="DX115"/>
  <c r="DX116"/>
  <c r="DX117"/>
  <c r="DX118"/>
  <c r="DX119"/>
  <c r="DX120"/>
  <c r="DX121"/>
  <c r="DX122"/>
  <c r="DX123"/>
  <c r="DX124"/>
  <c r="DX125"/>
  <c r="DX126"/>
  <c r="DX127"/>
  <c r="DX128"/>
  <c r="DX129"/>
  <c r="DX130"/>
  <c r="DX131"/>
  <c r="DX132"/>
  <c r="DX133"/>
  <c r="DX134"/>
  <c r="DX135"/>
  <c r="DX136"/>
  <c r="DX137"/>
  <c r="DX138"/>
  <c r="DX139"/>
  <c r="DX140"/>
  <c r="DX141"/>
  <c r="DX142"/>
  <c r="DX143"/>
  <c r="DX144"/>
  <c r="DX145"/>
  <c r="DX146"/>
  <c r="DX147"/>
  <c r="DX148"/>
  <c r="DX149"/>
  <c r="DX150"/>
  <c r="DX151"/>
  <c r="DX152"/>
  <c r="DX153"/>
  <c r="DX154"/>
  <c r="DX155"/>
  <c r="DX156"/>
  <c r="DX157"/>
  <c r="DX158"/>
  <c r="DX159"/>
  <c r="DX160"/>
  <c r="DX161"/>
  <c r="DX162"/>
  <c r="DX163"/>
  <c r="DX164"/>
  <c r="DX165"/>
  <c r="DX166"/>
  <c r="DX167"/>
  <c r="DX168"/>
  <c r="DX169"/>
  <c r="DX170"/>
  <c r="DX171"/>
  <c r="DX172"/>
  <c r="DX173"/>
  <c r="DX174"/>
  <c r="DX175"/>
  <c r="DX176"/>
  <c r="DX177"/>
  <c r="DX178"/>
  <c r="DX179"/>
  <c r="DX180"/>
  <c r="DX181"/>
  <c r="DX182"/>
  <c r="DX183"/>
  <c r="DX184"/>
  <c r="DX185"/>
  <c r="DX186"/>
  <c r="DX187"/>
  <c r="DX188"/>
  <c r="DX189"/>
  <c r="DX190"/>
  <c r="DX191"/>
  <c r="DX192"/>
  <c r="DX193"/>
  <c r="DX194"/>
  <c r="DX195"/>
  <c r="DX196"/>
  <c r="DX197"/>
  <c r="DX198"/>
  <c r="DX199"/>
  <c r="DX200"/>
  <c r="DX201"/>
  <c r="DX202"/>
  <c r="DX203"/>
  <c r="DX204"/>
  <c r="DX205"/>
  <c r="DX206"/>
  <c r="DX207"/>
  <c r="DX208"/>
  <c r="DX209"/>
  <c r="DX210"/>
  <c r="DX211"/>
  <c r="DX212"/>
  <c r="DX213"/>
  <c r="DX214"/>
  <c r="DX215"/>
  <c r="DX216"/>
  <c r="DX217"/>
  <c r="DX218"/>
  <c r="DX219"/>
  <c r="DX220"/>
  <c r="DX221"/>
  <c r="DX222"/>
  <c r="DX223"/>
  <c r="DX224"/>
  <c r="DX225"/>
  <c r="DX226"/>
  <c r="DX227"/>
  <c r="DX228"/>
  <c r="DX229"/>
  <c r="DX230"/>
  <c r="DX231"/>
  <c r="DX232"/>
  <c r="DX233"/>
  <c r="DX234"/>
  <c r="DX235"/>
  <c r="DX236"/>
  <c r="DX237"/>
  <c r="DX238"/>
  <c r="DX239"/>
  <c r="DX240"/>
  <c r="DX241"/>
  <c r="DX242"/>
  <c r="DX13"/>
  <c r="DX243" s="1"/>
  <c r="E126" i="23" s="1"/>
  <c r="DT14" i="20"/>
  <c r="DT15"/>
  <c r="DT16"/>
  <c r="DT17"/>
  <c r="DT18"/>
  <c r="DT19"/>
  <c r="DT20"/>
  <c r="DT21"/>
  <c r="DT22"/>
  <c r="DT23"/>
  <c r="DT24"/>
  <c r="DT25"/>
  <c r="DT26"/>
  <c r="DT27"/>
  <c r="DT28"/>
  <c r="DT29"/>
  <c r="DT30"/>
  <c r="DT31"/>
  <c r="DT32"/>
  <c r="DT33"/>
  <c r="DT34"/>
  <c r="DT35"/>
  <c r="DT36"/>
  <c r="DT37"/>
  <c r="DT38"/>
  <c r="DT39"/>
  <c r="DT40"/>
  <c r="DT41"/>
  <c r="DT42"/>
  <c r="DT43"/>
  <c r="DT44"/>
  <c r="DT45"/>
  <c r="DT46"/>
  <c r="DT47"/>
  <c r="DT48"/>
  <c r="DT49"/>
  <c r="DT50"/>
  <c r="DT51"/>
  <c r="DT52"/>
  <c r="DT53"/>
  <c r="DT54"/>
  <c r="DT55"/>
  <c r="DT56"/>
  <c r="DT57"/>
  <c r="DT58"/>
  <c r="DT59"/>
  <c r="DT60"/>
  <c r="DT61"/>
  <c r="DT62"/>
  <c r="DT63"/>
  <c r="DT64"/>
  <c r="DT65"/>
  <c r="DT66"/>
  <c r="DT67"/>
  <c r="DT68"/>
  <c r="DT69"/>
  <c r="DT70"/>
  <c r="DT71"/>
  <c r="DT72"/>
  <c r="DT73"/>
  <c r="DT74"/>
  <c r="DT75"/>
  <c r="DT76"/>
  <c r="DT77"/>
  <c r="DT78"/>
  <c r="DT79"/>
  <c r="DT80"/>
  <c r="DT81"/>
  <c r="DT82"/>
  <c r="DT83"/>
  <c r="DT84"/>
  <c r="DT85"/>
  <c r="DT86"/>
  <c r="DT87"/>
  <c r="DT88"/>
  <c r="DT89"/>
  <c r="DT90"/>
  <c r="DT91"/>
  <c r="DT92"/>
  <c r="DT93"/>
  <c r="DT94"/>
  <c r="DT95"/>
  <c r="DT96"/>
  <c r="DT97"/>
  <c r="DT98"/>
  <c r="DT99"/>
  <c r="DT100"/>
  <c r="DT101"/>
  <c r="DT102"/>
  <c r="DT103"/>
  <c r="DT104"/>
  <c r="DT105"/>
  <c r="DT106"/>
  <c r="DT107"/>
  <c r="DT108"/>
  <c r="DT109"/>
  <c r="DT110"/>
  <c r="DT111"/>
  <c r="DT112"/>
  <c r="DT113"/>
  <c r="DT114"/>
  <c r="DT115"/>
  <c r="DT116"/>
  <c r="DT117"/>
  <c r="DT118"/>
  <c r="DT119"/>
  <c r="DT120"/>
  <c r="DT121"/>
  <c r="DT122"/>
  <c r="DT123"/>
  <c r="DT124"/>
  <c r="DT125"/>
  <c r="DT126"/>
  <c r="DT127"/>
  <c r="DT128"/>
  <c r="DT129"/>
  <c r="DT130"/>
  <c r="DT131"/>
  <c r="DT132"/>
  <c r="DT133"/>
  <c r="DT134"/>
  <c r="DT135"/>
  <c r="DT136"/>
  <c r="DT137"/>
  <c r="DT138"/>
  <c r="DT139"/>
  <c r="DT140"/>
  <c r="DT141"/>
  <c r="DT142"/>
  <c r="DT143"/>
  <c r="DT144"/>
  <c r="DT145"/>
  <c r="DT146"/>
  <c r="DT147"/>
  <c r="DT148"/>
  <c r="DT149"/>
  <c r="DT150"/>
  <c r="DT151"/>
  <c r="DT152"/>
  <c r="DT153"/>
  <c r="DT154"/>
  <c r="DT155"/>
  <c r="DT156"/>
  <c r="DT157"/>
  <c r="DT158"/>
  <c r="DT159"/>
  <c r="DT160"/>
  <c r="DT161"/>
  <c r="DT162"/>
  <c r="DT163"/>
  <c r="DT164"/>
  <c r="DT165"/>
  <c r="DT166"/>
  <c r="DT167"/>
  <c r="DT168"/>
  <c r="DT169"/>
  <c r="DT170"/>
  <c r="DT171"/>
  <c r="DT172"/>
  <c r="DT173"/>
  <c r="DT174"/>
  <c r="DT175"/>
  <c r="DT176"/>
  <c r="DT177"/>
  <c r="DT178"/>
  <c r="DT179"/>
  <c r="DT180"/>
  <c r="DT181"/>
  <c r="DT182"/>
  <c r="DT183"/>
  <c r="DT184"/>
  <c r="DT185"/>
  <c r="DT186"/>
  <c r="DT187"/>
  <c r="DT188"/>
  <c r="DT189"/>
  <c r="DT190"/>
  <c r="DT191"/>
  <c r="DT192"/>
  <c r="DT193"/>
  <c r="DT194"/>
  <c r="DT195"/>
  <c r="DT196"/>
  <c r="DT197"/>
  <c r="DT198"/>
  <c r="DT199"/>
  <c r="DT200"/>
  <c r="DT201"/>
  <c r="DT202"/>
  <c r="DT203"/>
  <c r="DT204"/>
  <c r="DT205"/>
  <c r="DT206"/>
  <c r="DT207"/>
  <c r="DT208"/>
  <c r="DT209"/>
  <c r="DT210"/>
  <c r="DT211"/>
  <c r="DT212"/>
  <c r="DT213"/>
  <c r="DT214"/>
  <c r="DT215"/>
  <c r="DT216"/>
  <c r="DT217"/>
  <c r="DT218"/>
  <c r="DT219"/>
  <c r="DT220"/>
  <c r="DT221"/>
  <c r="DT222"/>
  <c r="DT223"/>
  <c r="DT224"/>
  <c r="DT225"/>
  <c r="DT226"/>
  <c r="DT227"/>
  <c r="DT228"/>
  <c r="DT229"/>
  <c r="DT230"/>
  <c r="DT231"/>
  <c r="DT232"/>
  <c r="DT233"/>
  <c r="DT234"/>
  <c r="DT235"/>
  <c r="DT236"/>
  <c r="DT237"/>
  <c r="DT238"/>
  <c r="DT239"/>
  <c r="DT240"/>
  <c r="DT241"/>
  <c r="DT242"/>
  <c r="DT13"/>
  <c r="DT243" s="1"/>
  <c r="E123" i="23" s="1"/>
  <c r="DQ14" i="20"/>
  <c r="DQ15"/>
  <c r="DQ16"/>
  <c r="DQ17"/>
  <c r="DQ18"/>
  <c r="DQ19"/>
  <c r="DQ20"/>
  <c r="DQ21"/>
  <c r="DQ22"/>
  <c r="DQ23"/>
  <c r="DQ24"/>
  <c r="DQ25"/>
  <c r="DQ26"/>
  <c r="DQ27"/>
  <c r="DQ28"/>
  <c r="DQ29"/>
  <c r="DQ30"/>
  <c r="DQ31"/>
  <c r="DQ32"/>
  <c r="DQ33"/>
  <c r="DQ34"/>
  <c r="DQ35"/>
  <c r="DQ36"/>
  <c r="DQ37"/>
  <c r="DQ38"/>
  <c r="DQ39"/>
  <c r="DQ40"/>
  <c r="DQ41"/>
  <c r="DQ42"/>
  <c r="DQ43"/>
  <c r="DQ44"/>
  <c r="DQ45"/>
  <c r="DQ46"/>
  <c r="DQ47"/>
  <c r="DQ48"/>
  <c r="DQ49"/>
  <c r="DQ50"/>
  <c r="DQ51"/>
  <c r="DQ52"/>
  <c r="DQ53"/>
  <c r="DQ54"/>
  <c r="DQ55"/>
  <c r="DQ56"/>
  <c r="DQ57"/>
  <c r="DQ58"/>
  <c r="DQ59"/>
  <c r="DQ60"/>
  <c r="DQ61"/>
  <c r="DQ62"/>
  <c r="DQ63"/>
  <c r="DQ64"/>
  <c r="DQ65"/>
  <c r="DQ66"/>
  <c r="DQ67"/>
  <c r="DQ68"/>
  <c r="DQ69"/>
  <c r="DQ70"/>
  <c r="DQ71"/>
  <c r="DQ72"/>
  <c r="DQ73"/>
  <c r="DQ74"/>
  <c r="DQ75"/>
  <c r="DQ76"/>
  <c r="DQ77"/>
  <c r="DQ78"/>
  <c r="DQ79"/>
  <c r="DQ80"/>
  <c r="DQ81"/>
  <c r="DQ82"/>
  <c r="DQ83"/>
  <c r="DQ84"/>
  <c r="DQ85"/>
  <c r="DQ86"/>
  <c r="DQ87"/>
  <c r="DQ88"/>
  <c r="DQ89"/>
  <c r="DQ90"/>
  <c r="DQ91"/>
  <c r="DQ92"/>
  <c r="DQ93"/>
  <c r="DQ94"/>
  <c r="DQ95"/>
  <c r="DQ96"/>
  <c r="DQ97"/>
  <c r="DQ98"/>
  <c r="DQ99"/>
  <c r="DQ100"/>
  <c r="DQ101"/>
  <c r="DQ102"/>
  <c r="DQ103"/>
  <c r="DQ104"/>
  <c r="DQ105"/>
  <c r="DQ106"/>
  <c r="DQ107"/>
  <c r="DQ108"/>
  <c r="DQ109"/>
  <c r="DQ110"/>
  <c r="DQ111"/>
  <c r="DQ112"/>
  <c r="DQ113"/>
  <c r="DQ114"/>
  <c r="DQ115"/>
  <c r="DQ116"/>
  <c r="DQ117"/>
  <c r="DQ118"/>
  <c r="DQ119"/>
  <c r="DQ120"/>
  <c r="DQ121"/>
  <c r="DQ122"/>
  <c r="DQ123"/>
  <c r="DQ124"/>
  <c r="DQ125"/>
  <c r="DQ126"/>
  <c r="DQ127"/>
  <c r="DQ128"/>
  <c r="DQ129"/>
  <c r="DQ130"/>
  <c r="DQ131"/>
  <c r="DQ132"/>
  <c r="DQ133"/>
  <c r="DQ134"/>
  <c r="DQ135"/>
  <c r="DQ136"/>
  <c r="DQ137"/>
  <c r="DQ138"/>
  <c r="DQ139"/>
  <c r="DQ140"/>
  <c r="DQ141"/>
  <c r="DQ142"/>
  <c r="DQ143"/>
  <c r="DQ144"/>
  <c r="DQ145"/>
  <c r="DQ146"/>
  <c r="DQ147"/>
  <c r="DQ148"/>
  <c r="DQ149"/>
  <c r="DQ150"/>
  <c r="DQ151"/>
  <c r="DQ152"/>
  <c r="DQ153"/>
  <c r="DQ154"/>
  <c r="DQ155"/>
  <c r="DQ156"/>
  <c r="DQ157"/>
  <c r="DQ158"/>
  <c r="DQ159"/>
  <c r="DQ160"/>
  <c r="DQ161"/>
  <c r="DQ162"/>
  <c r="DQ163"/>
  <c r="DQ164"/>
  <c r="DQ165"/>
  <c r="DQ166"/>
  <c r="DQ167"/>
  <c r="DQ168"/>
  <c r="DQ169"/>
  <c r="DQ170"/>
  <c r="DQ171"/>
  <c r="DQ172"/>
  <c r="DQ173"/>
  <c r="DQ174"/>
  <c r="DQ175"/>
  <c r="DQ176"/>
  <c r="DQ177"/>
  <c r="DQ178"/>
  <c r="DQ179"/>
  <c r="DQ180"/>
  <c r="DQ181"/>
  <c r="DQ182"/>
  <c r="DQ183"/>
  <c r="DQ184"/>
  <c r="DQ185"/>
  <c r="DQ186"/>
  <c r="DQ187"/>
  <c r="DQ188"/>
  <c r="DQ189"/>
  <c r="DQ190"/>
  <c r="DQ191"/>
  <c r="DQ192"/>
  <c r="DQ193"/>
  <c r="DQ194"/>
  <c r="DQ195"/>
  <c r="DQ196"/>
  <c r="DQ197"/>
  <c r="DQ198"/>
  <c r="DQ199"/>
  <c r="DQ200"/>
  <c r="DQ201"/>
  <c r="DQ202"/>
  <c r="DQ203"/>
  <c r="DQ204"/>
  <c r="DQ205"/>
  <c r="DQ206"/>
  <c r="DQ207"/>
  <c r="DQ208"/>
  <c r="DQ209"/>
  <c r="DQ210"/>
  <c r="DQ211"/>
  <c r="DQ212"/>
  <c r="DQ213"/>
  <c r="DQ214"/>
  <c r="DQ215"/>
  <c r="DQ216"/>
  <c r="DQ217"/>
  <c r="DQ218"/>
  <c r="DQ219"/>
  <c r="DQ220"/>
  <c r="DQ221"/>
  <c r="DQ222"/>
  <c r="DQ223"/>
  <c r="DQ224"/>
  <c r="DQ225"/>
  <c r="DQ226"/>
  <c r="DQ227"/>
  <c r="DQ228"/>
  <c r="DQ229"/>
  <c r="DQ230"/>
  <c r="DQ231"/>
  <c r="DQ232"/>
  <c r="DQ233"/>
  <c r="DQ234"/>
  <c r="DQ235"/>
  <c r="DQ236"/>
  <c r="DQ237"/>
  <c r="DQ238"/>
  <c r="DQ239"/>
  <c r="DQ240"/>
  <c r="DQ241"/>
  <c r="DQ242"/>
  <c r="DQ13"/>
  <c r="DQ243" s="1"/>
  <c r="E121" i="23" s="1"/>
  <c r="DM14" i="20"/>
  <c r="DM15"/>
  <c r="DM16"/>
  <c r="DM17"/>
  <c r="DM18"/>
  <c r="DM19"/>
  <c r="DM20"/>
  <c r="DM21"/>
  <c r="DM22"/>
  <c r="DM23"/>
  <c r="DM24"/>
  <c r="DM25"/>
  <c r="DM26"/>
  <c r="DM27"/>
  <c r="DM28"/>
  <c r="DM29"/>
  <c r="DM30"/>
  <c r="DM31"/>
  <c r="DM32"/>
  <c r="DM33"/>
  <c r="DM34"/>
  <c r="DM35"/>
  <c r="DM36"/>
  <c r="DM37"/>
  <c r="DM38"/>
  <c r="DM39"/>
  <c r="DM40"/>
  <c r="DM41"/>
  <c r="DM42"/>
  <c r="DM43"/>
  <c r="DM44"/>
  <c r="DM45"/>
  <c r="DM46"/>
  <c r="DM47"/>
  <c r="DM48"/>
  <c r="DM49"/>
  <c r="DM50"/>
  <c r="DM51"/>
  <c r="DM52"/>
  <c r="DM53"/>
  <c r="DM54"/>
  <c r="DM55"/>
  <c r="DM56"/>
  <c r="DM57"/>
  <c r="DM58"/>
  <c r="DM59"/>
  <c r="DM60"/>
  <c r="DM61"/>
  <c r="DM62"/>
  <c r="DM63"/>
  <c r="DM64"/>
  <c r="DM65"/>
  <c r="DM66"/>
  <c r="DM67"/>
  <c r="DM68"/>
  <c r="DM69"/>
  <c r="DM70"/>
  <c r="DM71"/>
  <c r="DM72"/>
  <c r="DM73"/>
  <c r="DM74"/>
  <c r="DM75"/>
  <c r="DM76"/>
  <c r="DM77"/>
  <c r="DM78"/>
  <c r="DM79"/>
  <c r="DM80"/>
  <c r="DM81"/>
  <c r="DM82"/>
  <c r="DM83"/>
  <c r="DM84"/>
  <c r="DM85"/>
  <c r="DM86"/>
  <c r="DM87"/>
  <c r="DM88"/>
  <c r="DM89"/>
  <c r="DM90"/>
  <c r="DM91"/>
  <c r="DM92"/>
  <c r="DM93"/>
  <c r="DM94"/>
  <c r="DM95"/>
  <c r="DM96"/>
  <c r="DM97"/>
  <c r="DM98"/>
  <c r="DM99"/>
  <c r="DM100"/>
  <c r="DM101"/>
  <c r="DM102"/>
  <c r="DM103"/>
  <c r="DM104"/>
  <c r="DM105"/>
  <c r="DM106"/>
  <c r="DM107"/>
  <c r="DM108"/>
  <c r="DM109"/>
  <c r="DM110"/>
  <c r="DM111"/>
  <c r="DM112"/>
  <c r="DM113"/>
  <c r="DM114"/>
  <c r="DM115"/>
  <c r="DM116"/>
  <c r="DM117"/>
  <c r="DM118"/>
  <c r="DM119"/>
  <c r="DM120"/>
  <c r="DM121"/>
  <c r="DM122"/>
  <c r="DM123"/>
  <c r="DM124"/>
  <c r="DM125"/>
  <c r="DM126"/>
  <c r="DM127"/>
  <c r="DM128"/>
  <c r="DM129"/>
  <c r="DM130"/>
  <c r="DM131"/>
  <c r="DM132"/>
  <c r="DM133"/>
  <c r="DM134"/>
  <c r="DM135"/>
  <c r="DM136"/>
  <c r="DM137"/>
  <c r="DM138"/>
  <c r="DM139"/>
  <c r="DM140"/>
  <c r="DM141"/>
  <c r="DM142"/>
  <c r="DM143"/>
  <c r="DM144"/>
  <c r="DM145"/>
  <c r="DM146"/>
  <c r="DM147"/>
  <c r="DM148"/>
  <c r="DM149"/>
  <c r="DM150"/>
  <c r="DM151"/>
  <c r="DM152"/>
  <c r="DM153"/>
  <c r="DM154"/>
  <c r="DM155"/>
  <c r="DM156"/>
  <c r="DM157"/>
  <c r="DM158"/>
  <c r="DM159"/>
  <c r="DM160"/>
  <c r="DM161"/>
  <c r="DM162"/>
  <c r="DM163"/>
  <c r="DM164"/>
  <c r="DM165"/>
  <c r="DM166"/>
  <c r="DM167"/>
  <c r="DM168"/>
  <c r="DM169"/>
  <c r="DM170"/>
  <c r="DM171"/>
  <c r="DM172"/>
  <c r="DM173"/>
  <c r="DM174"/>
  <c r="DM175"/>
  <c r="DM176"/>
  <c r="DM177"/>
  <c r="DM178"/>
  <c r="DM179"/>
  <c r="DM180"/>
  <c r="DM181"/>
  <c r="DM182"/>
  <c r="DM183"/>
  <c r="DM184"/>
  <c r="DM185"/>
  <c r="DM186"/>
  <c r="DM187"/>
  <c r="DM188"/>
  <c r="DM189"/>
  <c r="DM190"/>
  <c r="DM191"/>
  <c r="DM192"/>
  <c r="DM193"/>
  <c r="DM194"/>
  <c r="DM195"/>
  <c r="DM196"/>
  <c r="DM197"/>
  <c r="DM198"/>
  <c r="DM199"/>
  <c r="DM200"/>
  <c r="DM201"/>
  <c r="DM202"/>
  <c r="DM203"/>
  <c r="DM204"/>
  <c r="DM205"/>
  <c r="DM206"/>
  <c r="DM207"/>
  <c r="DM208"/>
  <c r="DM209"/>
  <c r="DM210"/>
  <c r="DM211"/>
  <c r="DM212"/>
  <c r="DM213"/>
  <c r="DM214"/>
  <c r="DM215"/>
  <c r="DM216"/>
  <c r="DM217"/>
  <c r="DM218"/>
  <c r="DM219"/>
  <c r="DM220"/>
  <c r="DM221"/>
  <c r="DM222"/>
  <c r="DM223"/>
  <c r="DM224"/>
  <c r="DM225"/>
  <c r="DM226"/>
  <c r="DM227"/>
  <c r="DM228"/>
  <c r="DM229"/>
  <c r="DM230"/>
  <c r="DM231"/>
  <c r="DM232"/>
  <c r="DM233"/>
  <c r="DM234"/>
  <c r="DM235"/>
  <c r="DM236"/>
  <c r="DM237"/>
  <c r="DM238"/>
  <c r="DM239"/>
  <c r="DM240"/>
  <c r="DM241"/>
  <c r="DM242"/>
  <c r="DM13"/>
  <c r="DM243" s="1"/>
  <c r="E118" i="23" s="1"/>
  <c r="DI14" i="20"/>
  <c r="DI15"/>
  <c r="DI16"/>
  <c r="DI17"/>
  <c r="DI18"/>
  <c r="DI19"/>
  <c r="DI20"/>
  <c r="DI21"/>
  <c r="DI22"/>
  <c r="DI23"/>
  <c r="DI24"/>
  <c r="DI25"/>
  <c r="DI26"/>
  <c r="DI27"/>
  <c r="DI28"/>
  <c r="DI29"/>
  <c r="DI30"/>
  <c r="DI31"/>
  <c r="DI32"/>
  <c r="DI33"/>
  <c r="DI34"/>
  <c r="DI35"/>
  <c r="DI36"/>
  <c r="DI37"/>
  <c r="DI38"/>
  <c r="DI39"/>
  <c r="DI40"/>
  <c r="DI41"/>
  <c r="DI42"/>
  <c r="DI43"/>
  <c r="DI44"/>
  <c r="DI45"/>
  <c r="DI46"/>
  <c r="DI47"/>
  <c r="DI48"/>
  <c r="DI49"/>
  <c r="DI50"/>
  <c r="DI51"/>
  <c r="DI52"/>
  <c r="DI53"/>
  <c r="DI54"/>
  <c r="DI55"/>
  <c r="DI56"/>
  <c r="DI57"/>
  <c r="DI58"/>
  <c r="DI59"/>
  <c r="DI60"/>
  <c r="DI61"/>
  <c r="DI62"/>
  <c r="DI63"/>
  <c r="DI64"/>
  <c r="DI65"/>
  <c r="DI66"/>
  <c r="DI67"/>
  <c r="DI68"/>
  <c r="DI69"/>
  <c r="DI70"/>
  <c r="DI71"/>
  <c r="DI72"/>
  <c r="DI73"/>
  <c r="DI74"/>
  <c r="DI75"/>
  <c r="DI76"/>
  <c r="DI77"/>
  <c r="DI78"/>
  <c r="DI79"/>
  <c r="DI80"/>
  <c r="DI81"/>
  <c r="DI82"/>
  <c r="DI83"/>
  <c r="DI84"/>
  <c r="DI85"/>
  <c r="DI86"/>
  <c r="DI87"/>
  <c r="DI88"/>
  <c r="DI89"/>
  <c r="DI90"/>
  <c r="DI91"/>
  <c r="DI92"/>
  <c r="DI93"/>
  <c r="DI94"/>
  <c r="DI95"/>
  <c r="DI96"/>
  <c r="DI97"/>
  <c r="DI98"/>
  <c r="DI99"/>
  <c r="DI100"/>
  <c r="DI101"/>
  <c r="DI102"/>
  <c r="DI103"/>
  <c r="DI104"/>
  <c r="DI105"/>
  <c r="DI106"/>
  <c r="DI107"/>
  <c r="DI108"/>
  <c r="DI109"/>
  <c r="DI110"/>
  <c r="DI111"/>
  <c r="DI112"/>
  <c r="DI113"/>
  <c r="DI114"/>
  <c r="DI115"/>
  <c r="DI116"/>
  <c r="DI117"/>
  <c r="DI118"/>
  <c r="DI119"/>
  <c r="DI120"/>
  <c r="DI121"/>
  <c r="DI122"/>
  <c r="DI123"/>
  <c r="DI124"/>
  <c r="DI125"/>
  <c r="DI126"/>
  <c r="DI127"/>
  <c r="DI128"/>
  <c r="DI129"/>
  <c r="DI130"/>
  <c r="DI131"/>
  <c r="DI132"/>
  <c r="DI133"/>
  <c r="DI134"/>
  <c r="DI135"/>
  <c r="DI136"/>
  <c r="DI137"/>
  <c r="DI138"/>
  <c r="DI139"/>
  <c r="DI140"/>
  <c r="DI141"/>
  <c r="DI142"/>
  <c r="DI143"/>
  <c r="DI144"/>
  <c r="DI145"/>
  <c r="DI146"/>
  <c r="DI147"/>
  <c r="DI148"/>
  <c r="DI149"/>
  <c r="DI150"/>
  <c r="DI151"/>
  <c r="DI152"/>
  <c r="DI153"/>
  <c r="DI154"/>
  <c r="DI155"/>
  <c r="DI156"/>
  <c r="DI157"/>
  <c r="DI158"/>
  <c r="DI159"/>
  <c r="DI160"/>
  <c r="DI161"/>
  <c r="DI162"/>
  <c r="DI163"/>
  <c r="DI164"/>
  <c r="DI165"/>
  <c r="DI166"/>
  <c r="DI167"/>
  <c r="DI168"/>
  <c r="DI169"/>
  <c r="DI170"/>
  <c r="DI171"/>
  <c r="DI172"/>
  <c r="DI173"/>
  <c r="DI174"/>
  <c r="DI175"/>
  <c r="DI176"/>
  <c r="DI177"/>
  <c r="DI178"/>
  <c r="DI179"/>
  <c r="DI180"/>
  <c r="DI181"/>
  <c r="DI182"/>
  <c r="DI183"/>
  <c r="DI184"/>
  <c r="DI185"/>
  <c r="DI186"/>
  <c r="DI187"/>
  <c r="DI188"/>
  <c r="DI189"/>
  <c r="DI190"/>
  <c r="DI191"/>
  <c r="DI192"/>
  <c r="DI193"/>
  <c r="DI194"/>
  <c r="DI195"/>
  <c r="DI196"/>
  <c r="DI197"/>
  <c r="DI198"/>
  <c r="DI199"/>
  <c r="DI200"/>
  <c r="DI201"/>
  <c r="DI202"/>
  <c r="DI203"/>
  <c r="DI204"/>
  <c r="DI205"/>
  <c r="DI206"/>
  <c r="DI207"/>
  <c r="DI208"/>
  <c r="DI209"/>
  <c r="DI210"/>
  <c r="DI211"/>
  <c r="DI212"/>
  <c r="DI213"/>
  <c r="DI214"/>
  <c r="DI215"/>
  <c r="DI216"/>
  <c r="DI217"/>
  <c r="DI218"/>
  <c r="DI219"/>
  <c r="DI220"/>
  <c r="DI221"/>
  <c r="DI222"/>
  <c r="DI223"/>
  <c r="DI224"/>
  <c r="DI225"/>
  <c r="DI226"/>
  <c r="DI227"/>
  <c r="DI228"/>
  <c r="DI229"/>
  <c r="DI230"/>
  <c r="DI231"/>
  <c r="DI232"/>
  <c r="DI233"/>
  <c r="DI234"/>
  <c r="DI235"/>
  <c r="DI236"/>
  <c r="DI237"/>
  <c r="DI238"/>
  <c r="DI239"/>
  <c r="DI240"/>
  <c r="DI241"/>
  <c r="DI242"/>
  <c r="DI13"/>
  <c r="DI243" s="1"/>
  <c r="E115" i="23" s="1"/>
  <c r="CY14" i="20"/>
  <c r="CY15"/>
  <c r="CY16"/>
  <c r="CY17"/>
  <c r="CY18"/>
  <c r="CY19"/>
  <c r="CY20"/>
  <c r="CY21"/>
  <c r="CY22"/>
  <c r="CY23"/>
  <c r="CY24"/>
  <c r="CY25"/>
  <c r="CY26"/>
  <c r="CY27"/>
  <c r="CY28"/>
  <c r="CY29"/>
  <c r="CY30"/>
  <c r="CY31"/>
  <c r="CY32"/>
  <c r="CY33"/>
  <c r="CY34"/>
  <c r="CY35"/>
  <c r="CY36"/>
  <c r="CY37"/>
  <c r="CY38"/>
  <c r="CY39"/>
  <c r="CY40"/>
  <c r="CY41"/>
  <c r="CY42"/>
  <c r="CY43"/>
  <c r="CY44"/>
  <c r="CY45"/>
  <c r="CY46"/>
  <c r="CY47"/>
  <c r="CY48"/>
  <c r="CY49"/>
  <c r="CY50"/>
  <c r="CY51"/>
  <c r="CY52"/>
  <c r="CY53"/>
  <c r="CY54"/>
  <c r="CY55"/>
  <c r="CY56"/>
  <c r="CY57"/>
  <c r="CY58"/>
  <c r="CY59"/>
  <c r="CY60"/>
  <c r="CY61"/>
  <c r="CY62"/>
  <c r="CY63"/>
  <c r="CY64"/>
  <c r="CY65"/>
  <c r="CY66"/>
  <c r="CY67"/>
  <c r="CY68"/>
  <c r="CY69"/>
  <c r="CY70"/>
  <c r="CY71"/>
  <c r="CY72"/>
  <c r="CY73"/>
  <c r="CY74"/>
  <c r="CY75"/>
  <c r="CY76"/>
  <c r="CY77"/>
  <c r="CY78"/>
  <c r="CY79"/>
  <c r="CY80"/>
  <c r="CY81"/>
  <c r="CY82"/>
  <c r="CY83"/>
  <c r="CY84"/>
  <c r="CY85"/>
  <c r="CY86"/>
  <c r="CY87"/>
  <c r="CY88"/>
  <c r="CY89"/>
  <c r="CY90"/>
  <c r="CY91"/>
  <c r="CY92"/>
  <c r="CY93"/>
  <c r="CY94"/>
  <c r="CY95"/>
  <c r="CY96"/>
  <c r="CY97"/>
  <c r="CY98"/>
  <c r="CY99"/>
  <c r="CY100"/>
  <c r="CY101"/>
  <c r="CY102"/>
  <c r="CY103"/>
  <c r="CY104"/>
  <c r="CY105"/>
  <c r="CY106"/>
  <c r="CY107"/>
  <c r="CY108"/>
  <c r="CY109"/>
  <c r="CY110"/>
  <c r="CY111"/>
  <c r="CY112"/>
  <c r="CY113"/>
  <c r="CY114"/>
  <c r="CY115"/>
  <c r="CY116"/>
  <c r="CY117"/>
  <c r="CY118"/>
  <c r="CY119"/>
  <c r="CY120"/>
  <c r="CY121"/>
  <c r="CY122"/>
  <c r="CY123"/>
  <c r="CY124"/>
  <c r="CY125"/>
  <c r="CY126"/>
  <c r="CY127"/>
  <c r="CY128"/>
  <c r="CY129"/>
  <c r="CY130"/>
  <c r="CY131"/>
  <c r="CY132"/>
  <c r="CY133"/>
  <c r="CY134"/>
  <c r="CY135"/>
  <c r="CY136"/>
  <c r="CY137"/>
  <c r="CY138"/>
  <c r="CY139"/>
  <c r="CY140"/>
  <c r="CY141"/>
  <c r="CY142"/>
  <c r="CY143"/>
  <c r="CY144"/>
  <c r="CY145"/>
  <c r="CY146"/>
  <c r="CY147"/>
  <c r="CY148"/>
  <c r="CY149"/>
  <c r="CY150"/>
  <c r="CY151"/>
  <c r="CY152"/>
  <c r="CY153"/>
  <c r="CY154"/>
  <c r="CY155"/>
  <c r="CY156"/>
  <c r="CY157"/>
  <c r="CY158"/>
  <c r="CY159"/>
  <c r="CY160"/>
  <c r="CY161"/>
  <c r="CY162"/>
  <c r="CY163"/>
  <c r="CY164"/>
  <c r="CY165"/>
  <c r="CY166"/>
  <c r="CY167"/>
  <c r="CY168"/>
  <c r="CY169"/>
  <c r="CY170"/>
  <c r="CY171"/>
  <c r="CY172"/>
  <c r="CY173"/>
  <c r="CY174"/>
  <c r="CY175"/>
  <c r="CY176"/>
  <c r="CY177"/>
  <c r="CY178"/>
  <c r="CY179"/>
  <c r="CY180"/>
  <c r="CY181"/>
  <c r="CY182"/>
  <c r="CY183"/>
  <c r="CY184"/>
  <c r="CY185"/>
  <c r="CY186"/>
  <c r="CY187"/>
  <c r="CY188"/>
  <c r="CY189"/>
  <c r="CY190"/>
  <c r="CY191"/>
  <c r="CY192"/>
  <c r="CY193"/>
  <c r="CY194"/>
  <c r="CY195"/>
  <c r="CY196"/>
  <c r="CY197"/>
  <c r="CY198"/>
  <c r="CY199"/>
  <c r="CY200"/>
  <c r="CY201"/>
  <c r="CY202"/>
  <c r="CY203"/>
  <c r="CY204"/>
  <c r="CY205"/>
  <c r="CY206"/>
  <c r="CY207"/>
  <c r="CY208"/>
  <c r="CY209"/>
  <c r="CY210"/>
  <c r="CY211"/>
  <c r="CY212"/>
  <c r="CY213"/>
  <c r="CY214"/>
  <c r="CY215"/>
  <c r="CY216"/>
  <c r="CY217"/>
  <c r="CY218"/>
  <c r="CY219"/>
  <c r="CY220"/>
  <c r="CY221"/>
  <c r="CY222"/>
  <c r="CY223"/>
  <c r="CY224"/>
  <c r="CY225"/>
  <c r="CY226"/>
  <c r="CY227"/>
  <c r="CY228"/>
  <c r="CY229"/>
  <c r="CY230"/>
  <c r="CY231"/>
  <c r="CY232"/>
  <c r="CY233"/>
  <c r="CY234"/>
  <c r="CY235"/>
  <c r="CY236"/>
  <c r="CY237"/>
  <c r="CY238"/>
  <c r="CY239"/>
  <c r="CY240"/>
  <c r="CY241"/>
  <c r="CY242"/>
  <c r="CY13"/>
  <c r="CY243" s="1"/>
  <c r="E106" i="23" s="1"/>
  <c r="BJ14" i="20"/>
  <c r="BJ15"/>
  <c r="BJ16"/>
  <c r="BJ17"/>
  <c r="BJ18"/>
  <c r="BJ19"/>
  <c r="BJ20"/>
  <c r="BJ21"/>
  <c r="BJ22"/>
  <c r="BJ23"/>
  <c r="BJ24"/>
  <c r="BJ25"/>
  <c r="BJ26"/>
  <c r="BJ27"/>
  <c r="BJ28"/>
  <c r="BJ29"/>
  <c r="BJ30"/>
  <c r="BJ31"/>
  <c r="BJ32"/>
  <c r="BJ33"/>
  <c r="BJ34"/>
  <c r="BJ35"/>
  <c r="BJ36"/>
  <c r="BJ37"/>
  <c r="BJ38"/>
  <c r="BJ39"/>
  <c r="BJ40"/>
  <c r="BJ41"/>
  <c r="BJ42"/>
  <c r="BJ43"/>
  <c r="BJ44"/>
  <c r="BJ45"/>
  <c r="BJ46"/>
  <c r="BJ47"/>
  <c r="BJ48"/>
  <c r="BJ49"/>
  <c r="BJ50"/>
  <c r="BJ51"/>
  <c r="BJ52"/>
  <c r="BJ53"/>
  <c r="BJ54"/>
  <c r="BJ55"/>
  <c r="BJ56"/>
  <c r="BJ57"/>
  <c r="BJ58"/>
  <c r="BJ59"/>
  <c r="BJ60"/>
  <c r="BJ61"/>
  <c r="BJ62"/>
  <c r="BJ63"/>
  <c r="BJ64"/>
  <c r="BJ65"/>
  <c r="BJ66"/>
  <c r="BJ67"/>
  <c r="BJ68"/>
  <c r="BJ69"/>
  <c r="BJ70"/>
  <c r="BJ71"/>
  <c r="BJ72"/>
  <c r="BJ73"/>
  <c r="BJ74"/>
  <c r="BJ75"/>
  <c r="BJ76"/>
  <c r="BJ77"/>
  <c r="BJ78"/>
  <c r="BJ79"/>
  <c r="BJ80"/>
  <c r="BJ81"/>
  <c r="BJ82"/>
  <c r="BJ83"/>
  <c r="BJ84"/>
  <c r="BJ85"/>
  <c r="BJ86"/>
  <c r="BJ87"/>
  <c r="BJ88"/>
  <c r="BJ89"/>
  <c r="BJ90"/>
  <c r="BJ91"/>
  <c r="BJ92"/>
  <c r="BJ93"/>
  <c r="BJ94"/>
  <c r="BJ95"/>
  <c r="BJ96"/>
  <c r="BJ97"/>
  <c r="BJ98"/>
  <c r="BJ99"/>
  <c r="BJ100"/>
  <c r="BJ101"/>
  <c r="BJ102"/>
  <c r="BJ103"/>
  <c r="BJ104"/>
  <c r="BJ105"/>
  <c r="BJ106"/>
  <c r="BJ107"/>
  <c r="BJ108"/>
  <c r="BJ109"/>
  <c r="BJ110"/>
  <c r="BJ111"/>
  <c r="BJ112"/>
  <c r="BJ113"/>
  <c r="BJ114"/>
  <c r="BJ115"/>
  <c r="BJ116"/>
  <c r="BJ117"/>
  <c r="BJ118"/>
  <c r="BJ119"/>
  <c r="BJ120"/>
  <c r="BJ121"/>
  <c r="BJ122"/>
  <c r="BJ123"/>
  <c r="BJ124"/>
  <c r="BJ125"/>
  <c r="BJ126"/>
  <c r="BJ127"/>
  <c r="BJ128"/>
  <c r="BJ129"/>
  <c r="BJ130"/>
  <c r="BJ131"/>
  <c r="BJ132"/>
  <c r="BJ133"/>
  <c r="BJ134"/>
  <c r="BJ135"/>
  <c r="BJ136"/>
  <c r="BJ137"/>
  <c r="BJ138"/>
  <c r="BJ139"/>
  <c r="BJ140"/>
  <c r="BJ141"/>
  <c r="BJ142"/>
  <c r="BJ143"/>
  <c r="BJ144"/>
  <c r="BJ145"/>
  <c r="BJ146"/>
  <c r="BJ147"/>
  <c r="BJ148"/>
  <c r="BJ149"/>
  <c r="BJ150"/>
  <c r="BJ151"/>
  <c r="BJ152"/>
  <c r="BJ153"/>
  <c r="BJ154"/>
  <c r="BJ155"/>
  <c r="BJ156"/>
  <c r="BJ157"/>
  <c r="BJ158"/>
  <c r="BJ159"/>
  <c r="BJ160"/>
  <c r="BJ161"/>
  <c r="BJ162"/>
  <c r="BJ163"/>
  <c r="BJ164"/>
  <c r="BJ165"/>
  <c r="BJ166"/>
  <c r="BJ167"/>
  <c r="BJ168"/>
  <c r="BJ169"/>
  <c r="BJ170"/>
  <c r="BJ171"/>
  <c r="BJ172"/>
  <c r="BJ173"/>
  <c r="BJ174"/>
  <c r="BJ175"/>
  <c r="BJ176"/>
  <c r="BJ177"/>
  <c r="BJ178"/>
  <c r="BJ179"/>
  <c r="BJ180"/>
  <c r="BJ181"/>
  <c r="BJ182"/>
  <c r="BJ183"/>
  <c r="BJ184"/>
  <c r="BJ185"/>
  <c r="BJ186"/>
  <c r="BJ187"/>
  <c r="BJ188"/>
  <c r="BJ189"/>
  <c r="BJ190"/>
  <c r="BJ191"/>
  <c r="BJ192"/>
  <c r="BJ193"/>
  <c r="BJ194"/>
  <c r="BJ195"/>
  <c r="BJ196"/>
  <c r="BJ197"/>
  <c r="BJ198"/>
  <c r="BJ199"/>
  <c r="BJ200"/>
  <c r="BJ201"/>
  <c r="BJ202"/>
  <c r="BJ203"/>
  <c r="BJ204"/>
  <c r="BJ205"/>
  <c r="BJ206"/>
  <c r="BJ207"/>
  <c r="BJ208"/>
  <c r="BJ209"/>
  <c r="BJ210"/>
  <c r="BJ211"/>
  <c r="BJ212"/>
  <c r="BJ213"/>
  <c r="BJ214"/>
  <c r="BJ215"/>
  <c r="BJ216"/>
  <c r="BJ217"/>
  <c r="BJ218"/>
  <c r="BJ219"/>
  <c r="BJ220"/>
  <c r="BJ221"/>
  <c r="BJ222"/>
  <c r="BJ223"/>
  <c r="BJ224"/>
  <c r="BJ225"/>
  <c r="BJ226"/>
  <c r="BJ227"/>
  <c r="BJ228"/>
  <c r="BJ229"/>
  <c r="BJ230"/>
  <c r="BJ231"/>
  <c r="BJ232"/>
  <c r="BJ233"/>
  <c r="BJ234"/>
  <c r="BJ235"/>
  <c r="BJ236"/>
  <c r="BJ237"/>
  <c r="BJ238"/>
  <c r="BJ239"/>
  <c r="BJ240"/>
  <c r="BJ241"/>
  <c r="BJ242"/>
  <c r="BJ13"/>
  <c r="BJ243" s="1"/>
  <c r="E124" i="23" s="1"/>
  <c r="BG14" i="20"/>
  <c r="BG15"/>
  <c r="BG16"/>
  <c r="BG17"/>
  <c r="BG18"/>
  <c r="BG19"/>
  <c r="BG20"/>
  <c r="BG21"/>
  <c r="BG22"/>
  <c r="BG23"/>
  <c r="BG24"/>
  <c r="BG25"/>
  <c r="BG26"/>
  <c r="BG27"/>
  <c r="BG28"/>
  <c r="BG29"/>
  <c r="BG30"/>
  <c r="BG31"/>
  <c r="BG32"/>
  <c r="BG33"/>
  <c r="BG34"/>
  <c r="BG35"/>
  <c r="BG36"/>
  <c r="BG37"/>
  <c r="BG38"/>
  <c r="BG39"/>
  <c r="BG40"/>
  <c r="BG41"/>
  <c r="BG42"/>
  <c r="BG43"/>
  <c r="BG44"/>
  <c r="BG45"/>
  <c r="BG46"/>
  <c r="BG47"/>
  <c r="BG48"/>
  <c r="BG49"/>
  <c r="BG50"/>
  <c r="BG51"/>
  <c r="BG52"/>
  <c r="BG53"/>
  <c r="BG54"/>
  <c r="BG55"/>
  <c r="BG56"/>
  <c r="BG57"/>
  <c r="BG58"/>
  <c r="BG59"/>
  <c r="BG60"/>
  <c r="BG61"/>
  <c r="BG62"/>
  <c r="BG63"/>
  <c r="BG64"/>
  <c r="BG65"/>
  <c r="BG66"/>
  <c r="BG67"/>
  <c r="BG68"/>
  <c r="BG69"/>
  <c r="BG70"/>
  <c r="BG71"/>
  <c r="BG72"/>
  <c r="BG73"/>
  <c r="BG74"/>
  <c r="BG75"/>
  <c r="BG76"/>
  <c r="BG77"/>
  <c r="BG78"/>
  <c r="BG79"/>
  <c r="BG80"/>
  <c r="BG81"/>
  <c r="BG82"/>
  <c r="BG83"/>
  <c r="BG84"/>
  <c r="BG85"/>
  <c r="BG86"/>
  <c r="BG87"/>
  <c r="BG88"/>
  <c r="BG89"/>
  <c r="BG90"/>
  <c r="BG91"/>
  <c r="BG92"/>
  <c r="BG93"/>
  <c r="BG94"/>
  <c r="BG95"/>
  <c r="BG96"/>
  <c r="BG97"/>
  <c r="BG98"/>
  <c r="BG99"/>
  <c r="BG100"/>
  <c r="BG101"/>
  <c r="BG102"/>
  <c r="BG103"/>
  <c r="BG104"/>
  <c r="BG105"/>
  <c r="BG106"/>
  <c r="BG107"/>
  <c r="BG108"/>
  <c r="BG109"/>
  <c r="BG110"/>
  <c r="BG111"/>
  <c r="BG112"/>
  <c r="BG113"/>
  <c r="BG114"/>
  <c r="BG115"/>
  <c r="BG116"/>
  <c r="BG117"/>
  <c r="BG118"/>
  <c r="BG119"/>
  <c r="BG120"/>
  <c r="BG121"/>
  <c r="BG122"/>
  <c r="BG123"/>
  <c r="BG124"/>
  <c r="BG125"/>
  <c r="BG126"/>
  <c r="BG127"/>
  <c r="BG128"/>
  <c r="BG129"/>
  <c r="BG130"/>
  <c r="BG131"/>
  <c r="BG132"/>
  <c r="BG133"/>
  <c r="BG134"/>
  <c r="BG135"/>
  <c r="BG136"/>
  <c r="BG137"/>
  <c r="BG138"/>
  <c r="BG139"/>
  <c r="BG140"/>
  <c r="BG141"/>
  <c r="BG142"/>
  <c r="BG143"/>
  <c r="BG144"/>
  <c r="BG145"/>
  <c r="BG146"/>
  <c r="BG147"/>
  <c r="BG148"/>
  <c r="BG149"/>
  <c r="BG150"/>
  <c r="BG151"/>
  <c r="BG152"/>
  <c r="BG153"/>
  <c r="BG154"/>
  <c r="BG155"/>
  <c r="BG156"/>
  <c r="BG157"/>
  <c r="BG158"/>
  <c r="BG159"/>
  <c r="BG160"/>
  <c r="BG161"/>
  <c r="BG162"/>
  <c r="BG163"/>
  <c r="BG164"/>
  <c r="BG165"/>
  <c r="BG166"/>
  <c r="BG167"/>
  <c r="BG168"/>
  <c r="BG169"/>
  <c r="BG170"/>
  <c r="BG171"/>
  <c r="BG172"/>
  <c r="BG173"/>
  <c r="BG174"/>
  <c r="BG175"/>
  <c r="BG176"/>
  <c r="BG177"/>
  <c r="BG178"/>
  <c r="BG179"/>
  <c r="BG180"/>
  <c r="BG181"/>
  <c r="BG182"/>
  <c r="BG183"/>
  <c r="BG184"/>
  <c r="BG185"/>
  <c r="BG186"/>
  <c r="BG187"/>
  <c r="BG188"/>
  <c r="BG189"/>
  <c r="BG190"/>
  <c r="BG191"/>
  <c r="BG192"/>
  <c r="BG193"/>
  <c r="BG194"/>
  <c r="BG195"/>
  <c r="BG196"/>
  <c r="BG197"/>
  <c r="BG198"/>
  <c r="BG199"/>
  <c r="BG200"/>
  <c r="BG201"/>
  <c r="BG202"/>
  <c r="BG203"/>
  <c r="BG204"/>
  <c r="BG205"/>
  <c r="BG206"/>
  <c r="BG207"/>
  <c r="BG208"/>
  <c r="BG209"/>
  <c r="BG210"/>
  <c r="BG211"/>
  <c r="BG212"/>
  <c r="BG213"/>
  <c r="BG214"/>
  <c r="BG215"/>
  <c r="BG216"/>
  <c r="BG217"/>
  <c r="BG218"/>
  <c r="BG219"/>
  <c r="BG220"/>
  <c r="BG221"/>
  <c r="BG222"/>
  <c r="BG223"/>
  <c r="BG224"/>
  <c r="BG225"/>
  <c r="BG226"/>
  <c r="BG227"/>
  <c r="BG228"/>
  <c r="BG229"/>
  <c r="BG230"/>
  <c r="BG231"/>
  <c r="BG232"/>
  <c r="BG233"/>
  <c r="BG234"/>
  <c r="BG235"/>
  <c r="BG236"/>
  <c r="BG237"/>
  <c r="BG238"/>
  <c r="BG239"/>
  <c r="BG240"/>
  <c r="BG241"/>
  <c r="BG242"/>
  <c r="BG13"/>
  <c r="BG243" s="1"/>
  <c r="E122" i="23" s="1"/>
  <c r="EC14" i="14"/>
  <c r="EC15"/>
  <c r="EC16"/>
  <c r="EC17"/>
  <c r="EC18"/>
  <c r="EC19"/>
  <c r="EC20"/>
  <c r="EC21"/>
  <c r="EC22"/>
  <c r="EC23"/>
  <c r="EC24"/>
  <c r="EC25"/>
  <c r="EC26"/>
  <c r="EC27"/>
  <c r="EC28"/>
  <c r="EC29"/>
  <c r="EC30"/>
  <c r="EC31"/>
  <c r="EC32"/>
  <c r="EC33"/>
  <c r="EC34"/>
  <c r="EC35"/>
  <c r="EC36"/>
  <c r="EC37"/>
  <c r="EC38"/>
  <c r="EC39"/>
  <c r="EC40"/>
  <c r="EC41"/>
  <c r="EC42"/>
  <c r="EC43"/>
  <c r="EC44"/>
  <c r="EC45"/>
  <c r="EC46"/>
  <c r="EC47"/>
  <c r="EC48"/>
  <c r="EC49"/>
  <c r="EC50"/>
  <c r="EC51"/>
  <c r="EC52"/>
  <c r="EC53"/>
  <c r="EC54"/>
  <c r="EC55"/>
  <c r="EC56"/>
  <c r="EC57"/>
  <c r="EC58"/>
  <c r="EC59"/>
  <c r="EC60"/>
  <c r="EC61"/>
  <c r="EC62"/>
  <c r="EC63"/>
  <c r="EC64"/>
  <c r="EC65"/>
  <c r="EC66"/>
  <c r="EC67"/>
  <c r="EC68"/>
  <c r="EC69"/>
  <c r="EC70"/>
  <c r="EC71"/>
  <c r="EC72"/>
  <c r="EC73"/>
  <c r="EC74"/>
  <c r="EC75"/>
  <c r="EC76"/>
  <c r="EC77"/>
  <c r="EC78"/>
  <c r="EC79"/>
  <c r="EC80"/>
  <c r="EC81"/>
  <c r="EC82"/>
  <c r="EC83"/>
  <c r="EC84"/>
  <c r="EC85"/>
  <c r="EC86"/>
  <c r="EC87"/>
  <c r="EC88"/>
  <c r="EC89"/>
  <c r="EC90"/>
  <c r="EC91"/>
  <c r="EC92"/>
  <c r="EC93"/>
  <c r="EC94"/>
  <c r="EC95"/>
  <c r="EC96"/>
  <c r="EC97"/>
  <c r="EC98"/>
  <c r="EC99"/>
  <c r="EC100"/>
  <c r="EC101"/>
  <c r="EC102"/>
  <c r="EC103"/>
  <c r="EC104"/>
  <c r="EC105"/>
  <c r="EC106"/>
  <c r="EC107"/>
  <c r="EC108"/>
  <c r="EC109"/>
  <c r="EC110"/>
  <c r="EC111"/>
  <c r="EC112"/>
  <c r="EC113"/>
  <c r="EC114"/>
  <c r="EC115"/>
  <c r="EC116"/>
  <c r="EC117"/>
  <c r="EC118"/>
  <c r="EC119"/>
  <c r="EC120"/>
  <c r="EC121"/>
  <c r="EC122"/>
  <c r="EC123"/>
  <c r="EC124"/>
  <c r="EC125"/>
  <c r="EC126"/>
  <c r="EC127"/>
  <c r="EC128"/>
  <c r="EC129"/>
  <c r="EC130"/>
  <c r="EC131"/>
  <c r="EC132"/>
  <c r="EC133"/>
  <c r="EC134"/>
  <c r="EC135"/>
  <c r="EC136"/>
  <c r="EC137"/>
  <c r="EC138"/>
  <c r="EC139"/>
  <c r="EC140"/>
  <c r="EC141"/>
  <c r="EC142"/>
  <c r="EC143"/>
  <c r="EC144"/>
  <c r="EC145"/>
  <c r="EC146"/>
  <c r="EC147"/>
  <c r="EC148"/>
  <c r="EC149"/>
  <c r="EC150"/>
  <c r="EC151"/>
  <c r="EC152"/>
  <c r="EC153"/>
  <c r="EC154"/>
  <c r="EC155"/>
  <c r="EC156"/>
  <c r="EC157"/>
  <c r="EC158"/>
  <c r="EC159"/>
  <c r="EC160"/>
  <c r="EC161"/>
  <c r="EC162"/>
  <c r="EC163"/>
  <c r="EC164"/>
  <c r="EC165"/>
  <c r="EC166"/>
  <c r="EC167"/>
  <c r="EC168"/>
  <c r="EC169"/>
  <c r="EC170"/>
  <c r="EC171"/>
  <c r="EC172"/>
  <c r="EC173"/>
  <c r="EC174"/>
  <c r="EC175"/>
  <c r="EC176"/>
  <c r="EC177"/>
  <c r="EC178"/>
  <c r="EC179"/>
  <c r="EC180"/>
  <c r="EC181"/>
  <c r="EC182"/>
  <c r="EC183"/>
  <c r="EC184"/>
  <c r="EC185"/>
  <c r="EC186"/>
  <c r="EC187"/>
  <c r="EC188"/>
  <c r="EC189"/>
  <c r="EC190"/>
  <c r="EC191"/>
  <c r="EC192"/>
  <c r="EC193"/>
  <c r="EC194"/>
  <c r="EC195"/>
  <c r="EC196"/>
  <c r="EC197"/>
  <c r="EC198"/>
  <c r="EC199"/>
  <c r="EC200"/>
  <c r="EC201"/>
  <c r="EC202"/>
  <c r="EC203"/>
  <c r="EC204"/>
  <c r="EC205"/>
  <c r="EC206"/>
  <c r="EC207"/>
  <c r="EC208"/>
  <c r="EC209"/>
  <c r="EC210"/>
  <c r="EC211"/>
  <c r="EC212"/>
  <c r="EC213"/>
  <c r="EC214"/>
  <c r="EC215"/>
  <c r="EC216"/>
  <c r="EC217"/>
  <c r="EC218"/>
  <c r="EC219"/>
  <c r="EC220"/>
  <c r="EC221"/>
  <c r="EC222"/>
  <c r="EC223"/>
  <c r="EC224"/>
  <c r="EC225"/>
  <c r="EC226"/>
  <c r="EC227"/>
  <c r="EC228"/>
  <c r="EC229"/>
  <c r="EC230"/>
  <c r="EC231"/>
  <c r="EC232"/>
  <c r="EC233"/>
  <c r="EC234"/>
  <c r="EC235"/>
  <c r="EC236"/>
  <c r="EC237"/>
  <c r="EC238"/>
  <c r="EC239"/>
  <c r="EC240"/>
  <c r="EC241"/>
  <c r="EC242"/>
  <c r="EC243"/>
  <c r="EC244"/>
  <c r="EC245"/>
  <c r="EC246"/>
  <c r="EC247"/>
  <c r="EC248"/>
  <c r="EC249"/>
  <c r="EC250"/>
  <c r="EC251"/>
  <c r="EC252"/>
  <c r="EC253"/>
  <c r="EC254"/>
  <c r="EC255"/>
  <c r="EC256"/>
  <c r="EC257"/>
  <c r="EC258"/>
  <c r="EC259"/>
  <c r="EC260"/>
  <c r="EC261"/>
  <c r="EC262"/>
  <c r="EC263"/>
  <c r="EC264"/>
  <c r="EC265"/>
  <c r="EC266"/>
  <c r="EC267"/>
  <c r="EC268"/>
  <c r="EC269"/>
  <c r="EC270"/>
  <c r="EC271"/>
  <c r="EC272"/>
  <c r="EC273"/>
  <c r="EC274"/>
  <c r="EC275"/>
  <c r="EC276"/>
  <c r="EC277"/>
  <c r="EC278"/>
  <c r="EC279"/>
  <c r="EC280"/>
  <c r="EC281"/>
  <c r="EC282"/>
  <c r="EC283"/>
  <c r="EC284"/>
  <c r="EC285"/>
  <c r="EC286"/>
  <c r="EC287"/>
  <c r="EC288"/>
  <c r="EC289"/>
  <c r="EC290"/>
  <c r="EC291"/>
  <c r="EC292"/>
  <c r="EC293"/>
  <c r="EC294"/>
  <c r="EC295"/>
  <c r="EC296"/>
  <c r="EC297"/>
  <c r="EC298"/>
  <c r="EC299"/>
  <c r="EC300"/>
  <c r="EC301"/>
  <c r="EC302"/>
  <c r="EC303"/>
  <c r="EC304"/>
  <c r="EC305"/>
  <c r="EC306"/>
  <c r="EC307"/>
  <c r="EC308"/>
  <c r="EC309"/>
  <c r="EC310"/>
  <c r="EC311"/>
  <c r="EC312"/>
  <c r="EC313"/>
  <c r="EC314"/>
  <c r="EC315"/>
  <c r="EC316"/>
  <c r="EC317"/>
  <c r="EC318"/>
  <c r="EC319"/>
  <c r="EC320"/>
  <c r="EC321"/>
  <c r="EC322"/>
  <c r="EC323"/>
  <c r="EC324"/>
  <c r="EC325"/>
  <c r="EC326"/>
  <c r="EC327"/>
  <c r="EC328"/>
  <c r="EC329"/>
  <c r="EC330"/>
  <c r="EC331"/>
  <c r="EC332"/>
  <c r="EC333"/>
  <c r="EC334"/>
  <c r="EC335"/>
  <c r="EC336"/>
  <c r="EC337"/>
  <c r="EC338"/>
  <c r="EC339"/>
  <c r="EC340"/>
  <c r="EC341"/>
  <c r="EC342"/>
  <c r="EC343"/>
  <c r="EC344"/>
  <c r="EC345"/>
  <c r="EC346"/>
  <c r="EC347"/>
  <c r="EC348"/>
  <c r="EC349"/>
  <c r="EC350"/>
  <c r="EC351"/>
  <c r="EC352"/>
  <c r="EC353"/>
  <c r="EC354"/>
  <c r="EC355"/>
  <c r="EC356"/>
  <c r="EC357"/>
  <c r="EC358"/>
  <c r="EC359"/>
  <c r="EC360"/>
  <c r="EC361"/>
  <c r="EC362"/>
  <c r="EC363"/>
  <c r="EC364"/>
  <c r="EC365"/>
  <c r="EC366"/>
  <c r="EC13"/>
  <c r="EC367" s="1"/>
  <c r="D127" i="23" s="1"/>
  <c r="EA14" i="14"/>
  <c r="EA15"/>
  <c r="EA16"/>
  <c r="EA17"/>
  <c r="EA18"/>
  <c r="EA19"/>
  <c r="EA20"/>
  <c r="EA21"/>
  <c r="EA22"/>
  <c r="EA23"/>
  <c r="EA24"/>
  <c r="EA25"/>
  <c r="EA26"/>
  <c r="EA27"/>
  <c r="EA28"/>
  <c r="EA29"/>
  <c r="EA30"/>
  <c r="EA31"/>
  <c r="EA32"/>
  <c r="EA33"/>
  <c r="EA34"/>
  <c r="EA35"/>
  <c r="EA36"/>
  <c r="EA37"/>
  <c r="EA38"/>
  <c r="EA39"/>
  <c r="EA40"/>
  <c r="EA41"/>
  <c r="EA42"/>
  <c r="EA43"/>
  <c r="EA44"/>
  <c r="EA45"/>
  <c r="EA46"/>
  <c r="EA47"/>
  <c r="EA48"/>
  <c r="EA49"/>
  <c r="EA50"/>
  <c r="EA51"/>
  <c r="EA52"/>
  <c r="EA53"/>
  <c r="EA54"/>
  <c r="EA55"/>
  <c r="EA56"/>
  <c r="EA57"/>
  <c r="EA58"/>
  <c r="EA59"/>
  <c r="EA60"/>
  <c r="EA61"/>
  <c r="EA62"/>
  <c r="EA63"/>
  <c r="EA64"/>
  <c r="EA65"/>
  <c r="EA66"/>
  <c r="EA67"/>
  <c r="EA68"/>
  <c r="EA69"/>
  <c r="EA70"/>
  <c r="EA71"/>
  <c r="EA72"/>
  <c r="EA73"/>
  <c r="EA74"/>
  <c r="EA75"/>
  <c r="EA76"/>
  <c r="EA77"/>
  <c r="EA78"/>
  <c r="EA79"/>
  <c r="EA80"/>
  <c r="EA81"/>
  <c r="EA82"/>
  <c r="EA83"/>
  <c r="EA84"/>
  <c r="EA85"/>
  <c r="EA86"/>
  <c r="EA87"/>
  <c r="EA88"/>
  <c r="EA89"/>
  <c r="EA90"/>
  <c r="EA91"/>
  <c r="EA92"/>
  <c r="EA93"/>
  <c r="EA94"/>
  <c r="EA95"/>
  <c r="EA96"/>
  <c r="EA97"/>
  <c r="EA98"/>
  <c r="EA99"/>
  <c r="EA100"/>
  <c r="EA101"/>
  <c r="EA102"/>
  <c r="EA103"/>
  <c r="EA104"/>
  <c r="EA105"/>
  <c r="EA106"/>
  <c r="EA107"/>
  <c r="EA108"/>
  <c r="EA109"/>
  <c r="EA110"/>
  <c r="EA111"/>
  <c r="EA112"/>
  <c r="EA113"/>
  <c r="EA114"/>
  <c r="EA115"/>
  <c r="EA116"/>
  <c r="EA117"/>
  <c r="EA118"/>
  <c r="EA119"/>
  <c r="EA120"/>
  <c r="EA121"/>
  <c r="EA122"/>
  <c r="EA123"/>
  <c r="EA124"/>
  <c r="EA125"/>
  <c r="EA126"/>
  <c r="EA127"/>
  <c r="EA128"/>
  <c r="EA129"/>
  <c r="EA130"/>
  <c r="EA131"/>
  <c r="EA132"/>
  <c r="EA133"/>
  <c r="EA134"/>
  <c r="EA135"/>
  <c r="EA136"/>
  <c r="EA137"/>
  <c r="EA138"/>
  <c r="EA139"/>
  <c r="EA140"/>
  <c r="EA141"/>
  <c r="EA142"/>
  <c r="EA143"/>
  <c r="EA144"/>
  <c r="EA145"/>
  <c r="EA146"/>
  <c r="EA147"/>
  <c r="EA148"/>
  <c r="EA149"/>
  <c r="EA150"/>
  <c r="EA151"/>
  <c r="EA152"/>
  <c r="EA153"/>
  <c r="EA154"/>
  <c r="EA155"/>
  <c r="EA156"/>
  <c r="EA157"/>
  <c r="EA158"/>
  <c r="EA159"/>
  <c r="EA160"/>
  <c r="EA161"/>
  <c r="EA162"/>
  <c r="EA163"/>
  <c r="EA164"/>
  <c r="EA165"/>
  <c r="EA166"/>
  <c r="EA167"/>
  <c r="EA168"/>
  <c r="EA169"/>
  <c r="EA170"/>
  <c r="EA171"/>
  <c r="EA172"/>
  <c r="EA173"/>
  <c r="EA174"/>
  <c r="EA175"/>
  <c r="EA176"/>
  <c r="EA177"/>
  <c r="EA178"/>
  <c r="EA179"/>
  <c r="EA180"/>
  <c r="EA181"/>
  <c r="EA182"/>
  <c r="EA183"/>
  <c r="EA184"/>
  <c r="EA185"/>
  <c r="EA186"/>
  <c r="EA187"/>
  <c r="EA188"/>
  <c r="EA189"/>
  <c r="EA190"/>
  <c r="EA191"/>
  <c r="EA192"/>
  <c r="EA193"/>
  <c r="EA194"/>
  <c r="EA195"/>
  <c r="EA196"/>
  <c r="EA197"/>
  <c r="EA198"/>
  <c r="EA199"/>
  <c r="EA200"/>
  <c r="EA201"/>
  <c r="EA202"/>
  <c r="EA203"/>
  <c r="EA204"/>
  <c r="EA205"/>
  <c r="EA206"/>
  <c r="EA207"/>
  <c r="EA208"/>
  <c r="EA209"/>
  <c r="EA210"/>
  <c r="EA211"/>
  <c r="EA212"/>
  <c r="EA213"/>
  <c r="EA214"/>
  <c r="EA215"/>
  <c r="EA216"/>
  <c r="EA217"/>
  <c r="EA218"/>
  <c r="EA219"/>
  <c r="EA220"/>
  <c r="EA221"/>
  <c r="EA222"/>
  <c r="EA223"/>
  <c r="EA224"/>
  <c r="EA225"/>
  <c r="EA226"/>
  <c r="EA227"/>
  <c r="EA228"/>
  <c r="EA229"/>
  <c r="EA230"/>
  <c r="EA231"/>
  <c r="EA232"/>
  <c r="EA233"/>
  <c r="EA234"/>
  <c r="EA235"/>
  <c r="EA236"/>
  <c r="EA237"/>
  <c r="EA238"/>
  <c r="EA239"/>
  <c r="EA240"/>
  <c r="EA241"/>
  <c r="EA242"/>
  <c r="EA243"/>
  <c r="EA244"/>
  <c r="EA245"/>
  <c r="EA246"/>
  <c r="EA247"/>
  <c r="EA248"/>
  <c r="EA249"/>
  <c r="EA250"/>
  <c r="EA251"/>
  <c r="EA252"/>
  <c r="EA253"/>
  <c r="EA254"/>
  <c r="EA255"/>
  <c r="EA256"/>
  <c r="EA257"/>
  <c r="EA258"/>
  <c r="EA259"/>
  <c r="EA260"/>
  <c r="EA261"/>
  <c r="EA262"/>
  <c r="EA263"/>
  <c r="EA264"/>
  <c r="EA265"/>
  <c r="EA266"/>
  <c r="EA267"/>
  <c r="EA268"/>
  <c r="EA269"/>
  <c r="EA270"/>
  <c r="EA271"/>
  <c r="EA272"/>
  <c r="EA273"/>
  <c r="EA274"/>
  <c r="EA275"/>
  <c r="EA276"/>
  <c r="EA277"/>
  <c r="EA278"/>
  <c r="EA279"/>
  <c r="EA280"/>
  <c r="EA281"/>
  <c r="EA282"/>
  <c r="EA283"/>
  <c r="EA284"/>
  <c r="EA285"/>
  <c r="EA286"/>
  <c r="EA287"/>
  <c r="EA288"/>
  <c r="EA289"/>
  <c r="EA290"/>
  <c r="EA291"/>
  <c r="EA292"/>
  <c r="EA293"/>
  <c r="EA294"/>
  <c r="EA295"/>
  <c r="EA296"/>
  <c r="EA297"/>
  <c r="EA298"/>
  <c r="EA299"/>
  <c r="EA300"/>
  <c r="EA301"/>
  <c r="EA302"/>
  <c r="EA303"/>
  <c r="EA304"/>
  <c r="EA305"/>
  <c r="EA306"/>
  <c r="EA307"/>
  <c r="EA308"/>
  <c r="EA309"/>
  <c r="EA310"/>
  <c r="EA311"/>
  <c r="EA312"/>
  <c r="EA313"/>
  <c r="EA314"/>
  <c r="EA315"/>
  <c r="EA316"/>
  <c r="EA317"/>
  <c r="EA318"/>
  <c r="EA319"/>
  <c r="EA320"/>
  <c r="EA321"/>
  <c r="EA322"/>
  <c r="EA323"/>
  <c r="EA324"/>
  <c r="EA325"/>
  <c r="EA326"/>
  <c r="EA327"/>
  <c r="EA328"/>
  <c r="EA329"/>
  <c r="EA330"/>
  <c r="EA331"/>
  <c r="EA332"/>
  <c r="EA333"/>
  <c r="EA334"/>
  <c r="EA335"/>
  <c r="EA336"/>
  <c r="EA337"/>
  <c r="EA338"/>
  <c r="EA339"/>
  <c r="EA340"/>
  <c r="EA341"/>
  <c r="EA342"/>
  <c r="EA343"/>
  <c r="EA344"/>
  <c r="EA345"/>
  <c r="EA346"/>
  <c r="EA347"/>
  <c r="EA348"/>
  <c r="EA349"/>
  <c r="EA350"/>
  <c r="EA351"/>
  <c r="EA352"/>
  <c r="EA353"/>
  <c r="EA354"/>
  <c r="EA355"/>
  <c r="EA356"/>
  <c r="EA357"/>
  <c r="EA358"/>
  <c r="EA359"/>
  <c r="EA360"/>
  <c r="EA361"/>
  <c r="EA362"/>
  <c r="EA363"/>
  <c r="EA364"/>
  <c r="EA365"/>
  <c r="EA366"/>
  <c r="EA13"/>
  <c r="EA367" s="1"/>
  <c r="D126" i="23" s="1"/>
  <c r="DX14" i="14"/>
  <c r="DX15"/>
  <c r="DX16"/>
  <c r="DX17"/>
  <c r="DX18"/>
  <c r="DX19"/>
  <c r="DX20"/>
  <c r="DX21"/>
  <c r="DX22"/>
  <c r="DX23"/>
  <c r="DX24"/>
  <c r="DX25"/>
  <c r="DX26"/>
  <c r="DX27"/>
  <c r="DX28"/>
  <c r="DX29"/>
  <c r="DX30"/>
  <c r="DX31"/>
  <c r="DX32"/>
  <c r="DX33"/>
  <c r="DX34"/>
  <c r="DX35"/>
  <c r="DX36"/>
  <c r="DX37"/>
  <c r="DX38"/>
  <c r="DX39"/>
  <c r="DX40"/>
  <c r="DX41"/>
  <c r="DX42"/>
  <c r="DX43"/>
  <c r="DX44"/>
  <c r="DX45"/>
  <c r="DX46"/>
  <c r="DX47"/>
  <c r="DX48"/>
  <c r="DX49"/>
  <c r="DX50"/>
  <c r="DX51"/>
  <c r="DX52"/>
  <c r="DX53"/>
  <c r="DX54"/>
  <c r="DX55"/>
  <c r="DX56"/>
  <c r="DX57"/>
  <c r="DX58"/>
  <c r="DX59"/>
  <c r="DX60"/>
  <c r="DX61"/>
  <c r="DX62"/>
  <c r="DX63"/>
  <c r="DX64"/>
  <c r="DX65"/>
  <c r="DX66"/>
  <c r="DX67"/>
  <c r="DX68"/>
  <c r="DX69"/>
  <c r="DX70"/>
  <c r="DX71"/>
  <c r="DX72"/>
  <c r="DX73"/>
  <c r="DX74"/>
  <c r="DX75"/>
  <c r="DX76"/>
  <c r="DX77"/>
  <c r="DX78"/>
  <c r="DX79"/>
  <c r="DX80"/>
  <c r="DX81"/>
  <c r="DX82"/>
  <c r="DX83"/>
  <c r="DX84"/>
  <c r="DX85"/>
  <c r="DX86"/>
  <c r="DX87"/>
  <c r="DX88"/>
  <c r="DX89"/>
  <c r="DX90"/>
  <c r="DX91"/>
  <c r="DX92"/>
  <c r="DX93"/>
  <c r="DX94"/>
  <c r="DX95"/>
  <c r="DX96"/>
  <c r="DX97"/>
  <c r="DX98"/>
  <c r="DX99"/>
  <c r="DX100"/>
  <c r="DX101"/>
  <c r="DX102"/>
  <c r="DX103"/>
  <c r="DX104"/>
  <c r="DX105"/>
  <c r="DX106"/>
  <c r="DX107"/>
  <c r="DX108"/>
  <c r="DX109"/>
  <c r="DX110"/>
  <c r="DX111"/>
  <c r="DX112"/>
  <c r="DX113"/>
  <c r="DX114"/>
  <c r="DX115"/>
  <c r="DX116"/>
  <c r="DX117"/>
  <c r="DX118"/>
  <c r="DX119"/>
  <c r="DX120"/>
  <c r="DX121"/>
  <c r="DX122"/>
  <c r="DX123"/>
  <c r="DX124"/>
  <c r="DX125"/>
  <c r="DX126"/>
  <c r="DX127"/>
  <c r="DX128"/>
  <c r="DX129"/>
  <c r="DX130"/>
  <c r="DX131"/>
  <c r="DX132"/>
  <c r="DX133"/>
  <c r="DX134"/>
  <c r="DX135"/>
  <c r="DX136"/>
  <c r="DX137"/>
  <c r="DX138"/>
  <c r="DX139"/>
  <c r="DX140"/>
  <c r="DX141"/>
  <c r="DX142"/>
  <c r="DX143"/>
  <c r="DX144"/>
  <c r="DX145"/>
  <c r="DX146"/>
  <c r="DX147"/>
  <c r="DX148"/>
  <c r="DX149"/>
  <c r="DX150"/>
  <c r="DX151"/>
  <c r="DX152"/>
  <c r="DX153"/>
  <c r="DX154"/>
  <c r="DX155"/>
  <c r="DX156"/>
  <c r="DX157"/>
  <c r="DX158"/>
  <c r="DX159"/>
  <c r="DX160"/>
  <c r="DX161"/>
  <c r="DX162"/>
  <c r="DX163"/>
  <c r="DX164"/>
  <c r="DX165"/>
  <c r="DX166"/>
  <c r="DX167"/>
  <c r="DX168"/>
  <c r="DX169"/>
  <c r="DX170"/>
  <c r="DX171"/>
  <c r="DX172"/>
  <c r="DX173"/>
  <c r="DX174"/>
  <c r="DX175"/>
  <c r="DX176"/>
  <c r="DX177"/>
  <c r="DX178"/>
  <c r="DX179"/>
  <c r="DX180"/>
  <c r="DX181"/>
  <c r="DX182"/>
  <c r="DX183"/>
  <c r="DX184"/>
  <c r="DX185"/>
  <c r="DX186"/>
  <c r="DX187"/>
  <c r="DX188"/>
  <c r="DX189"/>
  <c r="DX190"/>
  <c r="DX191"/>
  <c r="DX192"/>
  <c r="DX193"/>
  <c r="DX194"/>
  <c r="DX195"/>
  <c r="DX196"/>
  <c r="DX197"/>
  <c r="DX198"/>
  <c r="DX199"/>
  <c r="DX200"/>
  <c r="DX201"/>
  <c r="DX202"/>
  <c r="DX203"/>
  <c r="DX204"/>
  <c r="DX205"/>
  <c r="DX206"/>
  <c r="DX207"/>
  <c r="DX208"/>
  <c r="DX209"/>
  <c r="DX210"/>
  <c r="DX211"/>
  <c r="DX212"/>
  <c r="DX213"/>
  <c r="DX214"/>
  <c r="DX215"/>
  <c r="DX216"/>
  <c r="DX217"/>
  <c r="DX218"/>
  <c r="DX219"/>
  <c r="DX220"/>
  <c r="DX221"/>
  <c r="DX222"/>
  <c r="DX223"/>
  <c r="DX224"/>
  <c r="DX225"/>
  <c r="DX226"/>
  <c r="DX227"/>
  <c r="DX228"/>
  <c r="DX229"/>
  <c r="DX230"/>
  <c r="DX231"/>
  <c r="DX232"/>
  <c r="DX233"/>
  <c r="DX234"/>
  <c r="DX235"/>
  <c r="DX236"/>
  <c r="DX237"/>
  <c r="DX238"/>
  <c r="DX239"/>
  <c r="DX240"/>
  <c r="DX241"/>
  <c r="DX242"/>
  <c r="DX243"/>
  <c r="DX244"/>
  <c r="DX245"/>
  <c r="DX246"/>
  <c r="DX247"/>
  <c r="DX248"/>
  <c r="DX249"/>
  <c r="DX250"/>
  <c r="DX251"/>
  <c r="DX252"/>
  <c r="DX253"/>
  <c r="DX254"/>
  <c r="DX255"/>
  <c r="DX256"/>
  <c r="DX257"/>
  <c r="DX258"/>
  <c r="DX259"/>
  <c r="DX260"/>
  <c r="DX261"/>
  <c r="DX262"/>
  <c r="DX263"/>
  <c r="DX264"/>
  <c r="DX265"/>
  <c r="DX266"/>
  <c r="DX267"/>
  <c r="DX268"/>
  <c r="DX269"/>
  <c r="DX270"/>
  <c r="DX271"/>
  <c r="DX272"/>
  <c r="DX273"/>
  <c r="DX274"/>
  <c r="DX275"/>
  <c r="DX276"/>
  <c r="DX277"/>
  <c r="DX278"/>
  <c r="DX279"/>
  <c r="DX280"/>
  <c r="DX281"/>
  <c r="DX282"/>
  <c r="DX283"/>
  <c r="DX284"/>
  <c r="DX285"/>
  <c r="DX286"/>
  <c r="DX287"/>
  <c r="DX288"/>
  <c r="DX289"/>
  <c r="DX290"/>
  <c r="DX291"/>
  <c r="DX292"/>
  <c r="DX293"/>
  <c r="DX294"/>
  <c r="DX295"/>
  <c r="DX296"/>
  <c r="DX297"/>
  <c r="DX298"/>
  <c r="DX299"/>
  <c r="DX300"/>
  <c r="DX301"/>
  <c r="DX302"/>
  <c r="DX303"/>
  <c r="DX304"/>
  <c r="DX305"/>
  <c r="DX306"/>
  <c r="DX307"/>
  <c r="DX308"/>
  <c r="DX309"/>
  <c r="DX310"/>
  <c r="DX311"/>
  <c r="DX312"/>
  <c r="DX313"/>
  <c r="DX314"/>
  <c r="DX315"/>
  <c r="DX316"/>
  <c r="DX317"/>
  <c r="DX318"/>
  <c r="DX319"/>
  <c r="DX320"/>
  <c r="DX321"/>
  <c r="DX322"/>
  <c r="DX323"/>
  <c r="DX324"/>
  <c r="DX325"/>
  <c r="DX326"/>
  <c r="DX327"/>
  <c r="DX328"/>
  <c r="DX329"/>
  <c r="DX330"/>
  <c r="DX331"/>
  <c r="DX332"/>
  <c r="DX333"/>
  <c r="DX334"/>
  <c r="DX335"/>
  <c r="DX336"/>
  <c r="DX337"/>
  <c r="DX338"/>
  <c r="DX339"/>
  <c r="DX340"/>
  <c r="DX341"/>
  <c r="DX342"/>
  <c r="DX343"/>
  <c r="DX344"/>
  <c r="DX345"/>
  <c r="DX346"/>
  <c r="DX347"/>
  <c r="DX348"/>
  <c r="DX349"/>
  <c r="DX350"/>
  <c r="DX351"/>
  <c r="DX352"/>
  <c r="DX353"/>
  <c r="DX354"/>
  <c r="DX355"/>
  <c r="DX356"/>
  <c r="DX357"/>
  <c r="DX358"/>
  <c r="DX359"/>
  <c r="DX360"/>
  <c r="DX361"/>
  <c r="DX362"/>
  <c r="DX363"/>
  <c r="DX364"/>
  <c r="DX365"/>
  <c r="DX366"/>
  <c r="DX13"/>
  <c r="DX367" s="1"/>
  <c r="D124" i="23" s="1"/>
  <c r="DV14" i="14"/>
  <c r="DV15"/>
  <c r="DV16"/>
  <c r="DV17"/>
  <c r="DV18"/>
  <c r="DV19"/>
  <c r="DV20"/>
  <c r="DV21"/>
  <c r="DV22"/>
  <c r="DV23"/>
  <c r="DV24"/>
  <c r="DV25"/>
  <c r="DV26"/>
  <c r="DV27"/>
  <c r="DV28"/>
  <c r="DV29"/>
  <c r="DV30"/>
  <c r="DV31"/>
  <c r="DV32"/>
  <c r="DV33"/>
  <c r="DV34"/>
  <c r="DV35"/>
  <c r="DV36"/>
  <c r="DV37"/>
  <c r="DV38"/>
  <c r="DV39"/>
  <c r="DV40"/>
  <c r="DV41"/>
  <c r="DV42"/>
  <c r="DV43"/>
  <c r="DV44"/>
  <c r="DV45"/>
  <c r="DV46"/>
  <c r="DV47"/>
  <c r="DV48"/>
  <c r="DV49"/>
  <c r="DV50"/>
  <c r="DV51"/>
  <c r="DV52"/>
  <c r="DV53"/>
  <c r="DV54"/>
  <c r="DV55"/>
  <c r="DV56"/>
  <c r="DV57"/>
  <c r="DV58"/>
  <c r="DV59"/>
  <c r="DV60"/>
  <c r="DV61"/>
  <c r="DV62"/>
  <c r="DV63"/>
  <c r="DV64"/>
  <c r="DV65"/>
  <c r="DV66"/>
  <c r="DV67"/>
  <c r="DV68"/>
  <c r="DV69"/>
  <c r="DV70"/>
  <c r="DV71"/>
  <c r="DV72"/>
  <c r="DV73"/>
  <c r="DV74"/>
  <c r="DV75"/>
  <c r="DV76"/>
  <c r="DV77"/>
  <c r="DV78"/>
  <c r="DV79"/>
  <c r="DV80"/>
  <c r="DV81"/>
  <c r="DV82"/>
  <c r="DV83"/>
  <c r="DV84"/>
  <c r="DV85"/>
  <c r="DV86"/>
  <c r="DV87"/>
  <c r="DV88"/>
  <c r="DV89"/>
  <c r="DV90"/>
  <c r="DV91"/>
  <c r="DV92"/>
  <c r="DV93"/>
  <c r="DV94"/>
  <c r="DV95"/>
  <c r="DV96"/>
  <c r="DV97"/>
  <c r="DV98"/>
  <c r="DV99"/>
  <c r="DV100"/>
  <c r="DV101"/>
  <c r="DV102"/>
  <c r="DV103"/>
  <c r="DV104"/>
  <c r="DV105"/>
  <c r="DV106"/>
  <c r="DV107"/>
  <c r="DV108"/>
  <c r="DV109"/>
  <c r="DV110"/>
  <c r="DV111"/>
  <c r="DV112"/>
  <c r="DV113"/>
  <c r="DV114"/>
  <c r="DV115"/>
  <c r="DV116"/>
  <c r="DV117"/>
  <c r="DV118"/>
  <c r="DV119"/>
  <c r="DV120"/>
  <c r="DV121"/>
  <c r="DV122"/>
  <c r="DV123"/>
  <c r="DV124"/>
  <c r="DV125"/>
  <c r="DV126"/>
  <c r="DV127"/>
  <c r="DV128"/>
  <c r="DV129"/>
  <c r="DV130"/>
  <c r="DV131"/>
  <c r="DV132"/>
  <c r="DV133"/>
  <c r="DV134"/>
  <c r="DV135"/>
  <c r="DV136"/>
  <c r="DV137"/>
  <c r="DV138"/>
  <c r="DV139"/>
  <c r="DV140"/>
  <c r="DV141"/>
  <c r="DV142"/>
  <c r="DV143"/>
  <c r="DV144"/>
  <c r="DV145"/>
  <c r="DV146"/>
  <c r="DV147"/>
  <c r="DV148"/>
  <c r="DV149"/>
  <c r="DV150"/>
  <c r="DV151"/>
  <c r="DV152"/>
  <c r="DV153"/>
  <c r="DV154"/>
  <c r="DV155"/>
  <c r="DV156"/>
  <c r="DV157"/>
  <c r="DV158"/>
  <c r="DV159"/>
  <c r="DV160"/>
  <c r="DV161"/>
  <c r="DV162"/>
  <c r="DV163"/>
  <c r="DV164"/>
  <c r="DV165"/>
  <c r="DV166"/>
  <c r="DV167"/>
  <c r="DV168"/>
  <c r="DV169"/>
  <c r="DV170"/>
  <c r="DV171"/>
  <c r="DV172"/>
  <c r="DV173"/>
  <c r="DV174"/>
  <c r="DV175"/>
  <c r="DV176"/>
  <c r="DV177"/>
  <c r="DV178"/>
  <c r="DV179"/>
  <c r="DV180"/>
  <c r="DV181"/>
  <c r="DV182"/>
  <c r="DV183"/>
  <c r="DV184"/>
  <c r="DV185"/>
  <c r="DV186"/>
  <c r="DV187"/>
  <c r="DV188"/>
  <c r="DV189"/>
  <c r="DV190"/>
  <c r="DV191"/>
  <c r="DV192"/>
  <c r="DV193"/>
  <c r="DV194"/>
  <c r="DV195"/>
  <c r="DV196"/>
  <c r="DV197"/>
  <c r="DV198"/>
  <c r="DV199"/>
  <c r="DV200"/>
  <c r="DV201"/>
  <c r="DV202"/>
  <c r="DV203"/>
  <c r="DV204"/>
  <c r="DV205"/>
  <c r="DV206"/>
  <c r="DV207"/>
  <c r="DV208"/>
  <c r="DV209"/>
  <c r="DV210"/>
  <c r="DV211"/>
  <c r="DV212"/>
  <c r="DV213"/>
  <c r="DV214"/>
  <c r="DV215"/>
  <c r="DV216"/>
  <c r="DV217"/>
  <c r="DV218"/>
  <c r="DV219"/>
  <c r="DV220"/>
  <c r="DV221"/>
  <c r="DV222"/>
  <c r="DV223"/>
  <c r="DV224"/>
  <c r="DV225"/>
  <c r="DV226"/>
  <c r="DV227"/>
  <c r="DV228"/>
  <c r="DV229"/>
  <c r="DV230"/>
  <c r="DV231"/>
  <c r="DV232"/>
  <c r="DV233"/>
  <c r="DV234"/>
  <c r="DV235"/>
  <c r="DV236"/>
  <c r="DV237"/>
  <c r="DV238"/>
  <c r="DV239"/>
  <c r="DV240"/>
  <c r="DV241"/>
  <c r="DV242"/>
  <c r="DV243"/>
  <c r="DV244"/>
  <c r="DV245"/>
  <c r="DV246"/>
  <c r="DV247"/>
  <c r="DV248"/>
  <c r="DV249"/>
  <c r="DV250"/>
  <c r="DV251"/>
  <c r="DV252"/>
  <c r="DV253"/>
  <c r="DV254"/>
  <c r="DV255"/>
  <c r="DV256"/>
  <c r="DV257"/>
  <c r="DV258"/>
  <c r="DV259"/>
  <c r="DV260"/>
  <c r="DV261"/>
  <c r="DV262"/>
  <c r="DV263"/>
  <c r="DV264"/>
  <c r="DV265"/>
  <c r="DV266"/>
  <c r="DV267"/>
  <c r="DV268"/>
  <c r="DV269"/>
  <c r="DV270"/>
  <c r="DV271"/>
  <c r="DV272"/>
  <c r="DV273"/>
  <c r="DV274"/>
  <c r="DV275"/>
  <c r="DV276"/>
  <c r="DV277"/>
  <c r="DV278"/>
  <c r="DV279"/>
  <c r="DV280"/>
  <c r="DV281"/>
  <c r="DV282"/>
  <c r="DV283"/>
  <c r="DV284"/>
  <c r="DV285"/>
  <c r="DV286"/>
  <c r="DV287"/>
  <c r="DV288"/>
  <c r="DV289"/>
  <c r="DV290"/>
  <c r="DV291"/>
  <c r="DV292"/>
  <c r="DV293"/>
  <c r="DV294"/>
  <c r="DV295"/>
  <c r="DV296"/>
  <c r="DV297"/>
  <c r="DV298"/>
  <c r="DV299"/>
  <c r="DV300"/>
  <c r="DV301"/>
  <c r="DV302"/>
  <c r="DV303"/>
  <c r="DV304"/>
  <c r="DV305"/>
  <c r="DV306"/>
  <c r="DV307"/>
  <c r="DV308"/>
  <c r="DV309"/>
  <c r="DV310"/>
  <c r="DV311"/>
  <c r="DV312"/>
  <c r="DV313"/>
  <c r="DV314"/>
  <c r="DV315"/>
  <c r="DV316"/>
  <c r="DV317"/>
  <c r="DV318"/>
  <c r="DV319"/>
  <c r="DV320"/>
  <c r="DV321"/>
  <c r="DV322"/>
  <c r="DV323"/>
  <c r="DV324"/>
  <c r="DV325"/>
  <c r="DV326"/>
  <c r="DV327"/>
  <c r="DV328"/>
  <c r="DV329"/>
  <c r="DV330"/>
  <c r="DV331"/>
  <c r="DV332"/>
  <c r="DV333"/>
  <c r="DV334"/>
  <c r="DV335"/>
  <c r="DV336"/>
  <c r="DV337"/>
  <c r="DV338"/>
  <c r="DV339"/>
  <c r="DV340"/>
  <c r="DV341"/>
  <c r="DV342"/>
  <c r="DV343"/>
  <c r="DV344"/>
  <c r="DV345"/>
  <c r="DV346"/>
  <c r="DV347"/>
  <c r="DV348"/>
  <c r="DV349"/>
  <c r="DV350"/>
  <c r="DV351"/>
  <c r="DV352"/>
  <c r="DV353"/>
  <c r="DV354"/>
  <c r="DV355"/>
  <c r="DV356"/>
  <c r="DV357"/>
  <c r="DV358"/>
  <c r="DV359"/>
  <c r="DV360"/>
  <c r="DV361"/>
  <c r="DV362"/>
  <c r="DV363"/>
  <c r="DV364"/>
  <c r="DV365"/>
  <c r="DV366"/>
  <c r="DV13"/>
  <c r="DV367" s="1"/>
  <c r="D123" i="23" s="1"/>
  <c r="DT14" i="14"/>
  <c r="DT15"/>
  <c r="DT16"/>
  <c r="DT17"/>
  <c r="DT18"/>
  <c r="DT19"/>
  <c r="DT20"/>
  <c r="DT21"/>
  <c r="DT22"/>
  <c r="DT23"/>
  <c r="DT24"/>
  <c r="DT25"/>
  <c r="DT26"/>
  <c r="DT27"/>
  <c r="DT28"/>
  <c r="DT29"/>
  <c r="DT30"/>
  <c r="DT31"/>
  <c r="DT32"/>
  <c r="DT33"/>
  <c r="DT34"/>
  <c r="DT35"/>
  <c r="DT36"/>
  <c r="DT37"/>
  <c r="DT38"/>
  <c r="DT39"/>
  <c r="DT40"/>
  <c r="DT41"/>
  <c r="DT42"/>
  <c r="DT43"/>
  <c r="DT44"/>
  <c r="DT45"/>
  <c r="DT46"/>
  <c r="DT47"/>
  <c r="DT48"/>
  <c r="DT49"/>
  <c r="DT50"/>
  <c r="DT51"/>
  <c r="DT52"/>
  <c r="DT53"/>
  <c r="DT54"/>
  <c r="DT55"/>
  <c r="DT56"/>
  <c r="DT57"/>
  <c r="DT58"/>
  <c r="DT59"/>
  <c r="DT60"/>
  <c r="DT61"/>
  <c r="DT62"/>
  <c r="DT63"/>
  <c r="DT64"/>
  <c r="DT65"/>
  <c r="DT66"/>
  <c r="DT67"/>
  <c r="DT68"/>
  <c r="DT69"/>
  <c r="DT70"/>
  <c r="DT71"/>
  <c r="DT72"/>
  <c r="DT73"/>
  <c r="DT74"/>
  <c r="DT75"/>
  <c r="DT76"/>
  <c r="DT77"/>
  <c r="DT78"/>
  <c r="DT79"/>
  <c r="DT80"/>
  <c r="DT81"/>
  <c r="DT82"/>
  <c r="DT83"/>
  <c r="DT84"/>
  <c r="DT85"/>
  <c r="DT86"/>
  <c r="DT87"/>
  <c r="DT88"/>
  <c r="DT89"/>
  <c r="DT90"/>
  <c r="DT91"/>
  <c r="DT92"/>
  <c r="DT93"/>
  <c r="DT94"/>
  <c r="DT95"/>
  <c r="DT96"/>
  <c r="DT97"/>
  <c r="DT98"/>
  <c r="DT99"/>
  <c r="DT100"/>
  <c r="DT101"/>
  <c r="DT102"/>
  <c r="DT103"/>
  <c r="DT104"/>
  <c r="DT105"/>
  <c r="DT106"/>
  <c r="DT107"/>
  <c r="DT108"/>
  <c r="DT109"/>
  <c r="DT110"/>
  <c r="DT111"/>
  <c r="DT112"/>
  <c r="DT113"/>
  <c r="DT114"/>
  <c r="DT115"/>
  <c r="DT116"/>
  <c r="DT117"/>
  <c r="DT118"/>
  <c r="DT119"/>
  <c r="DT120"/>
  <c r="DT121"/>
  <c r="DT122"/>
  <c r="DT123"/>
  <c r="DT124"/>
  <c r="DT125"/>
  <c r="DT126"/>
  <c r="DT127"/>
  <c r="DT128"/>
  <c r="DT129"/>
  <c r="DT130"/>
  <c r="DT131"/>
  <c r="DT132"/>
  <c r="DT133"/>
  <c r="DT134"/>
  <c r="DT135"/>
  <c r="DT136"/>
  <c r="DT137"/>
  <c r="DT138"/>
  <c r="DT139"/>
  <c r="DT140"/>
  <c r="DT141"/>
  <c r="DT142"/>
  <c r="DT143"/>
  <c r="DT144"/>
  <c r="DT145"/>
  <c r="DT146"/>
  <c r="DT147"/>
  <c r="DT148"/>
  <c r="DT149"/>
  <c r="DT150"/>
  <c r="DT151"/>
  <c r="DT152"/>
  <c r="DT153"/>
  <c r="DT154"/>
  <c r="DT155"/>
  <c r="DT156"/>
  <c r="DT157"/>
  <c r="DT158"/>
  <c r="DT159"/>
  <c r="DT160"/>
  <c r="DT161"/>
  <c r="DT162"/>
  <c r="DT163"/>
  <c r="DT164"/>
  <c r="DT165"/>
  <c r="DT166"/>
  <c r="DT167"/>
  <c r="DT168"/>
  <c r="DT169"/>
  <c r="DT170"/>
  <c r="DT171"/>
  <c r="DT172"/>
  <c r="DT173"/>
  <c r="DT174"/>
  <c r="DT175"/>
  <c r="DT176"/>
  <c r="DT177"/>
  <c r="DT178"/>
  <c r="DT179"/>
  <c r="DT180"/>
  <c r="DT181"/>
  <c r="DT182"/>
  <c r="DT183"/>
  <c r="DT184"/>
  <c r="DT185"/>
  <c r="DT186"/>
  <c r="DT187"/>
  <c r="DT188"/>
  <c r="DT189"/>
  <c r="DT190"/>
  <c r="DT191"/>
  <c r="DT192"/>
  <c r="DT193"/>
  <c r="DT194"/>
  <c r="DT195"/>
  <c r="DT196"/>
  <c r="DT197"/>
  <c r="DT198"/>
  <c r="DT199"/>
  <c r="DT200"/>
  <c r="DT201"/>
  <c r="DT202"/>
  <c r="DT203"/>
  <c r="DT204"/>
  <c r="DT205"/>
  <c r="DT206"/>
  <c r="DT207"/>
  <c r="DT208"/>
  <c r="DT209"/>
  <c r="DT210"/>
  <c r="DT211"/>
  <c r="DT212"/>
  <c r="DT213"/>
  <c r="DT214"/>
  <c r="DT215"/>
  <c r="DT216"/>
  <c r="DT217"/>
  <c r="DT218"/>
  <c r="DT219"/>
  <c r="DT220"/>
  <c r="DT221"/>
  <c r="DT222"/>
  <c r="DT223"/>
  <c r="DT224"/>
  <c r="DT225"/>
  <c r="DT226"/>
  <c r="DT227"/>
  <c r="DT228"/>
  <c r="DT229"/>
  <c r="DT230"/>
  <c r="DT231"/>
  <c r="DT232"/>
  <c r="DT233"/>
  <c r="DT234"/>
  <c r="DT235"/>
  <c r="DT236"/>
  <c r="DT237"/>
  <c r="DT238"/>
  <c r="DT239"/>
  <c r="DT240"/>
  <c r="DT241"/>
  <c r="DT242"/>
  <c r="DT243"/>
  <c r="DT244"/>
  <c r="DT245"/>
  <c r="DT246"/>
  <c r="DT247"/>
  <c r="DT248"/>
  <c r="DT249"/>
  <c r="DT250"/>
  <c r="DT251"/>
  <c r="DT252"/>
  <c r="DT253"/>
  <c r="DT254"/>
  <c r="DT255"/>
  <c r="DT256"/>
  <c r="DT257"/>
  <c r="DT258"/>
  <c r="DT259"/>
  <c r="DT260"/>
  <c r="DT261"/>
  <c r="DT262"/>
  <c r="DT263"/>
  <c r="DT264"/>
  <c r="DT265"/>
  <c r="DT266"/>
  <c r="DT267"/>
  <c r="DT268"/>
  <c r="DT269"/>
  <c r="DT270"/>
  <c r="DT271"/>
  <c r="DT272"/>
  <c r="DT273"/>
  <c r="DT274"/>
  <c r="DT275"/>
  <c r="DT276"/>
  <c r="DT277"/>
  <c r="DT278"/>
  <c r="DT279"/>
  <c r="DT280"/>
  <c r="DT281"/>
  <c r="DT282"/>
  <c r="DT283"/>
  <c r="DT284"/>
  <c r="DT285"/>
  <c r="DT286"/>
  <c r="DT287"/>
  <c r="DT288"/>
  <c r="DT289"/>
  <c r="DT290"/>
  <c r="DT291"/>
  <c r="DT292"/>
  <c r="DT293"/>
  <c r="DT294"/>
  <c r="DT295"/>
  <c r="DT296"/>
  <c r="DT297"/>
  <c r="DT298"/>
  <c r="DT299"/>
  <c r="DT300"/>
  <c r="DT301"/>
  <c r="DT302"/>
  <c r="DT303"/>
  <c r="DT304"/>
  <c r="DT305"/>
  <c r="DT306"/>
  <c r="DT307"/>
  <c r="DT308"/>
  <c r="DT309"/>
  <c r="DT310"/>
  <c r="DT311"/>
  <c r="DT312"/>
  <c r="DT313"/>
  <c r="DT314"/>
  <c r="DT315"/>
  <c r="DT316"/>
  <c r="DT317"/>
  <c r="DT318"/>
  <c r="DT319"/>
  <c r="DT320"/>
  <c r="DT321"/>
  <c r="DT322"/>
  <c r="DT323"/>
  <c r="DT324"/>
  <c r="DT325"/>
  <c r="DT326"/>
  <c r="DT327"/>
  <c r="DT328"/>
  <c r="DT329"/>
  <c r="DT330"/>
  <c r="DT331"/>
  <c r="DT332"/>
  <c r="DT333"/>
  <c r="DT334"/>
  <c r="DT335"/>
  <c r="DT336"/>
  <c r="DT337"/>
  <c r="DT338"/>
  <c r="DT339"/>
  <c r="DT340"/>
  <c r="DT341"/>
  <c r="DT342"/>
  <c r="DT343"/>
  <c r="DT344"/>
  <c r="DT345"/>
  <c r="DT346"/>
  <c r="DT347"/>
  <c r="DT348"/>
  <c r="DT349"/>
  <c r="DT350"/>
  <c r="DT351"/>
  <c r="DT352"/>
  <c r="DT353"/>
  <c r="DT354"/>
  <c r="DT355"/>
  <c r="DT356"/>
  <c r="DT357"/>
  <c r="DT358"/>
  <c r="DT359"/>
  <c r="DT360"/>
  <c r="DT361"/>
  <c r="DT362"/>
  <c r="DT363"/>
  <c r="DT364"/>
  <c r="DT365"/>
  <c r="DT366"/>
  <c r="DT13"/>
  <c r="DT367" s="1"/>
  <c r="D122" i="23" s="1"/>
  <c r="DR14" i="14"/>
  <c r="DR15"/>
  <c r="DR16"/>
  <c r="DR17"/>
  <c r="DR18"/>
  <c r="DR19"/>
  <c r="DR20"/>
  <c r="DR21"/>
  <c r="DR22"/>
  <c r="DR23"/>
  <c r="DR24"/>
  <c r="DR25"/>
  <c r="DR26"/>
  <c r="DR27"/>
  <c r="DR28"/>
  <c r="DR29"/>
  <c r="DR30"/>
  <c r="DR31"/>
  <c r="DR32"/>
  <c r="DR33"/>
  <c r="DR34"/>
  <c r="DR35"/>
  <c r="DR36"/>
  <c r="DR37"/>
  <c r="DR38"/>
  <c r="DR39"/>
  <c r="DR40"/>
  <c r="DR41"/>
  <c r="DR42"/>
  <c r="DR43"/>
  <c r="DR44"/>
  <c r="DR45"/>
  <c r="DR46"/>
  <c r="DR47"/>
  <c r="DR48"/>
  <c r="DR49"/>
  <c r="DR50"/>
  <c r="DR51"/>
  <c r="DR52"/>
  <c r="DR53"/>
  <c r="DR54"/>
  <c r="DR55"/>
  <c r="DR56"/>
  <c r="DR57"/>
  <c r="DR58"/>
  <c r="DR59"/>
  <c r="DR60"/>
  <c r="DR61"/>
  <c r="DR62"/>
  <c r="DR63"/>
  <c r="DR64"/>
  <c r="DR65"/>
  <c r="DR66"/>
  <c r="DR67"/>
  <c r="DR68"/>
  <c r="DR69"/>
  <c r="DR70"/>
  <c r="DR71"/>
  <c r="DR72"/>
  <c r="DR73"/>
  <c r="DR74"/>
  <c r="DR75"/>
  <c r="DR76"/>
  <c r="DR77"/>
  <c r="DR78"/>
  <c r="DR79"/>
  <c r="DR80"/>
  <c r="DR81"/>
  <c r="DR82"/>
  <c r="DR83"/>
  <c r="DR84"/>
  <c r="DR85"/>
  <c r="DR86"/>
  <c r="DR87"/>
  <c r="DR88"/>
  <c r="DR89"/>
  <c r="DR90"/>
  <c r="DR91"/>
  <c r="DR92"/>
  <c r="DR93"/>
  <c r="DR94"/>
  <c r="DR95"/>
  <c r="DR96"/>
  <c r="DR97"/>
  <c r="DR98"/>
  <c r="DR99"/>
  <c r="DR100"/>
  <c r="DR101"/>
  <c r="DR102"/>
  <c r="DR103"/>
  <c r="DR104"/>
  <c r="DR105"/>
  <c r="DR106"/>
  <c r="DR107"/>
  <c r="DR108"/>
  <c r="DR109"/>
  <c r="DR110"/>
  <c r="DR111"/>
  <c r="DR112"/>
  <c r="DR113"/>
  <c r="DR114"/>
  <c r="DR115"/>
  <c r="DR116"/>
  <c r="DR117"/>
  <c r="DR118"/>
  <c r="DR119"/>
  <c r="DR120"/>
  <c r="DR121"/>
  <c r="DR122"/>
  <c r="DR123"/>
  <c r="DR124"/>
  <c r="DR125"/>
  <c r="DR126"/>
  <c r="DR127"/>
  <c r="DR128"/>
  <c r="DR129"/>
  <c r="DR130"/>
  <c r="DR131"/>
  <c r="DR132"/>
  <c r="DR133"/>
  <c r="DR134"/>
  <c r="DR135"/>
  <c r="DR136"/>
  <c r="DR137"/>
  <c r="DR138"/>
  <c r="DR139"/>
  <c r="DR140"/>
  <c r="DR141"/>
  <c r="DR142"/>
  <c r="DR143"/>
  <c r="DR144"/>
  <c r="DR145"/>
  <c r="DR146"/>
  <c r="DR147"/>
  <c r="DR148"/>
  <c r="DR149"/>
  <c r="DR150"/>
  <c r="DR151"/>
  <c r="DR152"/>
  <c r="DR153"/>
  <c r="DR154"/>
  <c r="DR155"/>
  <c r="DR156"/>
  <c r="DR157"/>
  <c r="DR158"/>
  <c r="DR159"/>
  <c r="DR160"/>
  <c r="DR161"/>
  <c r="DR162"/>
  <c r="DR163"/>
  <c r="DR164"/>
  <c r="DR165"/>
  <c r="DR166"/>
  <c r="DR167"/>
  <c r="DR168"/>
  <c r="DR169"/>
  <c r="DR170"/>
  <c r="DR171"/>
  <c r="DR172"/>
  <c r="DR173"/>
  <c r="DR174"/>
  <c r="DR175"/>
  <c r="DR176"/>
  <c r="DR177"/>
  <c r="DR178"/>
  <c r="DR179"/>
  <c r="DR180"/>
  <c r="DR181"/>
  <c r="DR182"/>
  <c r="DR183"/>
  <c r="DR184"/>
  <c r="DR185"/>
  <c r="DR186"/>
  <c r="DR187"/>
  <c r="DR188"/>
  <c r="DR189"/>
  <c r="DR190"/>
  <c r="DR191"/>
  <c r="DR192"/>
  <c r="DR193"/>
  <c r="DR194"/>
  <c r="DR195"/>
  <c r="DR196"/>
  <c r="DR197"/>
  <c r="DR198"/>
  <c r="DR199"/>
  <c r="DR200"/>
  <c r="DR201"/>
  <c r="DR202"/>
  <c r="DR203"/>
  <c r="DR204"/>
  <c r="DR205"/>
  <c r="DR206"/>
  <c r="DR207"/>
  <c r="DR208"/>
  <c r="DR209"/>
  <c r="DR210"/>
  <c r="DR211"/>
  <c r="DR212"/>
  <c r="DR213"/>
  <c r="DR214"/>
  <c r="DR215"/>
  <c r="DR216"/>
  <c r="DR217"/>
  <c r="DR218"/>
  <c r="DR219"/>
  <c r="DR220"/>
  <c r="DR221"/>
  <c r="DR222"/>
  <c r="DR223"/>
  <c r="DR224"/>
  <c r="DR225"/>
  <c r="DR226"/>
  <c r="DR227"/>
  <c r="DR228"/>
  <c r="DR229"/>
  <c r="DR230"/>
  <c r="DR231"/>
  <c r="DR232"/>
  <c r="DR233"/>
  <c r="DR234"/>
  <c r="DR235"/>
  <c r="DR236"/>
  <c r="DR237"/>
  <c r="DR238"/>
  <c r="DR239"/>
  <c r="DR240"/>
  <c r="DR241"/>
  <c r="DR242"/>
  <c r="DR243"/>
  <c r="DR244"/>
  <c r="DR245"/>
  <c r="DR246"/>
  <c r="DR247"/>
  <c r="DR248"/>
  <c r="DR249"/>
  <c r="DR250"/>
  <c r="DR251"/>
  <c r="DR252"/>
  <c r="DR253"/>
  <c r="DR254"/>
  <c r="DR255"/>
  <c r="DR256"/>
  <c r="DR257"/>
  <c r="DR258"/>
  <c r="DR259"/>
  <c r="DR260"/>
  <c r="DR261"/>
  <c r="DR262"/>
  <c r="DR263"/>
  <c r="DR264"/>
  <c r="DR265"/>
  <c r="DR266"/>
  <c r="DR267"/>
  <c r="DR268"/>
  <c r="DR269"/>
  <c r="DR270"/>
  <c r="DR271"/>
  <c r="DR272"/>
  <c r="DR273"/>
  <c r="DR274"/>
  <c r="DR275"/>
  <c r="DR276"/>
  <c r="DR277"/>
  <c r="DR278"/>
  <c r="DR279"/>
  <c r="DR280"/>
  <c r="DR281"/>
  <c r="DR282"/>
  <c r="DR283"/>
  <c r="DR284"/>
  <c r="DR285"/>
  <c r="DR286"/>
  <c r="DR287"/>
  <c r="DR288"/>
  <c r="DR289"/>
  <c r="DR290"/>
  <c r="DR291"/>
  <c r="DR292"/>
  <c r="DR293"/>
  <c r="DR294"/>
  <c r="DR295"/>
  <c r="DR296"/>
  <c r="DR297"/>
  <c r="DR298"/>
  <c r="DR299"/>
  <c r="DR300"/>
  <c r="DR301"/>
  <c r="DR302"/>
  <c r="DR303"/>
  <c r="DR304"/>
  <c r="DR305"/>
  <c r="DR306"/>
  <c r="DR307"/>
  <c r="DR308"/>
  <c r="DR309"/>
  <c r="DR310"/>
  <c r="DR311"/>
  <c r="DR312"/>
  <c r="DR313"/>
  <c r="DR314"/>
  <c r="DR315"/>
  <c r="DR316"/>
  <c r="DR317"/>
  <c r="DR318"/>
  <c r="DR319"/>
  <c r="DR320"/>
  <c r="DR321"/>
  <c r="DR322"/>
  <c r="DR323"/>
  <c r="DR324"/>
  <c r="DR325"/>
  <c r="DR326"/>
  <c r="DR327"/>
  <c r="DR328"/>
  <c r="DR329"/>
  <c r="DR330"/>
  <c r="DR331"/>
  <c r="DR332"/>
  <c r="DR333"/>
  <c r="DR334"/>
  <c r="DR335"/>
  <c r="DR336"/>
  <c r="DR337"/>
  <c r="DR338"/>
  <c r="DR339"/>
  <c r="DR340"/>
  <c r="DR341"/>
  <c r="DR342"/>
  <c r="DR343"/>
  <c r="DR344"/>
  <c r="DR345"/>
  <c r="DR346"/>
  <c r="DR347"/>
  <c r="DR348"/>
  <c r="DR349"/>
  <c r="DR350"/>
  <c r="DR351"/>
  <c r="DR352"/>
  <c r="DR353"/>
  <c r="DR354"/>
  <c r="DR355"/>
  <c r="DR356"/>
  <c r="DR357"/>
  <c r="DR358"/>
  <c r="DR359"/>
  <c r="DR360"/>
  <c r="DR361"/>
  <c r="DR362"/>
  <c r="DR363"/>
  <c r="DR364"/>
  <c r="DR365"/>
  <c r="DR366"/>
  <c r="DR367"/>
  <c r="D121" i="23" s="1"/>
  <c r="DN14" i="14"/>
  <c r="DN15"/>
  <c r="DN16"/>
  <c r="DN17"/>
  <c r="DN18"/>
  <c r="DN19"/>
  <c r="DN20"/>
  <c r="DN21"/>
  <c r="DN22"/>
  <c r="DN23"/>
  <c r="DN24"/>
  <c r="DN25"/>
  <c r="DN26"/>
  <c r="DN27"/>
  <c r="DN28"/>
  <c r="DN29"/>
  <c r="DN30"/>
  <c r="DN31"/>
  <c r="DN32"/>
  <c r="DN33"/>
  <c r="DN34"/>
  <c r="DN35"/>
  <c r="DN36"/>
  <c r="DN37"/>
  <c r="DN38"/>
  <c r="DN39"/>
  <c r="DN40"/>
  <c r="DN41"/>
  <c r="DN42"/>
  <c r="DN43"/>
  <c r="DN44"/>
  <c r="DN45"/>
  <c r="DN46"/>
  <c r="DN47"/>
  <c r="DN48"/>
  <c r="DN49"/>
  <c r="DN50"/>
  <c r="DN51"/>
  <c r="DN52"/>
  <c r="DN53"/>
  <c r="DN54"/>
  <c r="DN55"/>
  <c r="DN56"/>
  <c r="DN57"/>
  <c r="DN58"/>
  <c r="DN59"/>
  <c r="DN60"/>
  <c r="DN61"/>
  <c r="DN62"/>
  <c r="DN63"/>
  <c r="DN64"/>
  <c r="DN65"/>
  <c r="DN66"/>
  <c r="DN67"/>
  <c r="DN68"/>
  <c r="DN69"/>
  <c r="DN70"/>
  <c r="DN71"/>
  <c r="DN72"/>
  <c r="DN73"/>
  <c r="DN74"/>
  <c r="DN75"/>
  <c r="DN76"/>
  <c r="DN77"/>
  <c r="DN78"/>
  <c r="DN79"/>
  <c r="DN80"/>
  <c r="DN81"/>
  <c r="DN82"/>
  <c r="DN83"/>
  <c r="DN84"/>
  <c r="DN85"/>
  <c r="DN86"/>
  <c r="DN87"/>
  <c r="DN88"/>
  <c r="DN89"/>
  <c r="DN90"/>
  <c r="DN91"/>
  <c r="DN92"/>
  <c r="DN93"/>
  <c r="DN94"/>
  <c r="DN95"/>
  <c r="DN96"/>
  <c r="DN97"/>
  <c r="DN98"/>
  <c r="DN99"/>
  <c r="DN100"/>
  <c r="DN101"/>
  <c r="DN102"/>
  <c r="DN103"/>
  <c r="DN104"/>
  <c r="DN105"/>
  <c r="DN106"/>
  <c r="DN107"/>
  <c r="DN108"/>
  <c r="DN109"/>
  <c r="DN110"/>
  <c r="DN111"/>
  <c r="DN112"/>
  <c r="DN113"/>
  <c r="DN114"/>
  <c r="DN115"/>
  <c r="DN116"/>
  <c r="DN117"/>
  <c r="DN118"/>
  <c r="DN119"/>
  <c r="DN120"/>
  <c r="DN121"/>
  <c r="DN122"/>
  <c r="DN123"/>
  <c r="DN124"/>
  <c r="DN125"/>
  <c r="DN126"/>
  <c r="DN127"/>
  <c r="DN128"/>
  <c r="DN129"/>
  <c r="DN130"/>
  <c r="DN131"/>
  <c r="DN132"/>
  <c r="DN133"/>
  <c r="DN134"/>
  <c r="DN135"/>
  <c r="DN136"/>
  <c r="DN137"/>
  <c r="DN138"/>
  <c r="DN139"/>
  <c r="DN140"/>
  <c r="DN141"/>
  <c r="DN142"/>
  <c r="DN143"/>
  <c r="DN144"/>
  <c r="DN145"/>
  <c r="DN146"/>
  <c r="DN147"/>
  <c r="DN148"/>
  <c r="DN149"/>
  <c r="DN150"/>
  <c r="DN151"/>
  <c r="DN152"/>
  <c r="DN153"/>
  <c r="DN154"/>
  <c r="DN155"/>
  <c r="DN156"/>
  <c r="DN157"/>
  <c r="DN158"/>
  <c r="DN159"/>
  <c r="DN160"/>
  <c r="DN161"/>
  <c r="DN162"/>
  <c r="DN163"/>
  <c r="DN164"/>
  <c r="DN165"/>
  <c r="DN166"/>
  <c r="DN167"/>
  <c r="DN168"/>
  <c r="DN169"/>
  <c r="DN170"/>
  <c r="DN171"/>
  <c r="DN172"/>
  <c r="DN173"/>
  <c r="DN174"/>
  <c r="DN175"/>
  <c r="DN176"/>
  <c r="DN177"/>
  <c r="DN178"/>
  <c r="DN179"/>
  <c r="DN180"/>
  <c r="DN181"/>
  <c r="DN182"/>
  <c r="DN183"/>
  <c r="DN184"/>
  <c r="DN185"/>
  <c r="DN186"/>
  <c r="DN187"/>
  <c r="DN188"/>
  <c r="DN189"/>
  <c r="DN190"/>
  <c r="DN191"/>
  <c r="DN192"/>
  <c r="DN193"/>
  <c r="DN194"/>
  <c r="DN195"/>
  <c r="DN196"/>
  <c r="DN197"/>
  <c r="DN198"/>
  <c r="DN199"/>
  <c r="DN200"/>
  <c r="DN201"/>
  <c r="DN202"/>
  <c r="DN203"/>
  <c r="DN204"/>
  <c r="DN205"/>
  <c r="DN206"/>
  <c r="DN207"/>
  <c r="DN208"/>
  <c r="DN209"/>
  <c r="DN210"/>
  <c r="DN211"/>
  <c r="DN212"/>
  <c r="DN213"/>
  <c r="DN214"/>
  <c r="DN215"/>
  <c r="DN216"/>
  <c r="DN217"/>
  <c r="DN218"/>
  <c r="DN219"/>
  <c r="DN220"/>
  <c r="DN221"/>
  <c r="DN222"/>
  <c r="DN223"/>
  <c r="DN224"/>
  <c r="DN225"/>
  <c r="DN226"/>
  <c r="DN227"/>
  <c r="DN228"/>
  <c r="DN229"/>
  <c r="DN230"/>
  <c r="DN231"/>
  <c r="DN232"/>
  <c r="DN233"/>
  <c r="DN234"/>
  <c r="DN235"/>
  <c r="DN236"/>
  <c r="DN237"/>
  <c r="DN238"/>
  <c r="DN239"/>
  <c r="DN240"/>
  <c r="DN241"/>
  <c r="DN242"/>
  <c r="DN243"/>
  <c r="DN244"/>
  <c r="DN245"/>
  <c r="DN246"/>
  <c r="DN247"/>
  <c r="DN248"/>
  <c r="DN249"/>
  <c r="DN250"/>
  <c r="DN251"/>
  <c r="DN252"/>
  <c r="DN253"/>
  <c r="DN254"/>
  <c r="DN255"/>
  <c r="DN256"/>
  <c r="DN257"/>
  <c r="DN258"/>
  <c r="DN259"/>
  <c r="DN260"/>
  <c r="DN261"/>
  <c r="DN262"/>
  <c r="DN263"/>
  <c r="DN264"/>
  <c r="DN265"/>
  <c r="DN266"/>
  <c r="DN267"/>
  <c r="DN268"/>
  <c r="DN269"/>
  <c r="DN270"/>
  <c r="DN271"/>
  <c r="DN272"/>
  <c r="DN273"/>
  <c r="DN274"/>
  <c r="DN275"/>
  <c r="DN276"/>
  <c r="DN277"/>
  <c r="DN278"/>
  <c r="DN279"/>
  <c r="DN280"/>
  <c r="DN281"/>
  <c r="DN282"/>
  <c r="DN283"/>
  <c r="DN284"/>
  <c r="DN285"/>
  <c r="DN286"/>
  <c r="DN287"/>
  <c r="DN288"/>
  <c r="DN289"/>
  <c r="DN290"/>
  <c r="DN291"/>
  <c r="DN292"/>
  <c r="DN293"/>
  <c r="DN294"/>
  <c r="DN295"/>
  <c r="DN296"/>
  <c r="DN297"/>
  <c r="DN298"/>
  <c r="DN299"/>
  <c r="DN300"/>
  <c r="DN301"/>
  <c r="DN302"/>
  <c r="DN303"/>
  <c r="DN304"/>
  <c r="DN305"/>
  <c r="DN306"/>
  <c r="DN307"/>
  <c r="DN308"/>
  <c r="DN309"/>
  <c r="DN310"/>
  <c r="DN311"/>
  <c r="DN312"/>
  <c r="DN313"/>
  <c r="DN314"/>
  <c r="DN315"/>
  <c r="DN316"/>
  <c r="DN317"/>
  <c r="DN318"/>
  <c r="DN319"/>
  <c r="DN320"/>
  <c r="DN321"/>
  <c r="DN322"/>
  <c r="DN323"/>
  <c r="DN324"/>
  <c r="DN325"/>
  <c r="DN326"/>
  <c r="DN327"/>
  <c r="DN328"/>
  <c r="DN329"/>
  <c r="DN330"/>
  <c r="DN331"/>
  <c r="DN332"/>
  <c r="DN333"/>
  <c r="DN334"/>
  <c r="DN335"/>
  <c r="DN336"/>
  <c r="DN337"/>
  <c r="DN338"/>
  <c r="DN339"/>
  <c r="DN340"/>
  <c r="DN341"/>
  <c r="DN342"/>
  <c r="DN343"/>
  <c r="DN344"/>
  <c r="DN345"/>
  <c r="DN346"/>
  <c r="DN347"/>
  <c r="DN348"/>
  <c r="DN349"/>
  <c r="DN350"/>
  <c r="DN351"/>
  <c r="DN352"/>
  <c r="DN353"/>
  <c r="DN354"/>
  <c r="DN355"/>
  <c r="DN356"/>
  <c r="DN357"/>
  <c r="DN358"/>
  <c r="DN359"/>
  <c r="DN360"/>
  <c r="DN361"/>
  <c r="DN362"/>
  <c r="DN363"/>
  <c r="DN364"/>
  <c r="DN365"/>
  <c r="DN366"/>
  <c r="DN13"/>
  <c r="DN367" s="1"/>
  <c r="D118" i="23" s="1"/>
  <c r="DJ14" i="14"/>
  <c r="DJ15"/>
  <c r="DJ16"/>
  <c r="DJ17"/>
  <c r="DJ18"/>
  <c r="DJ19"/>
  <c r="DJ20"/>
  <c r="DJ21"/>
  <c r="DJ22"/>
  <c r="DJ23"/>
  <c r="DJ24"/>
  <c r="DJ25"/>
  <c r="DJ26"/>
  <c r="DJ27"/>
  <c r="DJ28"/>
  <c r="DJ29"/>
  <c r="DJ30"/>
  <c r="DJ31"/>
  <c r="DJ32"/>
  <c r="DJ33"/>
  <c r="DJ34"/>
  <c r="DJ35"/>
  <c r="DJ36"/>
  <c r="DJ37"/>
  <c r="DJ38"/>
  <c r="DJ39"/>
  <c r="DJ40"/>
  <c r="DJ41"/>
  <c r="DJ42"/>
  <c r="DJ43"/>
  <c r="DJ44"/>
  <c r="DJ45"/>
  <c r="DJ46"/>
  <c r="DJ47"/>
  <c r="DJ48"/>
  <c r="DJ49"/>
  <c r="DJ50"/>
  <c r="DJ51"/>
  <c r="DJ52"/>
  <c r="DJ53"/>
  <c r="DJ54"/>
  <c r="DJ55"/>
  <c r="DJ56"/>
  <c r="DJ57"/>
  <c r="DJ58"/>
  <c r="DJ59"/>
  <c r="DJ60"/>
  <c r="DJ61"/>
  <c r="DJ62"/>
  <c r="DJ63"/>
  <c r="DJ64"/>
  <c r="DJ65"/>
  <c r="DJ66"/>
  <c r="DJ67"/>
  <c r="DJ68"/>
  <c r="DJ69"/>
  <c r="DJ70"/>
  <c r="DJ71"/>
  <c r="DJ72"/>
  <c r="DJ73"/>
  <c r="DJ74"/>
  <c r="DJ75"/>
  <c r="DJ76"/>
  <c r="DJ77"/>
  <c r="DJ78"/>
  <c r="DJ79"/>
  <c r="DJ80"/>
  <c r="DJ81"/>
  <c r="DJ82"/>
  <c r="DJ83"/>
  <c r="DJ84"/>
  <c r="DJ85"/>
  <c r="DJ86"/>
  <c r="DJ87"/>
  <c r="DJ88"/>
  <c r="DJ89"/>
  <c r="DJ90"/>
  <c r="DJ91"/>
  <c r="DJ92"/>
  <c r="DJ93"/>
  <c r="DJ94"/>
  <c r="DJ95"/>
  <c r="DJ96"/>
  <c r="DJ97"/>
  <c r="DJ98"/>
  <c r="DJ99"/>
  <c r="DJ100"/>
  <c r="DJ101"/>
  <c r="DJ102"/>
  <c r="DJ103"/>
  <c r="DJ104"/>
  <c r="DJ105"/>
  <c r="DJ106"/>
  <c r="DJ107"/>
  <c r="DJ108"/>
  <c r="DJ109"/>
  <c r="DJ110"/>
  <c r="DJ111"/>
  <c r="DJ112"/>
  <c r="DJ113"/>
  <c r="DJ114"/>
  <c r="DJ115"/>
  <c r="DJ116"/>
  <c r="DJ117"/>
  <c r="DJ118"/>
  <c r="DJ119"/>
  <c r="DJ120"/>
  <c r="DJ121"/>
  <c r="DJ122"/>
  <c r="DJ123"/>
  <c r="DJ124"/>
  <c r="DJ125"/>
  <c r="DJ126"/>
  <c r="DJ127"/>
  <c r="DJ128"/>
  <c r="DJ129"/>
  <c r="DJ130"/>
  <c r="DJ131"/>
  <c r="DJ132"/>
  <c r="DJ133"/>
  <c r="DJ134"/>
  <c r="DJ135"/>
  <c r="DJ136"/>
  <c r="DJ137"/>
  <c r="DJ138"/>
  <c r="DJ139"/>
  <c r="DJ140"/>
  <c r="DJ141"/>
  <c r="DJ142"/>
  <c r="DJ143"/>
  <c r="DJ144"/>
  <c r="DJ145"/>
  <c r="DJ146"/>
  <c r="DJ147"/>
  <c r="DJ148"/>
  <c r="DJ149"/>
  <c r="DJ150"/>
  <c r="DJ151"/>
  <c r="DJ152"/>
  <c r="DJ153"/>
  <c r="DJ154"/>
  <c r="DJ155"/>
  <c r="DJ156"/>
  <c r="DJ157"/>
  <c r="DJ158"/>
  <c r="DJ159"/>
  <c r="DJ160"/>
  <c r="DJ161"/>
  <c r="DJ162"/>
  <c r="DJ163"/>
  <c r="DJ164"/>
  <c r="DJ165"/>
  <c r="DJ166"/>
  <c r="DJ167"/>
  <c r="DJ168"/>
  <c r="DJ169"/>
  <c r="DJ170"/>
  <c r="DJ171"/>
  <c r="DJ172"/>
  <c r="DJ173"/>
  <c r="DJ174"/>
  <c r="DJ175"/>
  <c r="DJ176"/>
  <c r="DJ177"/>
  <c r="DJ178"/>
  <c r="DJ179"/>
  <c r="DJ180"/>
  <c r="DJ181"/>
  <c r="DJ182"/>
  <c r="DJ183"/>
  <c r="DJ184"/>
  <c r="DJ185"/>
  <c r="DJ186"/>
  <c r="DJ187"/>
  <c r="DJ188"/>
  <c r="DJ189"/>
  <c r="DJ190"/>
  <c r="DJ191"/>
  <c r="DJ192"/>
  <c r="DJ193"/>
  <c r="DJ194"/>
  <c r="DJ195"/>
  <c r="DJ196"/>
  <c r="DJ197"/>
  <c r="DJ198"/>
  <c r="DJ199"/>
  <c r="DJ200"/>
  <c r="DJ201"/>
  <c r="DJ202"/>
  <c r="DJ203"/>
  <c r="DJ204"/>
  <c r="DJ205"/>
  <c r="DJ206"/>
  <c r="DJ207"/>
  <c r="DJ208"/>
  <c r="DJ209"/>
  <c r="DJ210"/>
  <c r="DJ211"/>
  <c r="DJ212"/>
  <c r="DJ213"/>
  <c r="DJ214"/>
  <c r="DJ215"/>
  <c r="DJ216"/>
  <c r="DJ217"/>
  <c r="DJ218"/>
  <c r="DJ219"/>
  <c r="DJ220"/>
  <c r="DJ221"/>
  <c r="DJ222"/>
  <c r="DJ223"/>
  <c r="DJ224"/>
  <c r="DJ225"/>
  <c r="DJ226"/>
  <c r="DJ227"/>
  <c r="DJ228"/>
  <c r="DJ229"/>
  <c r="DJ230"/>
  <c r="DJ231"/>
  <c r="DJ232"/>
  <c r="DJ233"/>
  <c r="DJ234"/>
  <c r="DJ235"/>
  <c r="DJ236"/>
  <c r="DJ237"/>
  <c r="DJ238"/>
  <c r="DJ239"/>
  <c r="DJ240"/>
  <c r="DJ241"/>
  <c r="DJ242"/>
  <c r="DJ243"/>
  <c r="DJ244"/>
  <c r="DJ245"/>
  <c r="DJ246"/>
  <c r="DJ247"/>
  <c r="DJ248"/>
  <c r="DJ249"/>
  <c r="DJ250"/>
  <c r="DJ251"/>
  <c r="DJ252"/>
  <c r="DJ253"/>
  <c r="DJ254"/>
  <c r="DJ255"/>
  <c r="DJ256"/>
  <c r="DJ257"/>
  <c r="DJ258"/>
  <c r="DJ259"/>
  <c r="DJ260"/>
  <c r="DJ261"/>
  <c r="DJ262"/>
  <c r="DJ263"/>
  <c r="DJ264"/>
  <c r="DJ265"/>
  <c r="DJ266"/>
  <c r="DJ267"/>
  <c r="DJ268"/>
  <c r="DJ269"/>
  <c r="DJ270"/>
  <c r="DJ271"/>
  <c r="DJ272"/>
  <c r="DJ273"/>
  <c r="DJ274"/>
  <c r="DJ275"/>
  <c r="DJ276"/>
  <c r="DJ277"/>
  <c r="DJ278"/>
  <c r="DJ279"/>
  <c r="DJ280"/>
  <c r="DJ281"/>
  <c r="DJ282"/>
  <c r="DJ283"/>
  <c r="DJ284"/>
  <c r="DJ285"/>
  <c r="DJ286"/>
  <c r="DJ287"/>
  <c r="DJ288"/>
  <c r="DJ289"/>
  <c r="DJ290"/>
  <c r="DJ291"/>
  <c r="DJ292"/>
  <c r="DJ293"/>
  <c r="DJ294"/>
  <c r="DJ295"/>
  <c r="DJ296"/>
  <c r="DJ297"/>
  <c r="DJ298"/>
  <c r="DJ299"/>
  <c r="DJ300"/>
  <c r="DJ301"/>
  <c r="DJ302"/>
  <c r="DJ303"/>
  <c r="DJ304"/>
  <c r="DJ305"/>
  <c r="DJ306"/>
  <c r="DJ307"/>
  <c r="DJ308"/>
  <c r="DJ309"/>
  <c r="DJ310"/>
  <c r="DJ311"/>
  <c r="DJ312"/>
  <c r="DJ313"/>
  <c r="DJ314"/>
  <c r="DJ315"/>
  <c r="DJ316"/>
  <c r="DJ317"/>
  <c r="DJ318"/>
  <c r="DJ319"/>
  <c r="DJ320"/>
  <c r="DJ321"/>
  <c r="DJ322"/>
  <c r="DJ323"/>
  <c r="DJ324"/>
  <c r="DJ325"/>
  <c r="DJ326"/>
  <c r="DJ327"/>
  <c r="DJ328"/>
  <c r="DJ329"/>
  <c r="DJ330"/>
  <c r="DJ331"/>
  <c r="DJ332"/>
  <c r="DJ333"/>
  <c r="DJ334"/>
  <c r="DJ335"/>
  <c r="DJ336"/>
  <c r="DJ337"/>
  <c r="DJ338"/>
  <c r="DJ339"/>
  <c r="DJ340"/>
  <c r="DJ341"/>
  <c r="DJ342"/>
  <c r="DJ343"/>
  <c r="DJ344"/>
  <c r="DJ345"/>
  <c r="DJ346"/>
  <c r="DJ347"/>
  <c r="DJ348"/>
  <c r="DJ349"/>
  <c r="DJ350"/>
  <c r="DJ351"/>
  <c r="DJ352"/>
  <c r="DJ353"/>
  <c r="DJ354"/>
  <c r="DJ355"/>
  <c r="DJ356"/>
  <c r="DJ357"/>
  <c r="DJ358"/>
  <c r="DJ359"/>
  <c r="DJ360"/>
  <c r="DJ361"/>
  <c r="DJ362"/>
  <c r="DJ363"/>
  <c r="DJ364"/>
  <c r="DJ365"/>
  <c r="DJ366"/>
  <c r="DJ13"/>
  <c r="DJ367" s="1"/>
  <c r="D115" i="23" s="1"/>
  <c r="CZ14" i="14"/>
  <c r="CZ15"/>
  <c r="CZ16"/>
  <c r="CZ17"/>
  <c r="CZ18"/>
  <c r="CZ19"/>
  <c r="CZ20"/>
  <c r="CZ21"/>
  <c r="CZ22"/>
  <c r="CZ23"/>
  <c r="CZ24"/>
  <c r="CZ25"/>
  <c r="CZ26"/>
  <c r="CZ27"/>
  <c r="CZ28"/>
  <c r="CZ29"/>
  <c r="CZ30"/>
  <c r="CZ31"/>
  <c r="CZ32"/>
  <c r="CZ33"/>
  <c r="CZ34"/>
  <c r="CZ35"/>
  <c r="CZ36"/>
  <c r="CZ37"/>
  <c r="CZ38"/>
  <c r="CZ39"/>
  <c r="CZ40"/>
  <c r="CZ41"/>
  <c r="CZ42"/>
  <c r="CZ43"/>
  <c r="CZ44"/>
  <c r="CZ45"/>
  <c r="CZ46"/>
  <c r="CZ47"/>
  <c r="CZ48"/>
  <c r="CZ49"/>
  <c r="CZ50"/>
  <c r="CZ51"/>
  <c r="CZ52"/>
  <c r="CZ53"/>
  <c r="CZ54"/>
  <c r="CZ55"/>
  <c r="CZ56"/>
  <c r="CZ57"/>
  <c r="CZ58"/>
  <c r="CZ59"/>
  <c r="CZ60"/>
  <c r="CZ61"/>
  <c r="CZ62"/>
  <c r="CZ63"/>
  <c r="CZ64"/>
  <c r="CZ65"/>
  <c r="CZ66"/>
  <c r="CZ67"/>
  <c r="CZ68"/>
  <c r="CZ69"/>
  <c r="CZ70"/>
  <c r="CZ71"/>
  <c r="CZ72"/>
  <c r="CZ73"/>
  <c r="CZ74"/>
  <c r="CZ75"/>
  <c r="CZ76"/>
  <c r="CZ77"/>
  <c r="CZ78"/>
  <c r="CZ79"/>
  <c r="CZ80"/>
  <c r="CZ81"/>
  <c r="CZ82"/>
  <c r="CZ83"/>
  <c r="CZ84"/>
  <c r="CZ85"/>
  <c r="CZ86"/>
  <c r="CZ87"/>
  <c r="CZ88"/>
  <c r="CZ89"/>
  <c r="CZ90"/>
  <c r="CZ91"/>
  <c r="CZ92"/>
  <c r="CZ93"/>
  <c r="CZ94"/>
  <c r="CZ95"/>
  <c r="CZ96"/>
  <c r="CZ97"/>
  <c r="CZ98"/>
  <c r="CZ99"/>
  <c r="CZ100"/>
  <c r="CZ101"/>
  <c r="CZ102"/>
  <c r="CZ103"/>
  <c r="CZ104"/>
  <c r="CZ105"/>
  <c r="CZ106"/>
  <c r="CZ107"/>
  <c r="CZ108"/>
  <c r="CZ109"/>
  <c r="CZ110"/>
  <c r="CZ111"/>
  <c r="CZ112"/>
  <c r="CZ113"/>
  <c r="CZ114"/>
  <c r="CZ115"/>
  <c r="CZ116"/>
  <c r="CZ117"/>
  <c r="CZ118"/>
  <c r="CZ119"/>
  <c r="CZ120"/>
  <c r="CZ121"/>
  <c r="CZ122"/>
  <c r="CZ123"/>
  <c r="CZ124"/>
  <c r="CZ125"/>
  <c r="CZ126"/>
  <c r="CZ127"/>
  <c r="CZ128"/>
  <c r="CZ129"/>
  <c r="CZ130"/>
  <c r="CZ131"/>
  <c r="CZ132"/>
  <c r="CZ133"/>
  <c r="CZ134"/>
  <c r="CZ135"/>
  <c r="CZ136"/>
  <c r="CZ137"/>
  <c r="CZ138"/>
  <c r="CZ139"/>
  <c r="CZ140"/>
  <c r="CZ141"/>
  <c r="CZ142"/>
  <c r="CZ143"/>
  <c r="CZ144"/>
  <c r="CZ145"/>
  <c r="CZ146"/>
  <c r="CZ147"/>
  <c r="CZ148"/>
  <c r="CZ149"/>
  <c r="CZ150"/>
  <c r="CZ151"/>
  <c r="CZ152"/>
  <c r="CZ153"/>
  <c r="CZ154"/>
  <c r="CZ155"/>
  <c r="CZ156"/>
  <c r="CZ157"/>
  <c r="CZ158"/>
  <c r="CZ159"/>
  <c r="CZ160"/>
  <c r="CZ161"/>
  <c r="CZ162"/>
  <c r="CZ163"/>
  <c r="CZ164"/>
  <c r="CZ165"/>
  <c r="CZ166"/>
  <c r="CZ167"/>
  <c r="CZ168"/>
  <c r="CZ169"/>
  <c r="CZ170"/>
  <c r="CZ171"/>
  <c r="CZ172"/>
  <c r="CZ173"/>
  <c r="CZ174"/>
  <c r="CZ175"/>
  <c r="CZ176"/>
  <c r="CZ177"/>
  <c r="CZ178"/>
  <c r="CZ179"/>
  <c r="CZ180"/>
  <c r="CZ181"/>
  <c r="CZ182"/>
  <c r="CZ183"/>
  <c r="CZ184"/>
  <c r="CZ185"/>
  <c r="CZ186"/>
  <c r="CZ187"/>
  <c r="CZ188"/>
  <c r="CZ189"/>
  <c r="CZ190"/>
  <c r="CZ191"/>
  <c r="CZ192"/>
  <c r="CZ193"/>
  <c r="CZ194"/>
  <c r="CZ195"/>
  <c r="CZ196"/>
  <c r="CZ197"/>
  <c r="CZ198"/>
  <c r="CZ199"/>
  <c r="CZ200"/>
  <c r="CZ201"/>
  <c r="CZ202"/>
  <c r="CZ203"/>
  <c r="CZ204"/>
  <c r="CZ205"/>
  <c r="CZ206"/>
  <c r="CZ207"/>
  <c r="CZ208"/>
  <c r="CZ209"/>
  <c r="CZ210"/>
  <c r="CZ211"/>
  <c r="CZ212"/>
  <c r="CZ213"/>
  <c r="CZ214"/>
  <c r="CZ215"/>
  <c r="CZ216"/>
  <c r="CZ217"/>
  <c r="CZ218"/>
  <c r="CZ219"/>
  <c r="CZ220"/>
  <c r="CZ221"/>
  <c r="CZ222"/>
  <c r="CZ223"/>
  <c r="CZ224"/>
  <c r="CZ225"/>
  <c r="CZ226"/>
  <c r="CZ227"/>
  <c r="CZ228"/>
  <c r="CZ229"/>
  <c r="CZ230"/>
  <c r="CZ231"/>
  <c r="CZ232"/>
  <c r="CZ233"/>
  <c r="CZ234"/>
  <c r="CZ235"/>
  <c r="CZ236"/>
  <c r="CZ237"/>
  <c r="CZ238"/>
  <c r="CZ239"/>
  <c r="CZ240"/>
  <c r="CZ241"/>
  <c r="CZ242"/>
  <c r="CZ243"/>
  <c r="CZ244"/>
  <c r="CZ245"/>
  <c r="CZ246"/>
  <c r="CZ247"/>
  <c r="CZ248"/>
  <c r="CZ249"/>
  <c r="CZ250"/>
  <c r="CZ251"/>
  <c r="CZ252"/>
  <c r="CZ253"/>
  <c r="CZ254"/>
  <c r="CZ255"/>
  <c r="CZ256"/>
  <c r="CZ257"/>
  <c r="CZ258"/>
  <c r="CZ259"/>
  <c r="CZ260"/>
  <c r="CZ261"/>
  <c r="CZ262"/>
  <c r="CZ263"/>
  <c r="CZ264"/>
  <c r="CZ265"/>
  <c r="CZ266"/>
  <c r="CZ267"/>
  <c r="CZ268"/>
  <c r="CZ269"/>
  <c r="CZ270"/>
  <c r="CZ271"/>
  <c r="CZ272"/>
  <c r="CZ273"/>
  <c r="CZ274"/>
  <c r="CZ275"/>
  <c r="CZ276"/>
  <c r="CZ277"/>
  <c r="CZ278"/>
  <c r="CZ279"/>
  <c r="CZ280"/>
  <c r="CZ281"/>
  <c r="CZ282"/>
  <c r="CZ283"/>
  <c r="CZ284"/>
  <c r="CZ285"/>
  <c r="CZ286"/>
  <c r="CZ287"/>
  <c r="CZ288"/>
  <c r="CZ289"/>
  <c r="CZ290"/>
  <c r="CZ291"/>
  <c r="CZ292"/>
  <c r="CZ293"/>
  <c r="CZ294"/>
  <c r="CZ295"/>
  <c r="CZ296"/>
  <c r="CZ297"/>
  <c r="CZ298"/>
  <c r="CZ299"/>
  <c r="CZ300"/>
  <c r="CZ301"/>
  <c r="CZ302"/>
  <c r="CZ303"/>
  <c r="CZ304"/>
  <c r="CZ305"/>
  <c r="CZ306"/>
  <c r="CZ307"/>
  <c r="CZ308"/>
  <c r="CZ309"/>
  <c r="CZ310"/>
  <c r="CZ311"/>
  <c r="CZ312"/>
  <c r="CZ313"/>
  <c r="CZ314"/>
  <c r="CZ315"/>
  <c r="CZ316"/>
  <c r="CZ317"/>
  <c r="CZ318"/>
  <c r="CZ319"/>
  <c r="CZ320"/>
  <c r="CZ321"/>
  <c r="CZ322"/>
  <c r="CZ323"/>
  <c r="CZ324"/>
  <c r="CZ325"/>
  <c r="CZ326"/>
  <c r="CZ327"/>
  <c r="CZ328"/>
  <c r="CZ329"/>
  <c r="CZ330"/>
  <c r="CZ331"/>
  <c r="CZ332"/>
  <c r="CZ333"/>
  <c r="CZ334"/>
  <c r="CZ335"/>
  <c r="CZ336"/>
  <c r="CZ337"/>
  <c r="CZ338"/>
  <c r="CZ339"/>
  <c r="CZ340"/>
  <c r="CZ341"/>
  <c r="CZ342"/>
  <c r="CZ343"/>
  <c r="CZ344"/>
  <c r="CZ345"/>
  <c r="CZ346"/>
  <c r="CZ347"/>
  <c r="CZ348"/>
  <c r="CZ349"/>
  <c r="CZ350"/>
  <c r="CZ351"/>
  <c r="CZ352"/>
  <c r="CZ353"/>
  <c r="CZ354"/>
  <c r="CZ355"/>
  <c r="CZ356"/>
  <c r="CZ357"/>
  <c r="CZ358"/>
  <c r="CZ359"/>
  <c r="CZ360"/>
  <c r="CZ361"/>
  <c r="CZ362"/>
  <c r="CZ363"/>
  <c r="CZ364"/>
  <c r="CZ365"/>
  <c r="CZ366"/>
  <c r="CZ13"/>
  <c r="CZ367" s="1"/>
  <c r="D106" i="23" s="1"/>
</calcChain>
</file>

<file path=xl/sharedStrings.xml><?xml version="1.0" encoding="utf-8"?>
<sst xmlns="http://schemas.openxmlformats.org/spreadsheetml/2006/main" count="1359" uniqueCount="1037">
  <si>
    <t>Total Number of Units Dispensed</t>
  </si>
  <si>
    <t>Pediatric Ward</t>
  </si>
  <si>
    <t>Surgical Ward</t>
  </si>
  <si>
    <t>Private Ward</t>
  </si>
  <si>
    <t>Dental</t>
  </si>
  <si>
    <t>Blood Bank</t>
  </si>
  <si>
    <t>Delivery Room</t>
  </si>
  <si>
    <t>Dialysis Unit</t>
  </si>
  <si>
    <t>Generic Name (Brand Name)</t>
  </si>
  <si>
    <t>Dosage Strength</t>
  </si>
  <si>
    <t>Dosage Form</t>
  </si>
  <si>
    <t>Volume</t>
  </si>
  <si>
    <t>Packaging/Unit of measure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</si>
  <si>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item of medical supplies and consumables dispensed to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</si>
  <si>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Head of Pharmacy/Pharmacist</t>
    </r>
  </si>
  <si>
    <t>Drugs and Medicines Consumption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</si>
  <si>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medicine and drug dispensed to various wards, departments and units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</si>
  <si>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Pharmacy Logbook /Charge slips/ Billing and Hospital Information System</t>
    </r>
  </si>
  <si>
    <t>Unit Acquisition Cost</t>
  </si>
  <si>
    <t>Classification of Hospital Departments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</si>
  <si>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</si>
  <si>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</si>
  <si>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</si>
  <si>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</si>
  <si>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</si>
  <si>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</si>
  <si>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</si>
  <si>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</si>
  <si>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</si>
  <si>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</si>
  <si>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</si>
  <si>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</si>
  <si>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</si>
  <si>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</si>
  <si>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</si>
  <si>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</si>
  <si>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</si>
  <si>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</si>
  <si>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</si>
  <si>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</si>
  <si>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</si>
  <si>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</si>
  <si>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</si>
  <si>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</si>
  <si>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</si>
  <si>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</si>
  <si>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</si>
  <si>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</si>
  <si>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</si>
  <si>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</si>
  <si>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</si>
  <si>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</si>
  <si>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</si>
  <si>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</si>
  <si>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</si>
  <si>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 xml:space="preserve">Housekeeping </t>
  </si>
  <si>
    <t>IT Department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</si>
  <si>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</si>
  <si>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</si>
  <si>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</si>
  <si>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</si>
  <si>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</si>
  <si>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</si>
  <si>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</si>
  <si>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</si>
  <si>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</si>
  <si>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</si>
  <si>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</si>
  <si>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</si>
  <si>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</si>
  <si>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</si>
  <si>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</si>
  <si>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</si>
  <si>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</si>
  <si>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</si>
  <si>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</si>
  <si>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</si>
  <si>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</si>
  <si>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</si>
  <si>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</si>
  <si>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</si>
  <si>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</si>
  <si>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Departments</t>
  </si>
  <si>
    <t>Medical supplies and consumables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</si>
  <si>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dispensed from the pharmacy and indicate total units dispensed per ward and departments. If you do not have this information, please fill in sheet 2.2 and 2.3.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</si>
  <si>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</si>
  <si>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Costs / Amount of consumption value (peso)</t>
  </si>
  <si>
    <t>Drugs and medicines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</si>
  <si>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and medicines dispensed from the pharmacy and indicate total units dispensed per ward</t>
    </r>
  </si>
  <si>
    <t>#</t>
  </si>
  <si>
    <t># Drugs</t>
  </si>
  <si>
    <t>Medical Supplies and Consumables</t>
  </si>
  <si>
    <t>Supply, consumable Name and Item Description</t>
  </si>
  <si>
    <t># Supplies</t>
  </si>
  <si>
    <r>
      <rPr>
        <b/>
        <sz val="11"/>
        <color theme="1"/>
        <rFont val="Arial Narrow"/>
        <family val="2"/>
      </rPr>
      <t>Instruction</t>
    </r>
    <r>
      <rPr>
        <sz val="11"/>
        <color theme="1"/>
        <rFont val="Arial Narrow"/>
        <family val="2"/>
      </rPr>
      <t>: Record all medical supplies and consumables dispensed from the pharmacy and indicate total units dispensed per ward/unit/department. Please do not change the name of the wards and units provided in this form. If you are not sure of following names, Please use 2 additional columns at the end if needed to adjust for your particular hospital. If you did use additional columns, please make remarks of names of clinical/medical specialty cases of the ward/unit.</t>
    </r>
  </si>
  <si>
    <t>Time period covered:</t>
  </si>
  <si>
    <t>28 May to 1st June 2018</t>
  </si>
  <si>
    <t>Drugs, medicines and Medical supplies consumption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</si>
  <si>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monetary value of total consumption of Drugs, medicines and Medical supplies used by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</si>
  <si>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Chief Pharmacist/Pharmacist/Pharmacy assistant</t>
    </r>
  </si>
  <si>
    <t xml:space="preserve">AEKNIL 150MG/ML 2ML AMP </t>
  </si>
  <si>
    <t xml:space="preserve">CALCIUM GLUCONATE  100MG/10ML AMP </t>
  </si>
  <si>
    <t>D50 GLUCOSE 50ML</t>
  </si>
  <si>
    <t xml:space="preserve">DEXAMETHASONE 4MG/ML 2ML AMP </t>
  </si>
  <si>
    <t>EPHEDRINE SULFATE AMP</t>
  </si>
  <si>
    <t>FENTANYL CITRATE AMP</t>
  </si>
  <si>
    <t>FLEET ENEMA ADULT</t>
  </si>
  <si>
    <t>GENTAMYCIN 80MG/2ML AMP</t>
  </si>
  <si>
    <t>SODIUM CHLORIDE 0.9% 50ML VIAL</t>
  </si>
  <si>
    <t xml:space="preserve">SODIUM BICARBONATE 8.4%  50MEQ 50ML VIAL </t>
  </si>
  <si>
    <t>SEVORANE PER CC</t>
  </si>
  <si>
    <t>PROPOFOL 10MG/20ML AMP</t>
  </si>
  <si>
    <t xml:space="preserve">PROMETHAZINE 25MG/ML 2ML  AMP </t>
  </si>
  <si>
    <t>HYDRALAZINE 20MG/ML AMP</t>
  </si>
  <si>
    <t>KCL 2MEQ/ML 20ML VIAL</t>
  </si>
  <si>
    <t xml:space="preserve">LILAC 3.3GMS/5ML SYRUP 120ML </t>
  </si>
  <si>
    <t>MAGNESIUM SULFATE 500MG/ML 2ML AMP</t>
  </si>
  <si>
    <t xml:space="preserve">METHYLERGOMETRINE 200MCG AMP </t>
  </si>
  <si>
    <t>MONOWEL 1GM VIAL</t>
  </si>
  <si>
    <t>MORPHINE SULFATE 10MG AMP</t>
  </si>
  <si>
    <t xml:space="preserve">NUBAIN 10MG/ML AMP </t>
  </si>
  <si>
    <t>OXYTOCIN 10 IU AMPULE</t>
  </si>
  <si>
    <t>PHOSPHO-SODA  GINGER LEMON FLAVORED 45ML</t>
  </si>
  <si>
    <t>ACI-RIC 25MG/ML  AMP 2ML</t>
  </si>
  <si>
    <t>ATROPINE SULFATE  1MG AMPULE</t>
  </si>
  <si>
    <t>BUSCOPAN 10MG TABLET</t>
  </si>
  <si>
    <t xml:space="preserve">COMBIVENT 500MCG/2.5MG 2.5ML NEB </t>
  </si>
  <si>
    <t xml:space="preserve">DULCOLAX 10MG ADULT SUPP </t>
  </si>
  <si>
    <t xml:space="preserve">DULCOLAX 5MG PEDIA SUPP </t>
  </si>
  <si>
    <t>DULCOLAX 5MG TABLET</t>
  </si>
  <si>
    <t>XYLOCAINE POLYAMP 2%</t>
  </si>
  <si>
    <t>VALIUM 10MG/2ML AMP</t>
  </si>
  <si>
    <t>EPINEPHRINE AMP</t>
  </si>
  <si>
    <t xml:space="preserve">FUROSEMIDE (EURO-D)  20MG/2ML AMP </t>
  </si>
  <si>
    <t>ISORDIL 5MG SL TABLET</t>
  </si>
  <si>
    <t>CATHEJELL ANESTHESIA GEL 12.5GMS</t>
  </si>
  <si>
    <t>LASIX 20MG/2ML AMP</t>
  </si>
  <si>
    <t>OXIME 750MG VIAL</t>
  </si>
  <si>
    <t>HIVENT 1MG/ML2.5ML NEBULE</t>
  </si>
  <si>
    <t>SENSORCAINE HEAVY 4ML</t>
  </si>
  <si>
    <t>SENSORCAINE ISOBARIC 5MG/ML 10ML AMP</t>
  </si>
  <si>
    <t>SERC 16MG TAB</t>
  </si>
  <si>
    <t>MOBIC 7.5MG TAB</t>
  </si>
  <si>
    <t xml:space="preserve">METHYLERGOMETHRINE  125MCG TAB </t>
  </si>
  <si>
    <t>D5 0.3% NACL 1LI</t>
  </si>
  <si>
    <t>D5 0.9% NACL 1LI</t>
  </si>
  <si>
    <t>D5 IMB 500ML</t>
  </si>
  <si>
    <t>D5 LRS 1LI</t>
  </si>
  <si>
    <t>D5 NM 1LI</t>
  </si>
  <si>
    <t>D5 NR 1LI</t>
  </si>
  <si>
    <t>D5 WATER 1LI</t>
  </si>
  <si>
    <t>D5 WATER 500ML</t>
  </si>
  <si>
    <t xml:space="preserve">D5 WATER 250ML </t>
  </si>
  <si>
    <t>D5 LRS 500ML</t>
  </si>
  <si>
    <t>DISTILLED WATER 50ML</t>
  </si>
  <si>
    <t>DOPAMINE  PREMIXED 400MG/250ML</t>
  </si>
  <si>
    <t>LRS 1LI</t>
  </si>
  <si>
    <t>NSS 1LI</t>
  </si>
  <si>
    <t>XTENDA 1GM VIAL (CEFTRIAXONE)</t>
  </si>
  <si>
    <t>TAZIDEM 1GM (CEFTAZIDIME)</t>
  </si>
  <si>
    <t>ZALVOS 200MG IV (CIPROFLOXACIN)</t>
  </si>
  <si>
    <t xml:space="preserve">ITERAX 10MG TABLET </t>
  </si>
  <si>
    <t xml:space="preserve">ITERAX 25MG TABLET </t>
  </si>
  <si>
    <t xml:space="preserve">MOTILLIUM 10MG TABLET </t>
  </si>
  <si>
    <t xml:space="preserve">OPIGESIC 125MG SUPP </t>
  </si>
  <si>
    <t xml:space="preserve">OPIGESIC 250MG SUPP </t>
  </si>
  <si>
    <t>STUGERON 25MG TABLET</t>
  </si>
  <si>
    <t>SOLU-CORTEF 100MG/2ML VIAL</t>
  </si>
  <si>
    <t>SOLU-CORTEF 250MG/2ML VIAL</t>
  </si>
  <si>
    <t>FELDENE FLASH 20MG TAB</t>
  </si>
  <si>
    <t>DORMICUM 5MG/ML AMP 1ML</t>
  </si>
  <si>
    <t>VERORAB  RABIES 2.5 IU/0.5ML  VIAL</t>
  </si>
  <si>
    <t>BRICANYL 0.5MG/ML AMPULE</t>
  </si>
  <si>
    <t>BUDECORT 250MCG/ML 2ML  RESPULES</t>
  </si>
  <si>
    <t>LANOXIN 0.5MG/2ML AMP</t>
  </si>
  <si>
    <t>PANTOLOC 40MG TAB</t>
  </si>
  <si>
    <t>PANTOLOC 40MG IV</t>
  </si>
  <si>
    <t>CELEBREX 200MG CAPSULE</t>
  </si>
  <si>
    <t>NORVASC * 5MG TAB</t>
  </si>
  <si>
    <t>BENADRYL 12.5MG/5ML ANTIHISTAMINE SYRUP 60ML</t>
  </si>
  <si>
    <t>TEMPRA DROPS 100MG/ML 15ML</t>
  </si>
  <si>
    <t>BIOGESIC 500MG TABLET</t>
  </si>
  <si>
    <t>BIOGESIC 250MG/5ML SYRUP 60ML</t>
  </si>
  <si>
    <t>AMIKACIDE 100MG/2ML AMP</t>
  </si>
  <si>
    <t>AMPICIN 500MG VIAL</t>
  </si>
  <si>
    <t>H2 BLOC 20MG/ML VIAL</t>
  </si>
  <si>
    <t>CARDIPINE 10MG/10ML AMP</t>
  </si>
  <si>
    <t>ISOXILAN 10MG/2ML AMP</t>
  </si>
  <si>
    <t>ISOXILAN 10MG TABLET</t>
  </si>
  <si>
    <t>KORTEZOR 30MG/ML  AMP</t>
  </si>
  <si>
    <t>STANCEF 1GM VIAL</t>
  </si>
  <si>
    <t>HEMOSTAN 500MG CAP</t>
  </si>
  <si>
    <t>HEMOSTAN 500MG/5ML AMP</t>
  </si>
  <si>
    <t>FORGRAM 1GM VIAL</t>
  </si>
  <si>
    <t>OMEPRON 40MG VIAL</t>
  </si>
  <si>
    <t>DOLAN FP FORTE 200MG/5ML SUSP 60ML</t>
  </si>
  <si>
    <t>TRACRIUM 10MG/ML 2.5ML AMP</t>
  </si>
  <si>
    <t>LIDOCAINE 2% 50ML VIAL</t>
  </si>
  <si>
    <t>SONIPHEN 50MG/ML AMP</t>
  </si>
  <si>
    <t>CHLORPHENIRAMINE MALEATE 10MG/ML AMPULE</t>
  </si>
  <si>
    <t>DOBUTAMINE 250/5ML AMP</t>
  </si>
  <si>
    <t>OTHER MEDICINE  EP</t>
  </si>
  <si>
    <t>ATS 1500 IU/0.7ML AMP</t>
  </si>
  <si>
    <t>TETANUS TOXOID 40 IU/0.5ML  AMP</t>
  </si>
  <si>
    <t>D5 0.3% NACL 500ML</t>
  </si>
  <si>
    <t>LRS 500ML</t>
  </si>
  <si>
    <t>NSS 500ML</t>
  </si>
  <si>
    <t>MUCOSOLVAN 15MG/2ML INHALATION SOLN 20ML</t>
  </si>
  <si>
    <t>ATADAR 625MG TABLET</t>
  </si>
  <si>
    <t>TRAMADOL (PEPTRAD) 50MG/ML AMP</t>
  </si>
  <si>
    <t>XYLOCAINE PER SPRAY</t>
  </si>
  <si>
    <t>PIPTAZ 4.5GM VIAL</t>
  </si>
  <si>
    <t>D10 WATER 500ML</t>
  </si>
  <si>
    <t>ARCOXIA 90MG TABLET</t>
  </si>
  <si>
    <t>ARCOXIA 120MG TABLET</t>
  </si>
  <si>
    <t>CORDARONE 200MG TABLET</t>
  </si>
  <si>
    <t>LEVOPHED 1MG/ML 2ML AMP</t>
  </si>
  <si>
    <t>NEOBLOC 50MG TAB</t>
  </si>
  <si>
    <t>ZITHROMAX * 500MG TAB</t>
  </si>
  <si>
    <t>PLAVIX * 75MG TAB</t>
  </si>
  <si>
    <t>LASIX 40MG TAB</t>
  </si>
  <si>
    <t>LEVOPRONT 30MG/5ML SYRUP 60ML</t>
  </si>
  <si>
    <t>VASTAREL  MR  35MG TAB</t>
  </si>
  <si>
    <t>ESMERON 10MG/ML 5ML AMP</t>
  </si>
  <si>
    <t>AMPICILLIN 1GM VIAL</t>
  </si>
  <si>
    <t>DOPAMINE 200MG/5ML AMP</t>
  </si>
  <si>
    <t>DICLOFENAC 25MG/ML 3ML AMP</t>
  </si>
  <si>
    <t>PHYTOMENADIONE 10MG/ML 1ML AMP</t>
  </si>
  <si>
    <t>KEFOX 750MG VIAL</t>
  </si>
  <si>
    <t>DILATREND 6.25MG TAB</t>
  </si>
  <si>
    <t>LIPITOR * 40MG TAB</t>
  </si>
  <si>
    <t>MYONAL 50MG TAB</t>
  </si>
  <si>
    <t>FLOXEL 500MG TAB</t>
  </si>
  <si>
    <t>AMVASC * 5MG TABLET</t>
  </si>
  <si>
    <t>COMBIZAR 50MG/12.5MG TABLET</t>
  </si>
  <si>
    <t>LIFEZAR 50MG TAB</t>
  </si>
  <si>
    <t>ZEGEN 500MG CAP</t>
  </si>
  <si>
    <t>ASPILET EC 80MG TABLET</t>
  </si>
  <si>
    <t>CEFALEXIN RM 500MG CAPSULE</t>
  </si>
  <si>
    <t>OMEPRON 20MG CAP</t>
  </si>
  <si>
    <t>STUGERON FORTE 75MG CAP</t>
  </si>
  <si>
    <t xml:space="preserve">ISOKET AMP 1% 1MG/ML 10ML </t>
  </si>
  <si>
    <t>MUCOSTA 100MG TAB</t>
  </si>
  <si>
    <t>BENADRYL 50MG CAPSULE</t>
  </si>
  <si>
    <t>ELIXIME  CAP 500MG</t>
  </si>
  <si>
    <t>ISTAN 500MG CAP</t>
  </si>
  <si>
    <t>ALDACTONE 25MG TABLET</t>
  </si>
  <si>
    <t>KETOSTERIL 600MG TAB</t>
  </si>
  <si>
    <t>METRONIDAZOLE 5MG/ML 100ML</t>
  </si>
  <si>
    <t>ZEPTRIGEN 1GM VIAL</t>
  </si>
  <si>
    <t>ZEPIM 1GM VIAL</t>
  </si>
  <si>
    <t>RANITIDINE 25MG/ML  2ML AMP</t>
  </si>
  <si>
    <t>HEPABIG VIAL</t>
  </si>
  <si>
    <t>PIPTAZ 2.25GM VIAL</t>
  </si>
  <si>
    <t>PROFUREX 750MG VIAL</t>
  </si>
  <si>
    <t>SODIUM CHLORIDE 2.5MEQ/20ML VIAL</t>
  </si>
  <si>
    <t>VATACIL 250MG VIAL</t>
  </si>
  <si>
    <t>MYCIN 40MG/ML AMP</t>
  </si>
  <si>
    <t>XSPAS 20MG/ML 1ML AMP</t>
  </si>
  <si>
    <t>DRIXINE ADULT NASAL SPRAY 15ML</t>
  </si>
  <si>
    <t>HIDRASEC 100MG CAP</t>
  </si>
  <si>
    <t>ZOLTAX 500MG CAP</t>
  </si>
  <si>
    <t>ZOLTAX 750MG VIAL</t>
  </si>
  <si>
    <t>MISOTEC 200MCG TABLET</t>
  </si>
  <si>
    <t>CLEXANE 0.4MG PFS</t>
  </si>
  <si>
    <t>CLEXANE 0.6MG PFS</t>
  </si>
  <si>
    <t>CATAPRES 75MCG TAB</t>
  </si>
  <si>
    <t>FLAGYL 500MG TAB</t>
  </si>
  <si>
    <t>DOLCET 37.5MG/325MG TABLET</t>
  </si>
  <si>
    <t>CHOLINERV 500MG TABLET</t>
  </si>
  <si>
    <t>CHOLINERV 250MG/ML 4ML AMP</t>
  </si>
  <si>
    <t>AMPICIN 250MG VIAL</t>
  </si>
  <si>
    <t>SODIUM BICARBONATE 650MG TAB</t>
  </si>
  <si>
    <t>DALACIN C 150MG/ML 4ML AMP</t>
  </si>
  <si>
    <t>KALIUM DURULES TAB</t>
  </si>
  <si>
    <t>SODIUM CHLORIDE 1GM TAB</t>
  </si>
  <si>
    <t>ZEGEN 750MG VIAL</t>
  </si>
  <si>
    <t>FLUIMUCIL 600MG TAB</t>
  </si>
  <si>
    <t>HIDRASEC 10MG INFANT SACHET</t>
  </si>
  <si>
    <t>LEXOTAN 1.5MG TAB</t>
  </si>
  <si>
    <t>DORMICUM 15MG TAB</t>
  </si>
  <si>
    <t>TRAMAL 100MG/2ML  AMP</t>
  </si>
  <si>
    <t>METOCLOPRAMIDE 10MG AMP</t>
  </si>
  <si>
    <t>RABIESVAX 2.5 IU/0.5ML VIAL</t>
  </si>
  <si>
    <t>IV CATHETER G.22  (BD INSYTE )</t>
  </si>
  <si>
    <t>FLUIMUCIL 200MG SACHET</t>
  </si>
  <si>
    <t>VALIUM 10 MG TAB</t>
  </si>
  <si>
    <t>VIGOCID 2.25 MG VIAL</t>
  </si>
  <si>
    <t>VIGOCID 4.5 GM VIAL</t>
  </si>
  <si>
    <t>TRAMAL 50MG CAP</t>
  </si>
  <si>
    <t>NSD SUPPLY KIT SUPPLY</t>
  </si>
  <si>
    <t>NSD MEDICINE KIT MEDICINE</t>
  </si>
  <si>
    <t>CS SUPPLY KIT SUPPLLIES</t>
  </si>
  <si>
    <t>CS  MEDICINE KIT MEDICINE</t>
  </si>
  <si>
    <t>D&amp;C SUPPLY  KIT OB SUPPLY</t>
  </si>
  <si>
    <t xml:space="preserve">D&amp;C MEDICINE KIT OB PACKAGE </t>
  </si>
  <si>
    <t>DIATABS TAB</t>
  </si>
  <si>
    <t>KABIVEN PERIPHERAL 1400</t>
  </si>
  <si>
    <t>NUTRIFLEX 1400</t>
  </si>
  <si>
    <t>FOLACID 5MG CAP</t>
  </si>
  <si>
    <t>UNASYN  750MG TAB</t>
  </si>
  <si>
    <t>MERGOT  125MCG TAB</t>
  </si>
  <si>
    <t>CEFTRIXONE  1GM VIAL</t>
  </si>
  <si>
    <t>DOXORUBICIN * 50MG / 50ML VIAL</t>
  </si>
  <si>
    <t>MAALOX SUSP 180ML</t>
  </si>
  <si>
    <t>CORALAN 5MG TABLET</t>
  </si>
  <si>
    <t>DECILONE  FORTE 4MG TAB</t>
  </si>
  <si>
    <t>DEPO-MEDROL 40MG/ML VIAL</t>
  </si>
  <si>
    <t>MEDROL 16MG TABLET</t>
  </si>
  <si>
    <t>RECORMON 5000 PFS</t>
  </si>
  <si>
    <t>CAPTOPRIL 25MG RM TABLET</t>
  </si>
  <si>
    <t>FLUOROURACIL  BIOMEDIS 500MG/10ML VIAL</t>
  </si>
  <si>
    <t>MOSEGOR VITA CAP</t>
  </si>
  <si>
    <t>NEUROBION TABLET</t>
  </si>
  <si>
    <t>ERCEFLORA SOLN NEBULE</t>
  </si>
  <si>
    <t>PLASIL 10MG TABLET</t>
  </si>
  <si>
    <t>IBERET FA TABLET</t>
  </si>
  <si>
    <t>KETOMED 30MG/ML AMP</t>
  </si>
  <si>
    <t>NAN PRO ONE 400GRAMS</t>
  </si>
  <si>
    <t>ALGESIA 37.5MG/325MG TABLET</t>
  </si>
  <si>
    <t>MICARDIS * 40MG TABLET</t>
  </si>
  <si>
    <t>APIDRA SOLO STAR 100UNITS</t>
  </si>
  <si>
    <t>ZEFXON 40MG IV</t>
  </si>
  <si>
    <t>CARVID 25MG TABLET</t>
  </si>
  <si>
    <t>OXYNORM 10MG/ML AMP</t>
  </si>
  <si>
    <t>OMEVEX 40MG VIAL</t>
  </si>
  <si>
    <t>LEVOCIN 500MG/100ML VIAL</t>
  </si>
  <si>
    <t>OXYCONTIN 10MG CAP</t>
  </si>
  <si>
    <t>RISEK 40MG IV</t>
  </si>
  <si>
    <t>TERGECEF 200MG CAP</t>
  </si>
  <si>
    <t>KASTAIR 10MG TAB</t>
  </si>
  <si>
    <t>IMDUR 30MG TAB</t>
  </si>
  <si>
    <t>DAFLON 500MG TAB</t>
  </si>
  <si>
    <t>LYRICA 75MG CAP</t>
  </si>
  <si>
    <t>NATRAVOX 625MG TAB</t>
  </si>
  <si>
    <t>LEVOCIN 500MG TAB</t>
  </si>
  <si>
    <t>OXYNORM 5MG CAP</t>
  </si>
  <si>
    <t>CIMEX 500MG TABLET</t>
  </si>
  <si>
    <t>CRESTOR 10 MG TABLET</t>
  </si>
  <si>
    <t>CRESTOR 20 MG TABLET</t>
  </si>
  <si>
    <t>DALACIN C 300MG CAPSULE</t>
  </si>
  <si>
    <t>VIRLIX 10MG TABLET</t>
  </si>
  <si>
    <t>GESITRAM  50MG/ML  2ML AMP</t>
  </si>
  <si>
    <t>GANATON 50MG TABLET</t>
  </si>
  <si>
    <t>URSOFALK 250MG CAP</t>
  </si>
  <si>
    <t>TAZOVEX 4.5GMS VIAL</t>
  </si>
  <si>
    <t>MOVELAX 3.3GM/5ML SYRUP 120ML</t>
  </si>
  <si>
    <t>TRAMAL 50MG AMP</t>
  </si>
  <si>
    <t>CEPIRAM  1GM VL</t>
  </si>
  <si>
    <t>CEPIRAM 2GM VL</t>
  </si>
  <si>
    <t>ENDO - SPHINCTEROTOME (X5 USE) TRI-TOME TRIPLE LUMEN</t>
  </si>
  <si>
    <t>AMPIMAX 750MG VIAL</t>
  </si>
  <si>
    <t xml:space="preserve">ENDO - TRI-EX EXTRACTION (X 5 USE) BALOON WITH MULTIPLE SIZING (COOK) </t>
  </si>
  <si>
    <t>CIPROBAY * 200MG/100ML VIAL</t>
  </si>
  <si>
    <t>CIPROBAY * 400MG/200ML VIAL</t>
  </si>
  <si>
    <t>B - COMPLEX PLAIN AMP</t>
  </si>
  <si>
    <t>D5 WATER 500ML (GLASS)</t>
  </si>
  <si>
    <t>PLATEXAN 75MG TAB</t>
  </si>
  <si>
    <t>VASALAT * 10MG TAB</t>
  </si>
  <si>
    <t xml:space="preserve">MULTIVENT 500MCG/2.5MG 2.5ML NEB </t>
  </si>
  <si>
    <t>ENDO - GUIDEWIRE ERCP  (LOOP TIP) 5XUSE TRACER METRO DIRECT 0.35X480CM</t>
  </si>
  <si>
    <t>EPREX 4000 IU PFS</t>
  </si>
  <si>
    <t>KETESSE  25MG TAB</t>
  </si>
  <si>
    <t>KETESSE 50MG AMP</t>
  </si>
  <si>
    <t>ECORTIN  100MG VIAL</t>
  </si>
  <si>
    <t>NAPREX 300MG/2ML AMP</t>
  </si>
  <si>
    <t>MEROZAN  1GM VIAL</t>
  </si>
  <si>
    <t>PROTEXIN RESTORE SACHET</t>
  </si>
  <si>
    <t>OMPRAZ 40MG VIAL</t>
  </si>
  <si>
    <t>KONAKION 10MG/ML AMP</t>
  </si>
  <si>
    <t>LIPURO 1% AMP</t>
  </si>
  <si>
    <t>HYDROVEX 100MG VIAL</t>
  </si>
  <si>
    <t>CEFAZOL/CEFAVEX 1GM VIAL</t>
  </si>
  <si>
    <t>KLINDEX 300MG CAP</t>
  </si>
  <si>
    <t>INSUGET R PER CC</t>
  </si>
  <si>
    <t>CHIROCAINE 5MG/ML SOLTN</t>
  </si>
  <si>
    <t>FERROFER AMP</t>
  </si>
  <si>
    <t>AMPHOTER 40MG VIAL</t>
  </si>
  <si>
    <t xml:space="preserve">VENTOLIN  NEBULE 1MG/ML </t>
  </si>
  <si>
    <t>HUMAN ALBUMIN (BEHRING) 20/25% 50ML</t>
  </si>
  <si>
    <t>PELDACYN 600MG AMP</t>
  </si>
  <si>
    <t>TDL PLUS CAP</t>
  </si>
  <si>
    <t>TALERIN 500MG VIAL</t>
  </si>
  <si>
    <t>NORVASC * 10MG TAB</t>
  </si>
  <si>
    <t>CLADEX 1G VIAL</t>
  </si>
  <si>
    <t>EVAPROST 125MCG/1ML 0.5ML AMP</t>
  </si>
  <si>
    <t>EVAPROST  250MCG/1ML AMP</t>
  </si>
  <si>
    <t>OMEPRON 40MG CAP</t>
  </si>
  <si>
    <t>ZALVOS 400MG VIAL</t>
  </si>
  <si>
    <t>RYTHMA 150MG/3ML AMP</t>
  </si>
  <si>
    <t>ULTRAXIME 100MG/5ML SUSP 60ML</t>
  </si>
  <si>
    <t>HYOS 20MG/ 1ML AMP</t>
  </si>
  <si>
    <t>GI NORM 10MG TAB</t>
  </si>
  <si>
    <t>S-OMIPIN 40MG VIAL</t>
  </si>
  <si>
    <t>NIMBEX 2MG/ML SOLUTION INJ</t>
  </si>
  <si>
    <t>HYOS 10MG TAB</t>
  </si>
  <si>
    <t>BETADINE  BLUE ORAL SOLN  60ML</t>
  </si>
  <si>
    <t>COXID 200MG CAP</t>
  </si>
  <si>
    <t>AMPIMAX 750MG TAB</t>
  </si>
  <si>
    <t>ONSIA 8MG/4ML AMP</t>
  </si>
  <si>
    <t>ONSIA 4MG/2ML AMP</t>
  </si>
  <si>
    <t>DAZOMET 500MG IV</t>
  </si>
  <si>
    <t>K-LYTE POTASSIUM CHLORIDE 600MG TABLET</t>
  </si>
  <si>
    <t>CEFUGET 500MG TAB</t>
  </si>
  <si>
    <t>CISPLATIN 50MG VIAL</t>
  </si>
  <si>
    <t>CLONIGEN 75MCG TAB</t>
  </si>
  <si>
    <t>MULTIDEX 500ML</t>
  </si>
  <si>
    <t>CEFTIN 1GM VIAL</t>
  </si>
  <si>
    <t>MERSA 500MG VIAL</t>
  </si>
  <si>
    <t>ENDO-(FUSION OASIS) ONE ACTION INTRODUCTION SYSTEM FS-OA-10 (5X USE)</t>
  </si>
  <si>
    <t>NORTHIX 4MG/4ML AMP</t>
  </si>
  <si>
    <t>EXFLEM 600MG SACHET</t>
  </si>
  <si>
    <t>EXFLEM 600MG TAB</t>
  </si>
  <si>
    <t>SURELAX 17GMS SACHET</t>
  </si>
  <si>
    <t>DAZOMET 500MG TAB</t>
  </si>
  <si>
    <t>VUEPAN 40MG VIAL</t>
  </si>
  <si>
    <t>TERGEN 500MG VIAL</t>
  </si>
  <si>
    <t>QUALIPRAZOLE 40MG VIAL</t>
  </si>
  <si>
    <t>GI PROTEC 1+ SACHET</t>
  </si>
  <si>
    <t>CILTAMIN 1.5GMS VIAL</t>
  </si>
  <si>
    <t>ZEFSUR 1.5GMS VIAL</t>
  </si>
  <si>
    <t>LOXEVA 500MG/100ML  IV</t>
  </si>
  <si>
    <t>AMINOSEA AMP</t>
  </si>
  <si>
    <t>BUPIRIGHT HEAVY AMP</t>
  </si>
  <si>
    <t>FUROSAN 20MG AMP</t>
  </si>
  <si>
    <t>PULMODUAL NEBULE</t>
  </si>
  <si>
    <t>ZEFTRAX-S VIAL</t>
  </si>
  <si>
    <t>HYPRO 200/20ML VIAL</t>
  </si>
  <si>
    <t>HUMALOG KWIK PEN</t>
  </si>
  <si>
    <t xml:space="preserve">PROTEMIN  5% SOLN 500ML </t>
  </si>
  <si>
    <t>NICARD 10MG</t>
  </si>
  <si>
    <t>SOJOURN 250ML SOLUTION</t>
  </si>
  <si>
    <t>PEPRAZOM 40MG VIAL</t>
  </si>
  <si>
    <t>AMOCLAV 625MG TAB</t>
  </si>
  <si>
    <t>ENDO - PLASTIC BILIARY STENTS 10FR X 9CM</t>
  </si>
  <si>
    <t>QUALISULTAM 500MG/250MG IV</t>
  </si>
  <si>
    <t>CIPROTACT 200MG/100ML IV</t>
  </si>
  <si>
    <t>CETAMOL 10MG/ML IV</t>
  </si>
  <si>
    <t>EMISTOP 8MG/4ML AMP</t>
  </si>
  <si>
    <t>ENDO - BIOPSY FORCEP GASTRO WITH SPIKE 160CM X28</t>
  </si>
  <si>
    <t>BASAGLAR KWIK PEN</t>
  </si>
  <si>
    <t>PROSEC IV VIAL</t>
  </si>
  <si>
    <t>HYDROZON 100MG VIAL</t>
  </si>
  <si>
    <t>METVEX 10MG/2ML</t>
  </si>
  <si>
    <t>SANNOVIT AMP 3ML</t>
  </si>
  <si>
    <t>OXYCONTIN NEO 10MG TAB</t>
  </si>
  <si>
    <t>SITIXON 1GM VIAL</t>
  </si>
  <si>
    <t>MACPRAZOLE 40MG</t>
  </si>
  <si>
    <t>ASTYMIN - 3 AMPULE</t>
  </si>
  <si>
    <t>ATORVAST 20MG</t>
  </si>
  <si>
    <t>ATORVAST 80MG</t>
  </si>
  <si>
    <t>VELMETIA 50/500MG</t>
  </si>
  <si>
    <t>SAPTAZ 1/125 IV</t>
  </si>
  <si>
    <t>HUMALOG VIAL 10ML</t>
  </si>
  <si>
    <t>SYRINGE W/N 3CC (G23)</t>
  </si>
  <si>
    <t>SYRINGE W/N 5ML</t>
  </si>
  <si>
    <t>ALCOHOL PAD 70% ISO</t>
  </si>
  <si>
    <t>SOLUSET INFUSION SET (DOSIFIX)</t>
  </si>
  <si>
    <t>HEPLOCK INJECTION PORT CAP</t>
  </si>
  <si>
    <t>IV CATHETER G.18  (BD INSYTE )</t>
  </si>
  <si>
    <t>IV CATHETER G.24 (BD INSYTE )</t>
  </si>
  <si>
    <t>NEEDLE G18 (1 1/2)</t>
  </si>
  <si>
    <t>NEEDLE G19 (1 1/2)</t>
  </si>
  <si>
    <t>NEEDLE G 20</t>
  </si>
  <si>
    <t>NEEDLE G 25 1INCH (LONG)</t>
  </si>
  <si>
    <t xml:space="preserve">SYRINGE W/N TB (1CC)  </t>
  </si>
  <si>
    <t>ENDOTRACHEAL TUBE SIZE 7 (PORTEX)</t>
  </si>
  <si>
    <t>MICROPORE TAPE 2X10YRD</t>
  </si>
  <si>
    <t>PEG KIT FR. 24 - MACARE</t>
  </si>
  <si>
    <t>SYRINGE W/N 10CC - LUER LOCK (G23)</t>
  </si>
  <si>
    <t>SYRINGE   30CC - LUER LOCK</t>
  </si>
  <si>
    <t>SYRINGE   60CC - LUER LOCK (B.D.)</t>
  </si>
  <si>
    <t>BEDPAN PLASTIC</t>
  </si>
  <si>
    <t>URINE BAG ADULT</t>
  </si>
  <si>
    <t>ELASTIC BANDAGE 4 INCH (HONEY COMB)</t>
  </si>
  <si>
    <t>ELASTIC BANDAGE 6 INCH (HONEY COMB)</t>
  </si>
  <si>
    <t xml:space="preserve">ELECTRODES ADULT  </t>
  </si>
  <si>
    <t>GLOVES (EXAMINATION) MEDIUM</t>
  </si>
  <si>
    <t>KIDNEY BASIN PLASTIC</t>
  </si>
  <si>
    <t>TRANSPORE  1 INCH X 10 YARDS 3M (WHITE)</t>
  </si>
  <si>
    <t>URINAL MALE PLASTIC</t>
  </si>
  <si>
    <t>ADULT DIAPER LARGE</t>
  </si>
  <si>
    <t>ALCOHOL\GUARDIAN 70% ISO - 500ML</t>
  </si>
  <si>
    <t>MARKER (SURGICAL) PEN</t>
  </si>
  <si>
    <t>PENROSE DRAIN 1/4</t>
  </si>
  <si>
    <t>OXYGEN MASK ADULT</t>
  </si>
  <si>
    <t>LAP SPONGE 18X18X12PLY</t>
  </si>
  <si>
    <t>SURGICAL CAP  DISPOSABLE SIZE 24"</t>
  </si>
  <si>
    <t>SKIN STAPLER 35 WIDE (PROXIMATE PLUS/ETHICON)</t>
  </si>
  <si>
    <t>ASEPTO SYRINGE UNIVERSAL STERILE</t>
  </si>
  <si>
    <t>COTTON TIP APPLICATOR WOODEN -STERILE</t>
  </si>
  <si>
    <t>FACE MASK EARLOOP (YOKOISADA)</t>
  </si>
  <si>
    <t xml:space="preserve">HOT WATER BAG SMALL </t>
  </si>
  <si>
    <t>SURGICAL BLADE SIZE 11</t>
  </si>
  <si>
    <t>SURGICAL BLADE SIZE 10</t>
  </si>
  <si>
    <t>SURGICAL BLADE SIZE 15</t>
  </si>
  <si>
    <t>SURGICAL BLADE SIZE 20</t>
  </si>
  <si>
    <t xml:space="preserve">SPINAL NEEDLE (B. BRAUN ) G23 </t>
  </si>
  <si>
    <t>FEEDING TUBE (NGT) FR.8 (100CM)</t>
  </si>
  <si>
    <t>DUODENAL TUBE (NGT) FR.16</t>
  </si>
  <si>
    <t>BONEWAX 2.5G</t>
  </si>
  <si>
    <t>RAZOR DISPOSABLE-SINGLE EDGE</t>
  </si>
  <si>
    <t>ENDOTRACHEAL TUBE SIZE 7.5 (RUSCH)</t>
  </si>
  <si>
    <t xml:space="preserve">ENDOTRACHEAL TUBE SIZE 8 </t>
  </si>
  <si>
    <t>IV SET (INTRAFIX) ADULT(MACROSET)-B.BRAUN</t>
  </si>
  <si>
    <t>IV SET (INTRAFIX) PEDIA-(MICROSET)- B.BRAUN</t>
  </si>
  <si>
    <t>GUEDEL AIRWAY GR 4 (90MM) YELLOW</t>
  </si>
  <si>
    <t>GUEDEL AIRWAY GR 5 (100MM RED)</t>
  </si>
  <si>
    <t>GUIDE WIRE ADULT (STYLET)</t>
  </si>
  <si>
    <t>HYDROGEN PEROXIDE 120ML</t>
  </si>
  <si>
    <t>JACKSON PRATT 10MM</t>
  </si>
  <si>
    <t>MEDICINE CUP 30CC</t>
  </si>
  <si>
    <t>NASAL CANNULA ADULT</t>
  </si>
  <si>
    <t>NASAL CANNULA NEONATAL</t>
  </si>
  <si>
    <t>NASAL CANNULA PEDIA</t>
  </si>
  <si>
    <t>NEBULIZER  KIT</t>
  </si>
  <si>
    <t>SPINAL NEEDLE (B. BRAUN ) G25</t>
  </si>
  <si>
    <t>STOPCOCK 3WAY (DISCOFIX)</t>
  </si>
  <si>
    <t>STRAIGHT CATHETER FR. 14 - NON-STERILE (RUBBER)</t>
  </si>
  <si>
    <t>SUCTION CATHETER FR. 14</t>
  </si>
  <si>
    <t>SUCTION CATHETER (INTRAPLAS) FR. 5</t>
  </si>
  <si>
    <t>SUCTION CATHETER FR. 16</t>
  </si>
  <si>
    <t>SUCTION CATHETER (INTRAPLAS) FR. 8</t>
  </si>
  <si>
    <t>COTTON 2/0 STRAND</t>
  </si>
  <si>
    <t>VICRYL 1  ROUND TAPER 40MM (CT 90CM)</t>
  </si>
  <si>
    <t>VICRYL 4-0 CUTTING 19MM (J496)</t>
  </si>
  <si>
    <t>TONGUE DEPRESSOR STERILE</t>
  </si>
  <si>
    <t>UMBILICAL CORD CLAMP ORMED</t>
  </si>
  <si>
    <t>UNDER PADS 60X90CM</t>
  </si>
  <si>
    <t>WEE BAG 100 ML/ ORMED</t>
  </si>
  <si>
    <t xml:space="preserve">FOLEY CATHETER (RUSCH) 2 WAY - FR. 16 </t>
  </si>
  <si>
    <t>SUCTION SET POOLE DRAIN</t>
  </si>
  <si>
    <t>ARM SLING MEDIUM (LONGBONE)</t>
  </si>
  <si>
    <t>TISSUE PAPER 300SHT/ROLL-2PLY</t>
  </si>
  <si>
    <t xml:space="preserve">ETHILON 4/0  CUTTING 30MM </t>
  </si>
  <si>
    <t>SYRINGE INSULIN 1ML</t>
  </si>
  <si>
    <t>SURGICEL 3X4 (J&amp;J)</t>
  </si>
  <si>
    <t xml:space="preserve">EXTENSION TUBING (IV) 100CM </t>
  </si>
  <si>
    <t>VICRYL 3-0  CUTTING (W9526T)</t>
  </si>
  <si>
    <t>VICRYL 4-0 ROUND SH 26MM (W9113/J415)</t>
  </si>
  <si>
    <t>ABDOMINAL BINDER SMALL</t>
  </si>
  <si>
    <t>ABDOMINAL BINDER MEDIUM</t>
  </si>
  <si>
    <t>ABDOMINAL BINDER LARGE</t>
  </si>
  <si>
    <t>MERSILK 3/0 CUTTING -26MM (W2511/N537)</t>
  </si>
  <si>
    <t>NURSERY KIT   WITH HAND BAG</t>
  </si>
  <si>
    <t>DISTILLED WATER 1000ML (ABSOLUTE)</t>
  </si>
  <si>
    <t>CAUTERY PEN RE-GAS</t>
  </si>
  <si>
    <t>SURGICAL DRAPES IOBAN(3M) 60CMX35CM(6640)</t>
  </si>
  <si>
    <t>MERSILK 4/0  STRANDS(W211)</t>
  </si>
  <si>
    <t>GLOVES (EXAMINATION) (AUTOCLAVE)</t>
  </si>
  <si>
    <t>VICRYL 0  ROUND TAPER-36MM (CT1 90CM)</t>
  </si>
  <si>
    <t>FOLEY CATHETER 2 WAY - FR. 14 (RUSCH)</t>
  </si>
  <si>
    <t>FOLEY CATHETER 2 WAY - FR. 18 RUSCH</t>
  </si>
  <si>
    <t>SUCTION SET POOLE DRAIN (RE-GAS)</t>
  </si>
  <si>
    <t>FEEDING TUBE (NGT) FR.8 (40CM)</t>
  </si>
  <si>
    <t>FEEDING TUBE (NGT) FR. 5 (40CM)</t>
  </si>
  <si>
    <t>SUCTION CONNECTING TUBE CH24 (210CM) F/F</t>
  </si>
  <si>
    <t>ABDOMINAL BINDER X-LARGE</t>
  </si>
  <si>
    <t>JACKSON PRATT 7MM</t>
  </si>
  <si>
    <t>SUCTION CATHETER(SIMPLEX) FR.12</t>
  </si>
  <si>
    <t xml:space="preserve">CERVICAL COLLAR FOAM-MEDIUM </t>
  </si>
  <si>
    <t>COTTON ROLL 400G</t>
  </si>
  <si>
    <t>TEGADERM (1626) 4X4 3/4 (3M)</t>
  </si>
  <si>
    <t>IV CATHETER G.26 (BD NEOFLON)</t>
  </si>
  <si>
    <t>LIGA CLIP MEDIUM - LT300 (CLIPS)</t>
  </si>
  <si>
    <t>NAIL POLISH REMOVER 30ML</t>
  </si>
  <si>
    <t>LAP STRIPS 1/2X16X8 PLY (5PCS) (LAP STRIP)</t>
  </si>
  <si>
    <t>SPECIMEN CUP 100ML</t>
  </si>
  <si>
    <t>MEDICINE CUP 50CC</t>
  </si>
  <si>
    <t>MEDICINE CUP 210CC</t>
  </si>
  <si>
    <t>POVIDONE IODINE 10% - 120ML (BACTICIDE)</t>
  </si>
  <si>
    <t>SYRINGE 50CC - LUER LOCK (TERUMO)</t>
  </si>
  <si>
    <t>TRIFUSE STERILE</t>
  </si>
  <si>
    <t>BREATHING CIRCUIT ADULT 72"</t>
  </si>
  <si>
    <t>HYDROGEN PEROXIDE 1 LITER</t>
  </si>
  <si>
    <t>ELASTIC BANDAGE (AUTOCLAVE) 6 INCH  /LONGBONE</t>
  </si>
  <si>
    <t>CHROMIC 2/0  DOUBLE ARM 36MM (W4277)</t>
  </si>
  <si>
    <t>GIGLI SAW WIRE SIZE 12" (ZIMMER)</t>
  </si>
  <si>
    <t>VICRYL 2/0  ROUND RB-1  17MM(VCP306/J306)</t>
  </si>
  <si>
    <t>OPSITE 6.5X5CM</t>
  </si>
  <si>
    <t>OPSITE 9.5X8.5CM</t>
  </si>
  <si>
    <t>OPSITE 15.5X8.5CM</t>
  </si>
  <si>
    <t>OPSITE 20X10CM</t>
  </si>
  <si>
    <t>BACTIGRAS 10CMX10CM</t>
  </si>
  <si>
    <t>OPSITE 25X10CM</t>
  </si>
  <si>
    <t>COTTON ROLL 50G (FOR PACKAGE ONLY)</t>
  </si>
  <si>
    <t>FOLEY CATHETER 2 WAY - FR. 8</t>
  </si>
  <si>
    <t>IV CATHETER G.16 ( INTROCAN)</t>
  </si>
  <si>
    <t>IV CATHETER G.20 (BD INSYTE )</t>
  </si>
  <si>
    <t>CAUTERY PEN MONO POLAR</t>
  </si>
  <si>
    <t>PROLENE 5/0 ROUND/TAPER C-1 13MM (8890)</t>
  </si>
  <si>
    <t>MERSILK 2/0  CUTTING -16MM (N503/BS-2)</t>
  </si>
  <si>
    <t>CHROMIC 4/0  CUTTING 20MM (N480)</t>
  </si>
  <si>
    <t>FORMALIN 10% BUFFER 4 LITERS</t>
  </si>
  <si>
    <t xml:space="preserve">WADDING SHEET (AUTOCLAVE) 6X5 </t>
  </si>
  <si>
    <t xml:space="preserve">IV CATHETER G.24 (BD NEOFLON) </t>
  </si>
  <si>
    <t>DUODENAL TUBE (NGT) FR. 16 (SILICON)</t>
  </si>
  <si>
    <t>SPLINT (WRIST) ADULT (SMALL)</t>
  </si>
  <si>
    <t>SPLINT (WRIST) PEDIA (SMALL)</t>
  </si>
  <si>
    <t>LEUKOPLAST 2" X 5M (ROLL)</t>
  </si>
  <si>
    <t>LEUKOPLAST 3" X 5M (ROLL)</t>
  </si>
  <si>
    <t>NSS (EUROMED) IRRIGATION SOLN (1L)</t>
  </si>
  <si>
    <t>MONORYL 3/0  CUTTING 19MM</t>
  </si>
  <si>
    <t>FOLEY CATHETER (BARDIA) 2 WAY FR16</t>
  </si>
  <si>
    <t xml:space="preserve">THERMOMETER DIGITAL </t>
  </si>
  <si>
    <t>SPLINT (WRIST) ADULT (LARGE)</t>
  </si>
  <si>
    <t>SPLINT (WRIST) ADULT (MEDIUM)</t>
  </si>
  <si>
    <t>SPLINT (WRIST) PEDIA (LARGE)</t>
  </si>
  <si>
    <t>LAP SPONGE 8X12X12 PLY</t>
  </si>
  <si>
    <t>IV CATHETER  ABBO CATH G18</t>
  </si>
  <si>
    <t>ADULT DIAPER X-LARGE</t>
  </si>
  <si>
    <t>SYRINGE  20CC TERUMO (SCREW TYPE)</t>
  </si>
  <si>
    <t xml:space="preserve">NEWBORN SCREENING </t>
  </si>
  <si>
    <t xml:space="preserve">SUCTION POOLE DRAIN -WELTEX </t>
  </si>
  <si>
    <t>TEGADERM (1623) 2 3/8 X 2 3/4</t>
  </si>
  <si>
    <t>TEGADERM (1622) 1 3/4 X 1 3/4</t>
  </si>
  <si>
    <t>ENDOTRACHEAL TUBE (PREFORMED) SIZE 8 (ORAL/SOUTH)</t>
  </si>
  <si>
    <t>CUTASEPT 50 ML</t>
  </si>
  <si>
    <t>MICROFINE NEEDLE G32 4MM</t>
  </si>
  <si>
    <t>SILK  0 STRANDS 75CM (A306)</t>
  </si>
  <si>
    <t>PROLENE 6-0 DOUBLE ARM</t>
  </si>
  <si>
    <t>HEMOLOK POLYMER LIGATING MEDIUM-LARGE (544230) (CLIPS)</t>
  </si>
  <si>
    <t>DUODERM 8X8</t>
  </si>
  <si>
    <t xml:space="preserve">NEW BORN DIAPER  </t>
  </si>
  <si>
    <t>IV SET INTRAFIX SAFESET W/ SAFEFLOW</t>
  </si>
  <si>
    <t xml:space="preserve">VICRYL 2/0 TAPER SH (26MM) </t>
  </si>
  <si>
    <t>VICRYL 2/0 CT-2 TAPER 26MM</t>
  </si>
  <si>
    <t>VICRYL 5/0  SPATULA 8MM S-14</t>
  </si>
  <si>
    <t>ABDOMINAL BINDER BELCRONE (BLUE) (10 INCHES)</t>
  </si>
  <si>
    <t>ETHILON 4/0 CUTTING 19MM</t>
  </si>
  <si>
    <t>SURGICAL GLOVES  SIZE 6.0 ADVENTA, ULMA</t>
  </si>
  <si>
    <t>SURGICAL GLOVES S 8 ULMA POWDER FREE</t>
  </si>
  <si>
    <t>LUBRICATING JELLY (OPTILUBE) 5GM SACHET</t>
  </si>
  <si>
    <t>BT SET TERUMO</t>
  </si>
  <si>
    <t>NEWBORN CARE KIT PACKAGE KIT</t>
  </si>
  <si>
    <t>DISPOSABLE AMBUBAG (SILICON)</t>
  </si>
  <si>
    <t>MACROSET (NEEDLE-LESS W/ 2 Y-PORTS ) SP*PT356 PO2</t>
  </si>
  <si>
    <t xml:space="preserve">MICROSET (SOL. ADMIN SET FOR PUMPS VOLUMETRIC) TS*PM370L42A </t>
  </si>
  <si>
    <t xml:space="preserve">CHROMIC 1 ROUND </t>
  </si>
  <si>
    <t xml:space="preserve">CHROMIC 2/0 ROUND </t>
  </si>
  <si>
    <t>PERCUPLEX PLUS URETHERAL STENT 6X24 (SET)</t>
  </si>
  <si>
    <t>NEEDLE - FREE CONNECTOR W/ EXTENSION TUBE (SP*ET105L1SA)</t>
  </si>
  <si>
    <t>MUCUS EXTRACTOR 25ML</t>
  </si>
  <si>
    <t>CHERRIES  W/ X RAY LINER - STERILE BASIC</t>
  </si>
  <si>
    <t>GAUZE PAD 4 X 8</t>
  </si>
  <si>
    <t>MERSILK J&amp;J  3/0 ROUND 26MM</t>
  </si>
  <si>
    <t>VICRYL J&amp;J  3/0 ROUND SH26MM</t>
  </si>
  <si>
    <t>ETHILON J&amp;J 3/0 CUTTING</t>
  </si>
  <si>
    <t xml:space="preserve">CAUTERY TIP CLEANER </t>
  </si>
  <si>
    <t xml:space="preserve">EXPANDED NEWBORN SCREENING KIT </t>
  </si>
  <si>
    <t>GAUZE PAD 4X4X5 PLY(STERILE)</t>
  </si>
  <si>
    <t xml:space="preserve">IV STARTER PACK </t>
  </si>
  <si>
    <t xml:space="preserve">QSYTE </t>
  </si>
  <si>
    <t>CANNULATION TRANSPORE  1X1</t>
  </si>
  <si>
    <t>MONOCRYL 4-0 CUTTING 19MM</t>
  </si>
  <si>
    <t>NOVOSYN 4/0 DS19 70CM</t>
  </si>
  <si>
    <t>GAUZE PAD 4X8 WITH XRAY INDICATOR</t>
  </si>
  <si>
    <t>STRAIGHT CATH FR 16 STERILE</t>
  </si>
  <si>
    <t>CHROMIC 2-0 ROUND B-BRAUN HR37S</t>
  </si>
  <si>
    <t>FOLEY CATHETER 2 WAY  FR 20</t>
  </si>
  <si>
    <t>SUCTION SILICON TOOTHBRUSH SIMPLEX</t>
  </si>
  <si>
    <t>AIR LIFE HUMIDIFIER 500ML</t>
  </si>
  <si>
    <t xml:space="preserve">CONDOM TRUST </t>
  </si>
  <si>
    <t>MONOSYN 3/0 HR26 90CM</t>
  </si>
  <si>
    <t>SURGICAL GLOVES  SIZE 6.5, ULMA POWDER FREE</t>
  </si>
  <si>
    <t>SURGICAL GLOVES  SIZE 7.0, ULMA POWDER FREE</t>
  </si>
  <si>
    <t>SURGICAL GLOVES  SIZE 7.5, ULMA POWDER FREE</t>
  </si>
  <si>
    <t>DERMAPRENE GLOVES SIZE 7.5 ADVENTA, FINESSIS CORIUM</t>
  </si>
  <si>
    <t xml:space="preserve">CHEMO INFUSION SET </t>
  </si>
  <si>
    <t>TRI-FLEX SURGICAL GLOVES SIZE 7.5</t>
  </si>
  <si>
    <t>PLAIN 2.0 (B BRAUN) B BRAUN</t>
  </si>
  <si>
    <t>CHROMIC 1 (B BRAUN) B BRAUN</t>
  </si>
  <si>
    <t>GLOVES EXAMINATION (POWDER FREE) MEDIUM</t>
  </si>
  <si>
    <t xml:space="preserve">ECOBATH TOWEL </t>
  </si>
  <si>
    <t>GLOVES EXAMINATION (POWDER FREE) SMALL</t>
  </si>
  <si>
    <t>GLOVES EXAMINATION (POWDER FREE) LARGE</t>
  </si>
  <si>
    <t>CHLORHEXIDINE 100 ML</t>
  </si>
  <si>
    <t>SERASEAL 5.0ML 0.5ML</t>
  </si>
  <si>
    <t>IV MULTIPLE INFUSION SET WITH FLOW REGULATOR</t>
  </si>
  <si>
    <t>BABY WIPES BABY TENDER</t>
  </si>
  <si>
    <t xml:space="preserve">LINER SEMI RIGID 3000CC </t>
  </si>
  <si>
    <t>IV SET NEEDLELESS (MICRO) PEDIA MPC SAFETY</t>
  </si>
  <si>
    <t>HYCLENS SKIN CLENSER 4% 60ML</t>
  </si>
  <si>
    <t>1116</t>
  </si>
  <si>
    <t>1</t>
  </si>
  <si>
    <t>3</t>
  </si>
  <si>
    <t>7</t>
  </si>
  <si>
    <t>8</t>
  </si>
  <si>
    <t>10</t>
  </si>
  <si>
    <t>11</t>
  </si>
  <si>
    <t>13</t>
  </si>
  <si>
    <t>14</t>
  </si>
  <si>
    <t>19</t>
  </si>
  <si>
    <t>20</t>
  </si>
  <si>
    <t>21</t>
  </si>
  <si>
    <t>22</t>
  </si>
  <si>
    <t>23</t>
  </si>
  <si>
    <t>24</t>
  </si>
  <si>
    <t>25</t>
  </si>
  <si>
    <t>27</t>
  </si>
  <si>
    <t>28</t>
  </si>
  <si>
    <t>29</t>
  </si>
  <si>
    <t>30</t>
  </si>
  <si>
    <t>32</t>
  </si>
  <si>
    <t>34</t>
  </si>
  <si>
    <t>36</t>
  </si>
  <si>
    <t>38</t>
  </si>
  <si>
    <t>42</t>
  </si>
  <si>
    <t>45</t>
  </si>
  <si>
    <t>49</t>
  </si>
  <si>
    <t>54</t>
  </si>
  <si>
    <t>56</t>
  </si>
  <si>
    <t>59</t>
  </si>
  <si>
    <t>60</t>
  </si>
  <si>
    <t>62</t>
  </si>
  <si>
    <t>64</t>
  </si>
  <si>
    <t>69</t>
  </si>
  <si>
    <t>70</t>
  </si>
  <si>
    <t>72</t>
  </si>
  <si>
    <t>74</t>
  </si>
  <si>
    <t>75</t>
  </si>
  <si>
    <t>77</t>
  </si>
  <si>
    <t>80</t>
  </si>
  <si>
    <t>81</t>
  </si>
  <si>
    <t>82</t>
  </si>
  <si>
    <t>83</t>
  </si>
  <si>
    <t>84</t>
  </si>
  <si>
    <t>85</t>
  </si>
  <si>
    <t>95</t>
  </si>
  <si>
    <t>96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</si>
  <si>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</si>
  <si>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</si>
  <si>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</si>
  <si>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</si>
  <si>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</si>
  <si>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</si>
  <si>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</si>
  <si>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</si>
  <si>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</si>
  <si>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108</t>
  </si>
  <si>
    <t>109</t>
  </si>
  <si>
    <t>111</t>
  </si>
  <si>
    <t>165</t>
  </si>
  <si>
    <t>166</t>
  </si>
  <si>
    <t>167</t>
  </si>
  <si>
    <t>178</t>
  </si>
  <si>
    <t>179</t>
  </si>
  <si>
    <t>180</t>
  </si>
  <si>
    <t>183</t>
  </si>
  <si>
    <t>184</t>
  </si>
  <si>
    <t>185</t>
  </si>
  <si>
    <t>191</t>
  </si>
  <si>
    <t>192</t>
  </si>
  <si>
    <t>193</t>
  </si>
  <si>
    <t>194</t>
  </si>
  <si>
    <t>196</t>
  </si>
  <si>
    <t>200</t>
  </si>
  <si>
    <t>201</t>
  </si>
  <si>
    <t>209</t>
  </si>
  <si>
    <t>212</t>
  </si>
  <si>
    <t>213</t>
  </si>
  <si>
    <t>215</t>
  </si>
  <si>
    <t>217</t>
  </si>
  <si>
    <t>219</t>
  </si>
  <si>
    <t>223</t>
  </si>
  <si>
    <t>224</t>
  </si>
  <si>
    <t>227</t>
  </si>
  <si>
    <t>230</t>
  </si>
  <si>
    <t>233</t>
  </si>
  <si>
    <t>234</t>
  </si>
  <si>
    <t>235</t>
  </si>
  <si>
    <t>236</t>
  </si>
  <si>
    <t>237</t>
  </si>
  <si>
    <t>239</t>
  </si>
  <si>
    <t>240</t>
  </si>
  <si>
    <t>242</t>
  </si>
  <si>
    <t>243</t>
  </si>
  <si>
    <t>244</t>
  </si>
  <si>
    <t>245</t>
  </si>
  <si>
    <t>248</t>
  </si>
  <si>
    <t>280</t>
  </si>
  <si>
    <t>356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</si>
  <si>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</si>
  <si>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</si>
  <si>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</si>
  <si>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</si>
  <si>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</si>
  <si>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</si>
  <si>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</si>
  <si>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</si>
  <si>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</si>
  <si>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371</t>
  </si>
  <si>
    <t>377</t>
  </si>
  <si>
    <t>378</t>
  </si>
  <si>
    <t>381</t>
  </si>
  <si>
    <t>382</t>
  </si>
  <si>
    <t>383</t>
  </si>
  <si>
    <t>393</t>
  </si>
  <si>
    <t>394</t>
  </si>
  <si>
    <t>395</t>
  </si>
  <si>
    <t>403</t>
  </si>
  <si>
    <t>404</t>
  </si>
  <si>
    <t>407</t>
  </si>
  <si>
    <t>408</t>
  </si>
  <si>
    <t>418</t>
  </si>
  <si>
    <t>419</t>
  </si>
  <si>
    <t>423</t>
  </si>
  <si>
    <t>425</t>
  </si>
  <si>
    <t>431</t>
  </si>
  <si>
    <t>432</t>
  </si>
  <si>
    <t>433</t>
  </si>
  <si>
    <t>434</t>
  </si>
  <si>
    <t>471</t>
  </si>
  <si>
    <t>477</t>
  </si>
  <si>
    <t>482</t>
  </si>
  <si>
    <t>483</t>
  </si>
  <si>
    <t>484</t>
  </si>
  <si>
    <t>486</t>
  </si>
  <si>
    <t>487</t>
  </si>
  <si>
    <t>488</t>
  </si>
  <si>
    <t>489</t>
  </si>
  <si>
    <t>491</t>
  </si>
  <si>
    <t>494</t>
  </si>
  <si>
    <t>495</t>
  </si>
  <si>
    <t>501</t>
  </si>
  <si>
    <t>507</t>
  </si>
  <si>
    <t>508</t>
  </si>
  <si>
    <t>510</t>
  </si>
  <si>
    <t>515</t>
  </si>
  <si>
    <t>517</t>
  </si>
  <si>
    <t>574</t>
  </si>
  <si>
    <t>598</t>
  </si>
  <si>
    <t>622</t>
  </si>
  <si>
    <t>631</t>
  </si>
  <si>
    <t>635</t>
  </si>
  <si>
    <t>654</t>
  </si>
  <si>
    <t>677</t>
  </si>
  <si>
    <t>694</t>
  </si>
  <si>
    <t>701</t>
  </si>
  <si>
    <t>708</t>
  </si>
  <si>
    <t>710</t>
  </si>
  <si>
    <t>712</t>
  </si>
  <si>
    <t>713</t>
  </si>
  <si>
    <t>737</t>
  </si>
  <si>
    <t>740</t>
  </si>
  <si>
    <t>746</t>
  </si>
  <si>
    <t>747</t>
  </si>
  <si>
    <t>922</t>
  </si>
  <si>
    <t>931</t>
  </si>
  <si>
    <t>932</t>
  </si>
  <si>
    <t>960</t>
  </si>
  <si>
    <t>997</t>
  </si>
  <si>
    <t>998</t>
  </si>
  <si>
    <t>999</t>
  </si>
  <si>
    <t>1002</t>
  </si>
  <si>
    <t>1010</t>
  </si>
  <si>
    <t>1013</t>
  </si>
  <si>
    <t>1018</t>
  </si>
  <si>
    <t>1019</t>
  </si>
  <si>
    <t>1025</t>
  </si>
  <si>
    <t>1033</t>
  </si>
  <si>
    <t>1034</t>
  </si>
  <si>
    <t>1036</t>
  </si>
  <si>
    <t>1042</t>
  </si>
  <si>
    <t>1044</t>
  </si>
  <si>
    <t>1046</t>
  </si>
  <si>
    <t>1048</t>
  </si>
  <si>
    <t>1066</t>
  </si>
  <si>
    <t>1128</t>
  </si>
  <si>
    <t>1202</t>
  </si>
  <si>
    <t>1206</t>
  </si>
  <si>
    <t>1207</t>
  </si>
  <si>
    <t>1214</t>
  </si>
  <si>
    <t>1240</t>
  </si>
  <si>
    <t>1241</t>
  </si>
  <si>
    <t>1242</t>
  </si>
  <si>
    <t>1243</t>
  </si>
  <si>
    <t>1248</t>
  </si>
  <si>
    <t>1249</t>
  </si>
  <si>
    <t>1257</t>
  </si>
  <si>
    <t>1261</t>
  </si>
  <si>
    <t>2040</t>
  </si>
  <si>
    <t>2105</t>
  </si>
  <si>
    <t>2234</t>
  </si>
  <si>
    <t>2235</t>
  </si>
  <si>
    <t>2239</t>
  </si>
  <si>
    <t>2329</t>
  </si>
  <si>
    <t>2353</t>
  </si>
  <si>
    <t>2380</t>
  </si>
  <si>
    <t>2382</t>
  </si>
  <si>
    <t>2383</t>
  </si>
  <si>
    <t>2388</t>
  </si>
  <si>
    <t>2392</t>
  </si>
  <si>
    <t>2397</t>
  </si>
  <si>
    <t>2423</t>
  </si>
  <si>
    <t>2427</t>
  </si>
  <si>
    <t>2429</t>
  </si>
  <si>
    <t>2430</t>
  </si>
  <si>
    <t>2433</t>
  </si>
  <si>
    <t>2434</t>
  </si>
  <si>
    <t>2465</t>
  </si>
  <si>
    <t>2466</t>
  </si>
  <si>
    <t>2562</t>
  </si>
  <si>
    <t>2566</t>
  </si>
  <si>
    <t>2640</t>
  </si>
  <si>
    <t>2695</t>
  </si>
  <si>
    <t>2718</t>
  </si>
  <si>
    <t>2776</t>
  </si>
  <si>
    <t>2780</t>
  </si>
  <si>
    <t>2785</t>
  </si>
  <si>
    <t>2797</t>
  </si>
  <si>
    <t>2802</t>
  </si>
  <si>
    <t>2905</t>
  </si>
  <si>
    <t>2911</t>
  </si>
  <si>
    <t>2917</t>
  </si>
  <si>
    <t>2919</t>
  </si>
  <si>
    <t>2928</t>
  </si>
  <si>
    <t>2929</t>
  </si>
  <si>
    <t>2930</t>
  </si>
  <si>
    <t>2940</t>
  </si>
  <si>
    <t>2942</t>
  </si>
  <si>
    <t>2964</t>
  </si>
  <si>
    <t>2965</t>
  </si>
  <si>
    <t>2967</t>
  </si>
  <si>
    <t>2984</t>
  </si>
  <si>
    <t>2993</t>
  </si>
  <si>
    <t>3017</t>
  </si>
  <si>
    <t>3018</t>
  </si>
  <si>
    <t>3019</t>
  </si>
  <si>
    <t>3020</t>
  </si>
  <si>
    <t>3151</t>
  </si>
  <si>
    <t>3169</t>
  </si>
  <si>
    <t>3171</t>
  </si>
  <si>
    <t>3241</t>
  </si>
  <si>
    <t>3342</t>
  </si>
  <si>
    <t>3422</t>
  </si>
  <si>
    <t>3487</t>
  </si>
  <si>
    <t>3488</t>
  </si>
  <si>
    <t>3556</t>
  </si>
  <si>
    <t>3584</t>
  </si>
  <si>
    <t>3680</t>
  </si>
  <si>
    <t>3681</t>
  </si>
  <si>
    <t>3712</t>
  </si>
  <si>
    <t>3728</t>
  </si>
  <si>
    <t>3813</t>
  </si>
  <si>
    <t>3820</t>
  </si>
  <si>
    <t>3822</t>
  </si>
  <si>
    <t>3860</t>
  </si>
  <si>
    <t>3866</t>
  </si>
  <si>
    <t>3875</t>
  </si>
  <si>
    <t>3897</t>
  </si>
  <si>
    <t>4105</t>
  </si>
  <si>
    <t>4121</t>
  </si>
  <si>
    <t>4140</t>
  </si>
  <si>
    <t>4143</t>
  </si>
  <si>
    <t>4146</t>
  </si>
  <si>
    <t>4238</t>
  </si>
  <si>
    <t>4246</t>
  </si>
  <si>
    <t>4275</t>
  </si>
  <si>
    <t>4363</t>
  </si>
  <si>
    <t>4371</t>
  </si>
  <si>
    <t>4379</t>
  </si>
  <si>
    <t>4454</t>
  </si>
  <si>
    <t>4517</t>
  </si>
  <si>
    <t>4519</t>
  </si>
  <si>
    <t>4540</t>
  </si>
  <si>
    <t>4563</t>
  </si>
  <si>
    <t>4597</t>
  </si>
  <si>
    <t>4607</t>
  </si>
  <si>
    <t>4608</t>
  </si>
  <si>
    <t>4657</t>
  </si>
  <si>
    <t>4660</t>
  </si>
  <si>
    <t>4675</t>
  </si>
  <si>
    <t>4697</t>
  </si>
  <si>
    <t>4704</t>
  </si>
  <si>
    <t>4705</t>
  </si>
  <si>
    <t>4807</t>
  </si>
  <si>
    <t>4860</t>
  </si>
  <si>
    <t>4869</t>
  </si>
  <si>
    <t>4870</t>
  </si>
  <si>
    <t>4882</t>
  </si>
  <si>
    <t>4883</t>
  </si>
  <si>
    <t>4922</t>
  </si>
  <si>
    <t>4923</t>
  </si>
  <si>
    <t>4949</t>
  </si>
  <si>
    <t>4955</t>
  </si>
  <si>
    <t>4988</t>
  </si>
  <si>
    <t>5033</t>
  </si>
  <si>
    <t>5061</t>
  </si>
  <si>
    <t>5068</t>
  </si>
  <si>
    <t>5070</t>
  </si>
  <si>
    <t>5096</t>
  </si>
  <si>
    <t>5170</t>
  </si>
  <si>
    <t>5223</t>
  </si>
  <si>
    <t>5227</t>
  </si>
  <si>
    <t>5228</t>
  </si>
  <si>
    <t>5252</t>
  </si>
  <si>
    <t>5281</t>
  </si>
  <si>
    <t>5298</t>
  </si>
  <si>
    <t>5316</t>
  </si>
  <si>
    <t>5330</t>
  </si>
  <si>
    <t>5358</t>
  </si>
  <si>
    <t>5362</t>
  </si>
  <si>
    <t>5365</t>
  </si>
  <si>
    <t>5376</t>
  </si>
  <si>
    <t>5400</t>
  </si>
  <si>
    <t>5407</t>
  </si>
  <si>
    <t>5408</t>
  </si>
  <si>
    <t>5446</t>
  </si>
  <si>
    <t>5462</t>
  </si>
  <si>
    <t>5471</t>
  </si>
  <si>
    <t>5497</t>
  </si>
  <si>
    <t>5619</t>
  </si>
  <si>
    <t>5623</t>
  </si>
  <si>
    <t>5639</t>
  </si>
  <si>
    <t>5730</t>
  </si>
  <si>
    <t>5732</t>
  </si>
  <si>
    <t>5745</t>
  </si>
  <si>
    <t>5828</t>
  </si>
  <si>
    <t>5830</t>
  </si>
  <si>
    <t>5836</t>
  </si>
  <si>
    <t>5859</t>
  </si>
  <si>
    <t>5895</t>
  </si>
  <si>
    <t>5920</t>
  </si>
  <si>
    <t>5975</t>
  </si>
  <si>
    <t>6009</t>
  </si>
  <si>
    <t>6029</t>
  </si>
  <si>
    <t>6031</t>
  </si>
  <si>
    <t>6036</t>
  </si>
  <si>
    <t>6040</t>
  </si>
  <si>
    <t>6046</t>
  </si>
  <si>
    <t>6061</t>
  </si>
  <si>
    <t>6066</t>
  </si>
  <si>
    <t>6068</t>
  </si>
  <si>
    <t>6078</t>
  </si>
  <si>
    <t>6088</t>
  </si>
  <si>
    <t>6133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</si>
</sst>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-* #,##0.00_-;\-* #,##0.00_-;_-* &quot;-&quot;??_-;_-@_-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sz val="11"/>
      <color theme="4"/>
      <name val="Arial Narrow"/>
      <family val="2"/>
    </font>
    <font>
      <b/>
      <sz val="11"/>
      <color theme="4"/>
      <name val="Arial Narrow"/>
      <family val="2"/>
    </font>
    <font>
      <sz val="11"/>
      <color rgb="FF333333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164" fontId="1" fillId="0" borderId="0" applyFont="0" applyFill="0" applyBorder="0" applyAlignment="0" applyProtection="0"/>
  </cellStyleXfs>
  <cellXfs count="111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/>
    <xf numFmtId="0" fontId="2" fillId="0" borderId="0" xfId="0" applyFont="1"/>
    <xf numFmtId="0" fontId="3" fillId="0" borderId="0" xfId="0" applyFont="1"/>
    <xf numFmtId="164" fontId="14" fillId="4" borderId="1" xfId="2" applyFont="1" applyFill="1" applyBorder="1" applyProtection="1">
      <protection locked="0"/>
    </xf>
    <xf numFmtId="164" fontId="14" fillId="4" borderId="2" xfId="2" applyFont="1" applyFill="1" applyBorder="1" applyProtection="1">
      <protection locked="0"/>
    </xf>
    <xf numFmtId="0" fontId="4" fillId="0" borderId="0" xfId="0" applyFont="1" applyProtection="1"/>
    <xf numFmtId="0" fontId="13" fillId="3" borderId="0" xfId="0" applyFont="1" applyFill="1" applyProtection="1"/>
    <xf numFmtId="0" fontId="16" fillId="3" borderId="0" xfId="0" applyFont="1" applyFill="1" applyProtection="1"/>
    <xf numFmtId="0" fontId="3" fillId="0" borderId="0" xfId="0" applyFont="1" applyProtection="1"/>
    <xf numFmtId="0" fontId="5" fillId="0" borderId="0" xfId="0" applyFont="1" applyProtection="1"/>
    <xf numFmtId="0" fontId="2" fillId="2" borderId="10" xfId="0" applyFont="1" applyFill="1" applyBorder="1" applyProtection="1"/>
    <xf numFmtId="0" fontId="2" fillId="2" borderId="8" xfId="0" applyFont="1" applyFill="1" applyBorder="1" applyProtection="1"/>
    <xf numFmtId="0" fontId="4" fillId="2" borderId="8" xfId="0" applyFont="1" applyFill="1" applyBorder="1" applyProtection="1"/>
    <xf numFmtId="0" fontId="4" fillId="2" borderId="11" xfId="0" applyFont="1" applyFill="1" applyBorder="1" applyProtection="1"/>
    <xf numFmtId="0" fontId="2" fillId="2" borderId="12" xfId="0" applyFont="1" applyFill="1" applyBorder="1" applyProtection="1"/>
    <xf numFmtId="0" fontId="2" fillId="2" borderId="0" xfId="0" applyFont="1" applyFill="1" applyBorder="1" applyProtection="1"/>
    <xf numFmtId="0" fontId="4" fillId="2" borderId="0" xfId="0" applyFont="1" applyFill="1" applyBorder="1" applyProtection="1"/>
    <xf numFmtId="0" fontId="4" fillId="2" borderId="13" xfId="0" applyFont="1" applyFill="1" applyBorder="1" applyProtection="1"/>
    <xf numFmtId="0" fontId="2" fillId="2" borderId="14" xfId="0" applyFont="1" applyFill="1" applyBorder="1" applyProtection="1"/>
    <xf numFmtId="0" fontId="2" fillId="2" borderId="9" xfId="0" applyFont="1" applyFill="1" applyBorder="1" applyProtection="1"/>
    <xf numFmtId="0" fontId="4" fillId="2" borderId="9" xfId="0" applyFont="1" applyFill="1" applyBorder="1" applyProtection="1"/>
    <xf numFmtId="0" fontId="4" fillId="2" borderId="15" xfId="0" applyFont="1" applyFill="1" applyBorder="1" applyProtection="1"/>
    <xf numFmtId="0" fontId="7" fillId="0" borderId="0" xfId="0" applyFont="1" applyProtection="1"/>
    <xf numFmtId="0" fontId="9" fillId="2" borderId="0" xfId="0" applyFont="1" applyFill="1" applyBorder="1" applyAlignment="1" applyProtection="1">
      <alignment horizontal="left" vertical="center"/>
    </xf>
    <xf numFmtId="0" fontId="13" fillId="2" borderId="19" xfId="0" applyFont="1" applyFill="1" applyBorder="1" applyAlignment="1" applyProtection="1">
      <alignment horizontal="center" vertical="center" wrapText="1"/>
    </xf>
    <xf numFmtId="0" fontId="13" fillId="2" borderId="20" xfId="0" applyFont="1" applyFill="1" applyBorder="1" applyAlignment="1" applyProtection="1">
      <alignment horizontal="center" vertical="center" wrapText="1"/>
    </xf>
    <xf numFmtId="0" fontId="8" fillId="0" borderId="0" xfId="1" applyFont="1" applyAlignment="1" applyProtection="1"/>
    <xf numFmtId="0" fontId="10" fillId="0" borderId="2" xfId="1" applyFont="1" applyBorder="1" applyAlignment="1" applyProtection="1"/>
    <xf numFmtId="0" fontId="10" fillId="0" borderId="1" xfId="1" applyFont="1" applyBorder="1" applyAlignment="1" applyProtection="1"/>
    <xf numFmtId="0" fontId="12" fillId="0" borderId="1" xfId="1" applyFont="1" applyBorder="1" applyAlignment="1" applyProtection="1"/>
    <xf numFmtId="0" fontId="10" fillId="0" borderId="1" xfId="1" applyFont="1" applyBorder="1" applyProtection="1"/>
    <xf numFmtId="0" fontId="11" fillId="0" borderId="1" xfId="1" applyFont="1" applyBorder="1" applyAlignment="1" applyProtection="1"/>
    <xf numFmtId="0" fontId="10" fillId="0" borderId="21" xfId="1" applyFont="1" applyBorder="1" applyAlignment="1" applyProtection="1"/>
    <xf numFmtId="164" fontId="14" fillId="4" borderId="21" xfId="2" applyFont="1" applyFill="1" applyBorder="1" applyProtection="1">
      <protection locked="0"/>
    </xf>
    <xf numFmtId="0" fontId="10" fillId="0" borderId="21" xfId="1" applyFont="1" applyBorder="1" applyProtection="1"/>
    <xf numFmtId="0" fontId="4" fillId="0" borderId="0" xfId="0" applyFont="1" applyAlignment="1" applyProtection="1">
      <alignment horizontal="center" wrapText="1"/>
    </xf>
    <xf numFmtId="0" fontId="6" fillId="0" borderId="0" xfId="0" applyFont="1" applyProtection="1"/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0" borderId="1" xfId="0" applyFont="1" applyBorder="1" applyProtection="1"/>
    <xf numFmtId="0" fontId="4" fillId="3" borderId="0" xfId="0" applyFont="1" applyFill="1" applyProtection="1"/>
    <xf numFmtId="0" fontId="14" fillId="4" borderId="2" xfId="0" applyFont="1" applyFill="1" applyBorder="1" applyAlignment="1" applyProtection="1">
      <alignment horizontal="left" vertical="top" wrapText="1"/>
      <protection locked="0"/>
    </xf>
    <xf numFmtId="0" fontId="4" fillId="0" borderId="2" xfId="0" applyFont="1" applyBorder="1" applyProtection="1"/>
    <xf numFmtId="0" fontId="10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0" fontId="5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 wrapText="1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3" fillId="2" borderId="12" xfId="0" applyFont="1" applyFill="1" applyBorder="1" applyProtection="1"/>
    <xf numFmtId="0" fontId="18" fillId="4" borderId="1" xfId="0" applyFont="1" applyFill="1" applyBorder="1" applyAlignment="1" applyProtection="1">
      <alignment horizontal="center"/>
    </xf>
    <xf numFmtId="0" fontId="19" fillId="4" borderId="1" xfId="0" applyFont="1" applyFill="1" applyBorder="1" applyAlignment="1" applyProtection="1">
      <alignment horizontal="center"/>
    </xf>
    <xf numFmtId="0" fontId="19" fillId="4" borderId="1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left" wrapText="1"/>
    </xf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0" fillId="5" borderId="1" xfId="1" applyFont="1" applyFill="1" applyBorder="1" applyAlignment="1">
      <alignment horizontal="left" vertical="center" wrapText="1"/>
    </xf>
    <xf numFmtId="43" fontId="0" fillId="0" borderId="0" xfId="0" applyNumberFormat="1" applyProtection="1">
      <protection locked="0"/>
    </xf>
    <xf numFmtId="164" fontId="14" fillId="4" borderId="2" xfId="2" applyFont="1" applyFill="1" applyBorder="1" applyAlignment="1" applyProtection="1">
      <alignment horizontal="left" vertical="top" wrapText="1"/>
      <protection locked="0"/>
    </xf>
    <xf numFmtId="0" fontId="10" fillId="4" borderId="1" xfId="1" applyFont="1" applyFill="1" applyBorder="1" applyAlignment="1" applyProtection="1">
      <alignment horizontal="left" vertical="top"/>
    </xf>
    <xf numFmtId="0" fontId="11" fillId="4" borderId="1" xfId="1" applyFont="1" applyFill="1" applyBorder="1" applyAlignment="1" applyProtection="1">
      <alignment horizontal="left" vertical="top"/>
    </xf>
    <xf numFmtId="0" fontId="10" fillId="0" borderId="16" xfId="1" applyFont="1" applyBorder="1" applyAlignment="1" applyProtection="1">
      <alignment horizontal="left" vertical="top"/>
    </xf>
    <xf numFmtId="0" fontId="10" fillId="0" borderId="17" xfId="1" applyFont="1" applyBorder="1" applyAlignment="1" applyProtection="1">
      <alignment horizontal="left" vertical="top"/>
    </xf>
    <xf numFmtId="0" fontId="10" fillId="0" borderId="2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horizontal="left" vertical="top"/>
    </xf>
    <xf numFmtId="0" fontId="10" fillId="0" borderId="21" xfId="1" applyFont="1" applyBorder="1" applyAlignment="1" applyProtection="1">
      <alignment horizontal="left" vertical="top"/>
    </xf>
    <xf numFmtId="0" fontId="13" fillId="2" borderId="5" xfId="0" applyFont="1" applyFill="1" applyBorder="1" applyAlignment="1" applyProtection="1">
      <alignment horizontal="center" vertical="center" wrapText="1"/>
    </xf>
    <xf numFmtId="0" fontId="13" fillId="2" borderId="6" xfId="0" applyFont="1" applyFill="1" applyBorder="1" applyAlignment="1" applyProtection="1">
      <alignment horizontal="center" vertical="center" wrapText="1"/>
    </xf>
    <xf numFmtId="0" fontId="13" fillId="2" borderId="4" xfId="0" applyFont="1" applyFill="1" applyBorder="1" applyAlignment="1" applyProtection="1">
      <alignment horizontal="center" vertical="center" wrapText="1"/>
    </xf>
    <xf numFmtId="0" fontId="13" fillId="2" borderId="18" xfId="0" applyFont="1" applyFill="1" applyBorder="1" applyAlignment="1" applyProtection="1">
      <alignment horizontal="center" vertical="center" wrapText="1"/>
    </xf>
    <xf numFmtId="0" fontId="11" fillId="0" borderId="1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vertical="top"/>
    </xf>
    <xf numFmtId="0" fontId="11" fillId="0" borderId="1" xfId="1" applyFont="1" applyBorder="1" applyAlignment="1" applyProtection="1">
      <alignment vertical="top"/>
    </xf>
    <xf numFmtId="0" fontId="11" fillId="0" borderId="21" xfId="1" applyFont="1" applyBorder="1" applyAlignment="1" applyProtection="1">
      <alignment horizontal="left" vertical="top"/>
    </xf>
    <xf numFmtId="0" fontId="13" fillId="2" borderId="4" xfId="0" applyFont="1" applyFill="1" applyBorder="1" applyAlignment="1" applyProtection="1">
      <alignment horizontal="center" vertical="center"/>
    </xf>
    <xf numFmtId="0" fontId="13" fillId="2" borderId="18" xfId="0" applyFont="1" applyFill="1" applyBorder="1" applyAlignment="1" applyProtection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wrapText="1"/>
    </xf>
    <xf numFmtId="0" fontId="5" fillId="3" borderId="3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</xf>
    <xf numFmtId="0" fontId="9" fillId="3" borderId="1" xfId="1" applyFont="1" applyFill="1" applyBorder="1" applyAlignment="1">
      <alignment horizontal="center" vertical="center" wrapText="1"/>
    </xf>
    <xf numFmtId="0" fontId="17" fillId="3" borderId="1" xfId="1" applyFont="1" applyFill="1" applyBorder="1" applyAlignment="1">
      <alignment wrapText="1"/>
    </xf>
    <xf numFmtId="0" fontId="9" fillId="2" borderId="1" xfId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wrapText="1"/>
    </xf>
    <xf numFmtId="0" fontId="10" fillId="3" borderId="1" xfId="1" applyFont="1" applyFill="1" applyBorder="1" applyAlignment="1">
      <alignment wrapText="1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left" wrapText="1"/>
    </xf>
    <xf numFmtId="0" fontId="2" fillId="2" borderId="11" xfId="0" applyFont="1" applyFill="1" applyBorder="1" applyAlignment="1">
      <alignment horizontal="left" wrapText="1"/>
    </xf>
    <xf numFmtId="0" fontId="2" fillId="2" borderId="12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2" fillId="2" borderId="9" xfId="0" applyFont="1" applyFill="1" applyBorder="1" applyAlignment="1">
      <alignment horizontal="left" wrapText="1"/>
    </xf>
    <xf numFmtId="0" fontId="2" fillId="2" borderId="15" xfId="0" applyFont="1" applyFill="1" applyBorder="1" applyAlignment="1">
      <alignment horizontal="left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rgb="FF0070C0"/>
  </sheetPr>
  <dimension ref="B2:E130"/>
  <sheetViews>
    <sheetView showGridLines="0" tabSelected="1" zoomScale="68" zoomScaleNormal="85" zoomScaleSheetLayoutView="104" workbookViewId="0">
      <selection activeCell="D69" sqref="D69:D89"/>
    </sheetView>
  </sheetViews>
  <sheetFormatPr defaultColWidth="8.7109375" defaultRowHeight="12.75"/>
  <cols>
    <col min="1" max="1" width="5.140625" style="12" customWidth="1"/>
    <col min="2" max="2" width="26" style="12" customWidth="1"/>
    <col min="3" max="3" width="59.5703125" style="12" bestFit="1" customWidth="1"/>
    <col min="4" max="4" width="30.28515625" style="12" customWidth="1"/>
    <col min="5" max="5" width="28.5703125" style="12" customWidth="1"/>
    <col min="6" max="7" width="12.85546875" style="12" customWidth="1"/>
    <col min="8" max="17" width="10.85546875" style="12" customWidth="1"/>
    <col min="18" max="20" width="10.28515625" style="12" customWidth="1"/>
    <col min="21" max="21" width="8.28515625" style="12" customWidth="1"/>
    <col min="22" max="22" width="10.28515625" style="12" customWidth="1"/>
    <col min="23" max="23" width="13.42578125" style="12" customWidth="1"/>
    <col min="24" max="24" width="10.85546875" style="12" customWidth="1"/>
    <col min="25" max="25" width="15.5703125" style="12" customWidth="1"/>
    <col min="26" max="28" width="10.28515625" style="12" customWidth="1"/>
    <col min="29" max="33" width="10.5703125" style="12" customWidth="1"/>
    <col min="34" max="16384" width="8.7109375" style="12"/>
  </cols>
  <sheetData>
    <row r="2" spans="2:5" ht="15.75">
      <c r="B2" s="13" t="s">
        <v>97</v>
      </c>
      <c r="C2" s="13"/>
      <c r="D2" s="13"/>
      <c r="E2" s="14"/>
    </row>
    <row r="3" spans="2:5" ht="16.5">
      <c r="B3" s="15"/>
      <c r="C3" s="15"/>
      <c r="D3" s="16"/>
    </row>
    <row r="4" spans="2:5" ht="16.5">
      <c r="B4" s="17" t="s">
        <v>98</v>
      </c>
      <c r="C4" s="18"/>
      <c r="D4" s="19"/>
      <c r="E4" s="20"/>
    </row>
    <row r="5" spans="2:5" ht="16.5">
      <c r="B5" s="21" t="s">
        <v>99</v>
      </c>
      <c r="C5" s="22"/>
      <c r="D5" s="23"/>
      <c r="E5" s="24"/>
    </row>
    <row r="6" spans="2:5" ht="16.5">
      <c r="B6" s="21" t="s">
        <v>17</v>
      </c>
      <c r="C6" s="22"/>
      <c r="D6" s="23"/>
      <c r="E6" s="24"/>
    </row>
    <row r="7" spans="2:5" ht="16.5">
      <c r="B7" s="61" t="s">
        <v>95</v>
      </c>
      <c r="C7" s="62">
        <v>2017</v>
      </c>
      <c r="D7" s="23"/>
      <c r="E7" s="24"/>
    </row>
    <row r="8" spans="2:5" ht="16.5">
      <c r="B8" s="25" t="s">
        <v>84</v>
      </c>
      <c r="C8" s="26"/>
      <c r="D8" s="27"/>
      <c r="E8" s="28"/>
    </row>
    <row r="9" spans="2:5" ht="16.5">
      <c r="B9" s="29"/>
      <c r="C9" s="29"/>
      <c r="D9" s="15"/>
    </row>
    <row r="10" spans="2:5" ht="16.5">
      <c r="B10" s="30" t="s">
        <v>85</v>
      </c>
      <c r="C10" s="30"/>
    </row>
    <row r="11" spans="2:5" ht="17.25" thickBot="1">
      <c r="B11" s="29"/>
      <c r="C11" s="29"/>
      <c r="D11" s="15"/>
    </row>
    <row r="12" spans="2:5" ht="36.6" customHeight="1">
      <c r="B12" s="81" t="s">
        <v>19</v>
      </c>
      <c r="C12" s="87" t="s">
        <v>82</v>
      </c>
      <c r="D12" s="79" t="s">
        <v>86</v>
      </c>
      <c r="E12" s="80"/>
    </row>
    <row r="13" spans="2:5" ht="56.45" customHeight="1" thickBot="1">
      <c r="B13" s="82"/>
      <c r="C13" s="88"/>
      <c r="D13" s="31" t="s">
        <v>87</v>
      </c>
      <c r="E13" s="32" t="s">
        <v>83</v>
      </c>
    </row>
    <row r="14" spans="2:5" s="33" customFormat="1" ht="15" hidden="1" customHeight="1" thickTop="1">
      <c r="B14" s="76" t="s">
        <v>20</v>
      </c>
      <c r="C14" s="34" t="s">
        <v>21</v>
      </c>
      <c r="D14" s="11"/>
      <c r="E14" s="11"/>
    </row>
    <row r="15" spans="2:5" s="33" customFormat="1" ht="15" hidden="1" customHeight="1">
      <c r="B15" s="83"/>
      <c r="C15" s="35" t="s">
        <v>77</v>
      </c>
      <c r="D15" s="10"/>
      <c r="E15" s="10"/>
    </row>
    <row r="16" spans="2:5" s="33" customFormat="1" ht="15" hidden="1" customHeight="1">
      <c r="B16" s="83"/>
      <c r="C16" s="35" t="s">
        <v>22</v>
      </c>
      <c r="D16" s="10"/>
      <c r="E16" s="10"/>
    </row>
    <row r="17" spans="2:5" s="33" customFormat="1" ht="15" hidden="1" customHeight="1">
      <c r="B17" s="83"/>
      <c r="C17" s="35" t="s">
        <v>23</v>
      </c>
      <c r="D17" s="10"/>
      <c r="E17" s="10"/>
    </row>
    <row r="18" spans="2:5" s="33" customFormat="1" ht="15" hidden="1" customHeight="1">
      <c r="B18" s="83"/>
      <c r="C18" s="35" t="s">
        <v>24</v>
      </c>
      <c r="D18" s="10"/>
      <c r="E18" s="10"/>
    </row>
    <row r="19" spans="2:5" s="33" customFormat="1" ht="15" hidden="1" customHeight="1">
      <c r="B19" s="83"/>
      <c r="C19" s="35" t="s">
        <v>25</v>
      </c>
      <c r="D19" s="10"/>
      <c r="E19" s="10"/>
    </row>
    <row r="20" spans="2:5" s="33" customFormat="1" ht="15" hidden="1" customHeight="1">
      <c r="B20" s="83"/>
      <c r="C20" s="35" t="s">
        <v>26</v>
      </c>
      <c r="D20" s="10"/>
      <c r="E20" s="10"/>
    </row>
    <row r="21" spans="2:5" s="33" customFormat="1" ht="15" hidden="1" customHeight="1">
      <c r="B21" s="83"/>
      <c r="C21" s="35" t="s">
        <v>78</v>
      </c>
      <c r="D21" s="10"/>
      <c r="E21" s="10"/>
    </row>
    <row r="22" spans="2:5" s="33" customFormat="1" ht="15" hidden="1" customHeight="1">
      <c r="B22" s="83"/>
      <c r="C22" s="35" t="s">
        <v>27</v>
      </c>
      <c r="D22" s="10"/>
      <c r="E22" s="10"/>
    </row>
    <row r="23" spans="2:5" s="33" customFormat="1" ht="15" hidden="1" customHeight="1">
      <c r="B23" s="83"/>
      <c r="C23" s="35" t="s">
        <v>28</v>
      </c>
      <c r="D23" s="10"/>
      <c r="E23" s="10"/>
    </row>
    <row r="24" spans="2:5" s="33" customFormat="1" ht="15" hidden="1" customHeight="1">
      <c r="B24" s="83"/>
      <c r="C24" s="35" t="s">
        <v>29</v>
      </c>
      <c r="D24" s="10"/>
      <c r="E24" s="10"/>
    </row>
    <row r="25" spans="2:5" s="33" customFormat="1" ht="15" hidden="1" customHeight="1">
      <c r="B25" s="83"/>
      <c r="C25" s="35" t="s">
        <v>30</v>
      </c>
      <c r="D25" s="10"/>
      <c r="E25" s="10"/>
    </row>
    <row r="26" spans="2:5" s="33" customFormat="1" ht="15" hidden="1" customHeight="1">
      <c r="B26" s="83"/>
      <c r="C26" s="35" t="s">
        <v>31</v>
      </c>
      <c r="D26" s="10"/>
      <c r="E26" s="10"/>
    </row>
    <row r="27" spans="2:5" s="33" customFormat="1" ht="15" hidden="1" customHeight="1">
      <c r="B27" s="83"/>
      <c r="C27" s="35" t="s">
        <v>32</v>
      </c>
      <c r="D27" s="10"/>
      <c r="E27" s="10"/>
    </row>
    <row r="28" spans="2:5" s="33" customFormat="1" ht="15" hidden="1" customHeight="1">
      <c r="B28" s="83"/>
      <c r="C28" s="35" t="s">
        <v>33</v>
      </c>
      <c r="D28" s="10"/>
      <c r="E28" s="10"/>
    </row>
    <row r="29" spans="2:5" s="33" customFormat="1" ht="15" hidden="1" customHeight="1">
      <c r="B29" s="83"/>
      <c r="C29" s="35" t="s">
        <v>34</v>
      </c>
      <c r="D29" s="10"/>
      <c r="E29" s="10"/>
    </row>
    <row r="30" spans="2:5" s="33" customFormat="1" ht="15" hidden="1" customHeight="1">
      <c r="B30" s="83"/>
      <c r="C30" s="35" t="s">
        <v>35</v>
      </c>
      <c r="D30" s="10"/>
      <c r="E30" s="10"/>
    </row>
    <row r="31" spans="2:5" s="33" customFormat="1" ht="15" hidden="1" customHeight="1">
      <c r="B31" s="83"/>
      <c r="C31" s="35" t="s">
        <v>58</v>
      </c>
      <c r="D31" s="10"/>
      <c r="E31" s="10"/>
    </row>
    <row r="32" spans="2:5" s="33" customFormat="1" ht="15" hidden="1" customHeight="1">
      <c r="B32" s="84" t="s">
        <v>36</v>
      </c>
      <c r="C32" s="35" t="s">
        <v>37</v>
      </c>
      <c r="D32" s="10"/>
      <c r="E32" s="10"/>
    </row>
    <row r="33" spans="2:5" s="33" customFormat="1" ht="15" hidden="1" customHeight="1">
      <c r="B33" s="85"/>
      <c r="C33" s="35" t="s">
        <v>39</v>
      </c>
      <c r="D33" s="10"/>
      <c r="E33" s="10"/>
    </row>
    <row r="34" spans="2:5" s="33" customFormat="1" ht="15" hidden="1" customHeight="1">
      <c r="B34" s="85"/>
      <c r="C34" s="36" t="s">
        <v>59</v>
      </c>
      <c r="D34" s="10"/>
      <c r="E34" s="10"/>
    </row>
    <row r="35" spans="2:5" s="33" customFormat="1" ht="15" hidden="1" customHeight="1">
      <c r="B35" s="85"/>
      <c r="C35" s="35" t="s">
        <v>38</v>
      </c>
      <c r="D35" s="10"/>
      <c r="E35" s="10"/>
    </row>
    <row r="36" spans="2:5" s="33" customFormat="1" ht="16.5" hidden="1">
      <c r="B36" s="85"/>
      <c r="C36" s="36" t="s">
        <v>5</v>
      </c>
      <c r="D36" s="10"/>
      <c r="E36" s="10"/>
    </row>
    <row r="37" spans="2:5" s="33" customFormat="1" ht="16.5" hidden="1">
      <c r="B37" s="85"/>
      <c r="C37" s="35" t="s">
        <v>60</v>
      </c>
      <c r="D37" s="10"/>
      <c r="E37" s="10"/>
    </row>
    <row r="38" spans="2:5" s="33" customFormat="1" ht="16.5" hidden="1">
      <c r="B38" s="85"/>
      <c r="C38" s="35" t="s">
        <v>61</v>
      </c>
      <c r="D38" s="10"/>
      <c r="E38" s="10"/>
    </row>
    <row r="39" spans="2:5" s="33" customFormat="1" ht="16.5" hidden="1">
      <c r="B39" s="85"/>
      <c r="C39" s="35" t="s">
        <v>63</v>
      </c>
      <c r="D39" s="10"/>
      <c r="E39" s="10"/>
    </row>
    <row r="40" spans="2:5" s="33" customFormat="1" ht="16.5" hidden="1">
      <c r="B40" s="85"/>
      <c r="C40" s="35" t="s">
        <v>6</v>
      </c>
      <c r="D40" s="10"/>
      <c r="E40" s="10"/>
    </row>
    <row r="41" spans="2:5" s="33" customFormat="1" ht="16.5" hidden="1">
      <c r="B41" s="85"/>
      <c r="C41" s="37" t="s">
        <v>40</v>
      </c>
      <c r="D41" s="10"/>
      <c r="E41" s="10"/>
    </row>
    <row r="42" spans="2:5" s="33" customFormat="1" ht="16.5" hidden="1">
      <c r="B42" s="85"/>
      <c r="C42" s="35" t="s">
        <v>64</v>
      </c>
      <c r="D42" s="10"/>
      <c r="E42" s="10"/>
    </row>
    <row r="43" spans="2:5" s="33" customFormat="1" ht="16.5" hidden="1">
      <c r="B43" s="85"/>
      <c r="C43" s="37" t="s">
        <v>41</v>
      </c>
      <c r="D43" s="10"/>
      <c r="E43" s="10"/>
    </row>
    <row r="44" spans="2:5" s="33" customFormat="1" ht="16.5" hidden="1">
      <c r="B44" s="85"/>
      <c r="C44" s="37" t="s">
        <v>42</v>
      </c>
      <c r="D44" s="10"/>
      <c r="E44" s="10"/>
    </row>
    <row r="45" spans="2:5" s="33" customFormat="1" ht="16.5" hidden="1">
      <c r="B45" s="85"/>
      <c r="C45" s="37" t="s">
        <v>43</v>
      </c>
      <c r="D45" s="10"/>
      <c r="E45" s="10"/>
    </row>
    <row r="46" spans="2:5" s="33" customFormat="1" ht="16.5" hidden="1">
      <c r="B46" s="85"/>
      <c r="C46" s="37" t="s">
        <v>44</v>
      </c>
      <c r="D46" s="10"/>
      <c r="E46" s="10"/>
    </row>
    <row r="47" spans="2:5" s="33" customFormat="1" ht="16.5" hidden="1">
      <c r="B47" s="85"/>
      <c r="C47" s="36" t="s">
        <v>65</v>
      </c>
      <c r="D47" s="10"/>
      <c r="E47" s="10"/>
    </row>
    <row r="48" spans="2:5" s="33" customFormat="1" ht="16.5" hidden="1">
      <c r="B48" s="85"/>
      <c r="C48" s="36" t="s">
        <v>66</v>
      </c>
      <c r="D48" s="10"/>
      <c r="E48" s="10"/>
    </row>
    <row r="49" spans="2:5" s="33" customFormat="1" ht="16.5" hidden="1">
      <c r="B49" s="85"/>
      <c r="C49" s="35" t="s">
        <v>58</v>
      </c>
      <c r="D49" s="10"/>
      <c r="E49" s="10"/>
    </row>
    <row r="50" spans="2:5" s="33" customFormat="1" ht="16.5" hidden="1">
      <c r="B50" s="77" t="s">
        <v>46</v>
      </c>
      <c r="C50" s="35" t="s">
        <v>79</v>
      </c>
      <c r="D50" s="10"/>
      <c r="E50" s="10"/>
    </row>
    <row r="51" spans="2:5" s="33" customFormat="1" ht="16.5" hidden="1">
      <c r="B51" s="83"/>
      <c r="C51" s="35" t="s">
        <v>67</v>
      </c>
      <c r="D51" s="10"/>
      <c r="E51" s="10"/>
    </row>
    <row r="52" spans="2:5" s="33" customFormat="1" ht="16.5" hidden="1">
      <c r="B52" s="83"/>
      <c r="C52" s="35" t="s">
        <v>68</v>
      </c>
      <c r="D52" s="10"/>
      <c r="E52" s="10"/>
    </row>
    <row r="53" spans="2:5" s="33" customFormat="1" ht="16.5" hidden="1">
      <c r="B53" s="83"/>
      <c r="C53" s="35" t="s">
        <v>69</v>
      </c>
      <c r="D53" s="10"/>
      <c r="E53" s="10"/>
    </row>
    <row r="54" spans="2:5" s="33" customFormat="1" ht="16.5" hidden="1">
      <c r="B54" s="83"/>
      <c r="C54" s="35" t="s">
        <v>70</v>
      </c>
      <c r="D54" s="10"/>
      <c r="E54" s="10"/>
    </row>
    <row r="55" spans="2:5" s="33" customFormat="1" ht="16.5" hidden="1">
      <c r="B55" s="83"/>
      <c r="C55" s="35" t="s">
        <v>71</v>
      </c>
      <c r="D55" s="10"/>
      <c r="E55" s="10"/>
    </row>
    <row r="56" spans="2:5" s="33" customFormat="1" ht="16.5" hidden="1">
      <c r="B56" s="83"/>
      <c r="C56" s="35" t="s">
        <v>72</v>
      </c>
      <c r="D56" s="10"/>
      <c r="E56" s="10"/>
    </row>
    <row r="57" spans="2:5" s="33" customFormat="1" ht="16.5" hidden="1">
      <c r="B57" s="83"/>
      <c r="C57" s="36" t="s">
        <v>80</v>
      </c>
      <c r="D57" s="10"/>
      <c r="E57" s="10"/>
    </row>
    <row r="58" spans="2:5" s="33" customFormat="1" ht="16.5" hidden="1">
      <c r="B58" s="83"/>
      <c r="C58" s="35" t="s">
        <v>81</v>
      </c>
      <c r="D58" s="10"/>
      <c r="E58" s="10"/>
    </row>
    <row r="59" spans="2:5" s="33" customFormat="1" ht="16.5" hidden="1">
      <c r="B59" s="83"/>
      <c r="C59" s="35" t="s">
        <v>48</v>
      </c>
      <c r="D59" s="10"/>
      <c r="E59" s="10"/>
    </row>
    <row r="60" spans="2:5" s="33" customFormat="1" ht="16.5" hidden="1">
      <c r="B60" s="83"/>
      <c r="C60" s="35" t="s">
        <v>7</v>
      </c>
      <c r="D60" s="10"/>
      <c r="E60" s="10"/>
    </row>
    <row r="61" spans="2:5" s="33" customFormat="1" ht="16.5" hidden="1">
      <c r="B61" s="83"/>
      <c r="C61" s="35" t="s">
        <v>45</v>
      </c>
      <c r="D61" s="10"/>
      <c r="E61" s="10"/>
    </row>
    <row r="62" spans="2:5" s="33" customFormat="1" ht="16.5" hidden="1">
      <c r="B62" s="83"/>
      <c r="C62" s="35" t="s">
        <v>4</v>
      </c>
      <c r="D62" s="10"/>
      <c r="E62" s="10"/>
    </row>
    <row r="63" spans="2:5" s="33" customFormat="1" ht="16.5" hidden="1">
      <c r="B63" s="83"/>
      <c r="C63" s="35" t="s">
        <v>49</v>
      </c>
      <c r="D63" s="10"/>
      <c r="E63" s="10"/>
    </row>
    <row r="64" spans="2:5" s="33" customFormat="1" ht="16.5" hidden="1">
      <c r="B64" s="83"/>
      <c r="C64" s="35" t="s">
        <v>1</v>
      </c>
      <c r="D64" s="10"/>
      <c r="E64" s="10"/>
    </row>
    <row r="65" spans="2:5" s="33" customFormat="1" ht="16.5" hidden="1">
      <c r="B65" s="83"/>
      <c r="C65" s="35" t="s">
        <v>2</v>
      </c>
      <c r="D65" s="10"/>
      <c r="E65" s="10"/>
    </row>
    <row r="66" spans="2:5" s="33" customFormat="1" ht="16.5" hidden="1">
      <c r="B66" s="83"/>
      <c r="C66" s="35" t="s">
        <v>50</v>
      </c>
      <c r="D66" s="10"/>
      <c r="E66" s="10"/>
    </row>
    <row r="67" spans="2:5" s="33" customFormat="1" ht="12" hidden="1" customHeight="1" thickBot="1">
      <c r="B67" s="86"/>
      <c r="C67" s="39" t="s">
        <v>3</v>
      </c>
      <c r="D67" s="40"/>
      <c r="E67" s="40"/>
    </row>
    <row r="68" spans="2:5" ht="5.45" customHeight="1" thickTop="1">
      <c r="B68" s="29"/>
      <c r="C68" s="29"/>
      <c r="D68" s="15"/>
    </row>
    <row r="69" spans="2:5" ht="16.5">
      <c r="B69" s="72" t="s">
        <v>20</v>
      </c>
      <c r="C69" s="37" t="s">
        <v>21</v>
      </c>
      <c r="D69" s="10"/>
      <c r="E69" s="10"/>
    </row>
    <row r="70" spans="2:5" ht="13.5" customHeight="1">
      <c r="B70" s="73"/>
      <c r="C70" s="35" t="s">
        <v>56</v>
      </c>
      <c r="D70" s="10"/>
      <c r="E70" s="10"/>
    </row>
    <row r="71" spans="2:5" ht="13.5" customHeight="1">
      <c r="B71" s="73"/>
      <c r="C71" s="37" t="s">
        <v>22</v>
      </c>
      <c r="D71" s="10"/>
      <c r="E71" s="10"/>
    </row>
    <row r="72" spans="2:5" ht="13.5" customHeight="1">
      <c r="B72" s="73"/>
      <c r="C72" s="37" t="s">
        <v>23</v>
      </c>
      <c r="D72" s="10"/>
      <c r="E72" s="10"/>
    </row>
    <row r="73" spans="2:5" ht="13.5" customHeight="1">
      <c r="B73" s="73"/>
      <c r="C73" s="37" t="s">
        <v>24</v>
      </c>
      <c r="D73" s="10"/>
      <c r="E73" s="10"/>
    </row>
    <row r="74" spans="2:5" ht="13.5" customHeight="1">
      <c r="B74" s="73"/>
      <c r="C74" s="37" t="s">
        <v>25</v>
      </c>
      <c r="D74" s="10"/>
      <c r="E74" s="10"/>
    </row>
    <row r="75" spans="2:5" ht="13.5" customHeight="1">
      <c r="B75" s="73"/>
      <c r="C75" s="37" t="s">
        <v>26</v>
      </c>
      <c r="D75" s="10"/>
      <c r="E75" s="10"/>
    </row>
    <row r="76" spans="2:5" ht="13.5" customHeight="1">
      <c r="B76" s="73"/>
      <c r="C76" s="35" t="s">
        <v>55</v>
      </c>
      <c r="D76" s="10"/>
      <c r="E76" s="10"/>
    </row>
    <row r="77" spans="2:5" ht="13.5" customHeight="1">
      <c r="B77" s="73"/>
      <c r="C77" s="37" t="s">
        <v>27</v>
      </c>
      <c r="D77" s="10"/>
      <c r="E77" s="10"/>
    </row>
    <row r="78" spans="2:5" ht="13.5" customHeight="1">
      <c r="B78" s="73"/>
      <c r="C78" s="37" t="s">
        <v>28</v>
      </c>
      <c r="D78" s="10"/>
      <c r="E78" s="10"/>
    </row>
    <row r="79" spans="2:5" ht="13.5" customHeight="1">
      <c r="B79" s="73"/>
      <c r="C79" s="37" t="s">
        <v>29</v>
      </c>
      <c r="D79" s="10"/>
      <c r="E79" s="10"/>
    </row>
    <row r="80" spans="2:5" ht="13.5" customHeight="1">
      <c r="B80" s="73"/>
      <c r="C80" s="37" t="s">
        <v>30</v>
      </c>
      <c r="D80" s="10"/>
      <c r="E80" s="10"/>
    </row>
    <row r="81" spans="2:5" ht="13.5" customHeight="1">
      <c r="B81" s="73"/>
      <c r="C81" s="37" t="s">
        <v>31</v>
      </c>
      <c r="D81" s="10"/>
      <c r="E81" s="10"/>
    </row>
    <row r="82" spans="2:5" ht="13.5" customHeight="1">
      <c r="B82" s="73"/>
      <c r="C82" s="37" t="s">
        <v>32</v>
      </c>
      <c r="D82" s="10"/>
      <c r="E82" s="10"/>
    </row>
    <row r="83" spans="2:5" ht="13.5" customHeight="1">
      <c r="B83" s="73"/>
      <c r="C83" s="37" t="s">
        <v>33</v>
      </c>
      <c r="D83" s="10"/>
      <c r="E83" s="10"/>
    </row>
    <row r="84" spans="2:5" ht="13.5" customHeight="1">
      <c r="B84" s="73"/>
      <c r="C84" s="37" t="s">
        <v>34</v>
      </c>
      <c r="D84" s="10"/>
      <c r="E84" s="10"/>
    </row>
    <row r="85" spans="2:5" ht="13.5" customHeight="1">
      <c r="B85" s="73"/>
      <c r="C85" s="35" t="s">
        <v>57</v>
      </c>
      <c r="D85" s="10"/>
      <c r="E85" s="10"/>
    </row>
    <row r="86" spans="2:5" ht="13.9" customHeight="1">
      <c r="B86" s="73"/>
      <c r="C86" s="35" t="s">
        <v>58</v>
      </c>
      <c r="D86" s="10"/>
      <c r="E86" s="10"/>
    </row>
    <row r="87" spans="2:5" ht="16.5">
      <c r="B87" s="74" t="s">
        <v>36</v>
      </c>
      <c r="C87" s="35" t="s">
        <v>37</v>
      </c>
      <c r="D87" s="10"/>
      <c r="E87" s="10"/>
    </row>
    <row r="88" spans="2:5" ht="13.5" customHeight="1">
      <c r="B88" s="75"/>
      <c r="C88" s="35" t="s">
        <v>39</v>
      </c>
      <c r="D88" s="10"/>
      <c r="E88" s="10"/>
    </row>
    <row r="89" spans="2:5" ht="13.5" customHeight="1">
      <c r="B89" s="75"/>
      <c r="C89" s="35" t="s">
        <v>59</v>
      </c>
      <c r="D89" s="10"/>
      <c r="E89" s="10"/>
    </row>
    <row r="90" spans="2:5" ht="13.5" customHeight="1">
      <c r="B90" s="75"/>
      <c r="C90" s="35" t="s">
        <v>38</v>
      </c>
      <c r="D90" s="10"/>
      <c r="E90" s="10"/>
    </row>
    <row r="91" spans="2:5" ht="13.5" customHeight="1">
      <c r="B91" s="75"/>
      <c r="C91" s="35" t="s">
        <v>5</v>
      </c>
      <c r="D91" s="10"/>
      <c r="E91" s="10"/>
    </row>
    <row r="92" spans="2:5" ht="13.5" customHeight="1">
      <c r="B92" s="75"/>
      <c r="C92" s="35" t="s">
        <v>60</v>
      </c>
      <c r="D92" s="10"/>
      <c r="E92" s="10"/>
    </row>
    <row r="93" spans="2:5" ht="13.5" customHeight="1">
      <c r="B93" s="75"/>
      <c r="C93" s="35" t="s">
        <v>61</v>
      </c>
      <c r="D93" s="10"/>
      <c r="E93" s="10"/>
    </row>
    <row r="94" spans="2:5" ht="13.5" customHeight="1">
      <c r="B94" s="75"/>
      <c r="C94" s="35" t="s">
        <v>62</v>
      </c>
      <c r="D94" s="10"/>
      <c r="E94" s="10"/>
    </row>
    <row r="95" spans="2:5" ht="13.5" customHeight="1">
      <c r="B95" s="75"/>
      <c r="C95" s="35" t="s">
        <v>63</v>
      </c>
      <c r="D95" s="10"/>
      <c r="E95" s="10"/>
    </row>
    <row r="96" spans="2:5" ht="13.5" customHeight="1">
      <c r="B96" s="75"/>
      <c r="C96" s="35" t="s">
        <v>6</v>
      </c>
      <c r="D96" s="10"/>
      <c r="E96" s="10"/>
    </row>
    <row r="97" spans="2:5" ht="13.5" customHeight="1">
      <c r="B97" s="75"/>
      <c r="C97" s="37" t="s">
        <v>40</v>
      </c>
      <c r="D97" s="10"/>
      <c r="E97" s="10"/>
    </row>
    <row r="98" spans="2:5" ht="13.5" customHeight="1">
      <c r="B98" s="75"/>
      <c r="C98" s="35" t="s">
        <v>64</v>
      </c>
      <c r="D98" s="10"/>
      <c r="E98" s="10"/>
    </row>
    <row r="99" spans="2:5" ht="13.5" customHeight="1">
      <c r="B99" s="75"/>
      <c r="C99" s="37" t="s">
        <v>41</v>
      </c>
      <c r="D99" s="10"/>
      <c r="E99" s="10"/>
    </row>
    <row r="100" spans="2:5" ht="13.5" customHeight="1">
      <c r="B100" s="75"/>
      <c r="C100" s="37" t="s">
        <v>42</v>
      </c>
      <c r="D100" s="10"/>
      <c r="E100" s="10"/>
    </row>
    <row r="101" spans="2:5" ht="13.5" customHeight="1">
      <c r="B101" s="75"/>
      <c r="C101" s="37" t="s">
        <v>43</v>
      </c>
      <c r="D101" s="10"/>
      <c r="E101" s="10"/>
    </row>
    <row r="102" spans="2:5" ht="13.5" customHeight="1">
      <c r="B102" s="75"/>
      <c r="C102" s="37" t="s">
        <v>44</v>
      </c>
      <c r="D102" s="10"/>
      <c r="E102" s="10"/>
    </row>
    <row r="103" spans="2:5" ht="13.5" customHeight="1">
      <c r="B103" s="75"/>
      <c r="C103" s="37" t="s">
        <v>65</v>
      </c>
      <c r="D103" s="10"/>
      <c r="E103" s="10"/>
    </row>
    <row r="104" spans="2:5" ht="13.5" customHeight="1">
      <c r="B104" s="75"/>
      <c r="C104" s="35" t="s">
        <v>66</v>
      </c>
      <c r="D104" s="10"/>
      <c r="E104" s="10"/>
    </row>
    <row r="105" spans="2:5" ht="13.9" customHeight="1">
      <c r="B105" s="76"/>
      <c r="C105" s="36" t="s">
        <v>58</v>
      </c>
      <c r="D105" s="10"/>
      <c r="E105" s="10"/>
    </row>
    <row r="106" spans="2:5" ht="16.5">
      <c r="B106" s="77" t="s">
        <v>46</v>
      </c>
      <c r="C106" s="37" t="s">
        <v>47</v>
      </c>
      <c r="D106" s="10">
        <f>'2.2 Drug&amp;Meds_Consumption'!CZ367</f>
        <v>19929.599999999999</v>
      </c>
      <c r="E106" s="10">
        <f>'2.3 Supplies_Consumption'!CY243</f>
        <v>198366.80000000005</v>
      </c>
    </row>
    <row r="107" spans="2:5" ht="13.5" customHeight="1">
      <c r="B107" s="77"/>
      <c r="C107" s="35" t="s">
        <v>67</v>
      </c>
      <c r="D107" s="10"/>
      <c r="E107" s="10"/>
    </row>
    <row r="108" spans="2:5" ht="13.5" customHeight="1">
      <c r="B108" s="77"/>
      <c r="C108" s="35" t="s">
        <v>68</v>
      </c>
      <c r="D108" s="10"/>
      <c r="E108" s="10"/>
    </row>
    <row r="109" spans="2:5" ht="13.5" customHeight="1">
      <c r="B109" s="77"/>
      <c r="C109" s="35" t="s">
        <v>69</v>
      </c>
      <c r="D109" s="10"/>
      <c r="E109" s="10"/>
    </row>
    <row r="110" spans="2:5" ht="13.5" customHeight="1">
      <c r="B110" s="77"/>
      <c r="C110" s="35" t="s">
        <v>70</v>
      </c>
      <c r="D110" s="10"/>
      <c r="E110" s="10"/>
    </row>
    <row r="111" spans="2:5" ht="13.5" customHeight="1">
      <c r="B111" s="77"/>
      <c r="C111" s="35" t="s">
        <v>71</v>
      </c>
      <c r="D111" s="10"/>
      <c r="E111" s="10"/>
    </row>
    <row r="112" spans="2:5" ht="13.5" customHeight="1">
      <c r="B112" s="77"/>
      <c r="C112" s="35" t="s">
        <v>72</v>
      </c>
      <c r="D112" s="10"/>
      <c r="E112" s="10"/>
    </row>
    <row r="113" spans="2:5" ht="16.5">
      <c r="B113" s="77"/>
      <c r="C113" s="38" t="s">
        <v>73</v>
      </c>
      <c r="D113" s="10"/>
      <c r="E113" s="10"/>
    </row>
    <row r="114" spans="2:5" ht="13.5" customHeight="1">
      <c r="B114" s="77"/>
      <c r="C114" s="35" t="s">
        <v>74</v>
      </c>
      <c r="D114" s="10"/>
      <c r="E114" s="10"/>
    </row>
    <row r="115" spans="2:5" ht="13.5" customHeight="1">
      <c r="B115" s="77"/>
      <c r="C115" s="37" t="s">
        <v>48</v>
      </c>
      <c r="D115" s="10">
        <f>'2.2 Drug&amp;Meds_Consumption'!DJ367</f>
        <v>6634.7999999999993</v>
      </c>
      <c r="E115" s="10">
        <f>'2.3 Supplies_Consumption'!DI243</f>
        <v>92659.6</v>
      </c>
    </row>
    <row r="116" spans="2:5" ht="13.5" customHeight="1">
      <c r="B116" s="77"/>
      <c r="C116" s="37" t="s">
        <v>7</v>
      </c>
      <c r="D116" s="10"/>
      <c r="E116" s="10"/>
    </row>
    <row r="117" spans="2:5" ht="13.5" customHeight="1">
      <c r="B117" s="77"/>
      <c r="C117" s="35" t="s">
        <v>75</v>
      </c>
      <c r="D117" s="10"/>
      <c r="E117" s="10"/>
    </row>
    <row r="118" spans="2:5" ht="13.5" customHeight="1">
      <c r="B118" s="77"/>
      <c r="C118" s="37" t="s">
        <v>45</v>
      </c>
      <c r="D118" s="10">
        <f>'2.2 Drug&amp;Meds_Consumption'!DN367</f>
        <v>6009.5999999999995</v>
      </c>
      <c r="E118" s="10">
        <f>'2.3 Supplies_Consumption'!DM243</f>
        <v>120924.3</v>
      </c>
    </row>
    <row r="119" spans="2:5" ht="13.5" customHeight="1">
      <c r="B119" s="77"/>
      <c r="C119" s="35" t="s">
        <v>76</v>
      </c>
      <c r="D119" s="10"/>
      <c r="E119" s="10"/>
    </row>
    <row r="120" spans="2:5" ht="13.5" customHeight="1">
      <c r="B120" s="77"/>
      <c r="C120" s="37" t="s">
        <v>4</v>
      </c>
      <c r="D120" s="10"/>
      <c r="E120" s="10"/>
    </row>
    <row r="121" spans="2:5" ht="13.5" customHeight="1">
      <c r="B121" s="77"/>
      <c r="C121" s="37" t="s">
        <v>49</v>
      </c>
      <c r="D121" s="10">
        <f>'2.2 Drug&amp;Meds_Consumption'!DR367</f>
        <v>225407.47500000012</v>
      </c>
      <c r="E121" s="10">
        <f>'2.3 Supplies_Consumption'!DQ243</f>
        <v>1473655.4999999993</v>
      </c>
    </row>
    <row r="122" spans="2:5" ht="13.5" customHeight="1">
      <c r="B122" s="77"/>
      <c r="C122" s="37" t="s">
        <v>1</v>
      </c>
      <c r="D122" s="10">
        <f>'2.2 Drug&amp;Meds_Consumption'!DT367</f>
        <v>10616.400000000001</v>
      </c>
      <c r="E122" s="10">
        <f>'2.3 Supplies_Consumption'!BG243</f>
        <v>246380.79999999999</v>
      </c>
    </row>
    <row r="123" spans="2:5" ht="13.5" customHeight="1">
      <c r="B123" s="77"/>
      <c r="C123" s="37" t="s">
        <v>2</v>
      </c>
      <c r="D123" s="10">
        <f>'2.2 Drug&amp;Meds_Consumption'!DV367</f>
        <v>299731.20000000013</v>
      </c>
      <c r="E123" s="10">
        <f>'2.3 Supplies_Consumption'!DT243</f>
        <v>131252.56999999995</v>
      </c>
    </row>
    <row r="124" spans="2:5" ht="13.5" customHeight="1">
      <c r="B124" s="77"/>
      <c r="C124" s="37" t="s">
        <v>50</v>
      </c>
      <c r="D124" s="10">
        <f>'2.2 Drug&amp;Meds_Consumption'!DX367</f>
        <v>36568.799999999996</v>
      </c>
      <c r="E124" s="10">
        <f>'2.3 Supplies_Consumption'!BJ243</f>
        <v>420263.39999999997</v>
      </c>
    </row>
    <row r="125" spans="2:5" ht="13.5" customHeight="1">
      <c r="B125" s="77"/>
      <c r="C125" s="37" t="s">
        <v>3</v>
      </c>
      <c r="D125" s="10"/>
      <c r="E125" s="10"/>
    </row>
    <row r="126" spans="2:5" ht="13.5" customHeight="1">
      <c r="B126" s="77"/>
      <c r="C126" s="37" t="s">
        <v>51</v>
      </c>
      <c r="D126" s="10">
        <f>'2.2 Drug&amp;Meds_Consumption'!EA367</f>
        <v>25050</v>
      </c>
      <c r="E126" s="10">
        <f>'2.3 Supplies_Consumption'!DX243</f>
        <v>54588.099999999984</v>
      </c>
    </row>
    <row r="127" spans="2:5" ht="13.5" customHeight="1">
      <c r="B127" s="77"/>
      <c r="C127" s="37" t="s">
        <v>52</v>
      </c>
      <c r="D127" s="10">
        <f>'2.2 Drug&amp;Meds_Consumption'!EC367</f>
        <v>5323.2</v>
      </c>
      <c r="E127" s="10">
        <f>'2.3 Supplies_Consumption'!DZ243</f>
        <v>52786.2</v>
      </c>
    </row>
    <row r="128" spans="2:5" ht="13.5" customHeight="1">
      <c r="B128" s="77"/>
      <c r="C128" s="37" t="s">
        <v>53</v>
      </c>
      <c r="D128" s="10"/>
      <c r="E128" s="10"/>
    </row>
    <row r="129" spans="2:5" ht="13.9" customHeight="1" thickBot="1">
      <c r="B129" s="78"/>
      <c r="C129" s="41" t="s">
        <v>54</v>
      </c>
      <c r="D129" s="40"/>
      <c r="E129" s="40"/>
    </row>
    <row r="130" spans="2:5" ht="13.5" collapsed="1" thickTop="1"/>
  </sheetData>
  <sheetProtection sheet="1" objects="1" scenarios="1" formatColumns="0" formatRows="0" sort="0" autoFilter="0"/>
  <mergeCells count="9">
    <mergeCell ref="B69:B86"/>
    <mergeCell ref="B87:B105"/>
    <mergeCell ref="B106:B129"/>
    <mergeCell ref="D12:E12"/>
    <mergeCell ref="B12:B13"/>
    <mergeCell ref="B14:B31"/>
    <mergeCell ref="B32:B49"/>
    <mergeCell ref="B50:B67"/>
    <mergeCell ref="C12:C13"/>
  </mergeCells>
  <dataValidations count="1">
    <dataValidation type="decimal" operator="greaterThanOrEqual" allowBlank="1" showInputMessage="1" showErrorMessage="1" sqref="D14:E67 D69:E129">
      <formula1>0</formula1>
    </dataValidation>
  </dataValidations>
  <pageMargins left="0" right="0" top="0.75" bottom="0.75" header="0.3" footer="0.3"/>
  <pageSetup paperSize="5" scale="62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>
    <tabColor rgb="FF0070C0"/>
  </sheetPr>
  <dimension ref="B2:EE431"/>
  <sheetViews>
    <sheetView showGridLines="0" zoomScale="87" zoomScaleNormal="85" zoomScaleSheetLayoutView="104" workbookViewId="0">
      <pane xSplit="65" ySplit="12" topLeftCell="EB13" activePane="bottomRight" state="frozen"/>
      <selection pane="topRight" activeCell="BM1" sqref="BM1"/>
      <selection pane="bottomLeft" activeCell="A13" sqref="A13"/>
      <selection pane="bottomRight" activeCell="EF14" sqref="EF14"/>
    </sheetView>
  </sheetViews>
  <sheetFormatPr defaultColWidth="8.7109375" defaultRowHeight="12.75" outlineLevelRow="1"/>
  <cols>
    <col min="1" max="1" width="8.7109375" style="12"/>
    <col min="2" max="3" width="27.140625" style="12" customWidth="1"/>
    <col min="4" max="4" width="34.42578125" style="12" customWidth="1"/>
    <col min="5" max="5" width="12.85546875" style="12" customWidth="1"/>
    <col min="6" max="6" width="10.5703125" style="12" customWidth="1"/>
    <col min="7" max="9" width="12.85546875" style="12" customWidth="1"/>
    <col min="10" max="10" width="1.42578125" style="12" customWidth="1"/>
    <col min="11" max="64" width="8.7109375" style="12" hidden="1" customWidth="1"/>
    <col min="65" max="65" width="1.7109375" style="42" hidden="1" customWidth="1"/>
    <col min="66" max="103" width="8.7109375" style="12" customWidth="1"/>
    <col min="104" max="104" width="10.28515625" style="12" hidden="1" customWidth="1"/>
    <col min="105" max="113" width="8.7109375" style="12" customWidth="1"/>
    <col min="114" max="114" width="10.28515625" style="12" hidden="1" customWidth="1"/>
    <col min="115" max="117" width="8.7109375" style="12" customWidth="1"/>
    <col min="118" max="118" width="8.7109375" style="12" hidden="1" customWidth="1"/>
    <col min="119" max="121" width="8.7109375" style="12" customWidth="1"/>
    <col min="122" max="122" width="11" style="12" hidden="1" customWidth="1"/>
    <col min="123" max="123" width="8.7109375" style="12" customWidth="1"/>
    <col min="124" max="124" width="9.85546875" style="12" hidden="1" customWidth="1"/>
    <col min="125" max="125" width="8.7109375" style="12" customWidth="1"/>
    <col min="126" max="126" width="8.7109375" style="12" hidden="1" customWidth="1"/>
    <col min="127" max="127" width="8.7109375" style="12" customWidth="1"/>
    <col min="128" max="128" width="8.7109375" style="12" hidden="1" customWidth="1"/>
    <col min="129" max="130" width="8.7109375" style="12" customWidth="1"/>
    <col min="131" max="131" width="8.7109375" style="12" hidden="1" customWidth="1"/>
    <col min="132" max="132" width="8.7109375" style="12" customWidth="1"/>
    <col min="133" max="133" width="8.7109375" style="12" hidden="1" customWidth="1"/>
    <col min="134" max="135" width="8.7109375" style="12" customWidth="1"/>
    <col min="136" max="16384" width="8.7109375" style="12"/>
  </cols>
  <sheetData>
    <row r="2" spans="2:135" ht="15.75">
      <c r="B2" s="13" t="s">
        <v>15</v>
      </c>
      <c r="C2" s="13"/>
      <c r="D2" s="13"/>
      <c r="E2" s="13"/>
      <c r="F2" s="14"/>
      <c r="G2" s="48"/>
      <c r="H2" s="48"/>
      <c r="I2" s="48"/>
      <c r="BM2" s="12"/>
    </row>
    <row r="3" spans="2:135" ht="14.25" customHeight="1">
      <c r="D3" s="43"/>
    </row>
    <row r="4" spans="2:135" hidden="1" outlineLevel="1">
      <c r="B4" s="12" t="s">
        <v>90</v>
      </c>
      <c r="D4" s="12">
        <v>420</v>
      </c>
    </row>
    <row r="5" spans="2:135" ht="16.5" collapsed="1">
      <c r="B5" s="17" t="s">
        <v>16</v>
      </c>
      <c r="C5" s="18"/>
      <c r="D5" s="19"/>
      <c r="E5" s="19"/>
      <c r="F5" s="19"/>
      <c r="G5" s="19"/>
      <c r="H5" s="19"/>
      <c r="I5" s="20"/>
    </row>
    <row r="6" spans="2:135" ht="16.5">
      <c r="B6" s="21" t="s">
        <v>14</v>
      </c>
      <c r="C6" s="22"/>
      <c r="D6" s="23"/>
      <c r="E6" s="23"/>
      <c r="F6" s="23"/>
      <c r="G6" s="23"/>
      <c r="H6" s="23"/>
      <c r="I6" s="24"/>
    </row>
    <row r="7" spans="2:135" ht="16.5">
      <c r="B7" s="21" t="s">
        <v>17</v>
      </c>
      <c r="C7" s="22"/>
      <c r="D7" s="23"/>
      <c r="E7" s="23"/>
      <c r="F7" s="23"/>
      <c r="G7" s="23"/>
      <c r="H7" s="23"/>
      <c r="I7" s="24"/>
    </row>
    <row r="8" spans="2:135" ht="16.5">
      <c r="B8" s="61" t="s">
        <v>95</v>
      </c>
      <c r="C8" s="61"/>
      <c r="D8" s="63" t="s">
        <v>96</v>
      </c>
      <c r="E8" s="23"/>
      <c r="F8" s="23"/>
      <c r="G8" s="23"/>
      <c r="H8" s="23"/>
      <c r="I8" s="24"/>
    </row>
    <row r="9" spans="2:135" ht="16.5">
      <c r="B9" s="25" t="s">
        <v>88</v>
      </c>
      <c r="C9" s="26"/>
      <c r="D9" s="27"/>
      <c r="E9" s="27"/>
      <c r="F9" s="27"/>
      <c r="G9" s="27"/>
      <c r="H9" s="27"/>
      <c r="I9" s="28"/>
    </row>
    <row r="10" spans="2:135">
      <c r="D10" s="43"/>
    </row>
    <row r="11" spans="2:135" s="44" customFormat="1" ht="19.5" customHeight="1">
      <c r="B11" s="91"/>
      <c r="C11" s="92"/>
      <c r="D11" s="92"/>
      <c r="E11" s="92"/>
      <c r="F11" s="92"/>
      <c r="G11" s="92"/>
      <c r="H11" s="92"/>
      <c r="I11" s="93"/>
      <c r="K11" s="98" t="s">
        <v>20</v>
      </c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8" t="s">
        <v>36</v>
      </c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89" t="s">
        <v>46</v>
      </c>
      <c r="AV11" s="90"/>
      <c r="AW11" s="90"/>
      <c r="AX11" s="90"/>
      <c r="AY11" s="90"/>
      <c r="AZ11" s="90"/>
      <c r="BA11" s="90"/>
      <c r="BB11" s="90"/>
      <c r="BC11" s="90"/>
      <c r="BD11" s="90"/>
      <c r="BE11" s="90"/>
      <c r="BF11" s="90"/>
      <c r="BG11" s="90"/>
      <c r="BH11" s="90"/>
      <c r="BI11" s="90"/>
      <c r="BJ11" s="90"/>
      <c r="BK11" s="90"/>
      <c r="BL11" s="90"/>
      <c r="BM11" s="45"/>
      <c r="BN11" s="94" t="s">
        <v>20</v>
      </c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5"/>
      <c r="CC11" s="95"/>
      <c r="CD11" s="95"/>
      <c r="CE11" s="95"/>
      <c r="CF11" s="96" t="s">
        <v>36</v>
      </c>
      <c r="CG11" s="97"/>
      <c r="CH11" s="97"/>
      <c r="CI11" s="97"/>
      <c r="CJ11" s="97"/>
      <c r="CK11" s="97"/>
      <c r="CL11" s="97"/>
      <c r="CM11" s="97"/>
      <c r="CN11" s="97"/>
      <c r="CO11" s="97"/>
      <c r="CP11" s="97"/>
      <c r="CQ11" s="97"/>
      <c r="CR11" s="97"/>
      <c r="CS11" s="97"/>
      <c r="CT11" s="97"/>
      <c r="CU11" s="97"/>
      <c r="CV11" s="97"/>
      <c r="CW11" s="97"/>
      <c r="CX11" s="97"/>
      <c r="CY11" s="94" t="s">
        <v>46</v>
      </c>
      <c r="CZ11" s="94"/>
      <c r="DA11" s="94"/>
      <c r="DB11" s="94"/>
      <c r="DC11" s="94"/>
      <c r="DD11" s="94"/>
      <c r="DE11" s="94"/>
      <c r="DF11" s="94"/>
      <c r="DG11" s="94"/>
      <c r="DH11" s="94"/>
      <c r="DI11" s="95"/>
      <c r="DJ11" s="95"/>
      <c r="DK11" s="95"/>
      <c r="DL11" s="95"/>
      <c r="DM11" s="95"/>
      <c r="DN11" s="95"/>
      <c r="DO11" s="95"/>
      <c r="DP11" s="95"/>
      <c r="DQ11" s="95"/>
      <c r="DR11" s="95"/>
      <c r="DS11" s="95"/>
      <c r="DT11" s="95"/>
      <c r="DU11" s="95"/>
      <c r="DV11" s="95"/>
      <c r="DW11" s="95"/>
      <c r="DX11" s="95"/>
      <c r="DY11" s="95"/>
      <c r="DZ11" s="95"/>
      <c r="EA11" s="95"/>
      <c r="EB11" s="95"/>
      <c r="EC11" s="95"/>
      <c r="ED11" s="95"/>
      <c r="EE11" s="95"/>
    </row>
    <row r="12" spans="2:135" s="46" customFormat="1" ht="116.45" customHeight="1">
      <c r="B12" s="54" t="s">
        <v>89</v>
      </c>
      <c r="C12" s="54"/>
      <c r="D12" s="55" t="s">
        <v>8</v>
      </c>
      <c r="E12" s="56" t="s">
        <v>9</v>
      </c>
      <c r="F12" s="56" t="s">
        <v>11</v>
      </c>
      <c r="G12" s="56" t="s">
        <v>10</v>
      </c>
      <c r="H12" s="56" t="s">
        <v>18</v>
      </c>
      <c r="I12" s="56" t="s">
        <v>0</v>
      </c>
      <c r="K12" s="51" t="s">
        <v>21</v>
      </c>
      <c r="L12" s="51" t="s">
        <v>77</v>
      </c>
      <c r="M12" s="51" t="s">
        <v>22</v>
      </c>
      <c r="N12" s="51" t="s">
        <v>23</v>
      </c>
      <c r="O12" s="51" t="s">
        <v>24</v>
      </c>
      <c r="P12" s="51" t="s">
        <v>25</v>
      </c>
      <c r="Q12" s="51" t="s">
        <v>26</v>
      </c>
      <c r="R12" s="51" t="s">
        <v>78</v>
      </c>
      <c r="S12" s="51" t="s">
        <v>27</v>
      </c>
      <c r="T12" s="51" t="s">
        <v>28</v>
      </c>
      <c r="U12" s="51" t="s">
        <v>29</v>
      </c>
      <c r="V12" s="51" t="s">
        <v>30</v>
      </c>
      <c r="W12" s="51" t="s">
        <v>31</v>
      </c>
      <c r="X12" s="51" t="s">
        <v>32</v>
      </c>
      <c r="Y12" s="51" t="s">
        <v>33</v>
      </c>
      <c r="Z12" s="51" t="s">
        <v>34</v>
      </c>
      <c r="AA12" s="51" t="s">
        <v>35</v>
      </c>
      <c r="AB12" s="51" t="s">
        <v>58</v>
      </c>
      <c r="AC12" s="51" t="s">
        <v>37</v>
      </c>
      <c r="AD12" s="51" t="s">
        <v>39</v>
      </c>
      <c r="AE12" s="52" t="s">
        <v>59</v>
      </c>
      <c r="AF12" s="51" t="s">
        <v>38</v>
      </c>
      <c r="AG12" s="52" t="s">
        <v>5</v>
      </c>
      <c r="AH12" s="51" t="s">
        <v>60</v>
      </c>
      <c r="AI12" s="51" t="s">
        <v>61</v>
      </c>
      <c r="AJ12" s="51" t="s">
        <v>63</v>
      </c>
      <c r="AK12" s="51" t="s">
        <v>6</v>
      </c>
      <c r="AL12" s="51" t="s">
        <v>40</v>
      </c>
      <c r="AM12" s="51" t="s">
        <v>64</v>
      </c>
      <c r="AN12" s="51" t="s">
        <v>41</v>
      </c>
      <c r="AO12" s="51" t="s">
        <v>42</v>
      </c>
      <c r="AP12" s="51" t="s">
        <v>43</v>
      </c>
      <c r="AQ12" s="51" t="s">
        <v>44</v>
      </c>
      <c r="AR12" s="52" t="s">
        <v>65</v>
      </c>
      <c r="AS12" s="52" t="s">
        <v>66</v>
      </c>
      <c r="AT12" s="51" t="s">
        <v>58</v>
      </c>
      <c r="AU12" s="51" t="s">
        <v>79</v>
      </c>
      <c r="AV12" s="51" t="s">
        <v>67</v>
      </c>
      <c r="AW12" s="51" t="s">
        <v>68</v>
      </c>
      <c r="AX12" s="51" t="s">
        <v>69</v>
      </c>
      <c r="AY12" s="51" t="s">
        <v>70</v>
      </c>
      <c r="AZ12" s="51" t="s">
        <v>71</v>
      </c>
      <c r="BA12" s="51" t="s">
        <v>72</v>
      </c>
      <c r="BB12" s="52" t="s">
        <v>80</v>
      </c>
      <c r="BC12" s="51" t="s">
        <v>81</v>
      </c>
      <c r="BD12" s="51" t="s">
        <v>48</v>
      </c>
      <c r="BE12" s="51" t="s">
        <v>7</v>
      </c>
      <c r="BF12" s="51" t="s">
        <v>45</v>
      </c>
      <c r="BG12" s="51" t="s">
        <v>4</v>
      </c>
      <c r="BH12" s="51" t="s">
        <v>49</v>
      </c>
      <c r="BI12" s="51" t="s">
        <v>1</v>
      </c>
      <c r="BJ12" s="51" t="s">
        <v>2</v>
      </c>
      <c r="BK12" s="51" t="s">
        <v>50</v>
      </c>
      <c r="BL12" s="51" t="s">
        <v>3</v>
      </c>
      <c r="BN12" s="51" t="s">
        <v>21</v>
      </c>
      <c r="BO12" s="51" t="s">
        <v>56</v>
      </c>
      <c r="BP12" s="51" t="s">
        <v>22</v>
      </c>
      <c r="BQ12" s="51" t="s">
        <v>23</v>
      </c>
      <c r="BR12" s="51" t="s">
        <v>24</v>
      </c>
      <c r="BS12" s="51" t="s">
        <v>25</v>
      </c>
      <c r="BT12" s="51" t="s">
        <v>26</v>
      </c>
      <c r="BU12" s="51" t="s">
        <v>55</v>
      </c>
      <c r="BV12" s="51" t="s">
        <v>27</v>
      </c>
      <c r="BW12" s="51" t="s">
        <v>28</v>
      </c>
      <c r="BX12" s="51" t="s">
        <v>29</v>
      </c>
      <c r="BY12" s="51" t="s">
        <v>30</v>
      </c>
      <c r="BZ12" s="51" t="s">
        <v>31</v>
      </c>
      <c r="CA12" s="51" t="s">
        <v>32</v>
      </c>
      <c r="CB12" s="51" t="s">
        <v>33</v>
      </c>
      <c r="CC12" s="51" t="s">
        <v>34</v>
      </c>
      <c r="CD12" s="51" t="s">
        <v>57</v>
      </c>
      <c r="CE12" s="51" t="s">
        <v>58</v>
      </c>
      <c r="CF12" s="51" t="s">
        <v>37</v>
      </c>
      <c r="CG12" s="51" t="s">
        <v>39</v>
      </c>
      <c r="CH12" s="51" t="s">
        <v>59</v>
      </c>
      <c r="CI12" s="51" t="s">
        <v>38</v>
      </c>
      <c r="CJ12" s="51" t="s">
        <v>5</v>
      </c>
      <c r="CK12" s="51" t="s">
        <v>60</v>
      </c>
      <c r="CL12" s="51" t="s">
        <v>61</v>
      </c>
      <c r="CM12" s="51" t="s">
        <v>62</v>
      </c>
      <c r="CN12" s="51" t="s">
        <v>63</v>
      </c>
      <c r="CO12" s="51" t="s">
        <v>6</v>
      </c>
      <c r="CP12" s="51" t="s">
        <v>40</v>
      </c>
      <c r="CQ12" s="51" t="s">
        <v>64</v>
      </c>
      <c r="CR12" s="51" t="s">
        <v>41</v>
      </c>
      <c r="CS12" s="51" t="s">
        <v>42</v>
      </c>
      <c r="CT12" s="51" t="s">
        <v>43</v>
      </c>
      <c r="CU12" s="51" t="s">
        <v>44</v>
      </c>
      <c r="CV12" s="51" t="s">
        <v>65</v>
      </c>
      <c r="CW12" s="51" t="s">
        <v>66</v>
      </c>
      <c r="CX12" s="52" t="s">
        <v>58</v>
      </c>
      <c r="CY12" s="51" t="s">
        <v>47</v>
      </c>
      <c r="CZ12" s="69" t="s">
        <v>47</v>
      </c>
      <c r="DA12" s="51" t="s">
        <v>67</v>
      </c>
      <c r="DB12" s="51" t="s">
        <v>68</v>
      </c>
      <c r="DC12" s="51" t="s">
        <v>69</v>
      </c>
      <c r="DD12" s="51" t="s">
        <v>70</v>
      </c>
      <c r="DE12" s="51" t="s">
        <v>71</v>
      </c>
      <c r="DF12" s="51" t="s">
        <v>72</v>
      </c>
      <c r="DG12" s="53" t="s">
        <v>73</v>
      </c>
      <c r="DH12" s="51" t="s">
        <v>74</v>
      </c>
      <c r="DI12" s="51" t="s">
        <v>48</v>
      </c>
      <c r="DJ12" s="69" t="s">
        <v>48</v>
      </c>
      <c r="DK12" s="51" t="s">
        <v>7</v>
      </c>
      <c r="DL12" s="51" t="s">
        <v>75</v>
      </c>
      <c r="DM12" s="51" t="s">
        <v>45</v>
      </c>
      <c r="DN12" s="69" t="s">
        <v>45</v>
      </c>
      <c r="DO12" s="51" t="s">
        <v>76</v>
      </c>
      <c r="DP12" s="51" t="s">
        <v>4</v>
      </c>
      <c r="DQ12" s="51" t="s">
        <v>49</v>
      </c>
      <c r="DR12" s="69" t="s">
        <v>49</v>
      </c>
      <c r="DS12" s="51" t="s">
        <v>1</v>
      </c>
      <c r="DT12" s="69" t="s">
        <v>1</v>
      </c>
      <c r="DU12" s="51" t="s">
        <v>2</v>
      </c>
      <c r="DV12" s="69" t="s">
        <v>2</v>
      </c>
      <c r="DW12" s="51" t="s">
        <v>50</v>
      </c>
      <c r="DX12" s="69" t="s">
        <v>50</v>
      </c>
      <c r="DY12" s="51" t="s">
        <v>3</v>
      </c>
      <c r="DZ12" s="51" t="s">
        <v>51</v>
      </c>
      <c r="EA12" s="69" t="s">
        <v>51</v>
      </c>
      <c r="EB12" s="51" t="s">
        <v>52</v>
      </c>
      <c r="EC12" s="69" t="s">
        <v>52</v>
      </c>
      <c r="ED12" s="51" t="s">
        <v>53</v>
      </c>
      <c r="EE12" s="51" t="s">
        <v>54</v>
      </c>
    </row>
    <row r="13" spans="2:135" ht="16.5">
      <c r="B13" s="50">
        <v>1</v>
      </c>
      <c r="C13" s="50" t="s">
        <v>684</v>
      </c>
      <c r="D13" s="49" t="s">
        <v>100</v>
      </c>
      <c r="E13" s="49"/>
      <c r="F13" s="49"/>
      <c r="G13" s="49"/>
      <c r="H13" s="71">
        <f>I13*1.2</f>
        <v>73.2</v>
      </c>
      <c r="I13" s="11">
        <v>61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>
        <v>1</v>
      </c>
      <c r="CZ13" s="11">
        <f t="shared" ref="CZ13:CZ76" si="0">H13*CY13</f>
        <v>73.2</v>
      </c>
      <c r="DA13" s="11"/>
      <c r="DB13" s="11"/>
      <c r="DC13" s="11"/>
      <c r="DD13" s="11"/>
      <c r="DE13" s="11"/>
      <c r="DF13" s="11"/>
      <c r="DG13" s="11"/>
      <c r="DH13" s="11"/>
      <c r="DI13" s="11"/>
      <c r="DJ13" s="11">
        <f t="shared" ref="DJ13:DJ76" si="1">DI13*H13</f>
        <v>0</v>
      </c>
      <c r="DK13" s="11"/>
      <c r="DL13" s="11"/>
      <c r="DM13" s="11">
        <v>3</v>
      </c>
      <c r="DN13" s="11">
        <f t="shared" ref="DN13:DN76" si="2">DM13*H13</f>
        <v>219.60000000000002</v>
      </c>
      <c r="DO13" s="11"/>
      <c r="DP13" s="11"/>
      <c r="DQ13" s="11">
        <v>20</v>
      </c>
      <c r="DR13" s="11">
        <f t="shared" ref="DR13:DR76" si="3">H13*DQ13</f>
        <v>1464</v>
      </c>
      <c r="DS13" s="11">
        <v>27</v>
      </c>
      <c r="DT13" s="11">
        <f t="shared" ref="DT13:DT76" si="4">DS13*H13</f>
        <v>1976.4</v>
      </c>
      <c r="DU13" s="11"/>
      <c r="DV13" s="11">
        <f t="shared" ref="DV13:DV76" si="5">DU13*H13</f>
        <v>0</v>
      </c>
      <c r="DW13" s="11">
        <v>4</v>
      </c>
      <c r="DX13" s="11">
        <f t="shared" ref="DX13:DX76" si="6">H13*DW13</f>
        <v>292.8</v>
      </c>
      <c r="DY13" s="11"/>
      <c r="DZ13" s="11">
        <v>6</v>
      </c>
      <c r="EA13" s="11">
        <f t="shared" ref="EA13:EA76" si="7">H13*DZ13</f>
        <v>439.20000000000005</v>
      </c>
      <c r="EB13" s="11"/>
      <c r="EC13" s="11">
        <f t="shared" ref="EC13:EC76" si="8">EB13*H13</f>
        <v>0</v>
      </c>
      <c r="ED13" s="11"/>
      <c r="EE13" s="11"/>
    </row>
    <row r="14" spans="2:135" ht="33">
      <c r="B14" s="47">
        <v>2</v>
      </c>
      <c r="C14" s="50" t="s">
        <v>685</v>
      </c>
      <c r="D14" s="49" t="s">
        <v>101</v>
      </c>
      <c r="E14" s="49"/>
      <c r="F14" s="49"/>
      <c r="G14" s="49"/>
      <c r="H14" s="71">
        <f t="shared" ref="H14:H77" si="9">I14*1.2</f>
        <v>8.4</v>
      </c>
      <c r="I14" s="10">
        <v>7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1">
        <f t="shared" si="0"/>
        <v>0</v>
      </c>
      <c r="DA14" s="10"/>
      <c r="DB14" s="10"/>
      <c r="DC14" s="10"/>
      <c r="DD14" s="10"/>
      <c r="DE14" s="10"/>
      <c r="DF14" s="10"/>
      <c r="DG14" s="10"/>
      <c r="DH14" s="10"/>
      <c r="DI14" s="10"/>
      <c r="DJ14" s="11">
        <f t="shared" si="1"/>
        <v>0</v>
      </c>
      <c r="DK14" s="10"/>
      <c r="DL14" s="10"/>
      <c r="DM14" s="10"/>
      <c r="DN14" s="11">
        <f t="shared" si="2"/>
        <v>0</v>
      </c>
      <c r="DO14" s="10"/>
      <c r="DP14" s="10"/>
      <c r="DQ14" s="10">
        <v>3</v>
      </c>
      <c r="DR14" s="11">
        <f t="shared" si="3"/>
        <v>25.200000000000003</v>
      </c>
      <c r="DS14" s="10">
        <v>4</v>
      </c>
      <c r="DT14" s="11">
        <f t="shared" si="4"/>
        <v>33.6</v>
      </c>
      <c r="DU14" s="10"/>
      <c r="DV14" s="11">
        <f t="shared" si="5"/>
        <v>0</v>
      </c>
      <c r="DW14" s="10">
        <v>0</v>
      </c>
      <c r="DX14" s="11">
        <f t="shared" si="6"/>
        <v>0</v>
      </c>
      <c r="DY14" s="10"/>
      <c r="DZ14" s="10"/>
      <c r="EA14" s="11">
        <f t="shared" si="7"/>
        <v>0</v>
      </c>
      <c r="EB14" s="10"/>
      <c r="EC14" s="11">
        <f t="shared" si="8"/>
        <v>0</v>
      </c>
      <c r="ED14" s="10"/>
      <c r="EE14" s="10"/>
    </row>
    <row r="15" spans="2:135" ht="16.5">
      <c r="B15" s="47">
        <v>3</v>
      </c>
      <c r="C15" s="50" t="s">
        <v>686</v>
      </c>
      <c r="D15" s="49" t="s">
        <v>102</v>
      </c>
      <c r="E15" s="49"/>
      <c r="F15" s="49"/>
      <c r="G15" s="49"/>
      <c r="H15" s="71">
        <f t="shared" si="9"/>
        <v>10.799999999999999</v>
      </c>
      <c r="I15" s="10">
        <v>9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1">
        <f t="shared" si="0"/>
        <v>0</v>
      </c>
      <c r="DA15" s="10"/>
      <c r="DB15" s="10"/>
      <c r="DC15" s="10"/>
      <c r="DD15" s="10"/>
      <c r="DE15" s="10"/>
      <c r="DF15" s="10"/>
      <c r="DG15" s="10"/>
      <c r="DH15" s="10"/>
      <c r="DI15" s="10"/>
      <c r="DJ15" s="11">
        <f t="shared" si="1"/>
        <v>0</v>
      </c>
      <c r="DK15" s="10"/>
      <c r="DL15" s="10"/>
      <c r="DM15" s="10"/>
      <c r="DN15" s="11">
        <f t="shared" si="2"/>
        <v>0</v>
      </c>
      <c r="DO15" s="10"/>
      <c r="DP15" s="10"/>
      <c r="DQ15" s="10">
        <v>7</v>
      </c>
      <c r="DR15" s="11">
        <f t="shared" si="3"/>
        <v>75.599999999999994</v>
      </c>
      <c r="DS15" s="10">
        <v>1</v>
      </c>
      <c r="DT15" s="11">
        <f t="shared" si="4"/>
        <v>10.799999999999999</v>
      </c>
      <c r="DU15" s="10"/>
      <c r="DV15" s="11">
        <f t="shared" si="5"/>
        <v>0</v>
      </c>
      <c r="DW15" s="10">
        <v>1</v>
      </c>
      <c r="DX15" s="11">
        <f t="shared" si="6"/>
        <v>10.799999999999999</v>
      </c>
      <c r="DY15" s="10"/>
      <c r="DZ15" s="10"/>
      <c r="EA15" s="11">
        <f t="shared" si="7"/>
        <v>0</v>
      </c>
      <c r="EB15" s="10"/>
      <c r="EC15" s="11">
        <f t="shared" si="8"/>
        <v>0</v>
      </c>
      <c r="ED15" s="10"/>
      <c r="EE15" s="10"/>
    </row>
    <row r="16" spans="2:135" ht="16.5">
      <c r="B16" s="47">
        <v>4</v>
      </c>
      <c r="C16" s="50" t="s">
        <v>687</v>
      </c>
      <c r="D16" s="49" t="s">
        <v>103</v>
      </c>
      <c r="E16" s="49"/>
      <c r="F16" s="49"/>
      <c r="G16" s="49"/>
      <c r="H16" s="71">
        <f t="shared" si="9"/>
        <v>76.8</v>
      </c>
      <c r="I16" s="10">
        <v>64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>
        <v>36</v>
      </c>
      <c r="CZ16" s="11">
        <f t="shared" si="0"/>
        <v>2764.7999999999997</v>
      </c>
      <c r="DA16" s="10"/>
      <c r="DB16" s="10"/>
      <c r="DC16" s="10"/>
      <c r="DD16" s="10"/>
      <c r="DE16" s="10"/>
      <c r="DF16" s="10"/>
      <c r="DG16" s="10"/>
      <c r="DH16" s="10"/>
      <c r="DI16" s="10">
        <v>2</v>
      </c>
      <c r="DJ16" s="11">
        <f t="shared" si="1"/>
        <v>153.6</v>
      </c>
      <c r="DK16" s="10"/>
      <c r="DL16" s="10"/>
      <c r="DM16" s="10"/>
      <c r="DN16" s="11">
        <f t="shared" si="2"/>
        <v>0</v>
      </c>
      <c r="DO16" s="10"/>
      <c r="DP16" s="10"/>
      <c r="DQ16" s="10">
        <v>0</v>
      </c>
      <c r="DR16" s="11">
        <f t="shared" si="3"/>
        <v>0</v>
      </c>
      <c r="DS16" s="10">
        <v>0</v>
      </c>
      <c r="DT16" s="11">
        <f t="shared" si="4"/>
        <v>0</v>
      </c>
      <c r="DU16" s="10"/>
      <c r="DV16" s="11">
        <f t="shared" si="5"/>
        <v>0</v>
      </c>
      <c r="DW16" s="10">
        <v>23</v>
      </c>
      <c r="DX16" s="11">
        <f t="shared" si="6"/>
        <v>1766.3999999999999</v>
      </c>
      <c r="DY16" s="10"/>
      <c r="DZ16" s="10">
        <v>3</v>
      </c>
      <c r="EA16" s="11">
        <f t="shared" si="7"/>
        <v>230.39999999999998</v>
      </c>
      <c r="EB16" s="10"/>
      <c r="EC16" s="11">
        <f t="shared" si="8"/>
        <v>0</v>
      </c>
      <c r="ED16" s="10"/>
      <c r="EE16" s="10"/>
    </row>
    <row r="17" spans="2:135" ht="16.5">
      <c r="B17" s="47">
        <v>5</v>
      </c>
      <c r="C17" s="50" t="s">
        <v>688</v>
      </c>
      <c r="D17" s="49" t="s">
        <v>104</v>
      </c>
      <c r="E17" s="49"/>
      <c r="F17" s="49"/>
      <c r="G17" s="49"/>
      <c r="H17" s="71">
        <f t="shared" si="9"/>
        <v>8.4</v>
      </c>
      <c r="I17" s="10">
        <v>7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1">
        <f t="shared" si="0"/>
        <v>0</v>
      </c>
      <c r="DA17" s="10"/>
      <c r="DB17" s="10"/>
      <c r="DC17" s="10"/>
      <c r="DD17" s="10"/>
      <c r="DE17" s="10"/>
      <c r="DF17" s="10"/>
      <c r="DG17" s="10"/>
      <c r="DH17" s="10"/>
      <c r="DI17" s="10"/>
      <c r="DJ17" s="11">
        <f t="shared" si="1"/>
        <v>0</v>
      </c>
      <c r="DK17" s="10"/>
      <c r="DL17" s="10"/>
      <c r="DM17" s="10"/>
      <c r="DN17" s="11">
        <f t="shared" si="2"/>
        <v>0</v>
      </c>
      <c r="DO17" s="10"/>
      <c r="DP17" s="10"/>
      <c r="DQ17" s="10">
        <v>2</v>
      </c>
      <c r="DR17" s="11">
        <f t="shared" si="3"/>
        <v>16.8</v>
      </c>
      <c r="DS17" s="10">
        <v>0</v>
      </c>
      <c r="DT17" s="11">
        <f t="shared" si="4"/>
        <v>0</v>
      </c>
      <c r="DU17" s="10">
        <v>1</v>
      </c>
      <c r="DV17" s="11">
        <f t="shared" si="5"/>
        <v>8.4</v>
      </c>
      <c r="DW17" s="10">
        <v>3</v>
      </c>
      <c r="DX17" s="11">
        <f t="shared" si="6"/>
        <v>25.200000000000003</v>
      </c>
      <c r="DY17" s="10"/>
      <c r="DZ17" s="10">
        <v>1</v>
      </c>
      <c r="EA17" s="11">
        <f t="shared" si="7"/>
        <v>8.4</v>
      </c>
      <c r="EB17" s="10"/>
      <c r="EC17" s="11">
        <f t="shared" si="8"/>
        <v>0</v>
      </c>
      <c r="ED17" s="10"/>
      <c r="EE17" s="10"/>
    </row>
    <row r="18" spans="2:135" ht="16.5">
      <c r="B18" s="47">
        <v>6</v>
      </c>
      <c r="C18" s="50" t="s">
        <v>689</v>
      </c>
      <c r="D18" s="49" t="s">
        <v>105</v>
      </c>
      <c r="E18" s="49"/>
      <c r="F18" s="49"/>
      <c r="G18" s="49"/>
      <c r="H18" s="71">
        <f t="shared" si="9"/>
        <v>9.6</v>
      </c>
      <c r="I18" s="10">
        <v>8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1">
        <f t="shared" si="0"/>
        <v>0</v>
      </c>
      <c r="DA18" s="10"/>
      <c r="DB18" s="10"/>
      <c r="DC18" s="10"/>
      <c r="DD18" s="10"/>
      <c r="DE18" s="10"/>
      <c r="DF18" s="10"/>
      <c r="DG18" s="10"/>
      <c r="DH18" s="10"/>
      <c r="DI18" s="10"/>
      <c r="DJ18" s="11">
        <f t="shared" si="1"/>
        <v>0</v>
      </c>
      <c r="DK18" s="10"/>
      <c r="DL18" s="10"/>
      <c r="DM18" s="10"/>
      <c r="DN18" s="11">
        <f t="shared" si="2"/>
        <v>0</v>
      </c>
      <c r="DO18" s="10"/>
      <c r="DP18" s="10"/>
      <c r="DQ18" s="10">
        <v>5</v>
      </c>
      <c r="DR18" s="11">
        <f t="shared" si="3"/>
        <v>48</v>
      </c>
      <c r="DS18" s="10">
        <v>0</v>
      </c>
      <c r="DT18" s="11">
        <f t="shared" si="4"/>
        <v>0</v>
      </c>
      <c r="DU18" s="10">
        <v>1</v>
      </c>
      <c r="DV18" s="11">
        <f t="shared" si="5"/>
        <v>9.6</v>
      </c>
      <c r="DW18" s="10">
        <v>0</v>
      </c>
      <c r="DX18" s="11">
        <f t="shared" si="6"/>
        <v>0</v>
      </c>
      <c r="DY18" s="10"/>
      <c r="DZ18" s="10">
        <v>2</v>
      </c>
      <c r="EA18" s="11">
        <f t="shared" si="7"/>
        <v>19.2</v>
      </c>
      <c r="EB18" s="10"/>
      <c r="EC18" s="11">
        <f t="shared" si="8"/>
        <v>0</v>
      </c>
      <c r="ED18" s="10"/>
      <c r="EE18" s="10"/>
    </row>
    <row r="19" spans="2:135" ht="16.5">
      <c r="B19" s="47">
        <v>7</v>
      </c>
      <c r="C19" s="50" t="s">
        <v>690</v>
      </c>
      <c r="D19" s="49" t="s">
        <v>106</v>
      </c>
      <c r="E19" s="49"/>
      <c r="F19" s="49"/>
      <c r="G19" s="49"/>
      <c r="H19" s="71">
        <f t="shared" si="9"/>
        <v>2.4</v>
      </c>
      <c r="I19" s="10">
        <v>2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1">
        <f t="shared" si="0"/>
        <v>0</v>
      </c>
      <c r="DA19" s="10"/>
      <c r="DB19" s="10"/>
      <c r="DC19" s="10"/>
      <c r="DD19" s="10"/>
      <c r="DE19" s="10"/>
      <c r="DF19" s="10"/>
      <c r="DG19" s="10"/>
      <c r="DH19" s="10"/>
      <c r="DI19" s="10"/>
      <c r="DJ19" s="11">
        <f t="shared" si="1"/>
        <v>0</v>
      </c>
      <c r="DK19" s="10"/>
      <c r="DL19" s="10"/>
      <c r="DM19" s="10"/>
      <c r="DN19" s="11">
        <f t="shared" si="2"/>
        <v>0</v>
      </c>
      <c r="DO19" s="10"/>
      <c r="DP19" s="10"/>
      <c r="DQ19" s="10">
        <v>1</v>
      </c>
      <c r="DR19" s="11">
        <f t="shared" si="3"/>
        <v>2.4</v>
      </c>
      <c r="DS19" s="10">
        <v>0</v>
      </c>
      <c r="DT19" s="11">
        <f t="shared" si="4"/>
        <v>0</v>
      </c>
      <c r="DU19" s="10"/>
      <c r="DV19" s="11">
        <f t="shared" si="5"/>
        <v>0</v>
      </c>
      <c r="DW19" s="10">
        <v>1</v>
      </c>
      <c r="DX19" s="11">
        <f t="shared" si="6"/>
        <v>2.4</v>
      </c>
      <c r="DY19" s="10"/>
      <c r="DZ19" s="10"/>
      <c r="EA19" s="11">
        <f t="shared" si="7"/>
        <v>0</v>
      </c>
      <c r="EB19" s="10"/>
      <c r="EC19" s="11">
        <f t="shared" si="8"/>
        <v>0</v>
      </c>
      <c r="ED19" s="10"/>
      <c r="EE19" s="10"/>
    </row>
    <row r="20" spans="2:135" ht="16.5">
      <c r="B20" s="47">
        <v>8</v>
      </c>
      <c r="C20" s="50" t="s">
        <v>691</v>
      </c>
      <c r="D20" s="49" t="s">
        <v>107</v>
      </c>
      <c r="E20" s="49"/>
      <c r="F20" s="49"/>
      <c r="G20" s="49"/>
      <c r="H20" s="71">
        <f t="shared" si="9"/>
        <v>32.4</v>
      </c>
      <c r="I20" s="10">
        <v>27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>
        <v>20</v>
      </c>
      <c r="CZ20" s="11">
        <f t="shared" si="0"/>
        <v>648</v>
      </c>
      <c r="DA20" s="10"/>
      <c r="DB20" s="10"/>
      <c r="DC20" s="10"/>
      <c r="DD20" s="10"/>
      <c r="DE20" s="10"/>
      <c r="DF20" s="10"/>
      <c r="DG20" s="10"/>
      <c r="DH20" s="10"/>
      <c r="DI20" s="10">
        <v>1</v>
      </c>
      <c r="DJ20" s="11">
        <f t="shared" si="1"/>
        <v>32.4</v>
      </c>
      <c r="DK20" s="10"/>
      <c r="DL20" s="10"/>
      <c r="DM20" s="10"/>
      <c r="DN20" s="11">
        <f t="shared" si="2"/>
        <v>0</v>
      </c>
      <c r="DO20" s="10"/>
      <c r="DP20" s="10"/>
      <c r="DQ20" s="10">
        <v>0</v>
      </c>
      <c r="DR20" s="11">
        <f t="shared" si="3"/>
        <v>0</v>
      </c>
      <c r="DS20" s="10">
        <v>6</v>
      </c>
      <c r="DT20" s="11">
        <f t="shared" si="4"/>
        <v>194.39999999999998</v>
      </c>
      <c r="DU20" s="10"/>
      <c r="DV20" s="11">
        <f t="shared" si="5"/>
        <v>0</v>
      </c>
      <c r="DW20" s="10">
        <v>0</v>
      </c>
      <c r="DX20" s="11">
        <f t="shared" si="6"/>
        <v>0</v>
      </c>
      <c r="DY20" s="10"/>
      <c r="DZ20" s="10"/>
      <c r="EA20" s="11">
        <f t="shared" si="7"/>
        <v>0</v>
      </c>
      <c r="EB20" s="10"/>
      <c r="EC20" s="11">
        <f t="shared" si="8"/>
        <v>0</v>
      </c>
      <c r="ED20" s="10"/>
      <c r="EE20" s="10"/>
    </row>
    <row r="21" spans="2:135" ht="16.5">
      <c r="B21" s="47">
        <v>9</v>
      </c>
      <c r="C21" s="50" t="s">
        <v>692</v>
      </c>
      <c r="D21" s="49" t="s">
        <v>108</v>
      </c>
      <c r="E21" s="49"/>
      <c r="F21" s="49"/>
      <c r="G21" s="49"/>
      <c r="H21" s="71">
        <f t="shared" si="9"/>
        <v>96</v>
      </c>
      <c r="I21" s="10">
        <v>80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>
        <v>4</v>
      </c>
      <c r="CZ21" s="11">
        <f t="shared" si="0"/>
        <v>384</v>
      </c>
      <c r="DA21" s="10"/>
      <c r="DB21" s="10"/>
      <c r="DC21" s="10"/>
      <c r="DD21" s="10"/>
      <c r="DE21" s="10"/>
      <c r="DF21" s="10"/>
      <c r="DG21" s="10"/>
      <c r="DH21" s="10"/>
      <c r="DI21" s="10">
        <v>1</v>
      </c>
      <c r="DJ21" s="11">
        <f t="shared" si="1"/>
        <v>96</v>
      </c>
      <c r="DK21" s="10"/>
      <c r="DL21" s="10"/>
      <c r="DM21" s="10">
        <v>4</v>
      </c>
      <c r="DN21" s="11">
        <f t="shared" si="2"/>
        <v>384</v>
      </c>
      <c r="DO21" s="10"/>
      <c r="DP21" s="10"/>
      <c r="DQ21" s="10">
        <v>40</v>
      </c>
      <c r="DR21" s="11">
        <f t="shared" si="3"/>
        <v>3840</v>
      </c>
      <c r="DS21" s="10">
        <v>9</v>
      </c>
      <c r="DT21" s="11">
        <f t="shared" si="4"/>
        <v>864</v>
      </c>
      <c r="DU21" s="10">
        <v>7</v>
      </c>
      <c r="DV21" s="11">
        <f t="shared" si="5"/>
        <v>672</v>
      </c>
      <c r="DW21" s="10">
        <v>5</v>
      </c>
      <c r="DX21" s="11">
        <f t="shared" si="6"/>
        <v>480</v>
      </c>
      <c r="DY21" s="10"/>
      <c r="DZ21" s="10">
        <v>4</v>
      </c>
      <c r="EA21" s="11">
        <f t="shared" si="7"/>
        <v>384</v>
      </c>
      <c r="EB21" s="10">
        <v>6</v>
      </c>
      <c r="EC21" s="11">
        <f t="shared" si="8"/>
        <v>576</v>
      </c>
      <c r="ED21" s="10"/>
      <c r="EE21" s="10"/>
    </row>
    <row r="22" spans="2:135" ht="33">
      <c r="B22" s="47">
        <v>10</v>
      </c>
      <c r="C22" s="50" t="s">
        <v>693</v>
      </c>
      <c r="D22" s="49" t="s">
        <v>109</v>
      </c>
      <c r="E22" s="49"/>
      <c r="F22" s="49"/>
      <c r="G22" s="49"/>
      <c r="H22" s="71">
        <f t="shared" si="9"/>
        <v>7.1999999999999993</v>
      </c>
      <c r="I22" s="10">
        <v>6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1">
        <f t="shared" si="0"/>
        <v>0</v>
      </c>
      <c r="DA22" s="10"/>
      <c r="DB22" s="10"/>
      <c r="DC22" s="10"/>
      <c r="DD22" s="10"/>
      <c r="DE22" s="10"/>
      <c r="DF22" s="10"/>
      <c r="DG22" s="10"/>
      <c r="DH22" s="10"/>
      <c r="DI22" s="10"/>
      <c r="DJ22" s="11">
        <f t="shared" si="1"/>
        <v>0</v>
      </c>
      <c r="DK22" s="10"/>
      <c r="DL22" s="10"/>
      <c r="DM22" s="10"/>
      <c r="DN22" s="11">
        <f t="shared" si="2"/>
        <v>0</v>
      </c>
      <c r="DO22" s="10"/>
      <c r="DP22" s="10"/>
      <c r="DQ22" s="10">
        <v>6</v>
      </c>
      <c r="DR22" s="11">
        <f t="shared" si="3"/>
        <v>43.199999999999996</v>
      </c>
      <c r="DS22" s="10">
        <v>0</v>
      </c>
      <c r="DT22" s="11">
        <f t="shared" si="4"/>
        <v>0</v>
      </c>
      <c r="DU22" s="10"/>
      <c r="DV22" s="11">
        <f t="shared" si="5"/>
        <v>0</v>
      </c>
      <c r="DW22" s="10">
        <v>0</v>
      </c>
      <c r="DX22" s="11">
        <f t="shared" si="6"/>
        <v>0</v>
      </c>
      <c r="DY22" s="10"/>
      <c r="DZ22" s="10"/>
      <c r="EA22" s="11">
        <f t="shared" si="7"/>
        <v>0</v>
      </c>
      <c r="EB22" s="10"/>
      <c r="EC22" s="11">
        <f t="shared" si="8"/>
        <v>0</v>
      </c>
      <c r="ED22" s="10"/>
      <c r="EE22" s="10"/>
    </row>
    <row r="23" spans="2:135" ht="16.5">
      <c r="B23" s="47">
        <v>11</v>
      </c>
      <c r="C23" s="50" t="s">
        <v>694</v>
      </c>
      <c r="D23" s="49" t="s">
        <v>110</v>
      </c>
      <c r="E23" s="49"/>
      <c r="F23" s="49"/>
      <c r="G23" s="49"/>
      <c r="H23" s="71">
        <f t="shared" si="9"/>
        <v>684</v>
      </c>
      <c r="I23" s="10">
        <v>570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1">
        <f t="shared" si="0"/>
        <v>0</v>
      </c>
      <c r="DA23" s="10"/>
      <c r="DB23" s="10"/>
      <c r="DC23" s="10"/>
      <c r="DD23" s="10"/>
      <c r="DE23" s="10"/>
      <c r="DF23" s="10"/>
      <c r="DG23" s="10"/>
      <c r="DH23" s="10"/>
      <c r="DI23" s="10"/>
      <c r="DJ23" s="11">
        <f t="shared" si="1"/>
        <v>0</v>
      </c>
      <c r="DK23" s="10"/>
      <c r="DL23" s="10"/>
      <c r="DM23" s="10"/>
      <c r="DN23" s="11">
        <f t="shared" si="2"/>
        <v>0</v>
      </c>
      <c r="DO23" s="10"/>
      <c r="DP23" s="10"/>
      <c r="DQ23" s="10">
        <v>120</v>
      </c>
      <c r="DR23" s="11">
        <f t="shared" si="3"/>
        <v>82080</v>
      </c>
      <c r="DS23" s="10">
        <v>0</v>
      </c>
      <c r="DT23" s="11">
        <f t="shared" si="4"/>
        <v>0</v>
      </c>
      <c r="DU23" s="10">
        <v>420</v>
      </c>
      <c r="DV23" s="11">
        <f t="shared" si="5"/>
        <v>287280</v>
      </c>
      <c r="DW23" s="10">
        <v>0</v>
      </c>
      <c r="DX23" s="11">
        <f t="shared" si="6"/>
        <v>0</v>
      </c>
      <c r="DY23" s="10"/>
      <c r="DZ23" s="10">
        <v>30</v>
      </c>
      <c r="EA23" s="11">
        <f t="shared" si="7"/>
        <v>20520</v>
      </c>
      <c r="EB23" s="10"/>
      <c r="EC23" s="11">
        <f t="shared" si="8"/>
        <v>0</v>
      </c>
      <c r="ED23" s="10"/>
      <c r="EE23" s="10"/>
    </row>
    <row r="24" spans="2:135" ht="16.5">
      <c r="B24" s="47">
        <v>12</v>
      </c>
      <c r="C24" s="50" t="s">
        <v>695</v>
      </c>
      <c r="D24" s="49" t="s">
        <v>111</v>
      </c>
      <c r="E24" s="49"/>
      <c r="F24" s="49"/>
      <c r="G24" s="49"/>
      <c r="H24" s="71">
        <f t="shared" si="9"/>
        <v>1.2</v>
      </c>
      <c r="I24" s="10">
        <v>1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1">
        <f t="shared" si="0"/>
        <v>0</v>
      </c>
      <c r="DA24" s="10"/>
      <c r="DB24" s="10"/>
      <c r="DC24" s="10"/>
      <c r="DD24" s="10"/>
      <c r="DE24" s="10"/>
      <c r="DF24" s="10"/>
      <c r="DG24" s="10"/>
      <c r="DH24" s="10"/>
      <c r="DI24" s="10"/>
      <c r="DJ24" s="11">
        <f t="shared" si="1"/>
        <v>0</v>
      </c>
      <c r="DK24" s="10"/>
      <c r="DL24" s="10"/>
      <c r="DM24" s="10"/>
      <c r="DN24" s="11">
        <f t="shared" si="2"/>
        <v>0</v>
      </c>
      <c r="DO24" s="10"/>
      <c r="DP24" s="10"/>
      <c r="DQ24" s="10">
        <v>0</v>
      </c>
      <c r="DR24" s="11">
        <f t="shared" si="3"/>
        <v>0</v>
      </c>
      <c r="DS24" s="10">
        <v>0</v>
      </c>
      <c r="DT24" s="11">
        <f t="shared" si="4"/>
        <v>0</v>
      </c>
      <c r="DU24" s="10">
        <v>1</v>
      </c>
      <c r="DV24" s="11">
        <f t="shared" si="5"/>
        <v>1.2</v>
      </c>
      <c r="DW24" s="10">
        <v>0</v>
      </c>
      <c r="DX24" s="11">
        <f t="shared" si="6"/>
        <v>0</v>
      </c>
      <c r="DY24" s="10"/>
      <c r="DZ24" s="10"/>
      <c r="EA24" s="11">
        <f t="shared" si="7"/>
        <v>0</v>
      </c>
      <c r="EB24" s="10"/>
      <c r="EC24" s="11">
        <f t="shared" si="8"/>
        <v>0</v>
      </c>
      <c r="ED24" s="10"/>
      <c r="EE24" s="10"/>
    </row>
    <row r="25" spans="2:135" ht="16.5">
      <c r="B25" s="47">
        <v>13</v>
      </c>
      <c r="C25" s="50" t="s">
        <v>696</v>
      </c>
      <c r="D25" s="49" t="s">
        <v>112</v>
      </c>
      <c r="E25" s="49"/>
      <c r="F25" s="49"/>
      <c r="G25" s="49"/>
      <c r="H25" s="71">
        <f t="shared" si="9"/>
        <v>1.2</v>
      </c>
      <c r="I25" s="10">
        <v>1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1">
        <f t="shared" si="0"/>
        <v>0</v>
      </c>
      <c r="DA25" s="10"/>
      <c r="DB25" s="10"/>
      <c r="DC25" s="10"/>
      <c r="DD25" s="10"/>
      <c r="DE25" s="10"/>
      <c r="DF25" s="10"/>
      <c r="DG25" s="10"/>
      <c r="DH25" s="10"/>
      <c r="DI25" s="10"/>
      <c r="DJ25" s="11">
        <f t="shared" si="1"/>
        <v>0</v>
      </c>
      <c r="DK25" s="10"/>
      <c r="DL25" s="10"/>
      <c r="DM25" s="10"/>
      <c r="DN25" s="11">
        <f t="shared" si="2"/>
        <v>0</v>
      </c>
      <c r="DO25" s="10"/>
      <c r="DP25" s="10"/>
      <c r="DQ25" s="10">
        <v>1</v>
      </c>
      <c r="DR25" s="11">
        <f t="shared" si="3"/>
        <v>1.2</v>
      </c>
      <c r="DS25" s="10">
        <v>0</v>
      </c>
      <c r="DT25" s="11">
        <f t="shared" si="4"/>
        <v>0</v>
      </c>
      <c r="DU25" s="10"/>
      <c r="DV25" s="11">
        <f t="shared" si="5"/>
        <v>0</v>
      </c>
      <c r="DW25" s="10">
        <v>0</v>
      </c>
      <c r="DX25" s="11">
        <f t="shared" si="6"/>
        <v>0</v>
      </c>
      <c r="DY25" s="10"/>
      <c r="DZ25" s="10"/>
      <c r="EA25" s="11">
        <f t="shared" si="7"/>
        <v>0</v>
      </c>
      <c r="EB25" s="10"/>
      <c r="EC25" s="11">
        <f t="shared" si="8"/>
        <v>0</v>
      </c>
      <c r="ED25" s="10"/>
      <c r="EE25" s="10"/>
    </row>
    <row r="26" spans="2:135" ht="16.5">
      <c r="B26" s="47">
        <v>14</v>
      </c>
      <c r="C26" s="50" t="s">
        <v>697</v>
      </c>
      <c r="D26" s="49" t="s">
        <v>113</v>
      </c>
      <c r="E26" s="49"/>
      <c r="F26" s="49"/>
      <c r="G26" s="49"/>
      <c r="H26" s="71">
        <f t="shared" si="9"/>
        <v>2.4</v>
      </c>
      <c r="I26" s="10">
        <v>2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>
        <v>1</v>
      </c>
      <c r="CZ26" s="11">
        <f t="shared" si="0"/>
        <v>2.4</v>
      </c>
      <c r="DA26" s="10"/>
      <c r="DB26" s="10"/>
      <c r="DC26" s="10"/>
      <c r="DD26" s="10"/>
      <c r="DE26" s="10"/>
      <c r="DF26" s="10"/>
      <c r="DG26" s="10"/>
      <c r="DH26" s="10"/>
      <c r="DI26" s="10"/>
      <c r="DJ26" s="11">
        <f t="shared" si="1"/>
        <v>0</v>
      </c>
      <c r="DK26" s="10"/>
      <c r="DL26" s="10"/>
      <c r="DM26" s="10"/>
      <c r="DN26" s="11">
        <f t="shared" si="2"/>
        <v>0</v>
      </c>
      <c r="DO26" s="10"/>
      <c r="DP26" s="10"/>
      <c r="DQ26" s="10">
        <v>0</v>
      </c>
      <c r="DR26" s="11">
        <f t="shared" si="3"/>
        <v>0</v>
      </c>
      <c r="DS26" s="10">
        <v>0</v>
      </c>
      <c r="DT26" s="11">
        <f t="shared" si="4"/>
        <v>0</v>
      </c>
      <c r="DU26" s="10">
        <v>1</v>
      </c>
      <c r="DV26" s="11">
        <f t="shared" si="5"/>
        <v>2.4</v>
      </c>
      <c r="DW26" s="10">
        <v>0</v>
      </c>
      <c r="DX26" s="11">
        <f t="shared" si="6"/>
        <v>0</v>
      </c>
      <c r="DY26" s="10"/>
      <c r="DZ26" s="10"/>
      <c r="EA26" s="11">
        <f t="shared" si="7"/>
        <v>0</v>
      </c>
      <c r="EB26" s="10"/>
      <c r="EC26" s="11">
        <f t="shared" si="8"/>
        <v>0</v>
      </c>
      <c r="ED26" s="10"/>
      <c r="EE26" s="10"/>
    </row>
    <row r="27" spans="2:135" ht="16.5">
      <c r="B27" s="47">
        <v>15</v>
      </c>
      <c r="C27" s="50" t="s">
        <v>698</v>
      </c>
      <c r="D27" s="49" t="s">
        <v>114</v>
      </c>
      <c r="E27" s="49"/>
      <c r="F27" s="49"/>
      <c r="G27" s="49"/>
      <c r="H27" s="71">
        <f t="shared" si="9"/>
        <v>12</v>
      </c>
      <c r="I27" s="10">
        <v>10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>
        <v>2</v>
      </c>
      <c r="CZ27" s="11">
        <f t="shared" si="0"/>
        <v>24</v>
      </c>
      <c r="DA27" s="10"/>
      <c r="DB27" s="10"/>
      <c r="DC27" s="10"/>
      <c r="DD27" s="10"/>
      <c r="DE27" s="10"/>
      <c r="DF27" s="10"/>
      <c r="DG27" s="10"/>
      <c r="DH27" s="10"/>
      <c r="DI27" s="10"/>
      <c r="DJ27" s="11">
        <f t="shared" si="1"/>
        <v>0</v>
      </c>
      <c r="DK27" s="10"/>
      <c r="DL27" s="10"/>
      <c r="DM27" s="10"/>
      <c r="DN27" s="11">
        <f t="shared" si="2"/>
        <v>0</v>
      </c>
      <c r="DO27" s="10"/>
      <c r="DP27" s="10"/>
      <c r="DQ27" s="10">
        <v>8</v>
      </c>
      <c r="DR27" s="11">
        <f t="shared" si="3"/>
        <v>96</v>
      </c>
      <c r="DS27" s="10">
        <v>0</v>
      </c>
      <c r="DT27" s="11">
        <f t="shared" si="4"/>
        <v>0</v>
      </c>
      <c r="DU27" s="10"/>
      <c r="DV27" s="11">
        <f t="shared" si="5"/>
        <v>0</v>
      </c>
      <c r="DW27" s="10">
        <v>0</v>
      </c>
      <c r="DX27" s="11">
        <f t="shared" si="6"/>
        <v>0</v>
      </c>
      <c r="DY27" s="10"/>
      <c r="DZ27" s="10"/>
      <c r="EA27" s="11">
        <f t="shared" si="7"/>
        <v>0</v>
      </c>
      <c r="EB27" s="10"/>
      <c r="EC27" s="11">
        <f t="shared" si="8"/>
        <v>0</v>
      </c>
      <c r="ED27" s="10"/>
      <c r="EE27" s="10"/>
    </row>
    <row r="28" spans="2:135" ht="16.5">
      <c r="B28" s="47">
        <v>16</v>
      </c>
      <c r="C28" s="50" t="s">
        <v>699</v>
      </c>
      <c r="D28" s="49" t="s">
        <v>115</v>
      </c>
      <c r="E28" s="49"/>
      <c r="F28" s="49"/>
      <c r="G28" s="49"/>
      <c r="H28" s="71">
        <f t="shared" si="9"/>
        <v>3.5999999999999996</v>
      </c>
      <c r="I28" s="10">
        <v>3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1">
        <f t="shared" si="0"/>
        <v>0</v>
      </c>
      <c r="DA28" s="10"/>
      <c r="DB28" s="10"/>
      <c r="DC28" s="10"/>
      <c r="DD28" s="10"/>
      <c r="DE28" s="10"/>
      <c r="DF28" s="10"/>
      <c r="DG28" s="10"/>
      <c r="DH28" s="10"/>
      <c r="DI28" s="10"/>
      <c r="DJ28" s="11">
        <f t="shared" si="1"/>
        <v>0</v>
      </c>
      <c r="DK28" s="10"/>
      <c r="DL28" s="10"/>
      <c r="DM28" s="10"/>
      <c r="DN28" s="11">
        <f t="shared" si="2"/>
        <v>0</v>
      </c>
      <c r="DO28" s="10"/>
      <c r="DP28" s="10"/>
      <c r="DQ28" s="10">
        <v>2</v>
      </c>
      <c r="DR28" s="11">
        <f t="shared" si="3"/>
        <v>7.1999999999999993</v>
      </c>
      <c r="DS28" s="10">
        <v>0</v>
      </c>
      <c r="DT28" s="11">
        <f t="shared" si="4"/>
        <v>0</v>
      </c>
      <c r="DU28" s="10">
        <v>1</v>
      </c>
      <c r="DV28" s="11">
        <f t="shared" si="5"/>
        <v>3.5999999999999996</v>
      </c>
      <c r="DW28" s="10">
        <v>0</v>
      </c>
      <c r="DX28" s="11">
        <f t="shared" si="6"/>
        <v>0</v>
      </c>
      <c r="DY28" s="10"/>
      <c r="DZ28" s="10"/>
      <c r="EA28" s="11">
        <f t="shared" si="7"/>
        <v>0</v>
      </c>
      <c r="EB28" s="10"/>
      <c r="EC28" s="11">
        <f t="shared" si="8"/>
        <v>0</v>
      </c>
      <c r="ED28" s="10"/>
      <c r="EE28" s="10"/>
    </row>
    <row r="29" spans="2:135" ht="33">
      <c r="B29" s="47">
        <v>17</v>
      </c>
      <c r="C29" s="50" t="s">
        <v>700</v>
      </c>
      <c r="D29" s="49" t="s">
        <v>116</v>
      </c>
      <c r="E29" s="49"/>
      <c r="F29" s="49"/>
      <c r="G29" s="49"/>
      <c r="H29" s="71">
        <f t="shared" si="9"/>
        <v>7.1999999999999993</v>
      </c>
      <c r="I29" s="10">
        <v>6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1">
        <f t="shared" si="0"/>
        <v>0</v>
      </c>
      <c r="DA29" s="10"/>
      <c r="DB29" s="10"/>
      <c r="DC29" s="10"/>
      <c r="DD29" s="10"/>
      <c r="DE29" s="10"/>
      <c r="DF29" s="10"/>
      <c r="DG29" s="10"/>
      <c r="DH29" s="10"/>
      <c r="DI29" s="10"/>
      <c r="DJ29" s="11">
        <f t="shared" si="1"/>
        <v>0</v>
      </c>
      <c r="DK29" s="10"/>
      <c r="DL29" s="10"/>
      <c r="DM29" s="10"/>
      <c r="DN29" s="11">
        <f t="shared" si="2"/>
        <v>0</v>
      </c>
      <c r="DO29" s="10"/>
      <c r="DP29" s="10"/>
      <c r="DQ29" s="10">
        <v>6</v>
      </c>
      <c r="DR29" s="11">
        <f t="shared" si="3"/>
        <v>43.199999999999996</v>
      </c>
      <c r="DS29" s="10">
        <v>0</v>
      </c>
      <c r="DT29" s="11">
        <f t="shared" si="4"/>
        <v>0</v>
      </c>
      <c r="DU29" s="10"/>
      <c r="DV29" s="11">
        <f t="shared" si="5"/>
        <v>0</v>
      </c>
      <c r="DW29" s="10">
        <v>0</v>
      </c>
      <c r="DX29" s="11">
        <f t="shared" si="6"/>
        <v>0</v>
      </c>
      <c r="DY29" s="10"/>
      <c r="DZ29" s="10"/>
      <c r="EA29" s="11">
        <f t="shared" si="7"/>
        <v>0</v>
      </c>
      <c r="EB29" s="10"/>
      <c r="EC29" s="11">
        <f t="shared" si="8"/>
        <v>0</v>
      </c>
      <c r="ED29" s="10"/>
      <c r="EE29" s="10"/>
    </row>
    <row r="30" spans="2:135" ht="16.5">
      <c r="B30" s="47">
        <v>18</v>
      </c>
      <c r="C30" s="50" t="s">
        <v>701</v>
      </c>
      <c r="D30" s="49" t="s">
        <v>117</v>
      </c>
      <c r="E30" s="49"/>
      <c r="F30" s="49"/>
      <c r="G30" s="49"/>
      <c r="H30" s="71">
        <f t="shared" si="9"/>
        <v>4.8</v>
      </c>
      <c r="I30" s="10">
        <v>4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1">
        <f t="shared" si="0"/>
        <v>0</v>
      </c>
      <c r="DA30" s="10"/>
      <c r="DB30" s="10"/>
      <c r="DC30" s="10"/>
      <c r="DD30" s="10"/>
      <c r="DE30" s="10"/>
      <c r="DF30" s="10"/>
      <c r="DG30" s="10"/>
      <c r="DH30" s="10"/>
      <c r="DI30" s="10"/>
      <c r="DJ30" s="11">
        <f t="shared" si="1"/>
        <v>0</v>
      </c>
      <c r="DK30" s="10"/>
      <c r="DL30" s="10"/>
      <c r="DM30" s="10"/>
      <c r="DN30" s="11">
        <f t="shared" si="2"/>
        <v>0</v>
      </c>
      <c r="DO30" s="10"/>
      <c r="DP30" s="10"/>
      <c r="DQ30" s="10">
        <v>0</v>
      </c>
      <c r="DR30" s="11">
        <f t="shared" si="3"/>
        <v>0</v>
      </c>
      <c r="DS30" s="10">
        <v>0</v>
      </c>
      <c r="DT30" s="11">
        <f t="shared" si="4"/>
        <v>0</v>
      </c>
      <c r="DU30" s="10"/>
      <c r="DV30" s="11">
        <f t="shared" si="5"/>
        <v>0</v>
      </c>
      <c r="DW30" s="10">
        <v>4</v>
      </c>
      <c r="DX30" s="11">
        <f t="shared" si="6"/>
        <v>19.2</v>
      </c>
      <c r="DY30" s="10"/>
      <c r="DZ30" s="10"/>
      <c r="EA30" s="11">
        <f t="shared" si="7"/>
        <v>0</v>
      </c>
      <c r="EB30" s="10"/>
      <c r="EC30" s="11">
        <f t="shared" si="8"/>
        <v>0</v>
      </c>
      <c r="ED30" s="10"/>
      <c r="EE30" s="10"/>
    </row>
    <row r="31" spans="2:135" ht="16.5">
      <c r="B31" s="47">
        <v>19</v>
      </c>
      <c r="C31" s="50" t="s">
        <v>702</v>
      </c>
      <c r="D31" s="49" t="s">
        <v>118</v>
      </c>
      <c r="E31" s="49"/>
      <c r="F31" s="49"/>
      <c r="G31" s="49"/>
      <c r="H31" s="71">
        <f t="shared" si="9"/>
        <v>2.4</v>
      </c>
      <c r="I31" s="10">
        <v>2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1">
        <f t="shared" si="0"/>
        <v>0</v>
      </c>
      <c r="DA31" s="10"/>
      <c r="DB31" s="10"/>
      <c r="DC31" s="10"/>
      <c r="DD31" s="10"/>
      <c r="DE31" s="10"/>
      <c r="DF31" s="10"/>
      <c r="DG31" s="10"/>
      <c r="DH31" s="10"/>
      <c r="DI31" s="10"/>
      <c r="DJ31" s="11">
        <f t="shared" si="1"/>
        <v>0</v>
      </c>
      <c r="DK31" s="10"/>
      <c r="DL31" s="10"/>
      <c r="DM31" s="10"/>
      <c r="DN31" s="11">
        <f t="shared" si="2"/>
        <v>0</v>
      </c>
      <c r="DO31" s="10"/>
      <c r="DP31" s="10"/>
      <c r="DQ31" s="10">
        <v>0</v>
      </c>
      <c r="DR31" s="11">
        <f t="shared" si="3"/>
        <v>0</v>
      </c>
      <c r="DS31" s="10">
        <v>0</v>
      </c>
      <c r="DT31" s="11">
        <f t="shared" si="4"/>
        <v>0</v>
      </c>
      <c r="DU31" s="10">
        <v>2</v>
      </c>
      <c r="DV31" s="11">
        <f t="shared" si="5"/>
        <v>4.8</v>
      </c>
      <c r="DW31" s="10">
        <v>0</v>
      </c>
      <c r="DX31" s="11">
        <f t="shared" si="6"/>
        <v>0</v>
      </c>
      <c r="DY31" s="10"/>
      <c r="DZ31" s="10"/>
      <c r="EA31" s="11">
        <f t="shared" si="7"/>
        <v>0</v>
      </c>
      <c r="EB31" s="10"/>
      <c r="EC31" s="11">
        <f t="shared" si="8"/>
        <v>0</v>
      </c>
      <c r="ED31" s="10"/>
      <c r="EE31" s="10"/>
    </row>
    <row r="32" spans="2:135" ht="16.5">
      <c r="B32" s="47">
        <v>20</v>
      </c>
      <c r="C32" s="50" t="s">
        <v>703</v>
      </c>
      <c r="D32" s="49" t="s">
        <v>119</v>
      </c>
      <c r="E32" s="49"/>
      <c r="F32" s="49"/>
      <c r="G32" s="49"/>
      <c r="H32" s="71">
        <f t="shared" si="9"/>
        <v>18</v>
      </c>
      <c r="I32" s="10">
        <v>15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>
        <v>1</v>
      </c>
      <c r="CZ32" s="11">
        <f t="shared" si="0"/>
        <v>18</v>
      </c>
      <c r="DA32" s="10"/>
      <c r="DB32" s="10"/>
      <c r="DC32" s="10"/>
      <c r="DD32" s="10"/>
      <c r="DE32" s="10"/>
      <c r="DF32" s="10"/>
      <c r="DG32" s="10"/>
      <c r="DH32" s="10"/>
      <c r="DI32" s="10"/>
      <c r="DJ32" s="11">
        <f t="shared" si="1"/>
        <v>0</v>
      </c>
      <c r="DK32" s="10"/>
      <c r="DL32" s="10"/>
      <c r="DM32" s="10"/>
      <c r="DN32" s="11">
        <f t="shared" si="2"/>
        <v>0</v>
      </c>
      <c r="DO32" s="10"/>
      <c r="DP32" s="10"/>
      <c r="DQ32" s="10">
        <v>2</v>
      </c>
      <c r="DR32" s="11">
        <f t="shared" si="3"/>
        <v>36</v>
      </c>
      <c r="DS32" s="10">
        <v>0</v>
      </c>
      <c r="DT32" s="11">
        <f t="shared" si="4"/>
        <v>0</v>
      </c>
      <c r="DU32" s="10"/>
      <c r="DV32" s="11">
        <f t="shared" si="5"/>
        <v>0</v>
      </c>
      <c r="DW32" s="10">
        <v>4</v>
      </c>
      <c r="DX32" s="11">
        <f t="shared" si="6"/>
        <v>72</v>
      </c>
      <c r="DY32" s="10"/>
      <c r="DZ32" s="10"/>
      <c r="EA32" s="11">
        <f t="shared" si="7"/>
        <v>0</v>
      </c>
      <c r="EB32" s="10">
        <v>8</v>
      </c>
      <c r="EC32" s="11">
        <f t="shared" si="8"/>
        <v>144</v>
      </c>
      <c r="ED32" s="10"/>
      <c r="EE32" s="10"/>
    </row>
    <row r="33" spans="2:135" ht="16.5">
      <c r="B33" s="47">
        <v>21</v>
      </c>
      <c r="C33" s="50" t="s">
        <v>704</v>
      </c>
      <c r="D33" s="49" t="s">
        <v>120</v>
      </c>
      <c r="E33" s="49"/>
      <c r="F33" s="49"/>
      <c r="G33" s="49"/>
      <c r="H33" s="71">
        <f t="shared" si="9"/>
        <v>31.2</v>
      </c>
      <c r="I33" s="10">
        <v>26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>
        <v>1</v>
      </c>
      <c r="CZ33" s="11">
        <f t="shared" si="0"/>
        <v>31.2</v>
      </c>
      <c r="DA33" s="10"/>
      <c r="DB33" s="10"/>
      <c r="DC33" s="10"/>
      <c r="DD33" s="10"/>
      <c r="DE33" s="10"/>
      <c r="DF33" s="10"/>
      <c r="DG33" s="10"/>
      <c r="DH33" s="10"/>
      <c r="DI33" s="10">
        <v>1</v>
      </c>
      <c r="DJ33" s="11">
        <f t="shared" si="1"/>
        <v>31.2</v>
      </c>
      <c r="DK33" s="10"/>
      <c r="DL33" s="10"/>
      <c r="DM33" s="10"/>
      <c r="DN33" s="11">
        <f t="shared" si="2"/>
        <v>0</v>
      </c>
      <c r="DO33" s="10"/>
      <c r="DP33" s="10"/>
      <c r="DQ33" s="10">
        <v>5</v>
      </c>
      <c r="DR33" s="11">
        <f t="shared" si="3"/>
        <v>156</v>
      </c>
      <c r="DS33" s="10">
        <v>0</v>
      </c>
      <c r="DT33" s="11">
        <f t="shared" si="4"/>
        <v>0</v>
      </c>
      <c r="DU33" s="10">
        <v>4</v>
      </c>
      <c r="DV33" s="11">
        <f t="shared" si="5"/>
        <v>124.8</v>
      </c>
      <c r="DW33" s="10">
        <v>15</v>
      </c>
      <c r="DX33" s="11">
        <f t="shared" si="6"/>
        <v>468</v>
      </c>
      <c r="DY33" s="10"/>
      <c r="DZ33" s="10"/>
      <c r="EA33" s="11">
        <f t="shared" si="7"/>
        <v>0</v>
      </c>
      <c r="EB33" s="10"/>
      <c r="EC33" s="11">
        <f t="shared" si="8"/>
        <v>0</v>
      </c>
      <c r="ED33" s="10"/>
      <c r="EE33" s="10"/>
    </row>
    <row r="34" spans="2:135" ht="16.5">
      <c r="B34" s="47">
        <v>22</v>
      </c>
      <c r="C34" s="50" t="s">
        <v>705</v>
      </c>
      <c r="D34" s="49" t="s">
        <v>121</v>
      </c>
      <c r="E34" s="49"/>
      <c r="F34" s="49"/>
      <c r="G34" s="49"/>
      <c r="H34" s="71">
        <f t="shared" si="9"/>
        <v>43.199999999999996</v>
      </c>
      <c r="I34" s="10">
        <v>36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1">
        <f t="shared" si="0"/>
        <v>0</v>
      </c>
      <c r="DA34" s="10"/>
      <c r="DB34" s="10"/>
      <c r="DC34" s="10"/>
      <c r="DD34" s="10"/>
      <c r="DE34" s="10"/>
      <c r="DF34" s="10"/>
      <c r="DG34" s="10"/>
      <c r="DH34" s="10"/>
      <c r="DI34" s="10"/>
      <c r="DJ34" s="11">
        <f t="shared" si="1"/>
        <v>0</v>
      </c>
      <c r="DK34" s="10"/>
      <c r="DL34" s="10"/>
      <c r="DM34" s="10"/>
      <c r="DN34" s="11">
        <f t="shared" si="2"/>
        <v>0</v>
      </c>
      <c r="DO34" s="10"/>
      <c r="DP34" s="10"/>
      <c r="DQ34" s="10">
        <v>0</v>
      </c>
      <c r="DR34" s="11">
        <f t="shared" si="3"/>
        <v>0</v>
      </c>
      <c r="DS34" s="10">
        <v>0</v>
      </c>
      <c r="DT34" s="11">
        <f t="shared" si="4"/>
        <v>0</v>
      </c>
      <c r="DU34" s="10"/>
      <c r="DV34" s="11">
        <f t="shared" si="5"/>
        <v>0</v>
      </c>
      <c r="DW34" s="10">
        <v>36</v>
      </c>
      <c r="DX34" s="11">
        <f t="shared" si="6"/>
        <v>1555.1999999999998</v>
      </c>
      <c r="DY34" s="10"/>
      <c r="DZ34" s="10"/>
      <c r="EA34" s="11">
        <f t="shared" si="7"/>
        <v>0</v>
      </c>
      <c r="EB34" s="10"/>
      <c r="EC34" s="11">
        <f t="shared" si="8"/>
        <v>0</v>
      </c>
      <c r="ED34" s="10"/>
      <c r="EE34" s="10"/>
    </row>
    <row r="35" spans="2:135" ht="33">
      <c r="B35" s="47">
        <v>23</v>
      </c>
      <c r="C35" s="50" t="s">
        <v>706</v>
      </c>
      <c r="D35" s="49" t="s">
        <v>122</v>
      </c>
      <c r="E35" s="49"/>
      <c r="F35" s="49"/>
      <c r="G35" s="49"/>
      <c r="H35" s="71">
        <f t="shared" si="9"/>
        <v>4.8</v>
      </c>
      <c r="I35" s="10">
        <v>4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1">
        <f t="shared" si="0"/>
        <v>0</v>
      </c>
      <c r="DA35" s="10"/>
      <c r="DB35" s="10"/>
      <c r="DC35" s="10"/>
      <c r="DD35" s="10"/>
      <c r="DE35" s="10"/>
      <c r="DF35" s="10"/>
      <c r="DG35" s="10"/>
      <c r="DH35" s="10"/>
      <c r="DI35" s="10"/>
      <c r="DJ35" s="11">
        <f t="shared" si="1"/>
        <v>0</v>
      </c>
      <c r="DK35" s="10"/>
      <c r="DL35" s="10"/>
      <c r="DM35" s="10"/>
      <c r="DN35" s="11">
        <f t="shared" si="2"/>
        <v>0</v>
      </c>
      <c r="DO35" s="10"/>
      <c r="DP35" s="10"/>
      <c r="DQ35" s="10">
        <v>4</v>
      </c>
      <c r="DR35" s="11">
        <f t="shared" si="3"/>
        <v>19.2</v>
      </c>
      <c r="DS35" s="10">
        <v>0</v>
      </c>
      <c r="DT35" s="11">
        <f t="shared" si="4"/>
        <v>0</v>
      </c>
      <c r="DU35" s="10"/>
      <c r="DV35" s="11">
        <f t="shared" si="5"/>
        <v>0</v>
      </c>
      <c r="DW35" s="10">
        <v>0</v>
      </c>
      <c r="DX35" s="11">
        <f t="shared" si="6"/>
        <v>0</v>
      </c>
      <c r="DY35" s="10"/>
      <c r="DZ35" s="10"/>
      <c r="EA35" s="11">
        <f t="shared" si="7"/>
        <v>0</v>
      </c>
      <c r="EB35" s="10"/>
      <c r="EC35" s="11">
        <f t="shared" si="8"/>
        <v>0</v>
      </c>
      <c r="ED35" s="10"/>
      <c r="EE35" s="10"/>
    </row>
    <row r="36" spans="2:135" ht="16.5">
      <c r="B36" s="47">
        <v>24</v>
      </c>
      <c r="C36" s="50" t="s">
        <v>707</v>
      </c>
      <c r="D36" s="49" t="s">
        <v>123</v>
      </c>
      <c r="E36" s="49"/>
      <c r="F36" s="49"/>
      <c r="G36" s="49"/>
      <c r="H36" s="71">
        <f t="shared" si="9"/>
        <v>1.2</v>
      </c>
      <c r="I36" s="10">
        <v>1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1">
        <f t="shared" si="0"/>
        <v>0</v>
      </c>
      <c r="DA36" s="10"/>
      <c r="DB36" s="10"/>
      <c r="DC36" s="10"/>
      <c r="DD36" s="10"/>
      <c r="DE36" s="10"/>
      <c r="DF36" s="10"/>
      <c r="DG36" s="10"/>
      <c r="DH36" s="10"/>
      <c r="DI36" s="10"/>
      <c r="DJ36" s="11">
        <f t="shared" si="1"/>
        <v>0</v>
      </c>
      <c r="DK36" s="10"/>
      <c r="DL36" s="10"/>
      <c r="DM36" s="10"/>
      <c r="DN36" s="11">
        <f t="shared" si="2"/>
        <v>0</v>
      </c>
      <c r="DO36" s="10"/>
      <c r="DP36" s="10"/>
      <c r="DQ36" s="10">
        <v>0</v>
      </c>
      <c r="DR36" s="11">
        <f t="shared" si="3"/>
        <v>0</v>
      </c>
      <c r="DS36" s="10">
        <v>1</v>
      </c>
      <c r="DT36" s="11">
        <f t="shared" si="4"/>
        <v>1.2</v>
      </c>
      <c r="DU36" s="10"/>
      <c r="DV36" s="11">
        <f t="shared" si="5"/>
        <v>0</v>
      </c>
      <c r="DW36" s="10">
        <v>0</v>
      </c>
      <c r="DX36" s="11">
        <f t="shared" si="6"/>
        <v>0</v>
      </c>
      <c r="DY36" s="10"/>
      <c r="DZ36" s="10"/>
      <c r="EA36" s="11">
        <f t="shared" si="7"/>
        <v>0</v>
      </c>
      <c r="EB36" s="10"/>
      <c r="EC36" s="11">
        <f t="shared" si="8"/>
        <v>0</v>
      </c>
      <c r="ED36" s="10"/>
      <c r="EE36" s="10"/>
    </row>
    <row r="37" spans="2:135" ht="16.5">
      <c r="B37" s="47">
        <v>25</v>
      </c>
      <c r="C37" s="50" t="s">
        <v>708</v>
      </c>
      <c r="D37" s="49" t="s">
        <v>124</v>
      </c>
      <c r="E37" s="49"/>
      <c r="F37" s="49"/>
      <c r="G37" s="49"/>
      <c r="H37" s="71">
        <f t="shared" si="9"/>
        <v>15.6</v>
      </c>
      <c r="I37" s="10">
        <v>13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>
        <v>3</v>
      </c>
      <c r="CZ37" s="11">
        <f t="shared" si="0"/>
        <v>46.8</v>
      </c>
      <c r="DA37" s="10"/>
      <c r="DB37" s="10"/>
      <c r="DC37" s="10"/>
      <c r="DD37" s="10"/>
      <c r="DE37" s="10"/>
      <c r="DF37" s="10"/>
      <c r="DG37" s="10"/>
      <c r="DH37" s="10"/>
      <c r="DI37" s="10"/>
      <c r="DJ37" s="11">
        <f t="shared" si="1"/>
        <v>0</v>
      </c>
      <c r="DK37" s="10"/>
      <c r="DL37" s="10"/>
      <c r="DM37" s="10"/>
      <c r="DN37" s="11">
        <f t="shared" si="2"/>
        <v>0</v>
      </c>
      <c r="DO37" s="10"/>
      <c r="DP37" s="10"/>
      <c r="DQ37" s="10">
        <v>9</v>
      </c>
      <c r="DR37" s="11">
        <f t="shared" si="3"/>
        <v>140.4</v>
      </c>
      <c r="DS37" s="10">
        <v>0</v>
      </c>
      <c r="DT37" s="11">
        <f t="shared" si="4"/>
        <v>0</v>
      </c>
      <c r="DU37" s="10"/>
      <c r="DV37" s="11">
        <f t="shared" si="5"/>
        <v>0</v>
      </c>
      <c r="DW37" s="10">
        <v>1</v>
      </c>
      <c r="DX37" s="11">
        <f t="shared" si="6"/>
        <v>15.6</v>
      </c>
      <c r="DY37" s="10"/>
      <c r="DZ37" s="10"/>
      <c r="EA37" s="11">
        <f t="shared" si="7"/>
        <v>0</v>
      </c>
      <c r="EB37" s="10"/>
      <c r="EC37" s="11">
        <f t="shared" si="8"/>
        <v>0</v>
      </c>
      <c r="ED37" s="10"/>
      <c r="EE37" s="10"/>
    </row>
    <row r="38" spans="2:135" ht="16.5">
      <c r="B38" s="47">
        <v>26</v>
      </c>
      <c r="C38" s="50" t="s">
        <v>709</v>
      </c>
      <c r="D38" s="49" t="s">
        <v>125</v>
      </c>
      <c r="E38" s="49"/>
      <c r="F38" s="49"/>
      <c r="G38" s="49"/>
      <c r="H38" s="71">
        <f t="shared" si="9"/>
        <v>1.2</v>
      </c>
      <c r="I38" s="10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1">
        <f t="shared" si="0"/>
        <v>0</v>
      </c>
      <c r="DA38" s="10"/>
      <c r="DB38" s="10"/>
      <c r="DC38" s="10"/>
      <c r="DD38" s="10"/>
      <c r="DE38" s="10"/>
      <c r="DF38" s="10"/>
      <c r="DG38" s="10"/>
      <c r="DH38" s="10"/>
      <c r="DI38" s="10">
        <v>1</v>
      </c>
      <c r="DJ38" s="11">
        <f t="shared" si="1"/>
        <v>1.2</v>
      </c>
      <c r="DK38" s="10"/>
      <c r="DL38" s="10"/>
      <c r="DM38" s="10"/>
      <c r="DN38" s="11">
        <f t="shared" si="2"/>
        <v>0</v>
      </c>
      <c r="DO38" s="10"/>
      <c r="DP38" s="10"/>
      <c r="DQ38" s="10">
        <v>0</v>
      </c>
      <c r="DR38" s="11">
        <f t="shared" si="3"/>
        <v>0</v>
      </c>
      <c r="DS38" s="10">
        <v>0</v>
      </c>
      <c r="DT38" s="11">
        <f t="shared" si="4"/>
        <v>0</v>
      </c>
      <c r="DU38" s="10"/>
      <c r="DV38" s="11">
        <f t="shared" si="5"/>
        <v>0</v>
      </c>
      <c r="DW38" s="10">
        <v>0</v>
      </c>
      <c r="DX38" s="11">
        <f t="shared" si="6"/>
        <v>0</v>
      </c>
      <c r="DY38" s="10"/>
      <c r="DZ38" s="10"/>
      <c r="EA38" s="11">
        <f t="shared" si="7"/>
        <v>0</v>
      </c>
      <c r="EB38" s="10"/>
      <c r="EC38" s="11">
        <f t="shared" si="8"/>
        <v>0</v>
      </c>
      <c r="ED38" s="10"/>
      <c r="EE38" s="10"/>
    </row>
    <row r="39" spans="2:135" ht="33">
      <c r="B39" s="47">
        <v>27</v>
      </c>
      <c r="C39" s="50" t="s">
        <v>710</v>
      </c>
      <c r="D39" s="49" t="s">
        <v>126</v>
      </c>
      <c r="E39" s="49"/>
      <c r="F39" s="49"/>
      <c r="G39" s="49"/>
      <c r="H39" s="71">
        <f t="shared" si="9"/>
        <v>26.4</v>
      </c>
      <c r="I39" s="10">
        <v>22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>
        <v>3</v>
      </c>
      <c r="CZ39" s="11">
        <f t="shared" si="0"/>
        <v>79.199999999999989</v>
      </c>
      <c r="DA39" s="10"/>
      <c r="DB39" s="10"/>
      <c r="DC39" s="10"/>
      <c r="DD39" s="10"/>
      <c r="DE39" s="10"/>
      <c r="DF39" s="10"/>
      <c r="DG39" s="10"/>
      <c r="DH39" s="10"/>
      <c r="DI39" s="10">
        <v>2</v>
      </c>
      <c r="DJ39" s="11">
        <f t="shared" si="1"/>
        <v>52.8</v>
      </c>
      <c r="DK39" s="10"/>
      <c r="DL39" s="10"/>
      <c r="DM39" s="10"/>
      <c r="DN39" s="11">
        <f t="shared" si="2"/>
        <v>0</v>
      </c>
      <c r="DO39" s="10"/>
      <c r="DP39" s="10"/>
      <c r="DQ39" s="10">
        <v>17</v>
      </c>
      <c r="DR39" s="11">
        <f t="shared" si="3"/>
        <v>448.79999999999995</v>
      </c>
      <c r="DS39" s="10">
        <v>0</v>
      </c>
      <c r="DT39" s="11">
        <f t="shared" si="4"/>
        <v>0</v>
      </c>
      <c r="DU39" s="10"/>
      <c r="DV39" s="11">
        <f t="shared" si="5"/>
        <v>0</v>
      </c>
      <c r="DW39" s="10">
        <v>0</v>
      </c>
      <c r="DX39" s="11">
        <f t="shared" si="6"/>
        <v>0</v>
      </c>
      <c r="DY39" s="10"/>
      <c r="DZ39" s="10"/>
      <c r="EA39" s="11">
        <f t="shared" si="7"/>
        <v>0</v>
      </c>
      <c r="EB39" s="10"/>
      <c r="EC39" s="11">
        <f t="shared" si="8"/>
        <v>0</v>
      </c>
      <c r="ED39" s="10"/>
      <c r="EE39" s="10"/>
    </row>
    <row r="40" spans="2:135" ht="16.5">
      <c r="B40" s="47">
        <v>28</v>
      </c>
      <c r="C40" s="50" t="s">
        <v>711</v>
      </c>
      <c r="D40" s="49" t="s">
        <v>127</v>
      </c>
      <c r="E40" s="49"/>
      <c r="F40" s="49"/>
      <c r="G40" s="49"/>
      <c r="H40" s="71">
        <f t="shared" si="9"/>
        <v>10.799999999999999</v>
      </c>
      <c r="I40" s="10">
        <v>9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1">
        <f t="shared" si="0"/>
        <v>0</v>
      </c>
      <c r="DA40" s="10"/>
      <c r="DB40" s="10"/>
      <c r="DC40" s="10"/>
      <c r="DD40" s="10"/>
      <c r="DE40" s="10"/>
      <c r="DF40" s="10"/>
      <c r="DG40" s="10"/>
      <c r="DH40" s="10"/>
      <c r="DI40" s="10"/>
      <c r="DJ40" s="11">
        <f t="shared" si="1"/>
        <v>0</v>
      </c>
      <c r="DK40" s="10"/>
      <c r="DL40" s="10"/>
      <c r="DM40" s="10"/>
      <c r="DN40" s="11">
        <f t="shared" si="2"/>
        <v>0</v>
      </c>
      <c r="DO40" s="10"/>
      <c r="DP40" s="10"/>
      <c r="DQ40" s="10">
        <v>2</v>
      </c>
      <c r="DR40" s="11">
        <f t="shared" si="3"/>
        <v>21.599999999999998</v>
      </c>
      <c r="DS40" s="10">
        <v>0</v>
      </c>
      <c r="DT40" s="11">
        <f t="shared" si="4"/>
        <v>0</v>
      </c>
      <c r="DU40" s="10"/>
      <c r="DV40" s="11">
        <f t="shared" si="5"/>
        <v>0</v>
      </c>
      <c r="DW40" s="10">
        <v>6</v>
      </c>
      <c r="DX40" s="11">
        <f t="shared" si="6"/>
        <v>64.8</v>
      </c>
      <c r="DY40" s="10"/>
      <c r="DZ40" s="10">
        <v>1</v>
      </c>
      <c r="EA40" s="11">
        <f t="shared" si="7"/>
        <v>10.799999999999999</v>
      </c>
      <c r="EB40" s="10"/>
      <c r="EC40" s="11">
        <f t="shared" si="8"/>
        <v>0</v>
      </c>
      <c r="ED40" s="10"/>
      <c r="EE40" s="10"/>
    </row>
    <row r="41" spans="2:135" ht="16.5">
      <c r="B41" s="47">
        <v>29</v>
      </c>
      <c r="C41" s="50" t="s">
        <v>712</v>
      </c>
      <c r="D41" s="49" t="s">
        <v>128</v>
      </c>
      <c r="E41" s="49"/>
      <c r="F41" s="49"/>
      <c r="G41" s="49"/>
      <c r="H41" s="71">
        <f t="shared" si="9"/>
        <v>1.2</v>
      </c>
      <c r="I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1">
        <f t="shared" si="0"/>
        <v>0</v>
      </c>
      <c r="DA41" s="10"/>
      <c r="DB41" s="10"/>
      <c r="DC41" s="10"/>
      <c r="DD41" s="10"/>
      <c r="DE41" s="10"/>
      <c r="DF41" s="10"/>
      <c r="DG41" s="10"/>
      <c r="DH41" s="10"/>
      <c r="DI41" s="10"/>
      <c r="DJ41" s="11">
        <f t="shared" si="1"/>
        <v>0</v>
      </c>
      <c r="DK41" s="10"/>
      <c r="DL41" s="10"/>
      <c r="DM41" s="10"/>
      <c r="DN41" s="11">
        <f t="shared" si="2"/>
        <v>0</v>
      </c>
      <c r="DO41" s="10"/>
      <c r="DP41" s="10"/>
      <c r="DQ41" s="10">
        <v>0</v>
      </c>
      <c r="DR41" s="11">
        <f t="shared" si="3"/>
        <v>0</v>
      </c>
      <c r="DS41" s="10">
        <v>1</v>
      </c>
      <c r="DT41" s="11">
        <f t="shared" si="4"/>
        <v>1.2</v>
      </c>
      <c r="DU41" s="10"/>
      <c r="DV41" s="11">
        <f t="shared" si="5"/>
        <v>0</v>
      </c>
      <c r="DW41" s="10">
        <v>0</v>
      </c>
      <c r="DX41" s="11">
        <f t="shared" si="6"/>
        <v>0</v>
      </c>
      <c r="DY41" s="10"/>
      <c r="DZ41" s="10"/>
      <c r="EA41" s="11">
        <f t="shared" si="7"/>
        <v>0</v>
      </c>
      <c r="EB41" s="10"/>
      <c r="EC41" s="11">
        <f t="shared" si="8"/>
        <v>0</v>
      </c>
      <c r="ED41" s="10"/>
      <c r="EE41" s="10"/>
    </row>
    <row r="42" spans="2:135" ht="16.5">
      <c r="B42" s="47">
        <v>30</v>
      </c>
      <c r="C42" s="50" t="s">
        <v>713</v>
      </c>
      <c r="D42" s="49" t="s">
        <v>129</v>
      </c>
      <c r="E42" s="49"/>
      <c r="F42" s="49"/>
      <c r="G42" s="49"/>
      <c r="H42" s="71">
        <f t="shared" si="9"/>
        <v>2.4</v>
      </c>
      <c r="I42" s="10">
        <v>2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1">
        <f t="shared" si="0"/>
        <v>0</v>
      </c>
      <c r="DA42" s="10"/>
      <c r="DB42" s="10"/>
      <c r="DC42" s="10"/>
      <c r="DD42" s="10"/>
      <c r="DE42" s="10"/>
      <c r="DF42" s="10"/>
      <c r="DG42" s="10"/>
      <c r="DH42" s="10"/>
      <c r="DI42" s="10"/>
      <c r="DJ42" s="11">
        <f t="shared" si="1"/>
        <v>0</v>
      </c>
      <c r="DK42" s="10"/>
      <c r="DL42" s="10"/>
      <c r="DM42" s="10"/>
      <c r="DN42" s="11">
        <f t="shared" si="2"/>
        <v>0</v>
      </c>
      <c r="DO42" s="10"/>
      <c r="DP42" s="10"/>
      <c r="DQ42" s="10">
        <v>2</v>
      </c>
      <c r="DR42" s="11">
        <f t="shared" si="3"/>
        <v>4.8</v>
      </c>
      <c r="DS42" s="10">
        <v>0</v>
      </c>
      <c r="DT42" s="11">
        <f t="shared" si="4"/>
        <v>0</v>
      </c>
      <c r="DU42" s="10"/>
      <c r="DV42" s="11">
        <f t="shared" si="5"/>
        <v>0</v>
      </c>
      <c r="DW42" s="10">
        <v>0</v>
      </c>
      <c r="DX42" s="11">
        <f t="shared" si="6"/>
        <v>0</v>
      </c>
      <c r="DY42" s="10"/>
      <c r="DZ42" s="10"/>
      <c r="EA42" s="11">
        <f t="shared" si="7"/>
        <v>0</v>
      </c>
      <c r="EB42" s="10"/>
      <c r="EC42" s="11">
        <f t="shared" si="8"/>
        <v>0</v>
      </c>
      <c r="ED42" s="10"/>
      <c r="EE42" s="10"/>
    </row>
    <row r="43" spans="2:135" ht="16.5">
      <c r="B43" s="47">
        <v>31</v>
      </c>
      <c r="C43" s="50" t="s">
        <v>714</v>
      </c>
      <c r="D43" s="49" t="s">
        <v>130</v>
      </c>
      <c r="E43" s="49"/>
      <c r="F43" s="49"/>
      <c r="G43" s="49"/>
      <c r="H43" s="71">
        <f t="shared" si="9"/>
        <v>43.199999999999996</v>
      </c>
      <c r="I43" s="10">
        <v>36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>
        <v>9</v>
      </c>
      <c r="CZ43" s="11">
        <f t="shared" si="0"/>
        <v>388.79999999999995</v>
      </c>
      <c r="DA43" s="10"/>
      <c r="DB43" s="10"/>
      <c r="DC43" s="10"/>
      <c r="DD43" s="10"/>
      <c r="DE43" s="10"/>
      <c r="DF43" s="10"/>
      <c r="DG43" s="10"/>
      <c r="DH43" s="10"/>
      <c r="DI43" s="10">
        <v>6</v>
      </c>
      <c r="DJ43" s="11">
        <f t="shared" si="1"/>
        <v>259.2</v>
      </c>
      <c r="DK43" s="10"/>
      <c r="DL43" s="10"/>
      <c r="DM43" s="10"/>
      <c r="DN43" s="11">
        <f t="shared" si="2"/>
        <v>0</v>
      </c>
      <c r="DO43" s="10"/>
      <c r="DP43" s="10"/>
      <c r="DQ43" s="10">
        <v>6</v>
      </c>
      <c r="DR43" s="11">
        <f t="shared" si="3"/>
        <v>259.2</v>
      </c>
      <c r="DS43" s="10">
        <v>0</v>
      </c>
      <c r="DT43" s="11">
        <f t="shared" si="4"/>
        <v>0</v>
      </c>
      <c r="DU43" s="10">
        <v>1</v>
      </c>
      <c r="DV43" s="11">
        <f t="shared" si="5"/>
        <v>43.199999999999996</v>
      </c>
      <c r="DW43" s="10">
        <v>14</v>
      </c>
      <c r="DX43" s="11">
        <f t="shared" si="6"/>
        <v>604.79999999999995</v>
      </c>
      <c r="DY43" s="10"/>
      <c r="DZ43" s="10"/>
      <c r="EA43" s="11">
        <f t="shared" si="7"/>
        <v>0</v>
      </c>
      <c r="EB43" s="10"/>
      <c r="EC43" s="11">
        <f t="shared" si="8"/>
        <v>0</v>
      </c>
      <c r="ED43" s="10"/>
      <c r="EE43" s="10"/>
    </row>
    <row r="44" spans="2:135" ht="16.5">
      <c r="B44" s="47">
        <v>32</v>
      </c>
      <c r="C44" s="50" t="s">
        <v>715</v>
      </c>
      <c r="D44" s="49" t="s">
        <v>131</v>
      </c>
      <c r="E44" s="49"/>
      <c r="F44" s="49"/>
      <c r="G44" s="49"/>
      <c r="H44" s="71">
        <f t="shared" si="9"/>
        <v>3.5999999999999996</v>
      </c>
      <c r="I44" s="10">
        <v>3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>
        <v>1</v>
      </c>
      <c r="CZ44" s="11">
        <f t="shared" si="0"/>
        <v>3.5999999999999996</v>
      </c>
      <c r="DA44" s="10"/>
      <c r="DB44" s="10"/>
      <c r="DC44" s="10"/>
      <c r="DD44" s="10"/>
      <c r="DE44" s="10"/>
      <c r="DF44" s="10"/>
      <c r="DG44" s="10"/>
      <c r="DH44" s="10"/>
      <c r="DI44" s="10"/>
      <c r="DJ44" s="11">
        <f t="shared" si="1"/>
        <v>0</v>
      </c>
      <c r="DK44" s="10"/>
      <c r="DL44" s="10"/>
      <c r="DM44" s="10"/>
      <c r="DN44" s="11">
        <f t="shared" si="2"/>
        <v>0</v>
      </c>
      <c r="DO44" s="10"/>
      <c r="DP44" s="10"/>
      <c r="DQ44" s="10">
        <v>2</v>
      </c>
      <c r="DR44" s="11">
        <f t="shared" si="3"/>
        <v>7.1999999999999993</v>
      </c>
      <c r="DS44" s="10">
        <v>0</v>
      </c>
      <c r="DT44" s="11">
        <f t="shared" si="4"/>
        <v>0</v>
      </c>
      <c r="DU44" s="10"/>
      <c r="DV44" s="11">
        <f t="shared" si="5"/>
        <v>0</v>
      </c>
      <c r="DW44" s="10">
        <v>0</v>
      </c>
      <c r="DX44" s="11">
        <f t="shared" si="6"/>
        <v>0</v>
      </c>
      <c r="DY44" s="10"/>
      <c r="DZ44" s="10"/>
      <c r="EA44" s="11">
        <f t="shared" si="7"/>
        <v>0</v>
      </c>
      <c r="EB44" s="10"/>
      <c r="EC44" s="11">
        <f t="shared" si="8"/>
        <v>0</v>
      </c>
      <c r="ED44" s="10"/>
      <c r="EE44" s="10"/>
    </row>
    <row r="45" spans="2:135" ht="16.5">
      <c r="B45" s="47">
        <v>33</v>
      </c>
      <c r="C45" s="50" t="s">
        <v>716</v>
      </c>
      <c r="D45" s="49" t="s">
        <v>132</v>
      </c>
      <c r="E45" s="49"/>
      <c r="F45" s="49"/>
      <c r="G45" s="49"/>
      <c r="H45" s="71">
        <f t="shared" si="9"/>
        <v>66</v>
      </c>
      <c r="I45" s="10">
        <v>55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>
        <v>7</v>
      </c>
      <c r="CZ45" s="11">
        <f t="shared" si="0"/>
        <v>462</v>
      </c>
      <c r="DA45" s="10"/>
      <c r="DB45" s="10"/>
      <c r="DC45" s="10"/>
      <c r="DD45" s="10"/>
      <c r="DE45" s="10"/>
      <c r="DF45" s="10"/>
      <c r="DG45" s="10"/>
      <c r="DH45" s="10"/>
      <c r="DI45" s="10">
        <v>10</v>
      </c>
      <c r="DJ45" s="11">
        <f t="shared" si="1"/>
        <v>660</v>
      </c>
      <c r="DK45" s="10"/>
      <c r="DL45" s="10"/>
      <c r="DM45" s="10"/>
      <c r="DN45" s="11">
        <f t="shared" si="2"/>
        <v>0</v>
      </c>
      <c r="DO45" s="10"/>
      <c r="DP45" s="10"/>
      <c r="DQ45" s="10">
        <v>27</v>
      </c>
      <c r="DR45" s="11">
        <f t="shared" si="3"/>
        <v>1782</v>
      </c>
      <c r="DS45" s="10">
        <v>0</v>
      </c>
      <c r="DT45" s="11">
        <f t="shared" si="4"/>
        <v>0</v>
      </c>
      <c r="DU45" s="10">
        <v>8</v>
      </c>
      <c r="DV45" s="11">
        <f t="shared" si="5"/>
        <v>528</v>
      </c>
      <c r="DW45" s="10">
        <v>2</v>
      </c>
      <c r="DX45" s="11">
        <f t="shared" si="6"/>
        <v>132</v>
      </c>
      <c r="DY45" s="10"/>
      <c r="DZ45" s="10">
        <v>1</v>
      </c>
      <c r="EA45" s="11">
        <f t="shared" si="7"/>
        <v>66</v>
      </c>
      <c r="EB45" s="10"/>
      <c r="EC45" s="11">
        <f t="shared" si="8"/>
        <v>0</v>
      </c>
      <c r="ED45" s="10"/>
      <c r="EE45" s="10"/>
    </row>
    <row r="46" spans="2:135" ht="33">
      <c r="B46" s="47">
        <v>34</v>
      </c>
      <c r="C46" s="50" t="s">
        <v>717</v>
      </c>
      <c r="D46" s="49" t="s">
        <v>133</v>
      </c>
      <c r="E46" s="49"/>
      <c r="F46" s="49"/>
      <c r="G46" s="49"/>
      <c r="H46" s="71">
        <f t="shared" si="9"/>
        <v>31.2</v>
      </c>
      <c r="I46" s="10">
        <v>26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1">
        <f t="shared" si="0"/>
        <v>0</v>
      </c>
      <c r="DA46" s="10"/>
      <c r="DB46" s="10"/>
      <c r="DC46" s="10"/>
      <c r="DD46" s="10"/>
      <c r="DE46" s="10"/>
      <c r="DF46" s="10"/>
      <c r="DG46" s="10"/>
      <c r="DH46" s="10"/>
      <c r="DI46" s="10"/>
      <c r="DJ46" s="11">
        <f t="shared" si="1"/>
        <v>0</v>
      </c>
      <c r="DK46" s="10"/>
      <c r="DL46" s="10"/>
      <c r="DM46" s="10"/>
      <c r="DN46" s="11">
        <f t="shared" si="2"/>
        <v>0</v>
      </c>
      <c r="DO46" s="10"/>
      <c r="DP46" s="10"/>
      <c r="DQ46" s="10">
        <v>26</v>
      </c>
      <c r="DR46" s="11">
        <f t="shared" si="3"/>
        <v>811.19999999999993</v>
      </c>
      <c r="DS46" s="10">
        <v>0</v>
      </c>
      <c r="DT46" s="11">
        <f t="shared" si="4"/>
        <v>0</v>
      </c>
      <c r="DU46" s="10"/>
      <c r="DV46" s="11">
        <f t="shared" si="5"/>
        <v>0</v>
      </c>
      <c r="DW46" s="10">
        <v>0</v>
      </c>
      <c r="DX46" s="11">
        <f t="shared" si="6"/>
        <v>0</v>
      </c>
      <c r="DY46" s="10"/>
      <c r="DZ46" s="10"/>
      <c r="EA46" s="11">
        <f t="shared" si="7"/>
        <v>0</v>
      </c>
      <c r="EB46" s="10"/>
      <c r="EC46" s="11">
        <f t="shared" si="8"/>
        <v>0</v>
      </c>
      <c r="ED46" s="10"/>
      <c r="EE46" s="10"/>
    </row>
    <row r="47" spans="2:135" ht="16.5">
      <c r="B47" s="47">
        <v>35</v>
      </c>
      <c r="C47" s="50" t="s">
        <v>718</v>
      </c>
      <c r="D47" s="49" t="s">
        <v>134</v>
      </c>
      <c r="E47" s="49"/>
      <c r="F47" s="49"/>
      <c r="G47" s="49"/>
      <c r="H47" s="71">
        <f t="shared" si="9"/>
        <v>2.4</v>
      </c>
      <c r="I47" s="10">
        <v>2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>
        <v>1</v>
      </c>
      <c r="CZ47" s="11">
        <f t="shared" si="0"/>
        <v>2.4</v>
      </c>
      <c r="DA47" s="10"/>
      <c r="DB47" s="10"/>
      <c r="DC47" s="10"/>
      <c r="DD47" s="10"/>
      <c r="DE47" s="10"/>
      <c r="DF47" s="10"/>
      <c r="DG47" s="10"/>
      <c r="DH47" s="10"/>
      <c r="DI47" s="10"/>
      <c r="DJ47" s="11">
        <f t="shared" si="1"/>
        <v>0</v>
      </c>
      <c r="DK47" s="10"/>
      <c r="DL47" s="10"/>
      <c r="DM47" s="10"/>
      <c r="DN47" s="11">
        <f t="shared" si="2"/>
        <v>0</v>
      </c>
      <c r="DO47" s="10"/>
      <c r="DP47" s="10"/>
      <c r="DQ47" s="10">
        <v>1</v>
      </c>
      <c r="DR47" s="11">
        <f t="shared" si="3"/>
        <v>2.4</v>
      </c>
      <c r="DS47" s="10">
        <v>0</v>
      </c>
      <c r="DT47" s="11">
        <f t="shared" si="4"/>
        <v>0</v>
      </c>
      <c r="DU47" s="10"/>
      <c r="DV47" s="11">
        <f t="shared" si="5"/>
        <v>0</v>
      </c>
      <c r="DW47" s="10">
        <v>0</v>
      </c>
      <c r="DX47" s="11">
        <f t="shared" si="6"/>
        <v>0</v>
      </c>
      <c r="DY47" s="10"/>
      <c r="DZ47" s="10"/>
      <c r="EA47" s="11">
        <f t="shared" si="7"/>
        <v>0</v>
      </c>
      <c r="EB47" s="10"/>
      <c r="EC47" s="11">
        <f t="shared" si="8"/>
        <v>0</v>
      </c>
      <c r="ED47" s="10"/>
      <c r="EE47" s="10"/>
    </row>
    <row r="48" spans="2:135" ht="33">
      <c r="B48" s="47">
        <v>36</v>
      </c>
      <c r="C48" s="50" t="s">
        <v>719</v>
      </c>
      <c r="D48" s="49" t="s">
        <v>135</v>
      </c>
      <c r="E48" s="49"/>
      <c r="F48" s="49"/>
      <c r="G48" s="49"/>
      <c r="H48" s="71">
        <f t="shared" si="9"/>
        <v>1.2</v>
      </c>
      <c r="I48" s="10">
        <v>1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1">
        <f t="shared" si="0"/>
        <v>0</v>
      </c>
      <c r="DA48" s="10"/>
      <c r="DB48" s="10"/>
      <c r="DC48" s="10"/>
      <c r="DD48" s="10"/>
      <c r="DE48" s="10"/>
      <c r="DF48" s="10"/>
      <c r="DG48" s="10"/>
      <c r="DH48" s="10"/>
      <c r="DI48" s="10"/>
      <c r="DJ48" s="11">
        <f t="shared" si="1"/>
        <v>0</v>
      </c>
      <c r="DK48" s="10"/>
      <c r="DL48" s="10"/>
      <c r="DM48" s="10"/>
      <c r="DN48" s="11">
        <f t="shared" si="2"/>
        <v>0</v>
      </c>
      <c r="DO48" s="10"/>
      <c r="DP48" s="10"/>
      <c r="DQ48" s="10">
        <v>1</v>
      </c>
      <c r="DR48" s="11">
        <f t="shared" si="3"/>
        <v>1.2</v>
      </c>
      <c r="DS48" s="10">
        <v>0</v>
      </c>
      <c r="DT48" s="11">
        <f t="shared" si="4"/>
        <v>0</v>
      </c>
      <c r="DU48" s="10"/>
      <c r="DV48" s="11">
        <f t="shared" si="5"/>
        <v>0</v>
      </c>
      <c r="DW48" s="10">
        <v>0</v>
      </c>
      <c r="DX48" s="11">
        <f t="shared" si="6"/>
        <v>0</v>
      </c>
      <c r="DY48" s="10"/>
      <c r="DZ48" s="10"/>
      <c r="EA48" s="11">
        <f t="shared" si="7"/>
        <v>0</v>
      </c>
      <c r="EB48" s="10"/>
      <c r="EC48" s="11">
        <f t="shared" si="8"/>
        <v>0</v>
      </c>
      <c r="ED48" s="10"/>
      <c r="EE48" s="10"/>
    </row>
    <row r="49" spans="2:135" ht="16.5">
      <c r="B49" s="47">
        <v>37</v>
      </c>
      <c r="C49" s="50" t="s">
        <v>720</v>
      </c>
      <c r="D49" s="49" t="s">
        <v>136</v>
      </c>
      <c r="E49" s="49"/>
      <c r="F49" s="49"/>
      <c r="G49" s="49"/>
      <c r="H49" s="71">
        <f t="shared" si="9"/>
        <v>37.199999999999996</v>
      </c>
      <c r="I49" s="10">
        <v>31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>
        <v>1</v>
      </c>
      <c r="CZ49" s="11">
        <f t="shared" si="0"/>
        <v>37.199999999999996</v>
      </c>
      <c r="DA49" s="10"/>
      <c r="DB49" s="10"/>
      <c r="DC49" s="10"/>
      <c r="DD49" s="10"/>
      <c r="DE49" s="10"/>
      <c r="DF49" s="10"/>
      <c r="DG49" s="10"/>
      <c r="DH49" s="10"/>
      <c r="DI49" s="10"/>
      <c r="DJ49" s="11">
        <f t="shared" si="1"/>
        <v>0</v>
      </c>
      <c r="DK49" s="10"/>
      <c r="DL49" s="10"/>
      <c r="DM49" s="10"/>
      <c r="DN49" s="11">
        <f t="shared" si="2"/>
        <v>0</v>
      </c>
      <c r="DO49" s="10"/>
      <c r="DP49" s="10"/>
      <c r="DQ49" s="10">
        <v>30</v>
      </c>
      <c r="DR49" s="11">
        <f t="shared" si="3"/>
        <v>1115.9999999999998</v>
      </c>
      <c r="DS49" s="10">
        <v>0</v>
      </c>
      <c r="DT49" s="11">
        <f t="shared" si="4"/>
        <v>0</v>
      </c>
      <c r="DU49" s="10"/>
      <c r="DV49" s="11">
        <f t="shared" si="5"/>
        <v>0</v>
      </c>
      <c r="DW49" s="10">
        <v>0</v>
      </c>
      <c r="DX49" s="11">
        <f t="shared" si="6"/>
        <v>0</v>
      </c>
      <c r="DY49" s="10"/>
      <c r="DZ49" s="10"/>
      <c r="EA49" s="11">
        <f t="shared" si="7"/>
        <v>0</v>
      </c>
      <c r="EB49" s="10"/>
      <c r="EC49" s="11">
        <f t="shared" si="8"/>
        <v>0</v>
      </c>
      <c r="ED49" s="10"/>
      <c r="EE49" s="10"/>
    </row>
    <row r="50" spans="2:135" ht="16.5">
      <c r="B50" s="47">
        <v>38</v>
      </c>
      <c r="C50" s="50" t="s">
        <v>721</v>
      </c>
      <c r="D50" s="49" t="s">
        <v>137</v>
      </c>
      <c r="E50" s="49"/>
      <c r="F50" s="49"/>
      <c r="G50" s="49"/>
      <c r="H50" s="71">
        <f t="shared" si="9"/>
        <v>9.6</v>
      </c>
      <c r="I50" s="10">
        <v>8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1">
        <f t="shared" si="0"/>
        <v>0</v>
      </c>
      <c r="DA50" s="10"/>
      <c r="DB50" s="10"/>
      <c r="DC50" s="10"/>
      <c r="DD50" s="10"/>
      <c r="DE50" s="10"/>
      <c r="DF50" s="10"/>
      <c r="DG50" s="10"/>
      <c r="DH50" s="10"/>
      <c r="DI50" s="10"/>
      <c r="DJ50" s="11">
        <f t="shared" si="1"/>
        <v>0</v>
      </c>
      <c r="DK50" s="10"/>
      <c r="DL50" s="10"/>
      <c r="DM50" s="10"/>
      <c r="DN50" s="11">
        <f t="shared" si="2"/>
        <v>0</v>
      </c>
      <c r="DO50" s="10"/>
      <c r="DP50" s="10"/>
      <c r="DQ50" s="10">
        <v>0</v>
      </c>
      <c r="DR50" s="11">
        <f t="shared" si="3"/>
        <v>0</v>
      </c>
      <c r="DS50" s="10">
        <v>0</v>
      </c>
      <c r="DT50" s="11">
        <f t="shared" si="4"/>
        <v>0</v>
      </c>
      <c r="DU50" s="10"/>
      <c r="DV50" s="11">
        <f t="shared" si="5"/>
        <v>0</v>
      </c>
      <c r="DW50" s="10">
        <v>8</v>
      </c>
      <c r="DX50" s="11">
        <f t="shared" si="6"/>
        <v>76.8</v>
      </c>
      <c r="DY50" s="10"/>
      <c r="DZ50" s="10"/>
      <c r="EA50" s="11">
        <f t="shared" si="7"/>
        <v>0</v>
      </c>
      <c r="EB50" s="10"/>
      <c r="EC50" s="11">
        <f t="shared" si="8"/>
        <v>0</v>
      </c>
      <c r="ED50" s="10"/>
      <c r="EE50" s="10"/>
    </row>
    <row r="51" spans="2:135" ht="16.5">
      <c r="B51" s="47">
        <v>39</v>
      </c>
      <c r="C51" s="50" t="s">
        <v>722</v>
      </c>
      <c r="D51" s="49" t="s">
        <v>138</v>
      </c>
      <c r="E51" s="49"/>
      <c r="F51" s="49"/>
      <c r="G51" s="49"/>
      <c r="H51" s="71">
        <f t="shared" si="9"/>
        <v>13.2</v>
      </c>
      <c r="I51" s="10">
        <v>11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1">
        <f t="shared" si="0"/>
        <v>0</v>
      </c>
      <c r="DA51" s="10"/>
      <c r="DB51" s="10"/>
      <c r="DC51" s="10"/>
      <c r="DD51" s="10"/>
      <c r="DE51" s="10"/>
      <c r="DF51" s="10"/>
      <c r="DG51" s="10"/>
      <c r="DH51" s="10"/>
      <c r="DI51" s="10"/>
      <c r="DJ51" s="11">
        <f t="shared" si="1"/>
        <v>0</v>
      </c>
      <c r="DK51" s="10"/>
      <c r="DL51" s="10"/>
      <c r="DM51" s="10"/>
      <c r="DN51" s="11">
        <f t="shared" si="2"/>
        <v>0</v>
      </c>
      <c r="DO51" s="10"/>
      <c r="DP51" s="10"/>
      <c r="DQ51" s="10">
        <v>7</v>
      </c>
      <c r="DR51" s="11">
        <f t="shared" si="3"/>
        <v>92.399999999999991</v>
      </c>
      <c r="DS51" s="10">
        <v>0</v>
      </c>
      <c r="DT51" s="11">
        <f t="shared" si="4"/>
        <v>0</v>
      </c>
      <c r="DU51" s="10"/>
      <c r="DV51" s="11">
        <f t="shared" si="5"/>
        <v>0</v>
      </c>
      <c r="DW51" s="10">
        <v>4</v>
      </c>
      <c r="DX51" s="11">
        <f t="shared" si="6"/>
        <v>52.8</v>
      </c>
      <c r="DY51" s="10"/>
      <c r="DZ51" s="10"/>
      <c r="EA51" s="11">
        <f t="shared" si="7"/>
        <v>0</v>
      </c>
      <c r="EB51" s="10"/>
      <c r="EC51" s="11">
        <f t="shared" si="8"/>
        <v>0</v>
      </c>
      <c r="ED51" s="10"/>
      <c r="EE51" s="10"/>
    </row>
    <row r="52" spans="2:135" ht="16.5">
      <c r="B52" s="47">
        <v>40</v>
      </c>
      <c r="C52" s="50" t="s">
        <v>723</v>
      </c>
      <c r="D52" s="49" t="s">
        <v>139</v>
      </c>
      <c r="E52" s="49"/>
      <c r="F52" s="49"/>
      <c r="G52" s="49"/>
      <c r="H52" s="71">
        <f t="shared" si="9"/>
        <v>2.4</v>
      </c>
      <c r="I52" s="10">
        <v>2</v>
      </c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1">
        <f t="shared" si="0"/>
        <v>0</v>
      </c>
      <c r="DA52" s="10"/>
      <c r="DB52" s="10"/>
      <c r="DC52" s="10"/>
      <c r="DD52" s="10"/>
      <c r="DE52" s="10"/>
      <c r="DF52" s="10"/>
      <c r="DG52" s="10"/>
      <c r="DH52" s="10"/>
      <c r="DI52" s="10"/>
      <c r="DJ52" s="11">
        <f t="shared" si="1"/>
        <v>0</v>
      </c>
      <c r="DK52" s="10"/>
      <c r="DL52" s="10"/>
      <c r="DM52" s="10"/>
      <c r="DN52" s="11">
        <f t="shared" si="2"/>
        <v>0</v>
      </c>
      <c r="DO52" s="10"/>
      <c r="DP52" s="10"/>
      <c r="DQ52" s="10">
        <v>0</v>
      </c>
      <c r="DR52" s="11">
        <f t="shared" si="3"/>
        <v>0</v>
      </c>
      <c r="DS52" s="10">
        <v>0</v>
      </c>
      <c r="DT52" s="11">
        <f t="shared" si="4"/>
        <v>0</v>
      </c>
      <c r="DU52" s="10">
        <v>1</v>
      </c>
      <c r="DV52" s="11">
        <f t="shared" si="5"/>
        <v>2.4</v>
      </c>
      <c r="DW52" s="10">
        <v>1</v>
      </c>
      <c r="DX52" s="11">
        <f t="shared" si="6"/>
        <v>2.4</v>
      </c>
      <c r="DY52" s="10"/>
      <c r="DZ52" s="10"/>
      <c r="EA52" s="11">
        <f t="shared" si="7"/>
        <v>0</v>
      </c>
      <c r="EB52" s="10"/>
      <c r="EC52" s="11">
        <f t="shared" si="8"/>
        <v>0</v>
      </c>
      <c r="ED52" s="10"/>
      <c r="EE52" s="10"/>
    </row>
    <row r="53" spans="2:135" ht="33">
      <c r="B53" s="47">
        <v>41</v>
      </c>
      <c r="C53" s="50" t="s">
        <v>724</v>
      </c>
      <c r="D53" s="49" t="s">
        <v>140</v>
      </c>
      <c r="E53" s="49"/>
      <c r="F53" s="49"/>
      <c r="G53" s="49"/>
      <c r="H53" s="71">
        <f t="shared" si="9"/>
        <v>1.2</v>
      </c>
      <c r="I53" s="10">
        <v>1</v>
      </c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1">
        <f t="shared" si="0"/>
        <v>0</v>
      </c>
      <c r="DA53" s="10"/>
      <c r="DB53" s="10"/>
      <c r="DC53" s="10"/>
      <c r="DD53" s="10"/>
      <c r="DE53" s="10"/>
      <c r="DF53" s="10"/>
      <c r="DG53" s="10"/>
      <c r="DH53" s="10"/>
      <c r="DI53" s="10"/>
      <c r="DJ53" s="11">
        <f t="shared" si="1"/>
        <v>0</v>
      </c>
      <c r="DK53" s="10"/>
      <c r="DL53" s="10"/>
      <c r="DM53" s="10"/>
      <c r="DN53" s="11">
        <f t="shared" si="2"/>
        <v>0</v>
      </c>
      <c r="DO53" s="10"/>
      <c r="DP53" s="10"/>
      <c r="DQ53" s="10">
        <v>0</v>
      </c>
      <c r="DR53" s="11">
        <f t="shared" si="3"/>
        <v>0</v>
      </c>
      <c r="DS53" s="10">
        <v>0</v>
      </c>
      <c r="DT53" s="11">
        <f t="shared" si="4"/>
        <v>0</v>
      </c>
      <c r="DU53" s="10"/>
      <c r="DV53" s="11">
        <f t="shared" si="5"/>
        <v>0</v>
      </c>
      <c r="DW53" s="10">
        <v>1</v>
      </c>
      <c r="DX53" s="11">
        <f t="shared" si="6"/>
        <v>1.2</v>
      </c>
      <c r="DY53" s="10"/>
      <c r="DZ53" s="10"/>
      <c r="EA53" s="11">
        <f t="shared" si="7"/>
        <v>0</v>
      </c>
      <c r="EB53" s="10"/>
      <c r="EC53" s="11">
        <f t="shared" si="8"/>
        <v>0</v>
      </c>
      <c r="ED53" s="10"/>
      <c r="EE53" s="10"/>
    </row>
    <row r="54" spans="2:135" ht="16.5">
      <c r="B54" s="47">
        <v>42</v>
      </c>
      <c r="C54" s="50" t="s">
        <v>725</v>
      </c>
      <c r="D54" s="49" t="s">
        <v>141</v>
      </c>
      <c r="E54" s="49"/>
      <c r="F54" s="49"/>
      <c r="G54" s="49"/>
      <c r="H54" s="71">
        <f t="shared" si="9"/>
        <v>39.6</v>
      </c>
      <c r="I54" s="10">
        <v>33</v>
      </c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>
        <v>2</v>
      </c>
      <c r="CZ54" s="11">
        <f t="shared" si="0"/>
        <v>79.2</v>
      </c>
      <c r="DA54" s="10"/>
      <c r="DB54" s="10"/>
      <c r="DC54" s="10"/>
      <c r="DD54" s="10"/>
      <c r="DE54" s="10"/>
      <c r="DF54" s="10"/>
      <c r="DG54" s="10"/>
      <c r="DH54" s="10"/>
      <c r="DI54" s="10">
        <v>2</v>
      </c>
      <c r="DJ54" s="11">
        <f t="shared" si="1"/>
        <v>79.2</v>
      </c>
      <c r="DK54" s="10"/>
      <c r="DL54" s="10"/>
      <c r="DM54" s="10"/>
      <c r="DN54" s="11">
        <f t="shared" si="2"/>
        <v>0</v>
      </c>
      <c r="DO54" s="10"/>
      <c r="DP54" s="10"/>
      <c r="DQ54" s="10">
        <v>29</v>
      </c>
      <c r="DR54" s="11">
        <f t="shared" si="3"/>
        <v>1148.4000000000001</v>
      </c>
      <c r="DS54" s="10">
        <v>0</v>
      </c>
      <c r="DT54" s="11">
        <f t="shared" si="4"/>
        <v>0</v>
      </c>
      <c r="DU54" s="10"/>
      <c r="DV54" s="11">
        <f t="shared" si="5"/>
        <v>0</v>
      </c>
      <c r="DW54" s="10">
        <v>0</v>
      </c>
      <c r="DX54" s="11">
        <f t="shared" si="6"/>
        <v>0</v>
      </c>
      <c r="DY54" s="10"/>
      <c r="DZ54" s="10"/>
      <c r="EA54" s="11">
        <f t="shared" si="7"/>
        <v>0</v>
      </c>
      <c r="EB54" s="10"/>
      <c r="EC54" s="11">
        <f t="shared" si="8"/>
        <v>0</v>
      </c>
      <c r="ED54" s="10"/>
      <c r="EE54" s="10"/>
    </row>
    <row r="55" spans="2:135" ht="16.5">
      <c r="B55" s="47">
        <v>43</v>
      </c>
      <c r="C55" s="50" t="s">
        <v>726</v>
      </c>
      <c r="D55" s="49" t="s">
        <v>142</v>
      </c>
      <c r="E55" s="49"/>
      <c r="F55" s="49"/>
      <c r="G55" s="49"/>
      <c r="H55" s="71">
        <f t="shared" si="9"/>
        <v>9.6</v>
      </c>
      <c r="I55" s="10">
        <v>8</v>
      </c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1">
        <f t="shared" si="0"/>
        <v>0</v>
      </c>
      <c r="DA55" s="10"/>
      <c r="DB55" s="10"/>
      <c r="DC55" s="10"/>
      <c r="DD55" s="10"/>
      <c r="DE55" s="10"/>
      <c r="DF55" s="10"/>
      <c r="DG55" s="10"/>
      <c r="DH55" s="10"/>
      <c r="DI55" s="10"/>
      <c r="DJ55" s="11">
        <f t="shared" si="1"/>
        <v>0</v>
      </c>
      <c r="DK55" s="10"/>
      <c r="DL55" s="10"/>
      <c r="DM55" s="10"/>
      <c r="DN55" s="11">
        <f t="shared" si="2"/>
        <v>0</v>
      </c>
      <c r="DO55" s="10"/>
      <c r="DP55" s="10"/>
      <c r="DQ55" s="10">
        <v>8</v>
      </c>
      <c r="DR55" s="11">
        <f t="shared" si="3"/>
        <v>76.8</v>
      </c>
      <c r="DS55" s="10">
        <v>0</v>
      </c>
      <c r="DT55" s="11">
        <f t="shared" si="4"/>
        <v>0</v>
      </c>
      <c r="DU55" s="10"/>
      <c r="DV55" s="11">
        <f t="shared" si="5"/>
        <v>0</v>
      </c>
      <c r="DW55" s="10">
        <v>0</v>
      </c>
      <c r="DX55" s="11">
        <f t="shared" si="6"/>
        <v>0</v>
      </c>
      <c r="DY55" s="10"/>
      <c r="DZ55" s="10"/>
      <c r="EA55" s="11">
        <f t="shared" si="7"/>
        <v>0</v>
      </c>
      <c r="EB55" s="10"/>
      <c r="EC55" s="11">
        <f t="shared" si="8"/>
        <v>0</v>
      </c>
      <c r="ED55" s="10"/>
      <c r="EE55" s="10"/>
    </row>
    <row r="56" spans="2:135" ht="33">
      <c r="B56" s="47">
        <v>44</v>
      </c>
      <c r="C56" s="50" t="s">
        <v>727</v>
      </c>
      <c r="D56" s="49" t="s">
        <v>143</v>
      </c>
      <c r="E56" s="49"/>
      <c r="F56" s="49"/>
      <c r="G56" s="49"/>
      <c r="H56" s="71">
        <f t="shared" si="9"/>
        <v>3.5999999999999996</v>
      </c>
      <c r="I56" s="10">
        <v>3</v>
      </c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1">
        <f t="shared" si="0"/>
        <v>0</v>
      </c>
      <c r="DA56" s="10"/>
      <c r="DB56" s="10"/>
      <c r="DC56" s="10"/>
      <c r="DD56" s="10"/>
      <c r="DE56" s="10"/>
      <c r="DF56" s="10"/>
      <c r="DG56" s="10"/>
      <c r="DH56" s="10"/>
      <c r="DI56" s="10"/>
      <c r="DJ56" s="11">
        <f t="shared" si="1"/>
        <v>0</v>
      </c>
      <c r="DK56" s="10"/>
      <c r="DL56" s="10"/>
      <c r="DM56" s="10"/>
      <c r="DN56" s="11">
        <f t="shared" si="2"/>
        <v>0</v>
      </c>
      <c r="DO56" s="10"/>
      <c r="DP56" s="10"/>
      <c r="DQ56" s="10">
        <v>0</v>
      </c>
      <c r="DR56" s="11">
        <f t="shared" si="3"/>
        <v>0</v>
      </c>
      <c r="DS56" s="10">
        <v>0</v>
      </c>
      <c r="DT56" s="11">
        <f t="shared" si="4"/>
        <v>0</v>
      </c>
      <c r="DU56" s="10"/>
      <c r="DV56" s="11">
        <f t="shared" si="5"/>
        <v>0</v>
      </c>
      <c r="DW56" s="10">
        <v>3</v>
      </c>
      <c r="DX56" s="11">
        <f t="shared" si="6"/>
        <v>10.799999999999999</v>
      </c>
      <c r="DY56" s="10"/>
      <c r="DZ56" s="10"/>
      <c r="EA56" s="11">
        <f t="shared" si="7"/>
        <v>0</v>
      </c>
      <c r="EB56" s="10"/>
      <c r="EC56" s="11">
        <f t="shared" si="8"/>
        <v>0</v>
      </c>
      <c r="ED56" s="10"/>
      <c r="EE56" s="10"/>
    </row>
    <row r="57" spans="2:135" ht="16.5">
      <c r="B57" s="47">
        <v>45</v>
      </c>
      <c r="C57" s="50" t="s">
        <v>728</v>
      </c>
      <c r="D57" s="49" t="s">
        <v>144</v>
      </c>
      <c r="E57" s="49"/>
      <c r="F57" s="49"/>
      <c r="G57" s="49"/>
      <c r="H57" s="71">
        <f t="shared" si="9"/>
        <v>3.5999999999999996</v>
      </c>
      <c r="I57" s="10">
        <v>3</v>
      </c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1">
        <f t="shared" si="0"/>
        <v>0</v>
      </c>
      <c r="DA57" s="10"/>
      <c r="DB57" s="10"/>
      <c r="DC57" s="10"/>
      <c r="DD57" s="10"/>
      <c r="DE57" s="10"/>
      <c r="DF57" s="10"/>
      <c r="DG57" s="10"/>
      <c r="DH57" s="10"/>
      <c r="DI57" s="10"/>
      <c r="DJ57" s="11">
        <f t="shared" si="1"/>
        <v>0</v>
      </c>
      <c r="DK57" s="10"/>
      <c r="DL57" s="10"/>
      <c r="DM57" s="10"/>
      <c r="DN57" s="11">
        <f t="shared" si="2"/>
        <v>0</v>
      </c>
      <c r="DO57" s="10"/>
      <c r="DP57" s="10"/>
      <c r="DQ57" s="10">
        <v>0</v>
      </c>
      <c r="DR57" s="11">
        <f t="shared" si="3"/>
        <v>0</v>
      </c>
      <c r="DS57" s="10">
        <v>3</v>
      </c>
      <c r="DT57" s="11">
        <f t="shared" si="4"/>
        <v>10.799999999999999</v>
      </c>
      <c r="DU57" s="10"/>
      <c r="DV57" s="11">
        <f t="shared" si="5"/>
        <v>0</v>
      </c>
      <c r="DW57" s="10">
        <v>0</v>
      </c>
      <c r="DX57" s="11">
        <f t="shared" si="6"/>
        <v>0</v>
      </c>
      <c r="DY57" s="10"/>
      <c r="DZ57" s="10"/>
      <c r="EA57" s="11">
        <f t="shared" si="7"/>
        <v>0</v>
      </c>
      <c r="EB57" s="10"/>
      <c r="EC57" s="11">
        <f t="shared" si="8"/>
        <v>0</v>
      </c>
      <c r="ED57" s="10"/>
      <c r="EE57" s="10"/>
    </row>
    <row r="58" spans="2:135" ht="16.5">
      <c r="B58" s="47">
        <v>46</v>
      </c>
      <c r="C58" s="50" t="s">
        <v>729</v>
      </c>
      <c r="D58" s="49" t="s">
        <v>145</v>
      </c>
      <c r="E58" s="49"/>
      <c r="F58" s="49"/>
      <c r="G58" s="49"/>
      <c r="H58" s="71">
        <f t="shared" si="9"/>
        <v>24</v>
      </c>
      <c r="I58" s="10">
        <v>20</v>
      </c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1">
        <f t="shared" si="0"/>
        <v>0</v>
      </c>
      <c r="DA58" s="10"/>
      <c r="DB58" s="10"/>
      <c r="DC58" s="10"/>
      <c r="DD58" s="10"/>
      <c r="DE58" s="10"/>
      <c r="DF58" s="10"/>
      <c r="DG58" s="10"/>
      <c r="DH58" s="10"/>
      <c r="DI58" s="10"/>
      <c r="DJ58" s="11">
        <f t="shared" si="1"/>
        <v>0</v>
      </c>
      <c r="DK58" s="10"/>
      <c r="DL58" s="10"/>
      <c r="DM58" s="10"/>
      <c r="DN58" s="11">
        <f t="shared" si="2"/>
        <v>0</v>
      </c>
      <c r="DO58" s="10"/>
      <c r="DP58" s="10"/>
      <c r="DQ58" s="10">
        <v>16</v>
      </c>
      <c r="DR58" s="11">
        <f t="shared" si="3"/>
        <v>384</v>
      </c>
      <c r="DS58" s="10">
        <v>0</v>
      </c>
      <c r="DT58" s="11">
        <f t="shared" si="4"/>
        <v>0</v>
      </c>
      <c r="DU58" s="10"/>
      <c r="DV58" s="11">
        <f t="shared" si="5"/>
        <v>0</v>
      </c>
      <c r="DW58" s="10">
        <v>3</v>
      </c>
      <c r="DX58" s="11">
        <f t="shared" si="6"/>
        <v>72</v>
      </c>
      <c r="DY58" s="10"/>
      <c r="DZ58" s="10">
        <v>1</v>
      </c>
      <c r="EA58" s="11">
        <f t="shared" si="7"/>
        <v>24</v>
      </c>
      <c r="EB58" s="10"/>
      <c r="EC58" s="11">
        <f t="shared" si="8"/>
        <v>0</v>
      </c>
      <c r="ED58" s="10"/>
      <c r="EE58" s="10"/>
    </row>
    <row r="59" spans="2:135" ht="16.5">
      <c r="B59" s="47">
        <v>47</v>
      </c>
      <c r="C59" s="50" t="s">
        <v>730</v>
      </c>
      <c r="D59" s="49" t="s">
        <v>146</v>
      </c>
      <c r="E59" s="49"/>
      <c r="F59" s="49"/>
      <c r="G59" s="49"/>
      <c r="H59" s="71">
        <f t="shared" si="9"/>
        <v>31.2</v>
      </c>
      <c r="I59" s="10">
        <v>26</v>
      </c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1">
        <f t="shared" si="0"/>
        <v>0</v>
      </c>
      <c r="DA59" s="10"/>
      <c r="DB59" s="10"/>
      <c r="DC59" s="10"/>
      <c r="DD59" s="10"/>
      <c r="DE59" s="10"/>
      <c r="DF59" s="10"/>
      <c r="DG59" s="10"/>
      <c r="DH59" s="10"/>
      <c r="DI59" s="10"/>
      <c r="DJ59" s="11">
        <f t="shared" si="1"/>
        <v>0</v>
      </c>
      <c r="DK59" s="10"/>
      <c r="DL59" s="10"/>
      <c r="DM59" s="10"/>
      <c r="DN59" s="11">
        <f t="shared" si="2"/>
        <v>0</v>
      </c>
      <c r="DO59" s="10"/>
      <c r="DP59" s="10"/>
      <c r="DQ59" s="10">
        <v>0</v>
      </c>
      <c r="DR59" s="11">
        <f t="shared" si="3"/>
        <v>0</v>
      </c>
      <c r="DS59" s="10">
        <v>26</v>
      </c>
      <c r="DT59" s="11">
        <f t="shared" si="4"/>
        <v>811.19999999999993</v>
      </c>
      <c r="DU59" s="10"/>
      <c r="DV59" s="11">
        <f t="shared" si="5"/>
        <v>0</v>
      </c>
      <c r="DW59" s="10">
        <v>0</v>
      </c>
      <c r="DX59" s="11">
        <f t="shared" si="6"/>
        <v>0</v>
      </c>
      <c r="DY59" s="10"/>
      <c r="DZ59" s="10"/>
      <c r="EA59" s="11">
        <f t="shared" si="7"/>
        <v>0</v>
      </c>
      <c r="EB59" s="10"/>
      <c r="EC59" s="11">
        <f t="shared" si="8"/>
        <v>0</v>
      </c>
      <c r="ED59" s="10"/>
      <c r="EE59" s="10"/>
    </row>
    <row r="60" spans="2:135" ht="16.5">
      <c r="B60" s="47">
        <v>48</v>
      </c>
      <c r="C60" s="50" t="s">
        <v>731</v>
      </c>
      <c r="D60" s="49" t="s">
        <v>147</v>
      </c>
      <c r="E60" s="49"/>
      <c r="F60" s="49"/>
      <c r="G60" s="49"/>
      <c r="H60" s="71">
        <f t="shared" si="9"/>
        <v>152.4</v>
      </c>
      <c r="I60" s="10">
        <v>127</v>
      </c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1">
        <f t="shared" si="0"/>
        <v>0</v>
      </c>
      <c r="DA60" s="10"/>
      <c r="DB60" s="10"/>
      <c r="DC60" s="10"/>
      <c r="DD60" s="10"/>
      <c r="DE60" s="10"/>
      <c r="DF60" s="10"/>
      <c r="DG60" s="10"/>
      <c r="DH60" s="10"/>
      <c r="DI60" s="10"/>
      <c r="DJ60" s="11">
        <f t="shared" si="1"/>
        <v>0</v>
      </c>
      <c r="DK60" s="10"/>
      <c r="DL60" s="10"/>
      <c r="DM60" s="10"/>
      <c r="DN60" s="11">
        <f t="shared" si="2"/>
        <v>0</v>
      </c>
      <c r="DO60" s="10"/>
      <c r="DP60" s="10"/>
      <c r="DQ60" s="10">
        <v>45</v>
      </c>
      <c r="DR60" s="11">
        <f t="shared" si="3"/>
        <v>6858</v>
      </c>
      <c r="DS60" s="10">
        <v>0</v>
      </c>
      <c r="DT60" s="11">
        <f t="shared" si="4"/>
        <v>0</v>
      </c>
      <c r="DU60" s="10">
        <v>11</v>
      </c>
      <c r="DV60" s="11">
        <f t="shared" si="5"/>
        <v>1676.4</v>
      </c>
      <c r="DW60" s="10">
        <v>71</v>
      </c>
      <c r="DX60" s="11">
        <f t="shared" si="6"/>
        <v>10820.4</v>
      </c>
      <c r="DY60" s="10"/>
      <c r="DZ60" s="10"/>
      <c r="EA60" s="11">
        <f t="shared" si="7"/>
        <v>0</v>
      </c>
      <c r="EB60" s="10"/>
      <c r="EC60" s="11">
        <f t="shared" si="8"/>
        <v>0</v>
      </c>
      <c r="ED60" s="10"/>
      <c r="EE60" s="10"/>
    </row>
    <row r="61" spans="2:135" ht="16.5">
      <c r="B61" s="47">
        <v>49</v>
      </c>
      <c r="C61" s="50" t="s">
        <v>732</v>
      </c>
      <c r="D61" s="49" t="s">
        <v>148</v>
      </c>
      <c r="E61" s="49"/>
      <c r="F61" s="49"/>
      <c r="G61" s="49"/>
      <c r="H61" s="71">
        <f t="shared" si="9"/>
        <v>39.6</v>
      </c>
      <c r="I61" s="10">
        <v>33</v>
      </c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1">
        <f t="shared" si="0"/>
        <v>0</v>
      </c>
      <c r="DA61" s="10"/>
      <c r="DB61" s="10"/>
      <c r="DC61" s="10"/>
      <c r="DD61" s="10"/>
      <c r="DE61" s="10"/>
      <c r="DF61" s="10"/>
      <c r="DG61" s="10"/>
      <c r="DH61" s="10"/>
      <c r="DI61" s="10"/>
      <c r="DJ61" s="11">
        <f t="shared" si="1"/>
        <v>0</v>
      </c>
      <c r="DK61" s="10"/>
      <c r="DL61" s="10"/>
      <c r="DM61" s="10"/>
      <c r="DN61" s="11">
        <f t="shared" si="2"/>
        <v>0</v>
      </c>
      <c r="DO61" s="10"/>
      <c r="DP61" s="10"/>
      <c r="DQ61" s="10">
        <v>26</v>
      </c>
      <c r="DR61" s="11">
        <f t="shared" si="3"/>
        <v>1029.6000000000001</v>
      </c>
      <c r="DS61" s="10">
        <v>0</v>
      </c>
      <c r="DT61" s="11">
        <f t="shared" si="4"/>
        <v>0</v>
      </c>
      <c r="DU61" s="10">
        <v>5</v>
      </c>
      <c r="DV61" s="11">
        <f t="shared" si="5"/>
        <v>198</v>
      </c>
      <c r="DW61" s="10">
        <v>2</v>
      </c>
      <c r="DX61" s="11">
        <f t="shared" si="6"/>
        <v>79.2</v>
      </c>
      <c r="DY61" s="10"/>
      <c r="DZ61" s="10"/>
      <c r="EA61" s="11">
        <f t="shared" si="7"/>
        <v>0</v>
      </c>
      <c r="EB61" s="10"/>
      <c r="EC61" s="11">
        <f t="shared" si="8"/>
        <v>0</v>
      </c>
      <c r="ED61" s="10"/>
      <c r="EE61" s="10"/>
    </row>
    <row r="62" spans="2:135" ht="16.5">
      <c r="B62" s="47">
        <v>51</v>
      </c>
      <c r="C62" s="50" t="s">
        <v>733</v>
      </c>
      <c r="D62" s="49" t="s">
        <v>149</v>
      </c>
      <c r="E62" s="49"/>
      <c r="F62" s="49"/>
      <c r="G62" s="49"/>
      <c r="H62" s="71">
        <f t="shared" si="9"/>
        <v>6</v>
      </c>
      <c r="I62" s="10">
        <v>5</v>
      </c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1">
        <f t="shared" si="0"/>
        <v>0</v>
      </c>
      <c r="DA62" s="10"/>
      <c r="DB62" s="10"/>
      <c r="DC62" s="10"/>
      <c r="DD62" s="10"/>
      <c r="DE62" s="10"/>
      <c r="DF62" s="10"/>
      <c r="DG62" s="10"/>
      <c r="DH62" s="10"/>
      <c r="DI62" s="10"/>
      <c r="DJ62" s="11">
        <f t="shared" si="1"/>
        <v>0</v>
      </c>
      <c r="DK62" s="10"/>
      <c r="DL62" s="10"/>
      <c r="DM62" s="10"/>
      <c r="DN62" s="11">
        <f t="shared" si="2"/>
        <v>0</v>
      </c>
      <c r="DO62" s="10"/>
      <c r="DP62" s="10"/>
      <c r="DQ62" s="10">
        <v>3</v>
      </c>
      <c r="DR62" s="11">
        <f t="shared" si="3"/>
        <v>18</v>
      </c>
      <c r="DS62" s="10">
        <v>0</v>
      </c>
      <c r="DT62" s="11">
        <f t="shared" si="4"/>
        <v>0</v>
      </c>
      <c r="DU62" s="10">
        <v>2</v>
      </c>
      <c r="DV62" s="11">
        <f t="shared" si="5"/>
        <v>12</v>
      </c>
      <c r="DW62" s="10">
        <v>0</v>
      </c>
      <c r="DX62" s="11">
        <f t="shared" si="6"/>
        <v>0</v>
      </c>
      <c r="DY62" s="10"/>
      <c r="DZ62" s="10"/>
      <c r="EA62" s="11">
        <f t="shared" si="7"/>
        <v>0</v>
      </c>
      <c r="EB62" s="10"/>
      <c r="EC62" s="11">
        <f t="shared" si="8"/>
        <v>0</v>
      </c>
      <c r="ED62" s="10"/>
      <c r="EE62" s="10"/>
    </row>
    <row r="63" spans="2:135" ht="16.5">
      <c r="B63" s="47">
        <v>52</v>
      </c>
      <c r="C63" s="50" t="s">
        <v>734</v>
      </c>
      <c r="D63" s="49" t="s">
        <v>150</v>
      </c>
      <c r="E63" s="49"/>
      <c r="F63" s="49"/>
      <c r="G63" s="49"/>
      <c r="H63" s="71">
        <f t="shared" si="9"/>
        <v>2.4</v>
      </c>
      <c r="I63" s="10">
        <v>2</v>
      </c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1">
        <f t="shared" si="0"/>
        <v>0</v>
      </c>
      <c r="DA63" s="10"/>
      <c r="DB63" s="10"/>
      <c r="DC63" s="10"/>
      <c r="DD63" s="10"/>
      <c r="DE63" s="10"/>
      <c r="DF63" s="10"/>
      <c r="DG63" s="10"/>
      <c r="DH63" s="10"/>
      <c r="DI63" s="10"/>
      <c r="DJ63" s="11">
        <f t="shared" si="1"/>
        <v>0</v>
      </c>
      <c r="DK63" s="10"/>
      <c r="DL63" s="10"/>
      <c r="DM63" s="10"/>
      <c r="DN63" s="11">
        <f t="shared" si="2"/>
        <v>0</v>
      </c>
      <c r="DO63" s="10"/>
      <c r="DP63" s="10"/>
      <c r="DQ63" s="10">
        <v>0</v>
      </c>
      <c r="DR63" s="11">
        <f t="shared" si="3"/>
        <v>0</v>
      </c>
      <c r="DS63" s="10">
        <v>0</v>
      </c>
      <c r="DT63" s="11">
        <f t="shared" si="4"/>
        <v>0</v>
      </c>
      <c r="DU63" s="10"/>
      <c r="DV63" s="11">
        <f t="shared" si="5"/>
        <v>0</v>
      </c>
      <c r="DW63" s="10">
        <v>2</v>
      </c>
      <c r="DX63" s="11">
        <f t="shared" si="6"/>
        <v>4.8</v>
      </c>
      <c r="DY63" s="10"/>
      <c r="DZ63" s="10"/>
      <c r="EA63" s="11">
        <f t="shared" si="7"/>
        <v>0</v>
      </c>
      <c r="EB63" s="10"/>
      <c r="EC63" s="11">
        <f t="shared" si="8"/>
        <v>0</v>
      </c>
      <c r="ED63" s="10"/>
      <c r="EE63" s="10"/>
    </row>
    <row r="64" spans="2:135" ht="16.5">
      <c r="B64" s="47">
        <v>53</v>
      </c>
      <c r="C64" s="50" t="s">
        <v>735</v>
      </c>
      <c r="D64" s="49" t="s">
        <v>151</v>
      </c>
      <c r="E64" s="49"/>
      <c r="F64" s="49"/>
      <c r="G64" s="49"/>
      <c r="H64" s="71">
        <f t="shared" si="9"/>
        <v>38.4</v>
      </c>
      <c r="I64" s="10">
        <v>32</v>
      </c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>
        <v>8</v>
      </c>
      <c r="CZ64" s="11">
        <f t="shared" si="0"/>
        <v>307.2</v>
      </c>
      <c r="DA64" s="10"/>
      <c r="DB64" s="10"/>
      <c r="DC64" s="10"/>
      <c r="DD64" s="10"/>
      <c r="DE64" s="10"/>
      <c r="DF64" s="10"/>
      <c r="DG64" s="10"/>
      <c r="DH64" s="10"/>
      <c r="DI64" s="10"/>
      <c r="DJ64" s="11">
        <f t="shared" si="1"/>
        <v>0</v>
      </c>
      <c r="DK64" s="10"/>
      <c r="DL64" s="10"/>
      <c r="DM64" s="10">
        <v>1</v>
      </c>
      <c r="DN64" s="11">
        <f t="shared" si="2"/>
        <v>38.4</v>
      </c>
      <c r="DO64" s="10"/>
      <c r="DP64" s="10"/>
      <c r="DQ64" s="10">
        <v>13</v>
      </c>
      <c r="DR64" s="11">
        <f t="shared" si="3"/>
        <v>499.2</v>
      </c>
      <c r="DS64" s="10">
        <v>3</v>
      </c>
      <c r="DT64" s="11">
        <f t="shared" si="4"/>
        <v>115.19999999999999</v>
      </c>
      <c r="DU64" s="10"/>
      <c r="DV64" s="11">
        <f t="shared" si="5"/>
        <v>0</v>
      </c>
      <c r="DW64" s="10">
        <v>7</v>
      </c>
      <c r="DX64" s="11">
        <f t="shared" si="6"/>
        <v>268.8</v>
      </c>
      <c r="DY64" s="10"/>
      <c r="DZ64" s="10"/>
      <c r="EA64" s="11">
        <f t="shared" si="7"/>
        <v>0</v>
      </c>
      <c r="EB64" s="10"/>
      <c r="EC64" s="11">
        <f t="shared" si="8"/>
        <v>0</v>
      </c>
      <c r="ED64" s="10"/>
      <c r="EE64" s="10"/>
    </row>
    <row r="65" spans="2:135" ht="16.5">
      <c r="B65" s="47">
        <v>54</v>
      </c>
      <c r="C65" s="50" t="s">
        <v>736</v>
      </c>
      <c r="D65" s="49" t="s">
        <v>152</v>
      </c>
      <c r="E65" s="49"/>
      <c r="F65" s="49"/>
      <c r="G65" s="49"/>
      <c r="H65" s="71">
        <f t="shared" si="9"/>
        <v>30</v>
      </c>
      <c r="I65" s="10">
        <v>25</v>
      </c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>
        <v>3</v>
      </c>
      <c r="CZ65" s="11">
        <f t="shared" si="0"/>
        <v>90</v>
      </c>
      <c r="DA65" s="10"/>
      <c r="DB65" s="10"/>
      <c r="DC65" s="10"/>
      <c r="DD65" s="10"/>
      <c r="DE65" s="10"/>
      <c r="DF65" s="10"/>
      <c r="DG65" s="10"/>
      <c r="DH65" s="10"/>
      <c r="DI65" s="10"/>
      <c r="DJ65" s="11">
        <f t="shared" si="1"/>
        <v>0</v>
      </c>
      <c r="DK65" s="10"/>
      <c r="DL65" s="10"/>
      <c r="DM65" s="10">
        <v>4</v>
      </c>
      <c r="DN65" s="11">
        <f t="shared" si="2"/>
        <v>120</v>
      </c>
      <c r="DO65" s="10"/>
      <c r="DP65" s="10"/>
      <c r="DQ65" s="10">
        <v>18</v>
      </c>
      <c r="DR65" s="11">
        <f t="shared" si="3"/>
        <v>540</v>
      </c>
      <c r="DS65" s="10">
        <v>0</v>
      </c>
      <c r="DT65" s="11">
        <f t="shared" si="4"/>
        <v>0</v>
      </c>
      <c r="DU65" s="10"/>
      <c r="DV65" s="11">
        <f t="shared" si="5"/>
        <v>0</v>
      </c>
      <c r="DW65" s="10">
        <v>0</v>
      </c>
      <c r="DX65" s="11">
        <f t="shared" si="6"/>
        <v>0</v>
      </c>
      <c r="DY65" s="10"/>
      <c r="DZ65" s="10"/>
      <c r="EA65" s="11">
        <f t="shared" si="7"/>
        <v>0</v>
      </c>
      <c r="EB65" s="10"/>
      <c r="EC65" s="11">
        <f t="shared" si="8"/>
        <v>0</v>
      </c>
      <c r="ED65" s="10"/>
      <c r="EE65" s="10"/>
    </row>
    <row r="66" spans="2:135" ht="16.5">
      <c r="B66" s="47">
        <v>55</v>
      </c>
      <c r="C66" s="50" t="s">
        <v>737</v>
      </c>
      <c r="D66" s="49" t="s">
        <v>153</v>
      </c>
      <c r="E66" s="49"/>
      <c r="F66" s="49"/>
      <c r="G66" s="49"/>
      <c r="H66" s="71">
        <f t="shared" si="9"/>
        <v>1.2</v>
      </c>
      <c r="I66" s="10">
        <v>1</v>
      </c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1">
        <f t="shared" si="0"/>
        <v>0</v>
      </c>
      <c r="DA66" s="10"/>
      <c r="DB66" s="10"/>
      <c r="DC66" s="10"/>
      <c r="DD66" s="10"/>
      <c r="DE66" s="10"/>
      <c r="DF66" s="10"/>
      <c r="DG66" s="10"/>
      <c r="DH66" s="10"/>
      <c r="DI66" s="10"/>
      <c r="DJ66" s="11">
        <f t="shared" si="1"/>
        <v>0</v>
      </c>
      <c r="DK66" s="10"/>
      <c r="DL66" s="10"/>
      <c r="DM66" s="10"/>
      <c r="DN66" s="11">
        <f t="shared" si="2"/>
        <v>0</v>
      </c>
      <c r="DO66" s="10"/>
      <c r="DP66" s="10"/>
      <c r="DQ66" s="10">
        <v>0</v>
      </c>
      <c r="DR66" s="11">
        <f t="shared" si="3"/>
        <v>0</v>
      </c>
      <c r="DS66" s="10">
        <v>0</v>
      </c>
      <c r="DT66" s="11">
        <f t="shared" si="4"/>
        <v>0</v>
      </c>
      <c r="DU66" s="10"/>
      <c r="DV66" s="11">
        <f t="shared" si="5"/>
        <v>0</v>
      </c>
      <c r="DW66" s="10">
        <v>1</v>
      </c>
      <c r="DX66" s="11">
        <f t="shared" si="6"/>
        <v>1.2</v>
      </c>
      <c r="DY66" s="10"/>
      <c r="DZ66" s="10"/>
      <c r="EA66" s="11">
        <f t="shared" si="7"/>
        <v>0</v>
      </c>
      <c r="EB66" s="10"/>
      <c r="EC66" s="11">
        <f t="shared" si="8"/>
        <v>0</v>
      </c>
      <c r="ED66" s="10"/>
      <c r="EE66" s="10"/>
    </row>
    <row r="67" spans="2:135" ht="16.5">
      <c r="B67" s="47">
        <v>56</v>
      </c>
      <c r="C67" s="50" t="s">
        <v>738</v>
      </c>
      <c r="D67" s="49" t="s">
        <v>154</v>
      </c>
      <c r="E67" s="49"/>
      <c r="F67" s="49"/>
      <c r="G67" s="49"/>
      <c r="H67" s="71">
        <f t="shared" si="9"/>
        <v>63.599999999999994</v>
      </c>
      <c r="I67" s="10">
        <v>53</v>
      </c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1">
        <f t="shared" si="0"/>
        <v>0</v>
      </c>
      <c r="DA67" s="10"/>
      <c r="DB67" s="10"/>
      <c r="DC67" s="10"/>
      <c r="DD67" s="10"/>
      <c r="DE67" s="10"/>
      <c r="DF67" s="10"/>
      <c r="DG67" s="10"/>
      <c r="DH67" s="10"/>
      <c r="DI67" s="10"/>
      <c r="DJ67" s="11">
        <f t="shared" si="1"/>
        <v>0</v>
      </c>
      <c r="DK67" s="10"/>
      <c r="DL67" s="10"/>
      <c r="DM67" s="10"/>
      <c r="DN67" s="11">
        <f t="shared" si="2"/>
        <v>0</v>
      </c>
      <c r="DO67" s="10"/>
      <c r="DP67" s="10"/>
      <c r="DQ67" s="10">
        <v>34</v>
      </c>
      <c r="DR67" s="11">
        <f t="shared" si="3"/>
        <v>2162.3999999999996</v>
      </c>
      <c r="DS67" s="10">
        <v>8</v>
      </c>
      <c r="DT67" s="11">
        <f t="shared" si="4"/>
        <v>508.79999999999995</v>
      </c>
      <c r="DU67" s="10">
        <v>3</v>
      </c>
      <c r="DV67" s="11">
        <f t="shared" si="5"/>
        <v>190.79999999999998</v>
      </c>
      <c r="DW67" s="10">
        <v>8</v>
      </c>
      <c r="DX67" s="11">
        <f t="shared" si="6"/>
        <v>508.79999999999995</v>
      </c>
      <c r="DY67" s="10"/>
      <c r="DZ67" s="10"/>
      <c r="EA67" s="11">
        <f t="shared" si="7"/>
        <v>0</v>
      </c>
      <c r="EB67" s="10"/>
      <c r="EC67" s="11">
        <f t="shared" si="8"/>
        <v>0</v>
      </c>
      <c r="ED67" s="10"/>
      <c r="EE67" s="10"/>
    </row>
    <row r="68" spans="2:135" ht="16.5">
      <c r="B68" s="47">
        <v>57</v>
      </c>
      <c r="C68" s="50" t="s">
        <v>739</v>
      </c>
      <c r="D68" s="49" t="s">
        <v>155</v>
      </c>
      <c r="E68" s="49"/>
      <c r="F68" s="49"/>
      <c r="G68" s="49"/>
      <c r="H68" s="71">
        <f t="shared" si="9"/>
        <v>1.2</v>
      </c>
      <c r="I68" s="10">
        <v>1</v>
      </c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1">
        <f t="shared" si="0"/>
        <v>0</v>
      </c>
      <c r="DA68" s="10"/>
      <c r="DB68" s="10"/>
      <c r="DC68" s="10"/>
      <c r="DD68" s="10"/>
      <c r="DE68" s="10"/>
      <c r="DF68" s="10"/>
      <c r="DG68" s="10"/>
      <c r="DH68" s="10"/>
      <c r="DI68" s="10"/>
      <c r="DJ68" s="11">
        <f t="shared" si="1"/>
        <v>0</v>
      </c>
      <c r="DK68" s="10"/>
      <c r="DL68" s="10"/>
      <c r="DM68" s="10"/>
      <c r="DN68" s="11">
        <f t="shared" si="2"/>
        <v>0</v>
      </c>
      <c r="DO68" s="10"/>
      <c r="DP68" s="10"/>
      <c r="DQ68" s="10">
        <v>1</v>
      </c>
      <c r="DR68" s="11">
        <f t="shared" si="3"/>
        <v>1.2</v>
      </c>
      <c r="DS68" s="10">
        <v>0</v>
      </c>
      <c r="DT68" s="11">
        <f t="shared" si="4"/>
        <v>0</v>
      </c>
      <c r="DU68" s="10"/>
      <c r="DV68" s="11">
        <f t="shared" si="5"/>
        <v>0</v>
      </c>
      <c r="DW68" s="10">
        <v>0</v>
      </c>
      <c r="DX68" s="11">
        <f t="shared" si="6"/>
        <v>0</v>
      </c>
      <c r="DY68" s="10"/>
      <c r="DZ68" s="10"/>
      <c r="EA68" s="11">
        <f t="shared" si="7"/>
        <v>0</v>
      </c>
      <c r="EB68" s="10"/>
      <c r="EC68" s="11">
        <f t="shared" si="8"/>
        <v>0</v>
      </c>
      <c r="ED68" s="10"/>
      <c r="EE68" s="10"/>
    </row>
    <row r="69" spans="2:135" ht="16.5">
      <c r="B69" s="47">
        <v>58</v>
      </c>
      <c r="C69" s="50" t="s">
        <v>740</v>
      </c>
      <c r="D69" s="49" t="s">
        <v>156</v>
      </c>
      <c r="E69" s="49"/>
      <c r="F69" s="49"/>
      <c r="G69" s="49"/>
      <c r="H69" s="71">
        <f t="shared" si="9"/>
        <v>64.8</v>
      </c>
      <c r="I69" s="10">
        <v>54</v>
      </c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>
        <v>1</v>
      </c>
      <c r="CZ69" s="11">
        <f t="shared" si="0"/>
        <v>64.8</v>
      </c>
      <c r="DA69" s="10"/>
      <c r="DB69" s="10"/>
      <c r="DC69" s="10"/>
      <c r="DD69" s="10"/>
      <c r="DE69" s="10"/>
      <c r="DF69" s="10"/>
      <c r="DG69" s="10"/>
      <c r="DH69" s="10"/>
      <c r="DI69" s="10">
        <v>1</v>
      </c>
      <c r="DJ69" s="11">
        <f t="shared" si="1"/>
        <v>64.8</v>
      </c>
      <c r="DK69" s="10"/>
      <c r="DL69" s="10"/>
      <c r="DM69" s="10"/>
      <c r="DN69" s="11">
        <f t="shared" si="2"/>
        <v>0</v>
      </c>
      <c r="DO69" s="10"/>
      <c r="DP69" s="10"/>
      <c r="DQ69" s="10">
        <v>38</v>
      </c>
      <c r="DR69" s="11">
        <f t="shared" si="3"/>
        <v>2462.4</v>
      </c>
      <c r="DS69" s="10">
        <v>1</v>
      </c>
      <c r="DT69" s="11">
        <f t="shared" si="4"/>
        <v>64.8</v>
      </c>
      <c r="DU69" s="10">
        <v>1</v>
      </c>
      <c r="DV69" s="11">
        <f t="shared" si="5"/>
        <v>64.8</v>
      </c>
      <c r="DW69" s="10">
        <v>12</v>
      </c>
      <c r="DX69" s="11">
        <f t="shared" si="6"/>
        <v>777.59999999999991</v>
      </c>
      <c r="DY69" s="10"/>
      <c r="DZ69" s="10"/>
      <c r="EA69" s="11">
        <f t="shared" si="7"/>
        <v>0</v>
      </c>
      <c r="EB69" s="10"/>
      <c r="EC69" s="11">
        <f t="shared" si="8"/>
        <v>0</v>
      </c>
      <c r="ED69" s="10"/>
      <c r="EE69" s="10"/>
    </row>
    <row r="70" spans="2:135" ht="16.5">
      <c r="B70" s="47">
        <v>59</v>
      </c>
      <c r="C70" s="50" t="s">
        <v>741</v>
      </c>
      <c r="D70" s="49" t="s">
        <v>157</v>
      </c>
      <c r="E70" s="49"/>
      <c r="F70" s="49"/>
      <c r="G70" s="49"/>
      <c r="H70" s="71">
        <f t="shared" si="9"/>
        <v>140.4</v>
      </c>
      <c r="I70" s="10">
        <v>117</v>
      </c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>
        <v>13</v>
      </c>
      <c r="CZ70" s="11">
        <f t="shared" si="0"/>
        <v>1825.2</v>
      </c>
      <c r="DA70" s="10"/>
      <c r="DB70" s="10"/>
      <c r="DC70" s="10"/>
      <c r="DD70" s="10"/>
      <c r="DE70" s="10"/>
      <c r="DF70" s="10"/>
      <c r="DG70" s="10"/>
      <c r="DH70" s="10"/>
      <c r="DI70" s="10">
        <v>3</v>
      </c>
      <c r="DJ70" s="11">
        <f t="shared" si="1"/>
        <v>421.20000000000005</v>
      </c>
      <c r="DK70" s="10"/>
      <c r="DL70" s="10"/>
      <c r="DM70" s="10">
        <v>9</v>
      </c>
      <c r="DN70" s="11">
        <f t="shared" si="2"/>
        <v>1263.6000000000001</v>
      </c>
      <c r="DO70" s="10"/>
      <c r="DP70" s="10"/>
      <c r="DQ70" s="10">
        <v>80</v>
      </c>
      <c r="DR70" s="11">
        <f t="shared" si="3"/>
        <v>11232</v>
      </c>
      <c r="DS70" s="10">
        <v>0</v>
      </c>
      <c r="DT70" s="11">
        <f t="shared" si="4"/>
        <v>0</v>
      </c>
      <c r="DU70" s="10">
        <v>1</v>
      </c>
      <c r="DV70" s="11">
        <f t="shared" si="5"/>
        <v>140.4</v>
      </c>
      <c r="DW70" s="10">
        <v>5</v>
      </c>
      <c r="DX70" s="11">
        <f t="shared" si="6"/>
        <v>702</v>
      </c>
      <c r="DY70" s="10"/>
      <c r="DZ70" s="10">
        <v>5</v>
      </c>
      <c r="EA70" s="11">
        <f t="shared" si="7"/>
        <v>702</v>
      </c>
      <c r="EB70" s="10">
        <v>1</v>
      </c>
      <c r="EC70" s="11">
        <f t="shared" si="8"/>
        <v>140.4</v>
      </c>
      <c r="ED70" s="10"/>
      <c r="EE70" s="10"/>
    </row>
    <row r="71" spans="2:135" ht="16.5">
      <c r="B71" s="47">
        <v>60</v>
      </c>
      <c r="C71" s="50" t="s">
        <v>742</v>
      </c>
      <c r="D71" s="49" t="s">
        <v>158</v>
      </c>
      <c r="E71" s="49"/>
      <c r="F71" s="49"/>
      <c r="G71" s="49"/>
      <c r="H71" s="71">
        <f t="shared" si="9"/>
        <v>9.6</v>
      </c>
      <c r="I71" s="10">
        <v>8</v>
      </c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1">
        <f t="shared" si="0"/>
        <v>0</v>
      </c>
      <c r="DA71" s="10"/>
      <c r="DB71" s="10"/>
      <c r="DC71" s="10"/>
      <c r="DD71" s="10"/>
      <c r="DE71" s="10"/>
      <c r="DF71" s="10"/>
      <c r="DG71" s="10"/>
      <c r="DH71" s="10"/>
      <c r="DI71" s="10"/>
      <c r="DJ71" s="11">
        <f t="shared" si="1"/>
        <v>0</v>
      </c>
      <c r="DK71" s="10"/>
      <c r="DL71" s="10"/>
      <c r="DM71" s="10"/>
      <c r="DN71" s="11">
        <f t="shared" si="2"/>
        <v>0</v>
      </c>
      <c r="DO71" s="10"/>
      <c r="DP71" s="10"/>
      <c r="DQ71" s="10">
        <v>5</v>
      </c>
      <c r="DR71" s="11">
        <f t="shared" si="3"/>
        <v>48</v>
      </c>
      <c r="DS71" s="10">
        <v>3</v>
      </c>
      <c r="DT71" s="11">
        <f t="shared" si="4"/>
        <v>28.799999999999997</v>
      </c>
      <c r="DU71" s="10"/>
      <c r="DV71" s="11">
        <f t="shared" si="5"/>
        <v>0</v>
      </c>
      <c r="DW71" s="10">
        <v>0</v>
      </c>
      <c r="DX71" s="11">
        <f t="shared" si="6"/>
        <v>0</v>
      </c>
      <c r="DY71" s="10"/>
      <c r="DZ71" s="10"/>
      <c r="EA71" s="11">
        <f t="shared" si="7"/>
        <v>0</v>
      </c>
      <c r="EB71" s="10"/>
      <c r="EC71" s="11">
        <f t="shared" si="8"/>
        <v>0</v>
      </c>
      <c r="ED71" s="10"/>
      <c r="EE71" s="10"/>
    </row>
    <row r="72" spans="2:135" ht="16.5">
      <c r="B72" s="47">
        <v>61</v>
      </c>
      <c r="C72" s="50" t="s">
        <v>743</v>
      </c>
      <c r="D72" s="49" t="s">
        <v>159</v>
      </c>
      <c r="E72" s="49"/>
      <c r="F72" s="49"/>
      <c r="G72" s="49"/>
      <c r="H72" s="71">
        <f t="shared" si="9"/>
        <v>6</v>
      </c>
      <c r="I72" s="10">
        <v>5</v>
      </c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1">
        <f t="shared" si="0"/>
        <v>0</v>
      </c>
      <c r="DA72" s="10"/>
      <c r="DB72" s="10"/>
      <c r="DC72" s="10"/>
      <c r="DD72" s="10"/>
      <c r="DE72" s="10"/>
      <c r="DF72" s="10"/>
      <c r="DG72" s="10"/>
      <c r="DH72" s="10"/>
      <c r="DI72" s="10"/>
      <c r="DJ72" s="11">
        <f t="shared" si="1"/>
        <v>0</v>
      </c>
      <c r="DK72" s="10"/>
      <c r="DL72" s="10"/>
      <c r="DM72" s="10">
        <v>5</v>
      </c>
      <c r="DN72" s="11">
        <f t="shared" si="2"/>
        <v>30</v>
      </c>
      <c r="DO72" s="10"/>
      <c r="DP72" s="10"/>
      <c r="DQ72" s="10">
        <v>0</v>
      </c>
      <c r="DR72" s="11">
        <f t="shared" si="3"/>
        <v>0</v>
      </c>
      <c r="DS72" s="10">
        <v>0</v>
      </c>
      <c r="DT72" s="11">
        <f t="shared" si="4"/>
        <v>0</v>
      </c>
      <c r="DU72" s="10"/>
      <c r="DV72" s="11">
        <f t="shared" si="5"/>
        <v>0</v>
      </c>
      <c r="DW72" s="10">
        <v>0</v>
      </c>
      <c r="DX72" s="11">
        <f t="shared" si="6"/>
        <v>0</v>
      </c>
      <c r="DY72" s="10"/>
      <c r="DZ72" s="10"/>
      <c r="EA72" s="11">
        <f t="shared" si="7"/>
        <v>0</v>
      </c>
      <c r="EB72" s="10"/>
      <c r="EC72" s="11">
        <f t="shared" si="8"/>
        <v>0</v>
      </c>
      <c r="ED72" s="10"/>
      <c r="EE72" s="10"/>
    </row>
    <row r="73" spans="2:135" ht="16.5">
      <c r="B73" s="47">
        <v>62</v>
      </c>
      <c r="C73" s="50" t="s">
        <v>744</v>
      </c>
      <c r="D73" s="49" t="s">
        <v>160</v>
      </c>
      <c r="E73" s="49"/>
      <c r="F73" s="49"/>
      <c r="G73" s="49"/>
      <c r="H73" s="71">
        <f t="shared" si="9"/>
        <v>4.8</v>
      </c>
      <c r="I73" s="10">
        <v>4</v>
      </c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1">
        <f t="shared" si="0"/>
        <v>0</v>
      </c>
      <c r="DA73" s="10"/>
      <c r="DB73" s="10"/>
      <c r="DC73" s="10"/>
      <c r="DD73" s="10"/>
      <c r="DE73" s="10"/>
      <c r="DF73" s="10"/>
      <c r="DG73" s="10"/>
      <c r="DH73" s="10"/>
      <c r="DI73" s="10"/>
      <c r="DJ73" s="11">
        <f t="shared" si="1"/>
        <v>0</v>
      </c>
      <c r="DK73" s="10"/>
      <c r="DL73" s="10"/>
      <c r="DM73" s="10"/>
      <c r="DN73" s="11">
        <f t="shared" si="2"/>
        <v>0</v>
      </c>
      <c r="DO73" s="10"/>
      <c r="DP73" s="10"/>
      <c r="DQ73" s="10">
        <v>4</v>
      </c>
      <c r="DR73" s="11">
        <f t="shared" si="3"/>
        <v>19.2</v>
      </c>
      <c r="DS73" s="10">
        <v>0</v>
      </c>
      <c r="DT73" s="11">
        <f t="shared" si="4"/>
        <v>0</v>
      </c>
      <c r="DU73" s="10"/>
      <c r="DV73" s="11">
        <f t="shared" si="5"/>
        <v>0</v>
      </c>
      <c r="DW73" s="10">
        <v>0</v>
      </c>
      <c r="DX73" s="11">
        <f t="shared" si="6"/>
        <v>0</v>
      </c>
      <c r="DY73" s="10"/>
      <c r="DZ73" s="10"/>
      <c r="EA73" s="11">
        <f t="shared" si="7"/>
        <v>0</v>
      </c>
      <c r="EB73" s="10"/>
      <c r="EC73" s="11">
        <f t="shared" si="8"/>
        <v>0</v>
      </c>
      <c r="ED73" s="10"/>
      <c r="EE73" s="10"/>
    </row>
    <row r="74" spans="2:135" ht="16.5">
      <c r="B74" s="47">
        <v>63</v>
      </c>
      <c r="C74" s="50" t="s">
        <v>745</v>
      </c>
      <c r="D74" s="49" t="s">
        <v>161</v>
      </c>
      <c r="E74" s="49"/>
      <c r="F74" s="49"/>
      <c r="G74" s="49"/>
      <c r="H74" s="71">
        <f t="shared" si="9"/>
        <v>6</v>
      </c>
      <c r="I74" s="10">
        <v>5</v>
      </c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1">
        <f t="shared" si="0"/>
        <v>0</v>
      </c>
      <c r="DA74" s="10"/>
      <c r="DB74" s="10"/>
      <c r="DC74" s="10"/>
      <c r="DD74" s="10"/>
      <c r="DE74" s="10"/>
      <c r="DF74" s="10"/>
      <c r="DG74" s="10"/>
      <c r="DH74" s="10"/>
      <c r="DI74" s="10"/>
      <c r="DJ74" s="11">
        <f t="shared" si="1"/>
        <v>0</v>
      </c>
      <c r="DK74" s="10"/>
      <c r="DL74" s="10"/>
      <c r="DM74" s="10"/>
      <c r="DN74" s="11">
        <f t="shared" si="2"/>
        <v>0</v>
      </c>
      <c r="DO74" s="10"/>
      <c r="DP74" s="10"/>
      <c r="DQ74" s="10">
        <v>3</v>
      </c>
      <c r="DR74" s="11">
        <f t="shared" si="3"/>
        <v>18</v>
      </c>
      <c r="DS74" s="10">
        <v>0</v>
      </c>
      <c r="DT74" s="11">
        <f t="shared" si="4"/>
        <v>0</v>
      </c>
      <c r="DU74" s="10">
        <v>1</v>
      </c>
      <c r="DV74" s="11">
        <f t="shared" si="5"/>
        <v>6</v>
      </c>
      <c r="DW74" s="10">
        <v>1</v>
      </c>
      <c r="DX74" s="11">
        <f t="shared" si="6"/>
        <v>6</v>
      </c>
      <c r="DY74" s="10"/>
      <c r="DZ74" s="10"/>
      <c r="EA74" s="11">
        <f t="shared" si="7"/>
        <v>0</v>
      </c>
      <c r="EB74" s="10"/>
      <c r="EC74" s="11">
        <f t="shared" si="8"/>
        <v>0</v>
      </c>
      <c r="ED74" s="10"/>
      <c r="EE74" s="10"/>
    </row>
    <row r="75" spans="2:135" ht="16.5">
      <c r="B75" s="47">
        <v>64</v>
      </c>
      <c r="C75" s="50" t="s">
        <v>746</v>
      </c>
      <c r="D75" s="49" t="s">
        <v>162</v>
      </c>
      <c r="E75" s="49"/>
      <c r="F75" s="49"/>
      <c r="G75" s="49"/>
      <c r="H75" s="71">
        <f t="shared" si="9"/>
        <v>2.4</v>
      </c>
      <c r="I75" s="10">
        <v>2</v>
      </c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1">
        <f t="shared" si="0"/>
        <v>0</v>
      </c>
      <c r="DA75" s="10"/>
      <c r="DB75" s="10"/>
      <c r="DC75" s="10"/>
      <c r="DD75" s="10"/>
      <c r="DE75" s="10"/>
      <c r="DF75" s="10"/>
      <c r="DG75" s="10"/>
      <c r="DH75" s="10"/>
      <c r="DI75" s="10">
        <v>2</v>
      </c>
      <c r="DJ75" s="11">
        <f t="shared" si="1"/>
        <v>4.8</v>
      </c>
      <c r="DK75" s="10"/>
      <c r="DL75" s="10"/>
      <c r="DM75" s="10"/>
      <c r="DN75" s="11">
        <f t="shared" si="2"/>
        <v>0</v>
      </c>
      <c r="DO75" s="10"/>
      <c r="DP75" s="10"/>
      <c r="DQ75" s="10">
        <v>0</v>
      </c>
      <c r="DR75" s="11">
        <f t="shared" si="3"/>
        <v>0</v>
      </c>
      <c r="DS75" s="10">
        <v>0</v>
      </c>
      <c r="DT75" s="11">
        <f t="shared" si="4"/>
        <v>0</v>
      </c>
      <c r="DU75" s="10"/>
      <c r="DV75" s="11">
        <f t="shared" si="5"/>
        <v>0</v>
      </c>
      <c r="DW75" s="10">
        <v>0</v>
      </c>
      <c r="DX75" s="11">
        <f t="shared" si="6"/>
        <v>0</v>
      </c>
      <c r="DY75" s="10"/>
      <c r="DZ75" s="10"/>
      <c r="EA75" s="11">
        <f t="shared" si="7"/>
        <v>0</v>
      </c>
      <c r="EB75" s="10"/>
      <c r="EC75" s="11">
        <f t="shared" si="8"/>
        <v>0</v>
      </c>
      <c r="ED75" s="10"/>
      <c r="EE75" s="10"/>
    </row>
    <row r="76" spans="2:135" ht="16.5">
      <c r="B76" s="47">
        <v>65</v>
      </c>
      <c r="C76" s="50" t="s">
        <v>747</v>
      </c>
      <c r="D76" s="49" t="s">
        <v>163</v>
      </c>
      <c r="E76" s="49"/>
      <c r="F76" s="49"/>
      <c r="G76" s="49"/>
      <c r="H76" s="71">
        <f t="shared" si="9"/>
        <v>4.8</v>
      </c>
      <c r="I76" s="10">
        <v>4</v>
      </c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1">
        <f t="shared" si="0"/>
        <v>0</v>
      </c>
      <c r="DA76" s="10"/>
      <c r="DB76" s="10"/>
      <c r="DC76" s="10"/>
      <c r="DD76" s="10"/>
      <c r="DE76" s="10"/>
      <c r="DF76" s="10"/>
      <c r="DG76" s="10"/>
      <c r="DH76" s="10"/>
      <c r="DI76" s="10"/>
      <c r="DJ76" s="11">
        <f t="shared" si="1"/>
        <v>0</v>
      </c>
      <c r="DK76" s="10"/>
      <c r="DL76" s="10"/>
      <c r="DM76" s="10"/>
      <c r="DN76" s="11">
        <f t="shared" si="2"/>
        <v>0</v>
      </c>
      <c r="DO76" s="10"/>
      <c r="DP76" s="10"/>
      <c r="DQ76" s="10">
        <v>4</v>
      </c>
      <c r="DR76" s="11">
        <f t="shared" si="3"/>
        <v>19.2</v>
      </c>
      <c r="DS76" s="10">
        <v>0</v>
      </c>
      <c r="DT76" s="11">
        <f t="shared" si="4"/>
        <v>0</v>
      </c>
      <c r="DU76" s="10"/>
      <c r="DV76" s="11">
        <f t="shared" si="5"/>
        <v>0</v>
      </c>
      <c r="DW76" s="10">
        <v>0</v>
      </c>
      <c r="DX76" s="11">
        <f t="shared" si="6"/>
        <v>0</v>
      </c>
      <c r="DY76" s="10"/>
      <c r="DZ76" s="10"/>
      <c r="EA76" s="11">
        <f t="shared" si="7"/>
        <v>0</v>
      </c>
      <c r="EB76" s="10"/>
      <c r="EC76" s="11">
        <f t="shared" si="8"/>
        <v>0</v>
      </c>
      <c r="ED76" s="10"/>
      <c r="EE76" s="10"/>
    </row>
    <row r="77" spans="2:135" ht="16.5">
      <c r="B77" s="47">
        <v>66</v>
      </c>
      <c r="C77" s="50" t="s">
        <v>748</v>
      </c>
      <c r="D77" s="49" t="s">
        <v>164</v>
      </c>
      <c r="E77" s="49"/>
      <c r="F77" s="49"/>
      <c r="G77" s="49"/>
      <c r="H77" s="71">
        <f t="shared" si="9"/>
        <v>1.2</v>
      </c>
      <c r="I77" s="10">
        <v>1</v>
      </c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1">
        <f t="shared" ref="CZ77:CZ140" si="10">H77*CY77</f>
        <v>0</v>
      </c>
      <c r="DA77" s="10"/>
      <c r="DB77" s="10"/>
      <c r="DC77" s="10"/>
      <c r="DD77" s="10"/>
      <c r="DE77" s="10"/>
      <c r="DF77" s="10"/>
      <c r="DG77" s="10"/>
      <c r="DH77" s="10"/>
      <c r="DI77" s="10">
        <v>1</v>
      </c>
      <c r="DJ77" s="11">
        <f t="shared" ref="DJ77:DJ140" si="11">DI77*H77</f>
        <v>1.2</v>
      </c>
      <c r="DK77" s="10"/>
      <c r="DL77" s="10"/>
      <c r="DM77" s="10"/>
      <c r="DN77" s="11">
        <f t="shared" ref="DN77:DN140" si="12">DM77*H77</f>
        <v>0</v>
      </c>
      <c r="DO77" s="10"/>
      <c r="DP77" s="10"/>
      <c r="DQ77" s="10">
        <v>0</v>
      </c>
      <c r="DR77" s="11">
        <f t="shared" ref="DR77:DR140" si="13">H77*DQ77</f>
        <v>0</v>
      </c>
      <c r="DS77" s="10">
        <v>0</v>
      </c>
      <c r="DT77" s="11">
        <f t="shared" ref="DT77:DT140" si="14">DS77*H77</f>
        <v>0</v>
      </c>
      <c r="DU77" s="10"/>
      <c r="DV77" s="11">
        <f t="shared" ref="DV77:DV140" si="15">DU77*H77</f>
        <v>0</v>
      </c>
      <c r="DW77" s="10">
        <v>0</v>
      </c>
      <c r="DX77" s="11">
        <f t="shared" ref="DX77:DX140" si="16">H77*DW77</f>
        <v>0</v>
      </c>
      <c r="DY77" s="10"/>
      <c r="DZ77" s="10"/>
      <c r="EA77" s="11">
        <f t="shared" ref="EA77:EA140" si="17">H77*DZ77</f>
        <v>0</v>
      </c>
      <c r="EB77" s="10"/>
      <c r="EC77" s="11">
        <f t="shared" ref="EC77:EC140" si="18">EB77*H77</f>
        <v>0</v>
      </c>
      <c r="ED77" s="10"/>
      <c r="EE77" s="10"/>
    </row>
    <row r="78" spans="2:135" ht="16.5">
      <c r="B78" s="47">
        <v>67</v>
      </c>
      <c r="C78" s="50" t="s">
        <v>749</v>
      </c>
      <c r="D78" s="49" t="s">
        <v>165</v>
      </c>
      <c r="E78" s="49"/>
      <c r="F78" s="49"/>
      <c r="G78" s="49"/>
      <c r="H78" s="71">
        <f t="shared" ref="H78:H141" si="19">I78*1.2</f>
        <v>2.4</v>
      </c>
      <c r="I78" s="10">
        <v>2</v>
      </c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1">
        <f t="shared" si="10"/>
        <v>0</v>
      </c>
      <c r="DA78" s="10"/>
      <c r="DB78" s="10"/>
      <c r="DC78" s="10"/>
      <c r="DD78" s="10"/>
      <c r="DE78" s="10"/>
      <c r="DF78" s="10"/>
      <c r="DG78" s="10"/>
      <c r="DH78" s="10"/>
      <c r="DI78" s="10">
        <v>2</v>
      </c>
      <c r="DJ78" s="11">
        <f t="shared" si="11"/>
        <v>4.8</v>
      </c>
      <c r="DK78" s="10"/>
      <c r="DL78" s="10"/>
      <c r="DM78" s="10"/>
      <c r="DN78" s="11">
        <f t="shared" si="12"/>
        <v>0</v>
      </c>
      <c r="DO78" s="10"/>
      <c r="DP78" s="10"/>
      <c r="DQ78" s="10">
        <v>0</v>
      </c>
      <c r="DR78" s="11">
        <f t="shared" si="13"/>
        <v>0</v>
      </c>
      <c r="DS78" s="10">
        <v>0</v>
      </c>
      <c r="DT78" s="11">
        <f t="shared" si="14"/>
        <v>0</v>
      </c>
      <c r="DU78" s="10"/>
      <c r="DV78" s="11">
        <f t="shared" si="15"/>
        <v>0</v>
      </c>
      <c r="DW78" s="10">
        <v>0</v>
      </c>
      <c r="DX78" s="11">
        <f t="shared" si="16"/>
        <v>0</v>
      </c>
      <c r="DY78" s="10"/>
      <c r="DZ78" s="10"/>
      <c r="EA78" s="11">
        <f t="shared" si="17"/>
        <v>0</v>
      </c>
      <c r="EB78" s="10"/>
      <c r="EC78" s="11">
        <f t="shared" si="18"/>
        <v>0</v>
      </c>
      <c r="ED78" s="10"/>
      <c r="EE78" s="10"/>
    </row>
    <row r="79" spans="2:135" ht="16.5">
      <c r="B79" s="47">
        <v>68</v>
      </c>
      <c r="C79" s="50" t="s">
        <v>750</v>
      </c>
      <c r="D79" s="49" t="s">
        <v>166</v>
      </c>
      <c r="E79" s="49"/>
      <c r="F79" s="49"/>
      <c r="G79" s="49"/>
      <c r="H79" s="71">
        <f t="shared" si="19"/>
        <v>10.799999999999999</v>
      </c>
      <c r="I79" s="10">
        <v>9</v>
      </c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1">
        <f t="shared" si="10"/>
        <v>0</v>
      </c>
      <c r="DA79" s="10"/>
      <c r="DB79" s="10"/>
      <c r="DC79" s="10"/>
      <c r="DD79" s="10"/>
      <c r="DE79" s="10"/>
      <c r="DF79" s="10"/>
      <c r="DG79" s="10"/>
      <c r="DH79" s="10"/>
      <c r="DI79" s="10"/>
      <c r="DJ79" s="11">
        <f t="shared" si="11"/>
        <v>0</v>
      </c>
      <c r="DK79" s="10"/>
      <c r="DL79" s="10"/>
      <c r="DM79" s="10"/>
      <c r="DN79" s="11">
        <f t="shared" si="12"/>
        <v>0</v>
      </c>
      <c r="DO79" s="10"/>
      <c r="DP79" s="10"/>
      <c r="DQ79" s="10">
        <v>3</v>
      </c>
      <c r="DR79" s="11">
        <f t="shared" si="13"/>
        <v>32.4</v>
      </c>
      <c r="DS79" s="10">
        <v>0</v>
      </c>
      <c r="DT79" s="11">
        <f t="shared" si="14"/>
        <v>0</v>
      </c>
      <c r="DU79" s="10">
        <v>6</v>
      </c>
      <c r="DV79" s="11">
        <f t="shared" si="15"/>
        <v>64.8</v>
      </c>
      <c r="DW79" s="10">
        <v>0</v>
      </c>
      <c r="DX79" s="11">
        <f t="shared" si="16"/>
        <v>0</v>
      </c>
      <c r="DY79" s="10"/>
      <c r="DZ79" s="10"/>
      <c r="EA79" s="11">
        <f t="shared" si="17"/>
        <v>0</v>
      </c>
      <c r="EB79" s="10"/>
      <c r="EC79" s="11">
        <f t="shared" si="18"/>
        <v>0</v>
      </c>
      <c r="ED79" s="10"/>
      <c r="EE79" s="10"/>
    </row>
    <row r="80" spans="2:135" ht="16.5">
      <c r="B80" s="47">
        <v>69</v>
      </c>
      <c r="C80" s="50" t="s">
        <v>751</v>
      </c>
      <c r="D80" s="49" t="s">
        <v>167</v>
      </c>
      <c r="E80" s="49"/>
      <c r="F80" s="49"/>
      <c r="G80" s="49"/>
      <c r="H80" s="71">
        <f t="shared" si="19"/>
        <v>14.399999999999999</v>
      </c>
      <c r="I80" s="10">
        <v>12</v>
      </c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>
        <v>2</v>
      </c>
      <c r="CZ80" s="11">
        <f t="shared" si="10"/>
        <v>28.799999999999997</v>
      </c>
      <c r="DA80" s="10"/>
      <c r="DB80" s="10"/>
      <c r="DC80" s="10"/>
      <c r="DD80" s="10"/>
      <c r="DE80" s="10"/>
      <c r="DF80" s="10"/>
      <c r="DG80" s="10"/>
      <c r="DH80" s="10"/>
      <c r="DI80" s="10"/>
      <c r="DJ80" s="11">
        <f t="shared" si="11"/>
        <v>0</v>
      </c>
      <c r="DK80" s="10"/>
      <c r="DL80" s="10"/>
      <c r="DM80" s="10">
        <v>1</v>
      </c>
      <c r="DN80" s="11">
        <f t="shared" si="12"/>
        <v>14.399999999999999</v>
      </c>
      <c r="DO80" s="10"/>
      <c r="DP80" s="10"/>
      <c r="DQ80" s="10">
        <v>7</v>
      </c>
      <c r="DR80" s="11">
        <f t="shared" si="13"/>
        <v>100.79999999999998</v>
      </c>
      <c r="DS80" s="10">
        <v>0</v>
      </c>
      <c r="DT80" s="11">
        <f t="shared" si="14"/>
        <v>0</v>
      </c>
      <c r="DU80" s="10">
        <v>2</v>
      </c>
      <c r="DV80" s="11">
        <f t="shared" si="15"/>
        <v>28.799999999999997</v>
      </c>
      <c r="DW80" s="10">
        <v>0</v>
      </c>
      <c r="DX80" s="11">
        <f t="shared" si="16"/>
        <v>0</v>
      </c>
      <c r="DY80" s="10"/>
      <c r="DZ80" s="10"/>
      <c r="EA80" s="11">
        <f t="shared" si="17"/>
        <v>0</v>
      </c>
      <c r="EB80" s="10"/>
      <c r="EC80" s="11">
        <f t="shared" si="18"/>
        <v>0</v>
      </c>
      <c r="ED80" s="10"/>
      <c r="EE80" s="10"/>
    </row>
    <row r="81" spans="2:135" ht="16.5">
      <c r="B81" s="47">
        <v>70</v>
      </c>
      <c r="C81" s="50" t="s">
        <v>752</v>
      </c>
      <c r="D81" s="49" t="s">
        <v>168</v>
      </c>
      <c r="E81" s="49"/>
      <c r="F81" s="49"/>
      <c r="G81" s="49"/>
      <c r="H81" s="71">
        <f t="shared" si="19"/>
        <v>4.8</v>
      </c>
      <c r="I81" s="10">
        <v>4</v>
      </c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1">
        <f t="shared" si="10"/>
        <v>0</v>
      </c>
      <c r="DA81" s="10"/>
      <c r="DB81" s="10"/>
      <c r="DC81" s="10"/>
      <c r="DD81" s="10"/>
      <c r="DE81" s="10"/>
      <c r="DF81" s="10"/>
      <c r="DG81" s="10"/>
      <c r="DH81" s="10"/>
      <c r="DI81" s="10">
        <v>1</v>
      </c>
      <c r="DJ81" s="11">
        <f t="shared" si="11"/>
        <v>4.8</v>
      </c>
      <c r="DK81" s="10"/>
      <c r="DL81" s="10"/>
      <c r="DM81" s="10"/>
      <c r="DN81" s="11">
        <f t="shared" si="12"/>
        <v>0</v>
      </c>
      <c r="DO81" s="10"/>
      <c r="DP81" s="10"/>
      <c r="DQ81" s="10">
        <v>3</v>
      </c>
      <c r="DR81" s="11">
        <f t="shared" si="13"/>
        <v>14.399999999999999</v>
      </c>
      <c r="DS81" s="10">
        <v>0</v>
      </c>
      <c r="DT81" s="11">
        <f t="shared" si="14"/>
        <v>0</v>
      </c>
      <c r="DU81" s="10"/>
      <c r="DV81" s="11">
        <f t="shared" si="15"/>
        <v>0</v>
      </c>
      <c r="DW81" s="10">
        <v>0</v>
      </c>
      <c r="DX81" s="11">
        <f t="shared" si="16"/>
        <v>0</v>
      </c>
      <c r="DY81" s="10"/>
      <c r="DZ81" s="10"/>
      <c r="EA81" s="11">
        <f t="shared" si="17"/>
        <v>0</v>
      </c>
      <c r="EB81" s="10"/>
      <c r="EC81" s="11">
        <f t="shared" si="18"/>
        <v>0</v>
      </c>
      <c r="ED81" s="10"/>
      <c r="EE81" s="10"/>
    </row>
    <row r="82" spans="2:135" ht="16.5">
      <c r="B82" s="47">
        <v>71</v>
      </c>
      <c r="C82" s="50" t="s">
        <v>753</v>
      </c>
      <c r="D82" s="49" t="s">
        <v>169</v>
      </c>
      <c r="E82" s="49"/>
      <c r="F82" s="49"/>
      <c r="G82" s="49"/>
      <c r="H82" s="71">
        <f t="shared" si="19"/>
        <v>16.8</v>
      </c>
      <c r="I82" s="10">
        <v>14</v>
      </c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>
        <v>8</v>
      </c>
      <c r="CZ82" s="11">
        <f t="shared" si="10"/>
        <v>134.4</v>
      </c>
      <c r="DA82" s="10"/>
      <c r="DB82" s="10"/>
      <c r="DC82" s="10"/>
      <c r="DD82" s="10"/>
      <c r="DE82" s="10"/>
      <c r="DF82" s="10"/>
      <c r="DG82" s="10"/>
      <c r="DH82" s="10"/>
      <c r="DI82" s="10">
        <v>4</v>
      </c>
      <c r="DJ82" s="11">
        <f t="shared" si="11"/>
        <v>67.2</v>
      </c>
      <c r="DK82" s="10"/>
      <c r="DL82" s="10"/>
      <c r="DM82" s="10"/>
      <c r="DN82" s="11">
        <f t="shared" si="12"/>
        <v>0</v>
      </c>
      <c r="DO82" s="10"/>
      <c r="DP82" s="10"/>
      <c r="DQ82" s="10">
        <v>2</v>
      </c>
      <c r="DR82" s="11">
        <f t="shared" si="13"/>
        <v>33.6</v>
      </c>
      <c r="DS82" s="10">
        <v>0</v>
      </c>
      <c r="DT82" s="11">
        <f t="shared" si="14"/>
        <v>0</v>
      </c>
      <c r="DU82" s="10"/>
      <c r="DV82" s="11">
        <f t="shared" si="15"/>
        <v>0</v>
      </c>
      <c r="DW82" s="10">
        <v>0</v>
      </c>
      <c r="DX82" s="11">
        <f t="shared" si="16"/>
        <v>0</v>
      </c>
      <c r="DY82" s="10"/>
      <c r="DZ82" s="10"/>
      <c r="EA82" s="11">
        <f t="shared" si="17"/>
        <v>0</v>
      </c>
      <c r="EB82" s="10"/>
      <c r="EC82" s="11">
        <f t="shared" si="18"/>
        <v>0</v>
      </c>
      <c r="ED82" s="10"/>
      <c r="EE82" s="10"/>
    </row>
    <row r="83" spans="2:135" ht="16.5">
      <c r="B83" s="47">
        <v>72</v>
      </c>
      <c r="C83" s="50" t="s">
        <v>754</v>
      </c>
      <c r="D83" s="49" t="s">
        <v>170</v>
      </c>
      <c r="E83" s="49"/>
      <c r="F83" s="49"/>
      <c r="G83" s="49"/>
      <c r="H83" s="71">
        <f t="shared" si="19"/>
        <v>12</v>
      </c>
      <c r="I83" s="10">
        <v>10</v>
      </c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1">
        <f t="shared" si="10"/>
        <v>0</v>
      </c>
      <c r="DA83" s="10"/>
      <c r="DB83" s="10"/>
      <c r="DC83" s="10"/>
      <c r="DD83" s="10"/>
      <c r="DE83" s="10"/>
      <c r="DF83" s="10"/>
      <c r="DG83" s="10"/>
      <c r="DH83" s="10"/>
      <c r="DI83" s="10"/>
      <c r="DJ83" s="11">
        <f t="shared" si="11"/>
        <v>0</v>
      </c>
      <c r="DK83" s="10"/>
      <c r="DL83" s="10"/>
      <c r="DM83" s="10"/>
      <c r="DN83" s="11">
        <f t="shared" si="12"/>
        <v>0</v>
      </c>
      <c r="DO83" s="10"/>
      <c r="DP83" s="10"/>
      <c r="DQ83" s="10">
        <v>3</v>
      </c>
      <c r="DR83" s="11">
        <f t="shared" si="13"/>
        <v>36</v>
      </c>
      <c r="DS83" s="10">
        <v>0</v>
      </c>
      <c r="DT83" s="11">
        <f t="shared" si="14"/>
        <v>0</v>
      </c>
      <c r="DU83" s="10">
        <v>3</v>
      </c>
      <c r="DV83" s="11">
        <f t="shared" si="15"/>
        <v>36</v>
      </c>
      <c r="DW83" s="10">
        <v>3</v>
      </c>
      <c r="DX83" s="11">
        <f t="shared" si="16"/>
        <v>36</v>
      </c>
      <c r="DY83" s="10"/>
      <c r="DZ83" s="10">
        <v>1</v>
      </c>
      <c r="EA83" s="11">
        <f t="shared" si="17"/>
        <v>12</v>
      </c>
      <c r="EB83" s="10"/>
      <c r="EC83" s="11">
        <f t="shared" si="18"/>
        <v>0</v>
      </c>
      <c r="ED83" s="10"/>
      <c r="EE83" s="10"/>
    </row>
    <row r="84" spans="2:135" ht="16.5">
      <c r="B84" s="47">
        <v>73</v>
      </c>
      <c r="C84" s="50" t="s">
        <v>755</v>
      </c>
      <c r="D84" s="49" t="s">
        <v>171</v>
      </c>
      <c r="E84" s="49"/>
      <c r="F84" s="49"/>
      <c r="G84" s="49"/>
      <c r="H84" s="71">
        <f t="shared" si="19"/>
        <v>3.5999999999999996</v>
      </c>
      <c r="I84" s="10">
        <v>3</v>
      </c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>
        <v>3</v>
      </c>
      <c r="CZ84" s="11">
        <f t="shared" si="10"/>
        <v>10.799999999999999</v>
      </c>
      <c r="DA84" s="10"/>
      <c r="DB84" s="10"/>
      <c r="DC84" s="10"/>
      <c r="DD84" s="10"/>
      <c r="DE84" s="10"/>
      <c r="DF84" s="10"/>
      <c r="DG84" s="10"/>
      <c r="DH84" s="10"/>
      <c r="DI84" s="10"/>
      <c r="DJ84" s="11">
        <f t="shared" si="11"/>
        <v>0</v>
      </c>
      <c r="DK84" s="10"/>
      <c r="DL84" s="10"/>
      <c r="DM84" s="10"/>
      <c r="DN84" s="11">
        <f t="shared" si="12"/>
        <v>0</v>
      </c>
      <c r="DO84" s="10"/>
      <c r="DP84" s="10"/>
      <c r="DQ84" s="10">
        <v>0</v>
      </c>
      <c r="DR84" s="11">
        <f t="shared" si="13"/>
        <v>0</v>
      </c>
      <c r="DS84" s="10">
        <v>0</v>
      </c>
      <c r="DT84" s="11">
        <f t="shared" si="14"/>
        <v>0</v>
      </c>
      <c r="DU84" s="10"/>
      <c r="DV84" s="11">
        <f t="shared" si="15"/>
        <v>0</v>
      </c>
      <c r="DW84" s="10">
        <v>0</v>
      </c>
      <c r="DX84" s="11">
        <f t="shared" si="16"/>
        <v>0</v>
      </c>
      <c r="DY84" s="10"/>
      <c r="DZ84" s="10"/>
      <c r="EA84" s="11">
        <f t="shared" si="17"/>
        <v>0</v>
      </c>
      <c r="EB84" s="10"/>
      <c r="EC84" s="11">
        <f t="shared" si="18"/>
        <v>0</v>
      </c>
      <c r="ED84" s="10"/>
      <c r="EE84" s="10"/>
    </row>
    <row r="85" spans="2:135" ht="16.5">
      <c r="B85" s="47">
        <v>74</v>
      </c>
      <c r="C85" s="50" t="s">
        <v>756</v>
      </c>
      <c r="D85" s="49" t="s">
        <v>172</v>
      </c>
      <c r="E85" s="49"/>
      <c r="F85" s="49"/>
      <c r="G85" s="49"/>
      <c r="H85" s="71">
        <f t="shared" si="19"/>
        <v>7.1999999999999993</v>
      </c>
      <c r="I85" s="10">
        <v>6</v>
      </c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1">
        <f t="shared" si="10"/>
        <v>0</v>
      </c>
      <c r="DA85" s="10"/>
      <c r="DB85" s="10"/>
      <c r="DC85" s="10"/>
      <c r="DD85" s="10"/>
      <c r="DE85" s="10"/>
      <c r="DF85" s="10"/>
      <c r="DG85" s="10"/>
      <c r="DH85" s="10"/>
      <c r="DI85" s="10"/>
      <c r="DJ85" s="11">
        <f t="shared" si="11"/>
        <v>0</v>
      </c>
      <c r="DK85" s="10"/>
      <c r="DL85" s="10"/>
      <c r="DM85" s="10"/>
      <c r="DN85" s="11">
        <f t="shared" si="12"/>
        <v>0</v>
      </c>
      <c r="DO85" s="10"/>
      <c r="DP85" s="10"/>
      <c r="DQ85" s="10">
        <v>0</v>
      </c>
      <c r="DR85" s="11">
        <f t="shared" si="13"/>
        <v>0</v>
      </c>
      <c r="DS85" s="10">
        <v>0</v>
      </c>
      <c r="DT85" s="11">
        <f t="shared" si="14"/>
        <v>0</v>
      </c>
      <c r="DU85" s="10"/>
      <c r="DV85" s="11">
        <f t="shared" si="15"/>
        <v>0</v>
      </c>
      <c r="DW85" s="10">
        <v>6</v>
      </c>
      <c r="DX85" s="11">
        <f t="shared" si="16"/>
        <v>43.199999999999996</v>
      </c>
      <c r="DY85" s="10"/>
      <c r="DZ85" s="10"/>
      <c r="EA85" s="11">
        <f t="shared" si="17"/>
        <v>0</v>
      </c>
      <c r="EB85" s="10"/>
      <c r="EC85" s="11">
        <f t="shared" si="18"/>
        <v>0</v>
      </c>
      <c r="ED85" s="10"/>
      <c r="EE85" s="10"/>
    </row>
    <row r="86" spans="2:135" ht="33">
      <c r="B86" s="47">
        <v>75</v>
      </c>
      <c r="C86" s="50" t="s">
        <v>757</v>
      </c>
      <c r="D86" s="49" t="s">
        <v>173</v>
      </c>
      <c r="E86" s="49"/>
      <c r="F86" s="49"/>
      <c r="G86" s="49"/>
      <c r="H86" s="71">
        <f t="shared" si="19"/>
        <v>6</v>
      </c>
      <c r="I86" s="10">
        <v>5</v>
      </c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1">
        <f t="shared" si="10"/>
        <v>0</v>
      </c>
      <c r="DA86" s="10"/>
      <c r="DB86" s="10"/>
      <c r="DC86" s="10"/>
      <c r="DD86" s="10"/>
      <c r="DE86" s="10"/>
      <c r="DF86" s="10"/>
      <c r="DG86" s="10"/>
      <c r="DH86" s="10"/>
      <c r="DI86" s="10">
        <v>1</v>
      </c>
      <c r="DJ86" s="11">
        <f t="shared" si="11"/>
        <v>6</v>
      </c>
      <c r="DK86" s="10"/>
      <c r="DL86" s="10"/>
      <c r="DM86" s="10"/>
      <c r="DN86" s="11">
        <f t="shared" si="12"/>
        <v>0</v>
      </c>
      <c r="DO86" s="10"/>
      <c r="DP86" s="10"/>
      <c r="DQ86" s="10">
        <v>4</v>
      </c>
      <c r="DR86" s="11">
        <f t="shared" si="13"/>
        <v>24</v>
      </c>
      <c r="DS86" s="10">
        <v>0</v>
      </c>
      <c r="DT86" s="11">
        <f t="shared" si="14"/>
        <v>0</v>
      </c>
      <c r="DU86" s="10"/>
      <c r="DV86" s="11">
        <f t="shared" si="15"/>
        <v>0</v>
      </c>
      <c r="DW86" s="10">
        <v>0</v>
      </c>
      <c r="DX86" s="11">
        <f t="shared" si="16"/>
        <v>0</v>
      </c>
      <c r="DY86" s="10"/>
      <c r="DZ86" s="10"/>
      <c r="EA86" s="11">
        <f t="shared" si="17"/>
        <v>0</v>
      </c>
      <c r="EB86" s="10"/>
      <c r="EC86" s="11">
        <f t="shared" si="18"/>
        <v>0</v>
      </c>
      <c r="ED86" s="10"/>
      <c r="EE86" s="10"/>
    </row>
    <row r="87" spans="2:135" ht="16.5">
      <c r="B87" s="47">
        <v>76</v>
      </c>
      <c r="C87" s="50" t="s">
        <v>758</v>
      </c>
      <c r="D87" s="49" t="s">
        <v>174</v>
      </c>
      <c r="E87" s="49"/>
      <c r="F87" s="49"/>
      <c r="G87" s="49"/>
      <c r="H87" s="71">
        <f t="shared" si="19"/>
        <v>3.5999999999999996</v>
      </c>
      <c r="I87" s="10">
        <v>3</v>
      </c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>
        <v>1</v>
      </c>
      <c r="CZ87" s="11">
        <f t="shared" si="10"/>
        <v>3.5999999999999996</v>
      </c>
      <c r="DA87" s="10"/>
      <c r="DB87" s="10"/>
      <c r="DC87" s="10"/>
      <c r="DD87" s="10"/>
      <c r="DE87" s="10"/>
      <c r="DF87" s="10"/>
      <c r="DG87" s="10"/>
      <c r="DH87" s="10"/>
      <c r="DI87" s="10"/>
      <c r="DJ87" s="11">
        <f t="shared" si="11"/>
        <v>0</v>
      </c>
      <c r="DK87" s="10"/>
      <c r="DL87" s="10"/>
      <c r="DM87" s="10"/>
      <c r="DN87" s="11">
        <f t="shared" si="12"/>
        <v>0</v>
      </c>
      <c r="DO87" s="10"/>
      <c r="DP87" s="10"/>
      <c r="DQ87" s="10">
        <v>2</v>
      </c>
      <c r="DR87" s="11">
        <f t="shared" si="13"/>
        <v>7.1999999999999993</v>
      </c>
      <c r="DS87" s="10">
        <v>0</v>
      </c>
      <c r="DT87" s="11">
        <f t="shared" si="14"/>
        <v>0</v>
      </c>
      <c r="DU87" s="10"/>
      <c r="DV87" s="11">
        <f t="shared" si="15"/>
        <v>0</v>
      </c>
      <c r="DW87" s="10">
        <v>0</v>
      </c>
      <c r="DX87" s="11">
        <f t="shared" si="16"/>
        <v>0</v>
      </c>
      <c r="DY87" s="10"/>
      <c r="DZ87" s="10"/>
      <c r="EA87" s="11">
        <f t="shared" si="17"/>
        <v>0</v>
      </c>
      <c r="EB87" s="10"/>
      <c r="EC87" s="11">
        <f t="shared" si="18"/>
        <v>0</v>
      </c>
      <c r="ED87" s="10"/>
      <c r="EE87" s="10"/>
    </row>
    <row r="88" spans="2:135" ht="16.5">
      <c r="B88" s="47">
        <v>77</v>
      </c>
      <c r="C88" s="50" t="s">
        <v>759</v>
      </c>
      <c r="D88" s="49" t="s">
        <v>175</v>
      </c>
      <c r="E88" s="49"/>
      <c r="F88" s="49"/>
      <c r="G88" s="49"/>
      <c r="H88" s="71">
        <f t="shared" si="19"/>
        <v>8.4</v>
      </c>
      <c r="I88" s="10">
        <v>7</v>
      </c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>
        <v>2</v>
      </c>
      <c r="CZ88" s="11">
        <f t="shared" si="10"/>
        <v>16.8</v>
      </c>
      <c r="DA88" s="10"/>
      <c r="DB88" s="10"/>
      <c r="DC88" s="10"/>
      <c r="DD88" s="10"/>
      <c r="DE88" s="10"/>
      <c r="DF88" s="10"/>
      <c r="DG88" s="10"/>
      <c r="DH88" s="10"/>
      <c r="DI88" s="10">
        <v>3</v>
      </c>
      <c r="DJ88" s="11">
        <f t="shared" si="11"/>
        <v>25.200000000000003</v>
      </c>
      <c r="DK88" s="10"/>
      <c r="DL88" s="10"/>
      <c r="DM88" s="10"/>
      <c r="DN88" s="11">
        <f t="shared" si="12"/>
        <v>0</v>
      </c>
      <c r="DO88" s="10"/>
      <c r="DP88" s="10"/>
      <c r="DQ88" s="10">
        <v>2</v>
      </c>
      <c r="DR88" s="11">
        <f t="shared" si="13"/>
        <v>16.8</v>
      </c>
      <c r="DS88" s="10">
        <v>0</v>
      </c>
      <c r="DT88" s="11">
        <f t="shared" si="14"/>
        <v>0</v>
      </c>
      <c r="DU88" s="10"/>
      <c r="DV88" s="11">
        <f t="shared" si="15"/>
        <v>0</v>
      </c>
      <c r="DW88" s="10">
        <v>0</v>
      </c>
      <c r="DX88" s="11">
        <f t="shared" si="16"/>
        <v>0</v>
      </c>
      <c r="DY88" s="10"/>
      <c r="DZ88" s="10"/>
      <c r="EA88" s="11">
        <f t="shared" si="17"/>
        <v>0</v>
      </c>
      <c r="EB88" s="10"/>
      <c r="EC88" s="11">
        <f t="shared" si="18"/>
        <v>0</v>
      </c>
      <c r="ED88" s="10"/>
      <c r="EE88" s="10"/>
    </row>
    <row r="89" spans="2:135" ht="16.5">
      <c r="B89" s="47">
        <v>78</v>
      </c>
      <c r="C89" s="50" t="s">
        <v>760</v>
      </c>
      <c r="D89" s="49" t="s">
        <v>176</v>
      </c>
      <c r="E89" s="49"/>
      <c r="F89" s="49"/>
      <c r="G89" s="49"/>
      <c r="H89" s="71">
        <f t="shared" si="19"/>
        <v>8.4</v>
      </c>
      <c r="I89" s="10">
        <v>7</v>
      </c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>
        <v>1</v>
      </c>
      <c r="CZ89" s="11">
        <f t="shared" si="10"/>
        <v>8.4</v>
      </c>
      <c r="DA89" s="10"/>
      <c r="DB89" s="10"/>
      <c r="DC89" s="10"/>
      <c r="DD89" s="10"/>
      <c r="DE89" s="10"/>
      <c r="DF89" s="10"/>
      <c r="DG89" s="10"/>
      <c r="DH89" s="10"/>
      <c r="DI89" s="10"/>
      <c r="DJ89" s="11">
        <f t="shared" si="11"/>
        <v>0</v>
      </c>
      <c r="DK89" s="10"/>
      <c r="DL89" s="10"/>
      <c r="DM89" s="10"/>
      <c r="DN89" s="11">
        <f t="shared" si="12"/>
        <v>0</v>
      </c>
      <c r="DO89" s="10"/>
      <c r="DP89" s="10"/>
      <c r="DQ89" s="10">
        <v>6</v>
      </c>
      <c r="DR89" s="11">
        <f t="shared" si="13"/>
        <v>50.400000000000006</v>
      </c>
      <c r="DS89" s="10">
        <v>0</v>
      </c>
      <c r="DT89" s="11">
        <f t="shared" si="14"/>
        <v>0</v>
      </c>
      <c r="DU89" s="10"/>
      <c r="DV89" s="11">
        <f t="shared" si="15"/>
        <v>0</v>
      </c>
      <c r="DW89" s="10">
        <v>0</v>
      </c>
      <c r="DX89" s="11">
        <f t="shared" si="16"/>
        <v>0</v>
      </c>
      <c r="DY89" s="10"/>
      <c r="DZ89" s="10"/>
      <c r="EA89" s="11">
        <f t="shared" si="17"/>
        <v>0</v>
      </c>
      <c r="EB89" s="10"/>
      <c r="EC89" s="11">
        <f t="shared" si="18"/>
        <v>0</v>
      </c>
      <c r="ED89" s="10"/>
      <c r="EE89" s="10"/>
    </row>
    <row r="90" spans="2:135" ht="16.5">
      <c r="B90" s="47">
        <v>79</v>
      </c>
      <c r="C90" s="50" t="s">
        <v>761</v>
      </c>
      <c r="D90" s="49" t="s">
        <v>177</v>
      </c>
      <c r="E90" s="49"/>
      <c r="F90" s="49"/>
      <c r="G90" s="49"/>
      <c r="H90" s="71">
        <f t="shared" si="19"/>
        <v>42</v>
      </c>
      <c r="I90" s="10">
        <v>35</v>
      </c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>
        <v>1</v>
      </c>
      <c r="CZ90" s="11">
        <f t="shared" si="10"/>
        <v>42</v>
      </c>
      <c r="DA90" s="10"/>
      <c r="DB90" s="10"/>
      <c r="DC90" s="10"/>
      <c r="DD90" s="10"/>
      <c r="DE90" s="10"/>
      <c r="DF90" s="10"/>
      <c r="DG90" s="10"/>
      <c r="DH90" s="10"/>
      <c r="DI90" s="10">
        <v>1</v>
      </c>
      <c r="DJ90" s="11">
        <f t="shared" si="11"/>
        <v>42</v>
      </c>
      <c r="DK90" s="10"/>
      <c r="DL90" s="10"/>
      <c r="DM90" s="10"/>
      <c r="DN90" s="11">
        <f t="shared" si="12"/>
        <v>0</v>
      </c>
      <c r="DO90" s="10"/>
      <c r="DP90" s="10"/>
      <c r="DQ90" s="10">
        <v>22</v>
      </c>
      <c r="DR90" s="11">
        <f t="shared" si="13"/>
        <v>924</v>
      </c>
      <c r="DS90" s="10">
        <v>0</v>
      </c>
      <c r="DT90" s="11">
        <f t="shared" si="14"/>
        <v>0</v>
      </c>
      <c r="DU90" s="10">
        <v>2</v>
      </c>
      <c r="DV90" s="11">
        <f t="shared" si="15"/>
        <v>84</v>
      </c>
      <c r="DW90" s="10">
        <v>9</v>
      </c>
      <c r="DX90" s="11">
        <f t="shared" si="16"/>
        <v>378</v>
      </c>
      <c r="DY90" s="10"/>
      <c r="DZ90" s="10"/>
      <c r="EA90" s="11">
        <f t="shared" si="17"/>
        <v>0</v>
      </c>
      <c r="EB90" s="10"/>
      <c r="EC90" s="11">
        <f t="shared" si="18"/>
        <v>0</v>
      </c>
      <c r="ED90" s="10"/>
      <c r="EE90" s="10"/>
    </row>
    <row r="91" spans="2:135" ht="16.5">
      <c r="B91" s="47">
        <v>80</v>
      </c>
      <c r="C91" s="50" t="s">
        <v>762</v>
      </c>
      <c r="D91" s="49" t="s">
        <v>178</v>
      </c>
      <c r="E91" s="49"/>
      <c r="F91" s="49"/>
      <c r="G91" s="49"/>
      <c r="H91" s="71">
        <f t="shared" si="19"/>
        <v>15.6</v>
      </c>
      <c r="I91" s="10">
        <v>13</v>
      </c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1">
        <f t="shared" si="10"/>
        <v>0</v>
      </c>
      <c r="DA91" s="10"/>
      <c r="DB91" s="10"/>
      <c r="DC91" s="10"/>
      <c r="DD91" s="10"/>
      <c r="DE91" s="10"/>
      <c r="DF91" s="10"/>
      <c r="DG91" s="10"/>
      <c r="DH91" s="10"/>
      <c r="DI91" s="10"/>
      <c r="DJ91" s="11">
        <f t="shared" si="11"/>
        <v>0</v>
      </c>
      <c r="DK91" s="10"/>
      <c r="DL91" s="10"/>
      <c r="DM91" s="10"/>
      <c r="DN91" s="11">
        <f t="shared" si="12"/>
        <v>0</v>
      </c>
      <c r="DO91" s="10"/>
      <c r="DP91" s="10"/>
      <c r="DQ91" s="10">
        <v>12</v>
      </c>
      <c r="DR91" s="11">
        <f t="shared" si="13"/>
        <v>187.2</v>
      </c>
      <c r="DS91" s="10">
        <v>0</v>
      </c>
      <c r="DT91" s="11">
        <f t="shared" si="14"/>
        <v>0</v>
      </c>
      <c r="DU91" s="10"/>
      <c r="DV91" s="11">
        <f t="shared" si="15"/>
        <v>0</v>
      </c>
      <c r="DW91" s="10">
        <v>0</v>
      </c>
      <c r="DX91" s="11">
        <f t="shared" si="16"/>
        <v>0</v>
      </c>
      <c r="DY91" s="10"/>
      <c r="DZ91" s="10"/>
      <c r="EA91" s="11">
        <f t="shared" si="17"/>
        <v>0</v>
      </c>
      <c r="EB91" s="10">
        <v>1</v>
      </c>
      <c r="EC91" s="11">
        <f t="shared" si="18"/>
        <v>15.6</v>
      </c>
      <c r="ED91" s="10"/>
      <c r="EE91" s="10"/>
    </row>
    <row r="92" spans="2:135" ht="33">
      <c r="B92" s="47">
        <v>81</v>
      </c>
      <c r="C92" s="50" t="s">
        <v>763</v>
      </c>
      <c r="D92" s="49" t="s">
        <v>179</v>
      </c>
      <c r="E92" s="49"/>
      <c r="F92" s="49"/>
      <c r="G92" s="49"/>
      <c r="H92" s="71">
        <f t="shared" si="19"/>
        <v>1.2</v>
      </c>
      <c r="I92" s="10">
        <v>1</v>
      </c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1">
        <f t="shared" si="10"/>
        <v>0</v>
      </c>
      <c r="DA92" s="10"/>
      <c r="DB92" s="10"/>
      <c r="DC92" s="10"/>
      <c r="DD92" s="10"/>
      <c r="DE92" s="10"/>
      <c r="DF92" s="10"/>
      <c r="DG92" s="10"/>
      <c r="DH92" s="10"/>
      <c r="DI92" s="10"/>
      <c r="DJ92" s="11">
        <f t="shared" si="11"/>
        <v>0</v>
      </c>
      <c r="DK92" s="10"/>
      <c r="DL92" s="10"/>
      <c r="DM92" s="10"/>
      <c r="DN92" s="11">
        <f t="shared" si="12"/>
        <v>0</v>
      </c>
      <c r="DO92" s="10"/>
      <c r="DP92" s="10"/>
      <c r="DQ92" s="10">
        <v>1</v>
      </c>
      <c r="DR92" s="11">
        <f t="shared" si="13"/>
        <v>1.2</v>
      </c>
      <c r="DS92" s="10">
        <v>0</v>
      </c>
      <c r="DT92" s="11">
        <f t="shared" si="14"/>
        <v>0</v>
      </c>
      <c r="DU92" s="10"/>
      <c r="DV92" s="11">
        <f t="shared" si="15"/>
        <v>0</v>
      </c>
      <c r="DW92" s="10">
        <v>0</v>
      </c>
      <c r="DX92" s="11">
        <f t="shared" si="16"/>
        <v>0</v>
      </c>
      <c r="DY92" s="10"/>
      <c r="DZ92" s="10"/>
      <c r="EA92" s="11">
        <f t="shared" si="17"/>
        <v>0</v>
      </c>
      <c r="EB92" s="10"/>
      <c r="EC92" s="11">
        <f t="shared" si="18"/>
        <v>0</v>
      </c>
      <c r="ED92" s="10"/>
      <c r="EE92" s="10"/>
    </row>
    <row r="93" spans="2:135" ht="16.5">
      <c r="B93" s="47">
        <v>82</v>
      </c>
      <c r="C93" s="50" t="s">
        <v>764</v>
      </c>
      <c r="D93" s="49" t="s">
        <v>180</v>
      </c>
      <c r="E93" s="49"/>
      <c r="F93" s="49"/>
      <c r="G93" s="49"/>
      <c r="H93" s="71">
        <f t="shared" si="19"/>
        <v>1.2</v>
      </c>
      <c r="I93" s="10">
        <v>1</v>
      </c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1">
        <f t="shared" si="10"/>
        <v>0</v>
      </c>
      <c r="DA93" s="10"/>
      <c r="DB93" s="10"/>
      <c r="DC93" s="10"/>
      <c r="DD93" s="10"/>
      <c r="DE93" s="10"/>
      <c r="DF93" s="10"/>
      <c r="DG93" s="10"/>
      <c r="DH93" s="10"/>
      <c r="DI93" s="10"/>
      <c r="DJ93" s="11">
        <f t="shared" si="11"/>
        <v>0</v>
      </c>
      <c r="DK93" s="10"/>
      <c r="DL93" s="10"/>
      <c r="DM93" s="10"/>
      <c r="DN93" s="11">
        <f t="shared" si="12"/>
        <v>0</v>
      </c>
      <c r="DO93" s="10"/>
      <c r="DP93" s="10"/>
      <c r="DQ93" s="10">
        <v>0</v>
      </c>
      <c r="DR93" s="11">
        <f t="shared" si="13"/>
        <v>0</v>
      </c>
      <c r="DS93" s="10">
        <v>1</v>
      </c>
      <c r="DT93" s="11">
        <f t="shared" si="14"/>
        <v>1.2</v>
      </c>
      <c r="DU93" s="10"/>
      <c r="DV93" s="11">
        <f t="shared" si="15"/>
        <v>0</v>
      </c>
      <c r="DW93" s="10">
        <v>0</v>
      </c>
      <c r="DX93" s="11">
        <f t="shared" si="16"/>
        <v>0</v>
      </c>
      <c r="DY93" s="10"/>
      <c r="DZ93" s="10"/>
      <c r="EA93" s="11">
        <f t="shared" si="17"/>
        <v>0</v>
      </c>
      <c r="EB93" s="10"/>
      <c r="EC93" s="11">
        <f t="shared" si="18"/>
        <v>0</v>
      </c>
      <c r="ED93" s="10"/>
      <c r="EE93" s="10"/>
    </row>
    <row r="94" spans="2:135" ht="16.5">
      <c r="B94" s="47">
        <v>83</v>
      </c>
      <c r="C94" s="50" t="s">
        <v>765</v>
      </c>
      <c r="D94" s="49" t="s">
        <v>181</v>
      </c>
      <c r="E94" s="49"/>
      <c r="F94" s="49"/>
      <c r="G94" s="49"/>
      <c r="H94" s="71">
        <f t="shared" si="19"/>
        <v>49.199999999999996</v>
      </c>
      <c r="I94" s="10">
        <v>41</v>
      </c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>
        <v>5</v>
      </c>
      <c r="CZ94" s="11">
        <f t="shared" si="10"/>
        <v>245.99999999999997</v>
      </c>
      <c r="DA94" s="10"/>
      <c r="DB94" s="10"/>
      <c r="DC94" s="10"/>
      <c r="DD94" s="10"/>
      <c r="DE94" s="10"/>
      <c r="DF94" s="10"/>
      <c r="DG94" s="10"/>
      <c r="DH94" s="10"/>
      <c r="DI94" s="10">
        <v>2</v>
      </c>
      <c r="DJ94" s="11">
        <f t="shared" si="11"/>
        <v>98.399999999999991</v>
      </c>
      <c r="DK94" s="10"/>
      <c r="DL94" s="10"/>
      <c r="DM94" s="10">
        <v>8</v>
      </c>
      <c r="DN94" s="11">
        <f t="shared" si="12"/>
        <v>393.59999999999997</v>
      </c>
      <c r="DO94" s="10"/>
      <c r="DP94" s="10"/>
      <c r="DQ94" s="10">
        <v>26</v>
      </c>
      <c r="DR94" s="11">
        <f t="shared" si="13"/>
        <v>1279.1999999999998</v>
      </c>
      <c r="DS94" s="10">
        <v>0</v>
      </c>
      <c r="DT94" s="11">
        <f t="shared" si="14"/>
        <v>0</v>
      </c>
      <c r="DU94" s="10"/>
      <c r="DV94" s="11">
        <f t="shared" si="15"/>
        <v>0</v>
      </c>
      <c r="DW94" s="10">
        <v>0</v>
      </c>
      <c r="DX94" s="11">
        <f t="shared" si="16"/>
        <v>0</v>
      </c>
      <c r="DY94" s="10"/>
      <c r="DZ94" s="10"/>
      <c r="EA94" s="11">
        <f t="shared" si="17"/>
        <v>0</v>
      </c>
      <c r="EB94" s="10"/>
      <c r="EC94" s="11">
        <f t="shared" si="18"/>
        <v>0</v>
      </c>
      <c r="ED94" s="10"/>
      <c r="EE94" s="10"/>
    </row>
    <row r="95" spans="2:135" ht="16.5">
      <c r="B95" s="47">
        <v>84</v>
      </c>
      <c r="C95" s="50" t="s">
        <v>766</v>
      </c>
      <c r="D95" s="49" t="s">
        <v>182</v>
      </c>
      <c r="E95" s="49"/>
      <c r="F95" s="49"/>
      <c r="G95" s="49"/>
      <c r="H95" s="71">
        <f t="shared" si="19"/>
        <v>1.2</v>
      </c>
      <c r="I95" s="10">
        <v>1</v>
      </c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1">
        <f t="shared" si="10"/>
        <v>0</v>
      </c>
      <c r="DA95" s="10"/>
      <c r="DB95" s="10"/>
      <c r="DC95" s="10"/>
      <c r="DD95" s="10"/>
      <c r="DE95" s="10"/>
      <c r="DF95" s="10"/>
      <c r="DG95" s="10"/>
      <c r="DH95" s="10"/>
      <c r="DI95" s="10"/>
      <c r="DJ95" s="11">
        <f t="shared" si="11"/>
        <v>0</v>
      </c>
      <c r="DK95" s="10"/>
      <c r="DL95" s="10"/>
      <c r="DM95" s="10"/>
      <c r="DN95" s="11">
        <f t="shared" si="12"/>
        <v>0</v>
      </c>
      <c r="DO95" s="10"/>
      <c r="DP95" s="10"/>
      <c r="DQ95" s="10">
        <v>1</v>
      </c>
      <c r="DR95" s="11">
        <f t="shared" si="13"/>
        <v>1.2</v>
      </c>
      <c r="DS95" s="10">
        <v>0</v>
      </c>
      <c r="DT95" s="11">
        <f t="shared" si="14"/>
        <v>0</v>
      </c>
      <c r="DU95" s="10"/>
      <c r="DV95" s="11">
        <f t="shared" si="15"/>
        <v>0</v>
      </c>
      <c r="DW95" s="10">
        <v>0</v>
      </c>
      <c r="DX95" s="11">
        <f t="shared" si="16"/>
        <v>0</v>
      </c>
      <c r="DY95" s="10"/>
      <c r="DZ95" s="10"/>
      <c r="EA95" s="11">
        <f t="shared" si="17"/>
        <v>0</v>
      </c>
      <c r="EB95" s="10"/>
      <c r="EC95" s="11">
        <f t="shared" si="18"/>
        <v>0</v>
      </c>
      <c r="ED95" s="10"/>
      <c r="EE95" s="10"/>
    </row>
    <row r="96" spans="2:135" ht="16.5">
      <c r="B96" s="47">
        <v>85</v>
      </c>
      <c r="C96" s="50" t="s">
        <v>767</v>
      </c>
      <c r="D96" s="49" t="s">
        <v>183</v>
      </c>
      <c r="E96" s="49"/>
      <c r="F96" s="49"/>
      <c r="G96" s="49"/>
      <c r="H96" s="71">
        <f t="shared" si="19"/>
        <v>7.1999999999999993</v>
      </c>
      <c r="I96" s="10">
        <v>6</v>
      </c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1">
        <f t="shared" si="10"/>
        <v>0</v>
      </c>
      <c r="DA96" s="10"/>
      <c r="DB96" s="10"/>
      <c r="DC96" s="10"/>
      <c r="DD96" s="10"/>
      <c r="DE96" s="10"/>
      <c r="DF96" s="10"/>
      <c r="DG96" s="10"/>
      <c r="DH96" s="10"/>
      <c r="DI96" s="10"/>
      <c r="DJ96" s="11">
        <f t="shared" si="11"/>
        <v>0</v>
      </c>
      <c r="DK96" s="10"/>
      <c r="DL96" s="10"/>
      <c r="DM96" s="10"/>
      <c r="DN96" s="11">
        <f t="shared" si="12"/>
        <v>0</v>
      </c>
      <c r="DO96" s="10"/>
      <c r="DP96" s="10"/>
      <c r="DQ96" s="10">
        <v>0</v>
      </c>
      <c r="DR96" s="11">
        <f t="shared" si="13"/>
        <v>0</v>
      </c>
      <c r="DS96" s="10">
        <v>6</v>
      </c>
      <c r="DT96" s="11">
        <f t="shared" si="14"/>
        <v>43.199999999999996</v>
      </c>
      <c r="DU96" s="10"/>
      <c r="DV96" s="11">
        <f t="shared" si="15"/>
        <v>0</v>
      </c>
      <c r="DW96" s="10">
        <v>0</v>
      </c>
      <c r="DX96" s="11">
        <f t="shared" si="16"/>
        <v>0</v>
      </c>
      <c r="DY96" s="10"/>
      <c r="DZ96" s="10"/>
      <c r="EA96" s="11">
        <f t="shared" si="17"/>
        <v>0</v>
      </c>
      <c r="EB96" s="10"/>
      <c r="EC96" s="11">
        <f t="shared" si="18"/>
        <v>0</v>
      </c>
      <c r="ED96" s="10"/>
      <c r="EE96" s="10"/>
    </row>
    <row r="97" spans="2:135" ht="16.5">
      <c r="B97" s="47">
        <v>86</v>
      </c>
      <c r="C97" s="50" t="s">
        <v>768</v>
      </c>
      <c r="D97" s="49" t="s">
        <v>184</v>
      </c>
      <c r="E97" s="49"/>
      <c r="F97" s="49"/>
      <c r="G97" s="49"/>
      <c r="H97" s="71">
        <f t="shared" si="19"/>
        <v>16.8</v>
      </c>
      <c r="I97" s="10">
        <v>14</v>
      </c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1">
        <f t="shared" si="10"/>
        <v>0</v>
      </c>
      <c r="DA97" s="10"/>
      <c r="DB97" s="10"/>
      <c r="DC97" s="10"/>
      <c r="DD97" s="10"/>
      <c r="DE97" s="10"/>
      <c r="DF97" s="10"/>
      <c r="DG97" s="10"/>
      <c r="DH97" s="10"/>
      <c r="DI97" s="10"/>
      <c r="DJ97" s="11">
        <f t="shared" si="11"/>
        <v>0</v>
      </c>
      <c r="DK97" s="10"/>
      <c r="DL97" s="10"/>
      <c r="DM97" s="10"/>
      <c r="DN97" s="11">
        <f t="shared" si="12"/>
        <v>0</v>
      </c>
      <c r="DO97" s="10"/>
      <c r="DP97" s="10"/>
      <c r="DQ97" s="10">
        <v>0</v>
      </c>
      <c r="DR97" s="11">
        <f t="shared" si="13"/>
        <v>0</v>
      </c>
      <c r="DS97" s="10">
        <v>14</v>
      </c>
      <c r="DT97" s="11">
        <f t="shared" si="14"/>
        <v>235.20000000000002</v>
      </c>
      <c r="DU97" s="10"/>
      <c r="DV97" s="11">
        <f t="shared" si="15"/>
        <v>0</v>
      </c>
      <c r="DW97" s="10">
        <v>0</v>
      </c>
      <c r="DX97" s="11">
        <f t="shared" si="16"/>
        <v>0</v>
      </c>
      <c r="DY97" s="10"/>
      <c r="DZ97" s="10"/>
      <c r="EA97" s="11">
        <f t="shared" si="17"/>
        <v>0</v>
      </c>
      <c r="EB97" s="10"/>
      <c r="EC97" s="11">
        <f t="shared" si="18"/>
        <v>0</v>
      </c>
      <c r="ED97" s="10"/>
      <c r="EE97" s="10"/>
    </row>
    <row r="98" spans="2:135" ht="16.5">
      <c r="B98" s="47">
        <v>87</v>
      </c>
      <c r="C98" s="50" t="s">
        <v>769</v>
      </c>
      <c r="D98" s="49" t="s">
        <v>185</v>
      </c>
      <c r="E98" s="49"/>
      <c r="F98" s="49"/>
      <c r="G98" s="49"/>
      <c r="H98" s="71">
        <f t="shared" si="19"/>
        <v>1.2</v>
      </c>
      <c r="I98" s="10">
        <v>1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1">
        <f t="shared" si="10"/>
        <v>0</v>
      </c>
      <c r="DA98" s="10"/>
      <c r="DB98" s="10"/>
      <c r="DC98" s="10"/>
      <c r="DD98" s="10"/>
      <c r="DE98" s="10"/>
      <c r="DF98" s="10"/>
      <c r="DG98" s="10"/>
      <c r="DH98" s="10"/>
      <c r="DI98" s="10"/>
      <c r="DJ98" s="11">
        <f t="shared" si="11"/>
        <v>0</v>
      </c>
      <c r="DK98" s="10"/>
      <c r="DL98" s="10"/>
      <c r="DM98" s="10"/>
      <c r="DN98" s="11">
        <f t="shared" si="12"/>
        <v>0</v>
      </c>
      <c r="DO98" s="10"/>
      <c r="DP98" s="10"/>
      <c r="DQ98" s="10">
        <v>0</v>
      </c>
      <c r="DR98" s="11">
        <f t="shared" si="13"/>
        <v>0</v>
      </c>
      <c r="DS98" s="10">
        <v>0</v>
      </c>
      <c r="DT98" s="11">
        <f t="shared" si="14"/>
        <v>0</v>
      </c>
      <c r="DU98" s="10"/>
      <c r="DV98" s="11">
        <f t="shared" si="15"/>
        <v>0</v>
      </c>
      <c r="DW98" s="10">
        <v>1</v>
      </c>
      <c r="DX98" s="11">
        <f t="shared" si="16"/>
        <v>1.2</v>
      </c>
      <c r="DY98" s="10"/>
      <c r="DZ98" s="10"/>
      <c r="EA98" s="11">
        <f t="shared" si="17"/>
        <v>0</v>
      </c>
      <c r="EB98" s="10"/>
      <c r="EC98" s="11">
        <f t="shared" si="18"/>
        <v>0</v>
      </c>
      <c r="ED98" s="10"/>
      <c r="EE98" s="10"/>
    </row>
    <row r="99" spans="2:135" ht="16.5">
      <c r="B99" s="47">
        <v>88</v>
      </c>
      <c r="C99" s="50" t="s">
        <v>770</v>
      </c>
      <c r="D99" s="49" t="s">
        <v>186</v>
      </c>
      <c r="E99" s="49"/>
      <c r="F99" s="49"/>
      <c r="G99" s="49"/>
      <c r="H99" s="71">
        <f t="shared" si="19"/>
        <v>2.4</v>
      </c>
      <c r="I99" s="10">
        <v>2</v>
      </c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1">
        <f t="shared" si="10"/>
        <v>0</v>
      </c>
      <c r="DA99" s="10"/>
      <c r="DB99" s="10"/>
      <c r="DC99" s="10"/>
      <c r="DD99" s="10"/>
      <c r="DE99" s="10"/>
      <c r="DF99" s="10"/>
      <c r="DG99" s="10"/>
      <c r="DH99" s="10"/>
      <c r="DI99" s="10"/>
      <c r="DJ99" s="11">
        <f t="shared" si="11"/>
        <v>0</v>
      </c>
      <c r="DK99" s="10"/>
      <c r="DL99" s="10"/>
      <c r="DM99" s="10"/>
      <c r="DN99" s="11">
        <f t="shared" si="12"/>
        <v>0</v>
      </c>
      <c r="DO99" s="10"/>
      <c r="DP99" s="10"/>
      <c r="DQ99" s="10">
        <v>2</v>
      </c>
      <c r="DR99" s="11">
        <f t="shared" si="13"/>
        <v>4.8</v>
      </c>
      <c r="DS99" s="10">
        <v>0</v>
      </c>
      <c r="DT99" s="11">
        <f t="shared" si="14"/>
        <v>0</v>
      </c>
      <c r="DU99" s="10"/>
      <c r="DV99" s="11">
        <f t="shared" si="15"/>
        <v>0</v>
      </c>
      <c r="DW99" s="10">
        <v>0</v>
      </c>
      <c r="DX99" s="11">
        <f t="shared" si="16"/>
        <v>0</v>
      </c>
      <c r="DY99" s="10"/>
      <c r="DZ99" s="10"/>
      <c r="EA99" s="11">
        <f t="shared" si="17"/>
        <v>0</v>
      </c>
      <c r="EB99" s="10"/>
      <c r="EC99" s="11">
        <f t="shared" si="18"/>
        <v>0</v>
      </c>
      <c r="ED99" s="10"/>
      <c r="EE99" s="10"/>
    </row>
    <row r="100" spans="2:135" ht="16.5">
      <c r="B100" s="47">
        <v>89</v>
      </c>
      <c r="C100" s="50" t="s">
        <v>771</v>
      </c>
      <c r="D100" s="49" t="s">
        <v>187</v>
      </c>
      <c r="E100" s="49"/>
      <c r="F100" s="49"/>
      <c r="G100" s="49"/>
      <c r="H100" s="71">
        <f t="shared" si="19"/>
        <v>82.8</v>
      </c>
      <c r="I100" s="10">
        <v>69</v>
      </c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1">
        <f t="shared" si="10"/>
        <v>0</v>
      </c>
      <c r="DA100" s="10"/>
      <c r="DB100" s="10"/>
      <c r="DC100" s="10"/>
      <c r="DD100" s="10"/>
      <c r="DE100" s="10"/>
      <c r="DF100" s="10"/>
      <c r="DG100" s="10"/>
      <c r="DH100" s="10"/>
      <c r="DI100" s="10"/>
      <c r="DJ100" s="11">
        <f t="shared" si="11"/>
        <v>0</v>
      </c>
      <c r="DK100" s="10"/>
      <c r="DL100" s="10"/>
      <c r="DM100" s="10"/>
      <c r="DN100" s="11">
        <f t="shared" si="12"/>
        <v>0</v>
      </c>
      <c r="DO100" s="10"/>
      <c r="DP100" s="10"/>
      <c r="DQ100" s="10">
        <v>0</v>
      </c>
      <c r="DR100" s="11">
        <f t="shared" si="13"/>
        <v>0</v>
      </c>
      <c r="DS100" s="10">
        <v>0</v>
      </c>
      <c r="DT100" s="11">
        <f t="shared" si="14"/>
        <v>0</v>
      </c>
      <c r="DU100" s="10"/>
      <c r="DV100" s="11">
        <f t="shared" si="15"/>
        <v>0</v>
      </c>
      <c r="DW100" s="10">
        <v>69</v>
      </c>
      <c r="DX100" s="11">
        <f t="shared" si="16"/>
        <v>5713.2</v>
      </c>
      <c r="DY100" s="10"/>
      <c r="DZ100" s="10"/>
      <c r="EA100" s="11">
        <f t="shared" si="17"/>
        <v>0</v>
      </c>
      <c r="EB100" s="10"/>
      <c r="EC100" s="11">
        <f t="shared" si="18"/>
        <v>0</v>
      </c>
      <c r="ED100" s="10"/>
      <c r="EE100" s="10"/>
    </row>
    <row r="101" spans="2:135" ht="16.5">
      <c r="B101" s="47">
        <v>90</v>
      </c>
      <c r="C101" s="50" t="s">
        <v>772</v>
      </c>
      <c r="D101" s="49" t="s">
        <v>188</v>
      </c>
      <c r="E101" s="49"/>
      <c r="F101" s="49"/>
      <c r="G101" s="49"/>
      <c r="H101" s="71">
        <f t="shared" si="19"/>
        <v>12</v>
      </c>
      <c r="I101" s="10">
        <v>10</v>
      </c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1">
        <f t="shared" si="10"/>
        <v>0</v>
      </c>
      <c r="DA101" s="10"/>
      <c r="DB101" s="10"/>
      <c r="DC101" s="10"/>
      <c r="DD101" s="10"/>
      <c r="DE101" s="10"/>
      <c r="DF101" s="10"/>
      <c r="DG101" s="10"/>
      <c r="DH101" s="10"/>
      <c r="DI101" s="10"/>
      <c r="DJ101" s="11">
        <f t="shared" si="11"/>
        <v>0</v>
      </c>
      <c r="DK101" s="10"/>
      <c r="DL101" s="10"/>
      <c r="DM101" s="10"/>
      <c r="DN101" s="11">
        <f t="shared" si="12"/>
        <v>0</v>
      </c>
      <c r="DO101" s="10"/>
      <c r="DP101" s="10"/>
      <c r="DQ101" s="10">
        <v>0</v>
      </c>
      <c r="DR101" s="11">
        <f t="shared" si="13"/>
        <v>0</v>
      </c>
      <c r="DS101" s="10">
        <v>0</v>
      </c>
      <c r="DT101" s="11">
        <f t="shared" si="14"/>
        <v>0</v>
      </c>
      <c r="DU101" s="10"/>
      <c r="DV101" s="11">
        <f t="shared" si="15"/>
        <v>0</v>
      </c>
      <c r="DW101" s="10">
        <v>10</v>
      </c>
      <c r="DX101" s="11">
        <f t="shared" si="16"/>
        <v>120</v>
      </c>
      <c r="DY101" s="10"/>
      <c r="DZ101" s="10"/>
      <c r="EA101" s="11">
        <f t="shared" si="17"/>
        <v>0</v>
      </c>
      <c r="EB101" s="10"/>
      <c r="EC101" s="11">
        <f t="shared" si="18"/>
        <v>0</v>
      </c>
      <c r="ED101" s="10"/>
      <c r="EE101" s="10"/>
    </row>
    <row r="102" spans="2:135" ht="16.5">
      <c r="B102" s="47">
        <v>91</v>
      </c>
      <c r="C102" s="50" t="s">
        <v>773</v>
      </c>
      <c r="D102" s="49" t="s">
        <v>189</v>
      </c>
      <c r="E102" s="49"/>
      <c r="F102" s="49"/>
      <c r="G102" s="49"/>
      <c r="H102" s="71">
        <f t="shared" si="19"/>
        <v>13.2</v>
      </c>
      <c r="I102" s="10">
        <v>11</v>
      </c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1">
        <f t="shared" si="10"/>
        <v>0</v>
      </c>
      <c r="DA102" s="10"/>
      <c r="DB102" s="10"/>
      <c r="DC102" s="10"/>
      <c r="DD102" s="10"/>
      <c r="DE102" s="10"/>
      <c r="DF102" s="10"/>
      <c r="DG102" s="10"/>
      <c r="DH102" s="10"/>
      <c r="DI102" s="10"/>
      <c r="DJ102" s="11">
        <f t="shared" si="11"/>
        <v>0</v>
      </c>
      <c r="DK102" s="10"/>
      <c r="DL102" s="10"/>
      <c r="DM102" s="10"/>
      <c r="DN102" s="11">
        <f t="shared" si="12"/>
        <v>0</v>
      </c>
      <c r="DO102" s="10"/>
      <c r="DP102" s="10"/>
      <c r="DQ102" s="10">
        <v>1</v>
      </c>
      <c r="DR102" s="11">
        <f t="shared" si="13"/>
        <v>13.2</v>
      </c>
      <c r="DS102" s="10">
        <v>0</v>
      </c>
      <c r="DT102" s="11">
        <f t="shared" si="14"/>
        <v>0</v>
      </c>
      <c r="DU102" s="10">
        <v>10</v>
      </c>
      <c r="DV102" s="11">
        <f t="shared" si="15"/>
        <v>132</v>
      </c>
      <c r="DW102" s="10">
        <v>0</v>
      </c>
      <c r="DX102" s="11">
        <f t="shared" si="16"/>
        <v>0</v>
      </c>
      <c r="DY102" s="10"/>
      <c r="DZ102" s="10"/>
      <c r="EA102" s="11">
        <f t="shared" si="17"/>
        <v>0</v>
      </c>
      <c r="EB102" s="10"/>
      <c r="EC102" s="11">
        <f t="shared" si="18"/>
        <v>0</v>
      </c>
      <c r="ED102" s="10"/>
      <c r="EE102" s="10"/>
    </row>
    <row r="103" spans="2:135" ht="16.5">
      <c r="B103" s="47">
        <v>92</v>
      </c>
      <c r="C103" s="50" t="s">
        <v>774</v>
      </c>
      <c r="D103" s="49" t="s">
        <v>190</v>
      </c>
      <c r="E103" s="49"/>
      <c r="F103" s="49"/>
      <c r="G103" s="49"/>
      <c r="H103" s="71">
        <f t="shared" si="19"/>
        <v>1.2</v>
      </c>
      <c r="I103" s="10">
        <v>1</v>
      </c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1">
        <f t="shared" si="10"/>
        <v>0</v>
      </c>
      <c r="DA103" s="10"/>
      <c r="DB103" s="10"/>
      <c r="DC103" s="10"/>
      <c r="DD103" s="10"/>
      <c r="DE103" s="10"/>
      <c r="DF103" s="10"/>
      <c r="DG103" s="10"/>
      <c r="DH103" s="10"/>
      <c r="DI103" s="10"/>
      <c r="DJ103" s="11">
        <f t="shared" si="11"/>
        <v>0</v>
      </c>
      <c r="DK103" s="10"/>
      <c r="DL103" s="10"/>
      <c r="DM103" s="10"/>
      <c r="DN103" s="11">
        <f t="shared" si="12"/>
        <v>0</v>
      </c>
      <c r="DO103" s="10"/>
      <c r="DP103" s="10"/>
      <c r="DQ103" s="10">
        <v>1</v>
      </c>
      <c r="DR103" s="11">
        <f t="shared" si="13"/>
        <v>1.2</v>
      </c>
      <c r="DS103" s="10">
        <v>0</v>
      </c>
      <c r="DT103" s="11">
        <f t="shared" si="14"/>
        <v>0</v>
      </c>
      <c r="DU103" s="10"/>
      <c r="DV103" s="11">
        <f t="shared" si="15"/>
        <v>0</v>
      </c>
      <c r="DW103" s="10">
        <v>0</v>
      </c>
      <c r="DX103" s="11">
        <f t="shared" si="16"/>
        <v>0</v>
      </c>
      <c r="DY103" s="10"/>
      <c r="DZ103" s="10"/>
      <c r="EA103" s="11">
        <f t="shared" si="17"/>
        <v>0</v>
      </c>
      <c r="EB103" s="10"/>
      <c r="EC103" s="11">
        <f t="shared" si="18"/>
        <v>0</v>
      </c>
      <c r="ED103" s="10"/>
      <c r="EE103" s="10"/>
    </row>
    <row r="104" spans="2:135" ht="16.5">
      <c r="B104" s="47">
        <v>93</v>
      </c>
      <c r="C104" s="50" t="s">
        <v>775</v>
      </c>
      <c r="D104" s="49" t="s">
        <v>191</v>
      </c>
      <c r="E104" s="49"/>
      <c r="F104" s="49"/>
      <c r="G104" s="49"/>
      <c r="H104" s="71">
        <f t="shared" si="19"/>
        <v>4.8</v>
      </c>
      <c r="I104" s="10">
        <v>4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1">
        <f t="shared" si="10"/>
        <v>0</v>
      </c>
      <c r="DA104" s="10"/>
      <c r="DB104" s="10"/>
      <c r="DC104" s="10"/>
      <c r="DD104" s="10"/>
      <c r="DE104" s="10"/>
      <c r="DF104" s="10"/>
      <c r="DG104" s="10"/>
      <c r="DH104" s="10"/>
      <c r="DI104" s="10"/>
      <c r="DJ104" s="11">
        <f t="shared" si="11"/>
        <v>0</v>
      </c>
      <c r="DK104" s="10"/>
      <c r="DL104" s="10"/>
      <c r="DM104" s="10"/>
      <c r="DN104" s="11">
        <f t="shared" si="12"/>
        <v>0</v>
      </c>
      <c r="DO104" s="10"/>
      <c r="DP104" s="10"/>
      <c r="DQ104" s="10">
        <v>4</v>
      </c>
      <c r="DR104" s="11">
        <f t="shared" si="13"/>
        <v>19.2</v>
      </c>
      <c r="DS104" s="10">
        <v>0</v>
      </c>
      <c r="DT104" s="11">
        <f t="shared" si="14"/>
        <v>0</v>
      </c>
      <c r="DU104" s="10"/>
      <c r="DV104" s="11">
        <f t="shared" si="15"/>
        <v>0</v>
      </c>
      <c r="DW104" s="10">
        <v>0</v>
      </c>
      <c r="DX104" s="11">
        <f t="shared" si="16"/>
        <v>0</v>
      </c>
      <c r="DY104" s="10"/>
      <c r="DZ104" s="10"/>
      <c r="EA104" s="11">
        <f t="shared" si="17"/>
        <v>0</v>
      </c>
      <c r="EB104" s="10"/>
      <c r="EC104" s="11">
        <f t="shared" si="18"/>
        <v>0</v>
      </c>
      <c r="ED104" s="10"/>
      <c r="EE104" s="10"/>
    </row>
    <row r="105" spans="2:135" ht="16.5">
      <c r="B105" s="47">
        <v>94</v>
      </c>
      <c r="C105" s="50" t="s">
        <v>776</v>
      </c>
      <c r="D105" s="49" t="s">
        <v>192</v>
      </c>
      <c r="E105" s="49"/>
      <c r="F105" s="49"/>
      <c r="G105" s="49"/>
      <c r="H105" s="71">
        <f t="shared" si="19"/>
        <v>50.4</v>
      </c>
      <c r="I105" s="10">
        <v>42</v>
      </c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1">
        <f t="shared" si="10"/>
        <v>0</v>
      </c>
      <c r="DA105" s="10"/>
      <c r="DB105" s="10"/>
      <c r="DC105" s="10"/>
      <c r="DD105" s="10"/>
      <c r="DE105" s="10"/>
      <c r="DF105" s="10"/>
      <c r="DG105" s="10"/>
      <c r="DH105" s="10"/>
      <c r="DI105" s="10"/>
      <c r="DJ105" s="11">
        <f t="shared" si="11"/>
        <v>0</v>
      </c>
      <c r="DK105" s="10"/>
      <c r="DL105" s="10"/>
      <c r="DM105" s="10"/>
      <c r="DN105" s="11">
        <f t="shared" si="12"/>
        <v>0</v>
      </c>
      <c r="DO105" s="10"/>
      <c r="DP105" s="10"/>
      <c r="DQ105" s="10">
        <v>24</v>
      </c>
      <c r="DR105" s="11">
        <f t="shared" si="13"/>
        <v>1209.5999999999999</v>
      </c>
      <c r="DS105" s="10">
        <v>0</v>
      </c>
      <c r="DT105" s="11">
        <f t="shared" si="14"/>
        <v>0</v>
      </c>
      <c r="DU105" s="10"/>
      <c r="DV105" s="11">
        <f t="shared" si="15"/>
        <v>0</v>
      </c>
      <c r="DW105" s="10">
        <v>18</v>
      </c>
      <c r="DX105" s="11">
        <f t="shared" si="16"/>
        <v>907.19999999999993</v>
      </c>
      <c r="DY105" s="10"/>
      <c r="DZ105" s="10"/>
      <c r="EA105" s="11">
        <f t="shared" si="17"/>
        <v>0</v>
      </c>
      <c r="EB105" s="10"/>
      <c r="EC105" s="11">
        <f t="shared" si="18"/>
        <v>0</v>
      </c>
      <c r="ED105" s="10"/>
      <c r="EE105" s="10"/>
    </row>
    <row r="106" spans="2:135" ht="16.5">
      <c r="B106" s="47">
        <v>95</v>
      </c>
      <c r="C106" s="50" t="s">
        <v>777</v>
      </c>
      <c r="D106" s="49" t="s">
        <v>193</v>
      </c>
      <c r="E106" s="49"/>
      <c r="F106" s="49"/>
      <c r="G106" s="49"/>
      <c r="H106" s="71">
        <f t="shared" si="19"/>
        <v>4.8</v>
      </c>
      <c r="I106" s="10">
        <v>4</v>
      </c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1">
        <f t="shared" si="10"/>
        <v>0</v>
      </c>
      <c r="DA106" s="10"/>
      <c r="DB106" s="10"/>
      <c r="DC106" s="10"/>
      <c r="DD106" s="10"/>
      <c r="DE106" s="10"/>
      <c r="DF106" s="10"/>
      <c r="DG106" s="10"/>
      <c r="DH106" s="10"/>
      <c r="DI106" s="10"/>
      <c r="DJ106" s="11">
        <f t="shared" si="11"/>
        <v>0</v>
      </c>
      <c r="DK106" s="10"/>
      <c r="DL106" s="10"/>
      <c r="DM106" s="10"/>
      <c r="DN106" s="11">
        <f t="shared" si="12"/>
        <v>0</v>
      </c>
      <c r="DO106" s="10"/>
      <c r="DP106" s="10"/>
      <c r="DQ106" s="10">
        <v>4</v>
      </c>
      <c r="DR106" s="11">
        <f t="shared" si="13"/>
        <v>19.2</v>
      </c>
      <c r="DS106" s="10">
        <v>0</v>
      </c>
      <c r="DT106" s="11">
        <f t="shared" si="14"/>
        <v>0</v>
      </c>
      <c r="DU106" s="10"/>
      <c r="DV106" s="11">
        <f t="shared" si="15"/>
        <v>0</v>
      </c>
      <c r="DW106" s="10">
        <v>0</v>
      </c>
      <c r="DX106" s="11">
        <f t="shared" si="16"/>
        <v>0</v>
      </c>
      <c r="DY106" s="10"/>
      <c r="DZ106" s="10"/>
      <c r="EA106" s="11">
        <f t="shared" si="17"/>
        <v>0</v>
      </c>
      <c r="EB106" s="10"/>
      <c r="EC106" s="11">
        <f t="shared" si="18"/>
        <v>0</v>
      </c>
      <c r="ED106" s="10"/>
      <c r="EE106" s="10"/>
    </row>
    <row r="107" spans="2:135" ht="16.5">
      <c r="B107" s="47">
        <v>96</v>
      </c>
      <c r="C107" s="50" t="s">
        <v>778</v>
      </c>
      <c r="D107" s="49" t="s">
        <v>194</v>
      </c>
      <c r="E107" s="49"/>
      <c r="F107" s="49"/>
      <c r="G107" s="49"/>
      <c r="H107" s="71">
        <f t="shared" si="19"/>
        <v>42</v>
      </c>
      <c r="I107" s="10">
        <v>35</v>
      </c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1">
        <f t="shared" si="10"/>
        <v>0</v>
      </c>
      <c r="DA107" s="10"/>
      <c r="DB107" s="10"/>
      <c r="DC107" s="10"/>
      <c r="DD107" s="10"/>
      <c r="DE107" s="10"/>
      <c r="DF107" s="10"/>
      <c r="DG107" s="10"/>
      <c r="DH107" s="10"/>
      <c r="DI107" s="10">
        <v>1</v>
      </c>
      <c r="DJ107" s="11">
        <f t="shared" si="11"/>
        <v>42</v>
      </c>
      <c r="DK107" s="10"/>
      <c r="DL107" s="10"/>
      <c r="DM107" s="10"/>
      <c r="DN107" s="11">
        <f t="shared" si="12"/>
        <v>0</v>
      </c>
      <c r="DO107" s="10"/>
      <c r="DP107" s="10"/>
      <c r="DQ107" s="10">
        <v>33</v>
      </c>
      <c r="DR107" s="11">
        <f t="shared" si="13"/>
        <v>1386</v>
      </c>
      <c r="DS107" s="10">
        <v>1</v>
      </c>
      <c r="DT107" s="11">
        <f t="shared" si="14"/>
        <v>42</v>
      </c>
      <c r="DU107" s="10"/>
      <c r="DV107" s="11">
        <f t="shared" si="15"/>
        <v>0</v>
      </c>
      <c r="DW107" s="10">
        <v>0</v>
      </c>
      <c r="DX107" s="11">
        <f t="shared" si="16"/>
        <v>0</v>
      </c>
      <c r="DY107" s="10"/>
      <c r="DZ107" s="10"/>
      <c r="EA107" s="11">
        <f t="shared" si="17"/>
        <v>0</v>
      </c>
      <c r="EB107" s="10"/>
      <c r="EC107" s="11">
        <f t="shared" si="18"/>
        <v>0</v>
      </c>
      <c r="ED107" s="10"/>
      <c r="EE107" s="10"/>
    </row>
    <row r="108" spans="2:135" ht="33">
      <c r="B108" s="47">
        <v>97</v>
      </c>
      <c r="C108" s="50" t="s">
        <v>779</v>
      </c>
      <c r="D108" s="49" t="s">
        <v>195</v>
      </c>
      <c r="E108" s="49"/>
      <c r="F108" s="49"/>
      <c r="G108" s="49"/>
      <c r="H108" s="71">
        <f t="shared" si="19"/>
        <v>2.4</v>
      </c>
      <c r="I108" s="10">
        <v>2</v>
      </c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1">
        <f t="shared" si="10"/>
        <v>0</v>
      </c>
      <c r="DA108" s="10"/>
      <c r="DB108" s="10"/>
      <c r="DC108" s="10"/>
      <c r="DD108" s="10"/>
      <c r="DE108" s="10"/>
      <c r="DF108" s="10"/>
      <c r="DG108" s="10"/>
      <c r="DH108" s="10"/>
      <c r="DI108" s="10">
        <v>1</v>
      </c>
      <c r="DJ108" s="11">
        <f t="shared" si="11"/>
        <v>2.4</v>
      </c>
      <c r="DK108" s="10"/>
      <c r="DL108" s="10"/>
      <c r="DM108" s="10"/>
      <c r="DN108" s="11">
        <f t="shared" si="12"/>
        <v>0</v>
      </c>
      <c r="DO108" s="10"/>
      <c r="DP108" s="10"/>
      <c r="DQ108" s="10">
        <v>0</v>
      </c>
      <c r="DR108" s="11">
        <f t="shared" si="13"/>
        <v>0</v>
      </c>
      <c r="DS108" s="10">
        <v>1</v>
      </c>
      <c r="DT108" s="11">
        <f t="shared" si="14"/>
        <v>2.4</v>
      </c>
      <c r="DU108" s="10"/>
      <c r="DV108" s="11">
        <f t="shared" si="15"/>
        <v>0</v>
      </c>
      <c r="DW108" s="10">
        <v>0</v>
      </c>
      <c r="DX108" s="11">
        <f t="shared" si="16"/>
        <v>0</v>
      </c>
      <c r="DY108" s="10"/>
      <c r="DZ108" s="10"/>
      <c r="EA108" s="11">
        <f t="shared" si="17"/>
        <v>0</v>
      </c>
      <c r="EB108" s="10"/>
      <c r="EC108" s="11">
        <f t="shared" si="18"/>
        <v>0</v>
      </c>
      <c r="ED108" s="10"/>
      <c r="EE108" s="10"/>
    </row>
    <row r="109" spans="2:135" ht="16.5">
      <c r="B109" s="47">
        <v>98</v>
      </c>
      <c r="C109" s="50" t="s">
        <v>780</v>
      </c>
      <c r="D109" s="49" t="s">
        <v>196</v>
      </c>
      <c r="E109" s="49"/>
      <c r="F109" s="49"/>
      <c r="G109" s="49"/>
      <c r="H109" s="71">
        <f t="shared" si="19"/>
        <v>10.799999999999999</v>
      </c>
      <c r="I109" s="10">
        <v>9</v>
      </c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1">
        <f t="shared" si="10"/>
        <v>0</v>
      </c>
      <c r="DA109" s="10"/>
      <c r="DB109" s="10"/>
      <c r="DC109" s="10"/>
      <c r="DD109" s="10"/>
      <c r="DE109" s="10"/>
      <c r="DF109" s="10"/>
      <c r="DG109" s="10"/>
      <c r="DH109" s="10"/>
      <c r="DI109" s="10"/>
      <c r="DJ109" s="11">
        <f t="shared" si="11"/>
        <v>0</v>
      </c>
      <c r="DK109" s="10"/>
      <c r="DL109" s="10"/>
      <c r="DM109" s="10"/>
      <c r="DN109" s="11">
        <f t="shared" si="12"/>
        <v>0</v>
      </c>
      <c r="DO109" s="10"/>
      <c r="DP109" s="10"/>
      <c r="DQ109" s="10">
        <v>5</v>
      </c>
      <c r="DR109" s="11">
        <f t="shared" si="13"/>
        <v>53.999999999999993</v>
      </c>
      <c r="DS109" s="10">
        <v>0</v>
      </c>
      <c r="DT109" s="11">
        <f t="shared" si="14"/>
        <v>0</v>
      </c>
      <c r="DU109" s="10">
        <v>1</v>
      </c>
      <c r="DV109" s="11">
        <f t="shared" si="15"/>
        <v>10.799999999999999</v>
      </c>
      <c r="DW109" s="10">
        <v>0</v>
      </c>
      <c r="DX109" s="11">
        <f t="shared" si="16"/>
        <v>0</v>
      </c>
      <c r="DY109" s="10"/>
      <c r="DZ109" s="10">
        <v>3</v>
      </c>
      <c r="EA109" s="11">
        <f t="shared" si="17"/>
        <v>32.4</v>
      </c>
      <c r="EB109" s="10"/>
      <c r="EC109" s="11">
        <f t="shared" si="18"/>
        <v>0</v>
      </c>
      <c r="ED109" s="10"/>
      <c r="EE109" s="10"/>
    </row>
    <row r="110" spans="2:135" ht="16.5">
      <c r="B110" s="47">
        <v>99</v>
      </c>
      <c r="C110" s="50" t="s">
        <v>781</v>
      </c>
      <c r="D110" s="49" t="s">
        <v>197</v>
      </c>
      <c r="E110" s="49"/>
      <c r="F110" s="49"/>
      <c r="G110" s="49"/>
      <c r="H110" s="71">
        <f t="shared" si="19"/>
        <v>1.2</v>
      </c>
      <c r="I110" s="10">
        <v>1</v>
      </c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1">
        <f t="shared" si="10"/>
        <v>0</v>
      </c>
      <c r="DA110" s="10"/>
      <c r="DB110" s="10"/>
      <c r="DC110" s="10"/>
      <c r="DD110" s="10"/>
      <c r="DE110" s="10"/>
      <c r="DF110" s="10"/>
      <c r="DG110" s="10"/>
      <c r="DH110" s="10"/>
      <c r="DI110" s="10"/>
      <c r="DJ110" s="11">
        <f t="shared" si="11"/>
        <v>0</v>
      </c>
      <c r="DK110" s="10"/>
      <c r="DL110" s="10"/>
      <c r="DM110" s="10"/>
      <c r="DN110" s="11">
        <f t="shared" si="12"/>
        <v>0</v>
      </c>
      <c r="DO110" s="10"/>
      <c r="DP110" s="10"/>
      <c r="DQ110" s="10">
        <v>1</v>
      </c>
      <c r="DR110" s="11">
        <f t="shared" si="13"/>
        <v>1.2</v>
      </c>
      <c r="DS110" s="10">
        <v>0</v>
      </c>
      <c r="DT110" s="11">
        <f t="shared" si="14"/>
        <v>0</v>
      </c>
      <c r="DU110" s="10"/>
      <c r="DV110" s="11">
        <f t="shared" si="15"/>
        <v>0</v>
      </c>
      <c r="DW110" s="10">
        <v>0</v>
      </c>
      <c r="DX110" s="11">
        <f t="shared" si="16"/>
        <v>0</v>
      </c>
      <c r="DY110" s="10"/>
      <c r="DZ110" s="10"/>
      <c r="EA110" s="11">
        <f t="shared" si="17"/>
        <v>0</v>
      </c>
      <c r="EB110" s="10"/>
      <c r="EC110" s="11">
        <f t="shared" si="18"/>
        <v>0</v>
      </c>
      <c r="ED110" s="10"/>
      <c r="EE110" s="10"/>
    </row>
    <row r="111" spans="2:135" ht="16.5">
      <c r="B111" s="47">
        <v>100</v>
      </c>
      <c r="C111" s="50" t="s">
        <v>782</v>
      </c>
      <c r="D111" s="49" t="s">
        <v>198</v>
      </c>
      <c r="E111" s="49"/>
      <c r="F111" s="49"/>
      <c r="G111" s="49"/>
      <c r="H111" s="71">
        <f t="shared" si="19"/>
        <v>32.4</v>
      </c>
      <c r="I111" s="10">
        <v>27</v>
      </c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>
        <v>7</v>
      </c>
      <c r="CZ111" s="11">
        <f t="shared" si="10"/>
        <v>226.79999999999998</v>
      </c>
      <c r="DA111" s="10"/>
      <c r="DB111" s="10"/>
      <c r="DC111" s="10"/>
      <c r="DD111" s="10"/>
      <c r="DE111" s="10"/>
      <c r="DF111" s="10"/>
      <c r="DG111" s="10"/>
      <c r="DH111" s="10"/>
      <c r="DI111" s="10">
        <v>1</v>
      </c>
      <c r="DJ111" s="11">
        <f t="shared" si="11"/>
        <v>32.4</v>
      </c>
      <c r="DK111" s="10"/>
      <c r="DL111" s="10"/>
      <c r="DM111" s="10"/>
      <c r="DN111" s="11">
        <f t="shared" si="12"/>
        <v>0</v>
      </c>
      <c r="DO111" s="10"/>
      <c r="DP111" s="10"/>
      <c r="DQ111" s="10">
        <v>7</v>
      </c>
      <c r="DR111" s="11">
        <f t="shared" si="13"/>
        <v>226.79999999999998</v>
      </c>
      <c r="DS111" s="10">
        <v>9</v>
      </c>
      <c r="DT111" s="11">
        <f t="shared" si="14"/>
        <v>291.59999999999997</v>
      </c>
      <c r="DU111" s="10">
        <v>1</v>
      </c>
      <c r="DV111" s="11">
        <f t="shared" si="15"/>
        <v>32.4</v>
      </c>
      <c r="DW111" s="10">
        <v>2</v>
      </c>
      <c r="DX111" s="11">
        <f t="shared" si="16"/>
        <v>64.8</v>
      </c>
      <c r="DY111" s="10"/>
      <c r="DZ111" s="10"/>
      <c r="EA111" s="11">
        <f t="shared" si="17"/>
        <v>0</v>
      </c>
      <c r="EB111" s="10"/>
      <c r="EC111" s="11">
        <f t="shared" si="18"/>
        <v>0</v>
      </c>
      <c r="ED111" s="10"/>
      <c r="EE111" s="10"/>
    </row>
    <row r="112" spans="2:135" ht="33">
      <c r="B112" s="47">
        <v>101</v>
      </c>
      <c r="C112" s="50" t="s">
        <v>783</v>
      </c>
      <c r="D112" s="49" t="s">
        <v>199</v>
      </c>
      <c r="E112" s="49"/>
      <c r="F112" s="49"/>
      <c r="G112" s="49"/>
      <c r="H112" s="71">
        <f t="shared" si="19"/>
        <v>12</v>
      </c>
      <c r="I112" s="10">
        <v>10</v>
      </c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>
        <v>1</v>
      </c>
      <c r="CZ112" s="11">
        <f t="shared" si="10"/>
        <v>12</v>
      </c>
      <c r="DA112" s="10"/>
      <c r="DB112" s="10"/>
      <c r="DC112" s="10"/>
      <c r="DD112" s="10"/>
      <c r="DE112" s="10"/>
      <c r="DF112" s="10"/>
      <c r="DG112" s="10"/>
      <c r="DH112" s="10"/>
      <c r="DI112" s="10"/>
      <c r="DJ112" s="11">
        <f t="shared" si="11"/>
        <v>0</v>
      </c>
      <c r="DK112" s="10"/>
      <c r="DL112" s="10"/>
      <c r="DM112" s="10"/>
      <c r="DN112" s="11">
        <f t="shared" si="12"/>
        <v>0</v>
      </c>
      <c r="DO112" s="10"/>
      <c r="DP112" s="10"/>
      <c r="DQ112" s="10">
        <v>5</v>
      </c>
      <c r="DR112" s="11">
        <f t="shared" si="13"/>
        <v>60</v>
      </c>
      <c r="DS112" s="10">
        <v>0</v>
      </c>
      <c r="DT112" s="11">
        <f t="shared" si="14"/>
        <v>0</v>
      </c>
      <c r="DU112" s="10"/>
      <c r="DV112" s="11">
        <f t="shared" si="15"/>
        <v>0</v>
      </c>
      <c r="DW112" s="10">
        <v>4</v>
      </c>
      <c r="DX112" s="11">
        <f t="shared" si="16"/>
        <v>48</v>
      </c>
      <c r="DY112" s="10"/>
      <c r="DZ112" s="10"/>
      <c r="EA112" s="11">
        <f t="shared" si="17"/>
        <v>0</v>
      </c>
      <c r="EB112" s="10"/>
      <c r="EC112" s="11">
        <f t="shared" si="18"/>
        <v>0</v>
      </c>
      <c r="ED112" s="10"/>
      <c r="EE112" s="10"/>
    </row>
    <row r="113" spans="2:135" ht="16.5">
      <c r="B113" s="47">
        <v>102</v>
      </c>
      <c r="C113" s="50" t="s">
        <v>784</v>
      </c>
      <c r="D113" s="49" t="s">
        <v>200</v>
      </c>
      <c r="E113" s="49"/>
      <c r="F113" s="49"/>
      <c r="G113" s="49"/>
      <c r="H113" s="71">
        <f t="shared" si="19"/>
        <v>2.4</v>
      </c>
      <c r="I113" s="10">
        <v>2</v>
      </c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1">
        <f t="shared" si="10"/>
        <v>0</v>
      </c>
      <c r="DA113" s="10"/>
      <c r="DB113" s="10"/>
      <c r="DC113" s="10"/>
      <c r="DD113" s="10"/>
      <c r="DE113" s="10"/>
      <c r="DF113" s="10"/>
      <c r="DG113" s="10"/>
      <c r="DH113" s="10"/>
      <c r="DI113" s="10"/>
      <c r="DJ113" s="11">
        <f t="shared" si="11"/>
        <v>0</v>
      </c>
      <c r="DK113" s="10"/>
      <c r="DL113" s="10"/>
      <c r="DM113" s="10"/>
      <c r="DN113" s="11">
        <f t="shared" si="12"/>
        <v>0</v>
      </c>
      <c r="DO113" s="10"/>
      <c r="DP113" s="10"/>
      <c r="DQ113" s="10">
        <v>2</v>
      </c>
      <c r="DR113" s="11">
        <f t="shared" si="13"/>
        <v>4.8</v>
      </c>
      <c r="DS113" s="10">
        <v>0</v>
      </c>
      <c r="DT113" s="11">
        <f t="shared" si="14"/>
        <v>0</v>
      </c>
      <c r="DU113" s="10"/>
      <c r="DV113" s="11">
        <f t="shared" si="15"/>
        <v>0</v>
      </c>
      <c r="DW113" s="10">
        <v>0</v>
      </c>
      <c r="DX113" s="11">
        <f t="shared" si="16"/>
        <v>0</v>
      </c>
      <c r="DY113" s="10"/>
      <c r="DZ113" s="10"/>
      <c r="EA113" s="11">
        <f t="shared" si="17"/>
        <v>0</v>
      </c>
      <c r="EB113" s="10"/>
      <c r="EC113" s="11">
        <f t="shared" si="18"/>
        <v>0</v>
      </c>
      <c r="ED113" s="10"/>
      <c r="EE113" s="10"/>
    </row>
    <row r="114" spans="2:135" ht="16.5">
      <c r="B114" s="47">
        <v>103</v>
      </c>
      <c r="C114" s="50" t="s">
        <v>785</v>
      </c>
      <c r="D114" s="49" t="s">
        <v>201</v>
      </c>
      <c r="E114" s="49"/>
      <c r="F114" s="49"/>
      <c r="G114" s="49"/>
      <c r="H114" s="71">
        <f t="shared" si="19"/>
        <v>316.8</v>
      </c>
      <c r="I114" s="10">
        <v>264</v>
      </c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1">
        <f t="shared" si="10"/>
        <v>0</v>
      </c>
      <c r="DA114" s="10"/>
      <c r="DB114" s="10"/>
      <c r="DC114" s="10"/>
      <c r="DD114" s="10"/>
      <c r="DE114" s="10"/>
      <c r="DF114" s="10"/>
      <c r="DG114" s="10"/>
      <c r="DH114" s="10"/>
      <c r="DI114" s="10"/>
      <c r="DJ114" s="11">
        <f t="shared" si="11"/>
        <v>0</v>
      </c>
      <c r="DK114" s="10"/>
      <c r="DL114" s="10"/>
      <c r="DM114" s="10">
        <v>2</v>
      </c>
      <c r="DN114" s="11">
        <f t="shared" si="12"/>
        <v>633.6</v>
      </c>
      <c r="DO114" s="10"/>
      <c r="DP114" s="10"/>
      <c r="DQ114" s="10">
        <v>214</v>
      </c>
      <c r="DR114" s="11">
        <f t="shared" si="13"/>
        <v>67795.199999999997</v>
      </c>
      <c r="DS114" s="10">
        <v>4</v>
      </c>
      <c r="DT114" s="11">
        <f t="shared" si="14"/>
        <v>1267.2</v>
      </c>
      <c r="DU114" s="10">
        <v>13</v>
      </c>
      <c r="DV114" s="11">
        <f t="shared" si="15"/>
        <v>4118.4000000000005</v>
      </c>
      <c r="DW114" s="10">
        <v>12</v>
      </c>
      <c r="DX114" s="11">
        <f t="shared" si="16"/>
        <v>3801.6000000000004</v>
      </c>
      <c r="DY114" s="10"/>
      <c r="DZ114" s="10">
        <v>7</v>
      </c>
      <c r="EA114" s="11">
        <f t="shared" si="17"/>
        <v>2217.6</v>
      </c>
      <c r="EB114" s="10">
        <v>12</v>
      </c>
      <c r="EC114" s="11">
        <f t="shared" si="18"/>
        <v>3801.6000000000004</v>
      </c>
      <c r="ED114" s="10"/>
      <c r="EE114" s="10"/>
    </row>
    <row r="115" spans="2:135" ht="16.5">
      <c r="B115" s="47">
        <v>104</v>
      </c>
      <c r="C115" s="50" t="s">
        <v>786</v>
      </c>
      <c r="D115" s="49" t="s">
        <v>202</v>
      </c>
      <c r="E115" s="49"/>
      <c r="F115" s="49"/>
      <c r="G115" s="49"/>
      <c r="H115" s="71">
        <f t="shared" si="19"/>
        <v>49.199999999999996</v>
      </c>
      <c r="I115" s="10">
        <v>41</v>
      </c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>
        <v>22</v>
      </c>
      <c r="CZ115" s="11">
        <f t="shared" si="10"/>
        <v>1082.3999999999999</v>
      </c>
      <c r="DA115" s="10"/>
      <c r="DB115" s="10"/>
      <c r="DC115" s="10"/>
      <c r="DD115" s="10"/>
      <c r="DE115" s="10"/>
      <c r="DF115" s="10"/>
      <c r="DG115" s="10"/>
      <c r="DH115" s="10"/>
      <c r="DI115" s="10">
        <v>19</v>
      </c>
      <c r="DJ115" s="11">
        <f t="shared" si="11"/>
        <v>934.8</v>
      </c>
      <c r="DK115" s="10"/>
      <c r="DL115" s="10"/>
      <c r="DM115" s="10"/>
      <c r="DN115" s="11">
        <f t="shared" si="12"/>
        <v>0</v>
      </c>
      <c r="DO115" s="10"/>
      <c r="DP115" s="10"/>
      <c r="DQ115" s="10">
        <v>0</v>
      </c>
      <c r="DR115" s="11">
        <f t="shared" si="13"/>
        <v>0</v>
      </c>
      <c r="DS115" s="10">
        <v>0</v>
      </c>
      <c r="DT115" s="11">
        <f t="shared" si="14"/>
        <v>0</v>
      </c>
      <c r="DU115" s="10"/>
      <c r="DV115" s="11">
        <f t="shared" si="15"/>
        <v>0</v>
      </c>
      <c r="DW115" s="10">
        <v>0</v>
      </c>
      <c r="DX115" s="11">
        <f t="shared" si="16"/>
        <v>0</v>
      </c>
      <c r="DY115" s="10"/>
      <c r="DZ115" s="10"/>
      <c r="EA115" s="11">
        <f t="shared" si="17"/>
        <v>0</v>
      </c>
      <c r="EB115" s="10"/>
      <c r="EC115" s="11">
        <f t="shared" si="18"/>
        <v>0</v>
      </c>
      <c r="ED115" s="10"/>
      <c r="EE115" s="10"/>
    </row>
    <row r="116" spans="2:135" ht="16.5">
      <c r="B116" s="47">
        <v>105</v>
      </c>
      <c r="C116" s="50" t="s">
        <v>787</v>
      </c>
      <c r="D116" s="49" t="s">
        <v>203</v>
      </c>
      <c r="E116" s="49"/>
      <c r="F116" s="49"/>
      <c r="G116" s="49"/>
      <c r="H116" s="71">
        <f t="shared" si="19"/>
        <v>22.8</v>
      </c>
      <c r="I116" s="10">
        <v>19</v>
      </c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>
        <v>9</v>
      </c>
      <c r="CZ116" s="11">
        <f t="shared" si="10"/>
        <v>205.20000000000002</v>
      </c>
      <c r="DA116" s="10"/>
      <c r="DB116" s="10"/>
      <c r="DC116" s="10"/>
      <c r="DD116" s="10"/>
      <c r="DE116" s="10"/>
      <c r="DF116" s="10"/>
      <c r="DG116" s="10"/>
      <c r="DH116" s="10"/>
      <c r="DI116" s="10">
        <v>10</v>
      </c>
      <c r="DJ116" s="11">
        <f t="shared" si="11"/>
        <v>228</v>
      </c>
      <c r="DK116" s="10"/>
      <c r="DL116" s="10"/>
      <c r="DM116" s="10"/>
      <c r="DN116" s="11">
        <f t="shared" si="12"/>
        <v>0</v>
      </c>
      <c r="DO116" s="10"/>
      <c r="DP116" s="10"/>
      <c r="DQ116" s="10">
        <v>0</v>
      </c>
      <c r="DR116" s="11">
        <f t="shared" si="13"/>
        <v>0</v>
      </c>
      <c r="DS116" s="10">
        <v>0</v>
      </c>
      <c r="DT116" s="11">
        <f t="shared" si="14"/>
        <v>0</v>
      </c>
      <c r="DU116" s="10"/>
      <c r="DV116" s="11">
        <f t="shared" si="15"/>
        <v>0</v>
      </c>
      <c r="DW116" s="10">
        <v>0</v>
      </c>
      <c r="DX116" s="11">
        <f t="shared" si="16"/>
        <v>0</v>
      </c>
      <c r="DY116" s="10"/>
      <c r="DZ116" s="10"/>
      <c r="EA116" s="11">
        <f t="shared" si="17"/>
        <v>0</v>
      </c>
      <c r="EB116" s="10"/>
      <c r="EC116" s="11">
        <f t="shared" si="18"/>
        <v>0</v>
      </c>
      <c r="ED116" s="10"/>
      <c r="EE116" s="10"/>
    </row>
    <row r="117" spans="2:135" ht="16.5">
      <c r="B117" s="47">
        <v>106</v>
      </c>
      <c r="C117" s="50" t="s">
        <v>788</v>
      </c>
      <c r="D117" s="49" t="s">
        <v>204</v>
      </c>
      <c r="E117" s="49"/>
      <c r="F117" s="49"/>
      <c r="G117" s="49"/>
      <c r="H117" s="71">
        <f t="shared" si="19"/>
        <v>8.4</v>
      </c>
      <c r="I117" s="10">
        <v>7</v>
      </c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1">
        <f t="shared" si="10"/>
        <v>0</v>
      </c>
      <c r="DA117" s="10"/>
      <c r="DB117" s="10"/>
      <c r="DC117" s="10"/>
      <c r="DD117" s="10"/>
      <c r="DE117" s="10"/>
      <c r="DF117" s="10"/>
      <c r="DG117" s="10"/>
      <c r="DH117" s="10"/>
      <c r="DI117" s="10"/>
      <c r="DJ117" s="11">
        <f t="shared" si="11"/>
        <v>0</v>
      </c>
      <c r="DK117" s="10"/>
      <c r="DL117" s="10"/>
      <c r="DM117" s="10"/>
      <c r="DN117" s="11">
        <f t="shared" si="12"/>
        <v>0</v>
      </c>
      <c r="DO117" s="10"/>
      <c r="DP117" s="10"/>
      <c r="DQ117" s="10">
        <v>2</v>
      </c>
      <c r="DR117" s="11">
        <f t="shared" si="13"/>
        <v>16.8</v>
      </c>
      <c r="DS117" s="10">
        <v>5</v>
      </c>
      <c r="DT117" s="11">
        <f t="shared" si="14"/>
        <v>42</v>
      </c>
      <c r="DU117" s="10"/>
      <c r="DV117" s="11">
        <f t="shared" si="15"/>
        <v>0</v>
      </c>
      <c r="DW117" s="10">
        <v>0</v>
      </c>
      <c r="DX117" s="11">
        <f t="shared" si="16"/>
        <v>0</v>
      </c>
      <c r="DY117" s="10"/>
      <c r="DZ117" s="10"/>
      <c r="EA117" s="11">
        <f t="shared" si="17"/>
        <v>0</v>
      </c>
      <c r="EB117" s="10"/>
      <c r="EC117" s="11">
        <f t="shared" si="18"/>
        <v>0</v>
      </c>
      <c r="ED117" s="10"/>
      <c r="EE117" s="10"/>
    </row>
    <row r="118" spans="2:135" ht="16.5">
      <c r="B118" s="47">
        <v>107</v>
      </c>
      <c r="C118" s="50" t="s">
        <v>789</v>
      </c>
      <c r="D118" s="49" t="s">
        <v>205</v>
      </c>
      <c r="E118" s="49"/>
      <c r="F118" s="49"/>
      <c r="G118" s="49"/>
      <c r="H118" s="71">
        <f t="shared" si="19"/>
        <v>1.2</v>
      </c>
      <c r="I118" s="10">
        <v>1</v>
      </c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1">
        <f t="shared" si="10"/>
        <v>0</v>
      </c>
      <c r="DA118" s="10"/>
      <c r="DB118" s="10"/>
      <c r="DC118" s="10"/>
      <c r="DD118" s="10"/>
      <c r="DE118" s="10"/>
      <c r="DF118" s="10"/>
      <c r="DG118" s="10"/>
      <c r="DH118" s="10"/>
      <c r="DI118" s="10">
        <v>1</v>
      </c>
      <c r="DJ118" s="11">
        <f t="shared" si="11"/>
        <v>1.2</v>
      </c>
      <c r="DK118" s="10"/>
      <c r="DL118" s="10"/>
      <c r="DM118" s="10"/>
      <c r="DN118" s="11">
        <f t="shared" si="12"/>
        <v>0</v>
      </c>
      <c r="DO118" s="10"/>
      <c r="DP118" s="10"/>
      <c r="DQ118" s="10">
        <v>0</v>
      </c>
      <c r="DR118" s="11">
        <f t="shared" si="13"/>
        <v>0</v>
      </c>
      <c r="DS118" s="10">
        <v>0</v>
      </c>
      <c r="DT118" s="11">
        <f t="shared" si="14"/>
        <v>0</v>
      </c>
      <c r="DU118" s="10"/>
      <c r="DV118" s="11">
        <f t="shared" si="15"/>
        <v>0</v>
      </c>
      <c r="DW118" s="10">
        <v>0</v>
      </c>
      <c r="DX118" s="11">
        <f t="shared" si="16"/>
        <v>0</v>
      </c>
      <c r="DY118" s="10"/>
      <c r="DZ118" s="10"/>
      <c r="EA118" s="11">
        <f t="shared" si="17"/>
        <v>0</v>
      </c>
      <c r="EB118" s="10"/>
      <c r="EC118" s="11">
        <f t="shared" si="18"/>
        <v>0</v>
      </c>
      <c r="ED118" s="10"/>
      <c r="EE118" s="10"/>
    </row>
    <row r="119" spans="2:135" ht="16.5">
      <c r="B119" s="47">
        <v>108</v>
      </c>
      <c r="C119" s="50" t="s">
        <v>790</v>
      </c>
      <c r="D119" s="49" t="s">
        <v>206</v>
      </c>
      <c r="E119" s="49"/>
      <c r="F119" s="49"/>
      <c r="G119" s="49"/>
      <c r="H119" s="71">
        <f t="shared" si="19"/>
        <v>80.399999999999991</v>
      </c>
      <c r="I119" s="10">
        <v>67</v>
      </c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>
        <v>30</v>
      </c>
      <c r="CZ119" s="11">
        <f t="shared" si="10"/>
        <v>2411.9999999999995</v>
      </c>
      <c r="DA119" s="10"/>
      <c r="DB119" s="10"/>
      <c r="DC119" s="10"/>
      <c r="DD119" s="10"/>
      <c r="DE119" s="10"/>
      <c r="DF119" s="10"/>
      <c r="DG119" s="10"/>
      <c r="DH119" s="10"/>
      <c r="DI119" s="10">
        <v>2</v>
      </c>
      <c r="DJ119" s="11">
        <f t="shared" si="11"/>
        <v>160.79999999999998</v>
      </c>
      <c r="DK119" s="10"/>
      <c r="DL119" s="10"/>
      <c r="DM119" s="10">
        <v>4</v>
      </c>
      <c r="DN119" s="11">
        <f t="shared" si="12"/>
        <v>321.59999999999997</v>
      </c>
      <c r="DO119" s="10"/>
      <c r="DP119" s="10"/>
      <c r="DQ119" s="10">
        <v>23</v>
      </c>
      <c r="DR119" s="11">
        <f t="shared" si="13"/>
        <v>1849.1999999999998</v>
      </c>
      <c r="DS119" s="10">
        <v>1</v>
      </c>
      <c r="DT119" s="11">
        <f t="shared" si="14"/>
        <v>80.399999999999991</v>
      </c>
      <c r="DU119" s="10">
        <v>2</v>
      </c>
      <c r="DV119" s="11">
        <f t="shared" si="15"/>
        <v>160.79999999999998</v>
      </c>
      <c r="DW119" s="10">
        <v>1</v>
      </c>
      <c r="DX119" s="11">
        <f t="shared" si="16"/>
        <v>80.399999999999991</v>
      </c>
      <c r="DY119" s="10"/>
      <c r="DZ119" s="10">
        <v>1</v>
      </c>
      <c r="EA119" s="11">
        <f t="shared" si="17"/>
        <v>80.399999999999991</v>
      </c>
      <c r="EB119" s="10">
        <v>3</v>
      </c>
      <c r="EC119" s="11">
        <f t="shared" si="18"/>
        <v>241.2</v>
      </c>
      <c r="ED119" s="10"/>
      <c r="EE119" s="10"/>
    </row>
    <row r="120" spans="2:135" ht="33">
      <c r="B120" s="47">
        <v>109</v>
      </c>
      <c r="C120" s="50" t="s">
        <v>791</v>
      </c>
      <c r="D120" s="49" t="s">
        <v>207</v>
      </c>
      <c r="E120" s="49"/>
      <c r="F120" s="49"/>
      <c r="G120" s="49"/>
      <c r="H120" s="71">
        <f t="shared" si="19"/>
        <v>1.2</v>
      </c>
      <c r="I120" s="10">
        <v>1</v>
      </c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1">
        <f t="shared" si="10"/>
        <v>0</v>
      </c>
      <c r="DA120" s="10"/>
      <c r="DB120" s="10"/>
      <c r="DC120" s="10"/>
      <c r="DD120" s="10"/>
      <c r="DE120" s="10"/>
      <c r="DF120" s="10"/>
      <c r="DG120" s="10"/>
      <c r="DH120" s="10"/>
      <c r="DI120" s="10"/>
      <c r="DJ120" s="11">
        <f t="shared" si="11"/>
        <v>0</v>
      </c>
      <c r="DK120" s="10"/>
      <c r="DL120" s="10"/>
      <c r="DM120" s="10"/>
      <c r="DN120" s="11">
        <f t="shared" si="12"/>
        <v>0</v>
      </c>
      <c r="DO120" s="10"/>
      <c r="DP120" s="10"/>
      <c r="DQ120" s="10">
        <v>1</v>
      </c>
      <c r="DR120" s="11">
        <f t="shared" si="13"/>
        <v>1.2</v>
      </c>
      <c r="DS120" s="10">
        <v>0</v>
      </c>
      <c r="DT120" s="11">
        <f t="shared" si="14"/>
        <v>0</v>
      </c>
      <c r="DU120" s="10"/>
      <c r="DV120" s="11">
        <f t="shared" si="15"/>
        <v>0</v>
      </c>
      <c r="DW120" s="10">
        <v>0</v>
      </c>
      <c r="DX120" s="11">
        <f t="shared" si="16"/>
        <v>0</v>
      </c>
      <c r="DY120" s="10"/>
      <c r="DZ120" s="10"/>
      <c r="EA120" s="11">
        <f t="shared" si="17"/>
        <v>0</v>
      </c>
      <c r="EB120" s="10"/>
      <c r="EC120" s="11">
        <f t="shared" si="18"/>
        <v>0</v>
      </c>
      <c r="ED120" s="10"/>
      <c r="EE120" s="10"/>
    </row>
    <row r="121" spans="2:135" ht="16.5">
      <c r="B121" s="47">
        <v>110</v>
      </c>
      <c r="C121" s="50" t="s">
        <v>792</v>
      </c>
      <c r="D121" s="49" t="s">
        <v>208</v>
      </c>
      <c r="E121" s="49"/>
      <c r="F121" s="49"/>
      <c r="G121" s="49"/>
      <c r="H121" s="71">
        <f t="shared" si="19"/>
        <v>18</v>
      </c>
      <c r="I121" s="10">
        <v>15</v>
      </c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>
        <v>15</v>
      </c>
      <c r="CZ121" s="11">
        <f t="shared" si="10"/>
        <v>270</v>
      </c>
      <c r="DA121" s="10"/>
      <c r="DB121" s="10"/>
      <c r="DC121" s="10"/>
      <c r="DD121" s="10"/>
      <c r="DE121" s="10"/>
      <c r="DF121" s="10"/>
      <c r="DG121" s="10"/>
      <c r="DH121" s="10"/>
      <c r="DI121" s="10"/>
      <c r="DJ121" s="11">
        <f t="shared" si="11"/>
        <v>0</v>
      </c>
      <c r="DK121" s="10"/>
      <c r="DL121" s="10"/>
      <c r="DM121" s="10"/>
      <c r="DN121" s="11">
        <f t="shared" si="12"/>
        <v>0</v>
      </c>
      <c r="DO121" s="10"/>
      <c r="DP121" s="10"/>
      <c r="DQ121" s="10">
        <v>0</v>
      </c>
      <c r="DR121" s="11">
        <f t="shared" si="13"/>
        <v>0</v>
      </c>
      <c r="DS121" s="10">
        <v>0</v>
      </c>
      <c r="DT121" s="11">
        <f t="shared" si="14"/>
        <v>0</v>
      </c>
      <c r="DU121" s="10"/>
      <c r="DV121" s="11">
        <f t="shared" si="15"/>
        <v>0</v>
      </c>
      <c r="DW121" s="10">
        <v>0</v>
      </c>
      <c r="DX121" s="11">
        <f t="shared" si="16"/>
        <v>0</v>
      </c>
      <c r="DY121" s="10"/>
      <c r="DZ121" s="10"/>
      <c r="EA121" s="11">
        <f t="shared" si="17"/>
        <v>0</v>
      </c>
      <c r="EB121" s="10"/>
      <c r="EC121" s="11">
        <f t="shared" si="18"/>
        <v>0</v>
      </c>
      <c r="ED121" s="10"/>
      <c r="EE121" s="10"/>
    </row>
    <row r="122" spans="2:135" ht="16.5">
      <c r="B122" s="47">
        <v>111</v>
      </c>
      <c r="C122" s="50" t="s">
        <v>793</v>
      </c>
      <c r="D122" s="49" t="s">
        <v>209</v>
      </c>
      <c r="E122" s="49"/>
      <c r="F122" s="49"/>
      <c r="G122" s="49"/>
      <c r="H122" s="71">
        <f t="shared" si="19"/>
        <v>14.399999999999999</v>
      </c>
      <c r="I122" s="10">
        <v>12</v>
      </c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1">
        <f t="shared" si="10"/>
        <v>0</v>
      </c>
      <c r="DA122" s="10"/>
      <c r="DB122" s="10"/>
      <c r="DC122" s="10"/>
      <c r="DD122" s="10"/>
      <c r="DE122" s="10"/>
      <c r="DF122" s="10"/>
      <c r="DG122" s="10"/>
      <c r="DH122" s="10"/>
      <c r="DI122" s="10">
        <v>1</v>
      </c>
      <c r="DJ122" s="11">
        <f t="shared" si="11"/>
        <v>14.399999999999999</v>
      </c>
      <c r="DK122" s="10"/>
      <c r="DL122" s="10"/>
      <c r="DM122" s="10"/>
      <c r="DN122" s="11">
        <f t="shared" si="12"/>
        <v>0</v>
      </c>
      <c r="DO122" s="10"/>
      <c r="DP122" s="10"/>
      <c r="DQ122" s="10">
        <v>5</v>
      </c>
      <c r="DR122" s="11">
        <f t="shared" si="13"/>
        <v>72</v>
      </c>
      <c r="DS122" s="10">
        <v>0</v>
      </c>
      <c r="DT122" s="11">
        <f t="shared" si="14"/>
        <v>0</v>
      </c>
      <c r="DU122" s="10">
        <v>1</v>
      </c>
      <c r="DV122" s="11">
        <f t="shared" si="15"/>
        <v>14.399999999999999</v>
      </c>
      <c r="DW122" s="10">
        <v>1</v>
      </c>
      <c r="DX122" s="11">
        <f t="shared" si="16"/>
        <v>14.399999999999999</v>
      </c>
      <c r="DY122" s="10"/>
      <c r="DZ122" s="10"/>
      <c r="EA122" s="11">
        <f t="shared" si="17"/>
        <v>0</v>
      </c>
      <c r="EB122" s="10">
        <v>4</v>
      </c>
      <c r="EC122" s="11">
        <f t="shared" si="18"/>
        <v>57.599999999999994</v>
      </c>
      <c r="ED122" s="10"/>
      <c r="EE122" s="10"/>
    </row>
    <row r="123" spans="2:135" ht="16.5">
      <c r="B123" s="47">
        <v>112</v>
      </c>
      <c r="C123" s="50" t="s">
        <v>794</v>
      </c>
      <c r="D123" s="49" t="s">
        <v>210</v>
      </c>
      <c r="E123" s="49"/>
      <c r="F123" s="49"/>
      <c r="G123" s="49"/>
      <c r="H123" s="71">
        <f t="shared" si="19"/>
        <v>1.2</v>
      </c>
      <c r="I123" s="10">
        <v>1</v>
      </c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1">
        <f t="shared" si="10"/>
        <v>0</v>
      </c>
      <c r="DA123" s="10"/>
      <c r="DB123" s="10"/>
      <c r="DC123" s="10"/>
      <c r="DD123" s="10"/>
      <c r="DE123" s="10"/>
      <c r="DF123" s="10"/>
      <c r="DG123" s="10"/>
      <c r="DH123" s="10"/>
      <c r="DI123" s="10"/>
      <c r="DJ123" s="11">
        <f t="shared" si="11"/>
        <v>0</v>
      </c>
      <c r="DK123" s="10"/>
      <c r="DL123" s="10"/>
      <c r="DM123" s="10"/>
      <c r="DN123" s="11">
        <f t="shared" si="12"/>
        <v>0</v>
      </c>
      <c r="DO123" s="10"/>
      <c r="DP123" s="10"/>
      <c r="DQ123" s="10">
        <v>0</v>
      </c>
      <c r="DR123" s="11">
        <f t="shared" si="13"/>
        <v>0</v>
      </c>
      <c r="DS123" s="10">
        <v>0</v>
      </c>
      <c r="DT123" s="11">
        <f t="shared" si="14"/>
        <v>0</v>
      </c>
      <c r="DU123" s="10">
        <v>1</v>
      </c>
      <c r="DV123" s="11">
        <f t="shared" si="15"/>
        <v>1.2</v>
      </c>
      <c r="DW123" s="10">
        <v>0</v>
      </c>
      <c r="DX123" s="11">
        <f t="shared" si="16"/>
        <v>0</v>
      </c>
      <c r="DY123" s="10"/>
      <c r="DZ123" s="10"/>
      <c r="EA123" s="11">
        <f t="shared" si="17"/>
        <v>0</v>
      </c>
      <c r="EB123" s="10"/>
      <c r="EC123" s="11">
        <f t="shared" si="18"/>
        <v>0</v>
      </c>
      <c r="ED123" s="10"/>
      <c r="EE123" s="10"/>
    </row>
    <row r="124" spans="2:135" ht="16.5">
      <c r="B124" s="47">
        <v>113</v>
      </c>
      <c r="C124" s="50" t="s">
        <v>795</v>
      </c>
      <c r="D124" s="49" t="s">
        <v>211</v>
      </c>
      <c r="E124" s="49"/>
      <c r="F124" s="49"/>
      <c r="G124" s="49"/>
      <c r="H124" s="71">
        <f t="shared" si="19"/>
        <v>6</v>
      </c>
      <c r="I124" s="10">
        <v>5</v>
      </c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1">
        <f t="shared" si="10"/>
        <v>0</v>
      </c>
      <c r="DA124" s="10"/>
      <c r="DB124" s="10"/>
      <c r="DC124" s="10"/>
      <c r="DD124" s="10"/>
      <c r="DE124" s="10"/>
      <c r="DF124" s="10"/>
      <c r="DG124" s="10"/>
      <c r="DH124" s="10"/>
      <c r="DI124" s="10"/>
      <c r="DJ124" s="11">
        <f t="shared" si="11"/>
        <v>0</v>
      </c>
      <c r="DK124" s="10"/>
      <c r="DL124" s="10"/>
      <c r="DM124" s="10"/>
      <c r="DN124" s="11">
        <f t="shared" si="12"/>
        <v>0</v>
      </c>
      <c r="DO124" s="10"/>
      <c r="DP124" s="10"/>
      <c r="DQ124" s="10">
        <v>5</v>
      </c>
      <c r="DR124" s="11">
        <f t="shared" si="13"/>
        <v>30</v>
      </c>
      <c r="DS124" s="10">
        <v>0</v>
      </c>
      <c r="DT124" s="11">
        <f t="shared" si="14"/>
        <v>0</v>
      </c>
      <c r="DU124" s="10"/>
      <c r="DV124" s="11">
        <f t="shared" si="15"/>
        <v>0</v>
      </c>
      <c r="DW124" s="10">
        <v>0</v>
      </c>
      <c r="DX124" s="11">
        <f t="shared" si="16"/>
        <v>0</v>
      </c>
      <c r="DY124" s="10"/>
      <c r="DZ124" s="10"/>
      <c r="EA124" s="11">
        <f t="shared" si="17"/>
        <v>0</v>
      </c>
      <c r="EB124" s="10"/>
      <c r="EC124" s="11">
        <f t="shared" si="18"/>
        <v>0</v>
      </c>
      <c r="ED124" s="10"/>
      <c r="EE124" s="10"/>
    </row>
    <row r="125" spans="2:135" ht="16.5">
      <c r="B125" s="47">
        <v>114</v>
      </c>
      <c r="C125" s="50" t="s">
        <v>796</v>
      </c>
      <c r="D125" s="49" t="s">
        <v>212</v>
      </c>
      <c r="E125" s="49"/>
      <c r="F125" s="49"/>
      <c r="G125" s="49"/>
      <c r="H125" s="71">
        <f t="shared" si="19"/>
        <v>3.5999999999999996</v>
      </c>
      <c r="I125" s="10">
        <v>3</v>
      </c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1">
        <f t="shared" si="10"/>
        <v>0</v>
      </c>
      <c r="DA125" s="10"/>
      <c r="DB125" s="10"/>
      <c r="DC125" s="10"/>
      <c r="DD125" s="10"/>
      <c r="DE125" s="10"/>
      <c r="DF125" s="10"/>
      <c r="DG125" s="10"/>
      <c r="DH125" s="10"/>
      <c r="DI125" s="10"/>
      <c r="DJ125" s="11">
        <f t="shared" si="11"/>
        <v>0</v>
      </c>
      <c r="DK125" s="10"/>
      <c r="DL125" s="10"/>
      <c r="DM125" s="10"/>
      <c r="DN125" s="11">
        <f t="shared" si="12"/>
        <v>0</v>
      </c>
      <c r="DO125" s="10"/>
      <c r="DP125" s="10"/>
      <c r="DQ125" s="10">
        <v>0</v>
      </c>
      <c r="DR125" s="11">
        <f t="shared" si="13"/>
        <v>0</v>
      </c>
      <c r="DS125" s="10">
        <v>3</v>
      </c>
      <c r="DT125" s="11">
        <f t="shared" si="14"/>
        <v>10.799999999999999</v>
      </c>
      <c r="DU125" s="10"/>
      <c r="DV125" s="11">
        <f t="shared" si="15"/>
        <v>0</v>
      </c>
      <c r="DW125" s="10">
        <v>0</v>
      </c>
      <c r="DX125" s="11">
        <f t="shared" si="16"/>
        <v>0</v>
      </c>
      <c r="DY125" s="10"/>
      <c r="DZ125" s="10"/>
      <c r="EA125" s="11">
        <f t="shared" si="17"/>
        <v>0</v>
      </c>
      <c r="EB125" s="10"/>
      <c r="EC125" s="11">
        <f t="shared" si="18"/>
        <v>0</v>
      </c>
      <c r="ED125" s="10"/>
      <c r="EE125" s="10"/>
    </row>
    <row r="126" spans="2:135" ht="16.5">
      <c r="B126" s="47">
        <v>115</v>
      </c>
      <c r="C126" s="50" t="s">
        <v>797</v>
      </c>
      <c r="D126" s="49" t="s">
        <v>213</v>
      </c>
      <c r="E126" s="49"/>
      <c r="F126" s="49"/>
      <c r="G126" s="49"/>
      <c r="H126" s="71">
        <f t="shared" si="19"/>
        <v>4.8</v>
      </c>
      <c r="I126" s="10">
        <v>4</v>
      </c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1">
        <f t="shared" si="10"/>
        <v>0</v>
      </c>
      <c r="DA126" s="10"/>
      <c r="DB126" s="10"/>
      <c r="DC126" s="10"/>
      <c r="DD126" s="10"/>
      <c r="DE126" s="10"/>
      <c r="DF126" s="10"/>
      <c r="DG126" s="10"/>
      <c r="DH126" s="10"/>
      <c r="DI126" s="10"/>
      <c r="DJ126" s="11">
        <f t="shared" si="11"/>
        <v>0</v>
      </c>
      <c r="DK126" s="10"/>
      <c r="DL126" s="10"/>
      <c r="DM126" s="10"/>
      <c r="DN126" s="11">
        <f t="shared" si="12"/>
        <v>0</v>
      </c>
      <c r="DO126" s="10"/>
      <c r="DP126" s="10"/>
      <c r="DQ126" s="10">
        <v>3</v>
      </c>
      <c r="DR126" s="11">
        <f t="shared" si="13"/>
        <v>14.399999999999999</v>
      </c>
      <c r="DS126" s="10">
        <v>0</v>
      </c>
      <c r="DT126" s="11">
        <f t="shared" si="14"/>
        <v>0</v>
      </c>
      <c r="DU126" s="10"/>
      <c r="DV126" s="11">
        <f t="shared" si="15"/>
        <v>0</v>
      </c>
      <c r="DW126" s="10">
        <v>0</v>
      </c>
      <c r="DX126" s="11">
        <f t="shared" si="16"/>
        <v>0</v>
      </c>
      <c r="DY126" s="10"/>
      <c r="DZ126" s="10"/>
      <c r="EA126" s="11">
        <f t="shared" si="17"/>
        <v>0</v>
      </c>
      <c r="EB126" s="10">
        <v>1</v>
      </c>
      <c r="EC126" s="11">
        <f t="shared" si="18"/>
        <v>4.8</v>
      </c>
      <c r="ED126" s="10"/>
      <c r="EE126" s="10"/>
    </row>
    <row r="127" spans="2:135" ht="16.5">
      <c r="B127" s="47">
        <v>116</v>
      </c>
      <c r="C127" s="50" t="s">
        <v>798</v>
      </c>
      <c r="D127" s="49" t="s">
        <v>214</v>
      </c>
      <c r="E127" s="49"/>
      <c r="F127" s="49"/>
      <c r="G127" s="49"/>
      <c r="H127" s="71">
        <f t="shared" si="19"/>
        <v>22.8</v>
      </c>
      <c r="I127" s="10">
        <v>19</v>
      </c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>
        <v>2</v>
      </c>
      <c r="CZ127" s="11">
        <f t="shared" si="10"/>
        <v>45.6</v>
      </c>
      <c r="DA127" s="10"/>
      <c r="DB127" s="10"/>
      <c r="DC127" s="10"/>
      <c r="DD127" s="10"/>
      <c r="DE127" s="10"/>
      <c r="DF127" s="10"/>
      <c r="DG127" s="10"/>
      <c r="DH127" s="10"/>
      <c r="DI127" s="10"/>
      <c r="DJ127" s="11">
        <f t="shared" si="11"/>
        <v>0</v>
      </c>
      <c r="DK127" s="10"/>
      <c r="DL127" s="10"/>
      <c r="DM127" s="10"/>
      <c r="DN127" s="11">
        <f t="shared" si="12"/>
        <v>0</v>
      </c>
      <c r="DO127" s="10"/>
      <c r="DP127" s="10"/>
      <c r="DQ127" s="10">
        <v>2</v>
      </c>
      <c r="DR127" s="11">
        <f t="shared" si="13"/>
        <v>45.6</v>
      </c>
      <c r="DS127" s="10">
        <v>0</v>
      </c>
      <c r="DT127" s="11">
        <f t="shared" si="14"/>
        <v>0</v>
      </c>
      <c r="DU127" s="10">
        <v>3</v>
      </c>
      <c r="DV127" s="11">
        <f t="shared" si="15"/>
        <v>68.400000000000006</v>
      </c>
      <c r="DW127" s="10">
        <v>11</v>
      </c>
      <c r="DX127" s="11">
        <f t="shared" si="16"/>
        <v>250.8</v>
      </c>
      <c r="DY127" s="10"/>
      <c r="DZ127" s="10"/>
      <c r="EA127" s="11">
        <f t="shared" si="17"/>
        <v>0</v>
      </c>
      <c r="EB127" s="10">
        <v>1</v>
      </c>
      <c r="EC127" s="11">
        <f t="shared" si="18"/>
        <v>22.8</v>
      </c>
      <c r="ED127" s="10"/>
      <c r="EE127" s="10"/>
    </row>
    <row r="128" spans="2:135" ht="16.5">
      <c r="B128" s="47">
        <v>117</v>
      </c>
      <c r="C128" s="50" t="s">
        <v>799</v>
      </c>
      <c r="D128" s="49" t="s">
        <v>215</v>
      </c>
      <c r="E128" s="49"/>
      <c r="F128" s="49"/>
      <c r="G128" s="49"/>
      <c r="H128" s="71">
        <f t="shared" si="19"/>
        <v>2.4</v>
      </c>
      <c r="I128" s="10">
        <v>2</v>
      </c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1">
        <f t="shared" si="10"/>
        <v>0</v>
      </c>
      <c r="DA128" s="10"/>
      <c r="DB128" s="10"/>
      <c r="DC128" s="10"/>
      <c r="DD128" s="10"/>
      <c r="DE128" s="10"/>
      <c r="DF128" s="10"/>
      <c r="DG128" s="10"/>
      <c r="DH128" s="10"/>
      <c r="DI128" s="10"/>
      <c r="DJ128" s="11">
        <f t="shared" si="11"/>
        <v>0</v>
      </c>
      <c r="DK128" s="10"/>
      <c r="DL128" s="10"/>
      <c r="DM128" s="10">
        <v>2</v>
      </c>
      <c r="DN128" s="11">
        <f t="shared" si="12"/>
        <v>4.8</v>
      </c>
      <c r="DO128" s="10"/>
      <c r="DP128" s="10"/>
      <c r="DQ128" s="10">
        <v>0</v>
      </c>
      <c r="DR128" s="11">
        <f t="shared" si="13"/>
        <v>0</v>
      </c>
      <c r="DS128" s="10">
        <v>0</v>
      </c>
      <c r="DT128" s="11">
        <f t="shared" si="14"/>
        <v>0</v>
      </c>
      <c r="DU128" s="10"/>
      <c r="DV128" s="11">
        <f t="shared" si="15"/>
        <v>0</v>
      </c>
      <c r="DW128" s="10">
        <v>0</v>
      </c>
      <c r="DX128" s="11">
        <f t="shared" si="16"/>
        <v>0</v>
      </c>
      <c r="DY128" s="10"/>
      <c r="DZ128" s="10"/>
      <c r="EA128" s="11">
        <f t="shared" si="17"/>
        <v>0</v>
      </c>
      <c r="EB128" s="10"/>
      <c r="EC128" s="11">
        <f t="shared" si="18"/>
        <v>0</v>
      </c>
      <c r="ED128" s="10"/>
      <c r="EE128" s="10"/>
    </row>
    <row r="129" spans="2:135" ht="16.5">
      <c r="B129" s="47">
        <v>118</v>
      </c>
      <c r="C129" s="50" t="s">
        <v>800</v>
      </c>
      <c r="D129" s="49" t="s">
        <v>216</v>
      </c>
      <c r="E129" s="49"/>
      <c r="F129" s="49"/>
      <c r="G129" s="49"/>
      <c r="H129" s="71">
        <f t="shared" si="19"/>
        <v>4.8</v>
      </c>
      <c r="I129" s="10">
        <v>4</v>
      </c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1">
        <f t="shared" si="10"/>
        <v>0</v>
      </c>
      <c r="DA129" s="10"/>
      <c r="DB129" s="10"/>
      <c r="DC129" s="10"/>
      <c r="DD129" s="10"/>
      <c r="DE129" s="10"/>
      <c r="DF129" s="10"/>
      <c r="DG129" s="10"/>
      <c r="DH129" s="10"/>
      <c r="DI129" s="10"/>
      <c r="DJ129" s="11">
        <f t="shared" si="11"/>
        <v>0</v>
      </c>
      <c r="DK129" s="10"/>
      <c r="DL129" s="10"/>
      <c r="DM129" s="10"/>
      <c r="DN129" s="11">
        <f t="shared" si="12"/>
        <v>0</v>
      </c>
      <c r="DO129" s="10"/>
      <c r="DP129" s="10"/>
      <c r="DQ129" s="10">
        <v>4</v>
      </c>
      <c r="DR129" s="11">
        <f t="shared" si="13"/>
        <v>19.2</v>
      </c>
      <c r="DS129" s="10">
        <v>0</v>
      </c>
      <c r="DT129" s="11">
        <f t="shared" si="14"/>
        <v>0</v>
      </c>
      <c r="DU129" s="10"/>
      <c r="DV129" s="11">
        <f t="shared" si="15"/>
        <v>0</v>
      </c>
      <c r="DW129" s="10">
        <v>0</v>
      </c>
      <c r="DX129" s="11">
        <f t="shared" si="16"/>
        <v>0</v>
      </c>
      <c r="DY129" s="10"/>
      <c r="DZ129" s="10"/>
      <c r="EA129" s="11">
        <f t="shared" si="17"/>
        <v>0</v>
      </c>
      <c r="EB129" s="10"/>
      <c r="EC129" s="11">
        <f t="shared" si="18"/>
        <v>0</v>
      </c>
      <c r="ED129" s="10"/>
      <c r="EE129" s="10"/>
    </row>
    <row r="130" spans="2:135" ht="16.5">
      <c r="B130" s="47">
        <v>119</v>
      </c>
      <c r="C130" s="50" t="s">
        <v>801</v>
      </c>
      <c r="D130" s="49" t="s">
        <v>217</v>
      </c>
      <c r="E130" s="49"/>
      <c r="F130" s="49"/>
      <c r="G130" s="49"/>
      <c r="H130" s="71">
        <f t="shared" si="19"/>
        <v>6</v>
      </c>
      <c r="I130" s="10">
        <v>5</v>
      </c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  <c r="CQ130" s="10"/>
      <c r="CR130" s="10"/>
      <c r="CS130" s="10"/>
      <c r="CT130" s="10"/>
      <c r="CU130" s="10"/>
      <c r="CV130" s="10"/>
      <c r="CW130" s="10"/>
      <c r="CX130" s="10"/>
      <c r="CY130" s="10">
        <v>1</v>
      </c>
      <c r="CZ130" s="11">
        <f t="shared" si="10"/>
        <v>6</v>
      </c>
      <c r="DA130" s="10"/>
      <c r="DB130" s="10"/>
      <c r="DC130" s="10"/>
      <c r="DD130" s="10"/>
      <c r="DE130" s="10"/>
      <c r="DF130" s="10"/>
      <c r="DG130" s="10"/>
      <c r="DH130" s="10"/>
      <c r="DI130" s="10"/>
      <c r="DJ130" s="11">
        <f t="shared" si="11"/>
        <v>0</v>
      </c>
      <c r="DK130" s="10"/>
      <c r="DL130" s="10"/>
      <c r="DM130" s="10"/>
      <c r="DN130" s="11">
        <f t="shared" si="12"/>
        <v>0</v>
      </c>
      <c r="DO130" s="10"/>
      <c r="DP130" s="10"/>
      <c r="DQ130" s="10">
        <v>4</v>
      </c>
      <c r="DR130" s="11">
        <f t="shared" si="13"/>
        <v>24</v>
      </c>
      <c r="DS130" s="10">
        <v>0</v>
      </c>
      <c r="DT130" s="11">
        <f t="shared" si="14"/>
        <v>0</v>
      </c>
      <c r="DU130" s="10"/>
      <c r="DV130" s="11">
        <f t="shared" si="15"/>
        <v>0</v>
      </c>
      <c r="DW130" s="10">
        <v>0</v>
      </c>
      <c r="DX130" s="11">
        <f t="shared" si="16"/>
        <v>0</v>
      </c>
      <c r="DY130" s="10"/>
      <c r="DZ130" s="10"/>
      <c r="EA130" s="11">
        <f t="shared" si="17"/>
        <v>0</v>
      </c>
      <c r="EB130" s="10"/>
      <c r="EC130" s="11">
        <f t="shared" si="18"/>
        <v>0</v>
      </c>
      <c r="ED130" s="10"/>
      <c r="EE130" s="10"/>
    </row>
    <row r="131" spans="2:135" ht="16.5">
      <c r="B131" s="47">
        <v>120</v>
      </c>
      <c r="C131" s="50" t="s">
        <v>802</v>
      </c>
      <c r="D131" s="49" t="s">
        <v>218</v>
      </c>
      <c r="E131" s="49"/>
      <c r="F131" s="49"/>
      <c r="G131" s="49"/>
      <c r="H131" s="71">
        <f t="shared" si="19"/>
        <v>9.6</v>
      </c>
      <c r="I131" s="10">
        <v>8</v>
      </c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>
        <v>5</v>
      </c>
      <c r="CZ131" s="11">
        <f t="shared" si="10"/>
        <v>48</v>
      </c>
      <c r="DA131" s="10"/>
      <c r="DB131" s="10"/>
      <c r="DC131" s="10"/>
      <c r="DD131" s="10"/>
      <c r="DE131" s="10"/>
      <c r="DF131" s="10"/>
      <c r="DG131" s="10"/>
      <c r="DH131" s="10"/>
      <c r="DI131" s="10"/>
      <c r="DJ131" s="11">
        <f t="shared" si="11"/>
        <v>0</v>
      </c>
      <c r="DK131" s="10"/>
      <c r="DL131" s="10"/>
      <c r="DM131" s="10"/>
      <c r="DN131" s="11">
        <f t="shared" si="12"/>
        <v>0</v>
      </c>
      <c r="DO131" s="10"/>
      <c r="DP131" s="10"/>
      <c r="DQ131" s="10">
        <v>3</v>
      </c>
      <c r="DR131" s="11">
        <f t="shared" si="13"/>
        <v>28.799999999999997</v>
      </c>
      <c r="DS131" s="10">
        <v>0</v>
      </c>
      <c r="DT131" s="11">
        <f t="shared" si="14"/>
        <v>0</v>
      </c>
      <c r="DU131" s="10"/>
      <c r="DV131" s="11">
        <f t="shared" si="15"/>
        <v>0</v>
      </c>
      <c r="DW131" s="10">
        <v>0</v>
      </c>
      <c r="DX131" s="11">
        <f t="shared" si="16"/>
        <v>0</v>
      </c>
      <c r="DY131" s="10"/>
      <c r="DZ131" s="10"/>
      <c r="EA131" s="11">
        <f t="shared" si="17"/>
        <v>0</v>
      </c>
      <c r="EB131" s="10"/>
      <c r="EC131" s="11">
        <f t="shared" si="18"/>
        <v>0</v>
      </c>
      <c r="ED131" s="10"/>
      <c r="EE131" s="10"/>
    </row>
    <row r="132" spans="2:135" ht="16.5">
      <c r="B132" s="47">
        <v>121</v>
      </c>
      <c r="C132" s="50" t="s">
        <v>803</v>
      </c>
      <c r="D132" s="49" t="s">
        <v>219</v>
      </c>
      <c r="E132" s="49"/>
      <c r="F132" s="49"/>
      <c r="G132" s="49"/>
      <c r="H132" s="71">
        <f t="shared" si="19"/>
        <v>36</v>
      </c>
      <c r="I132" s="10">
        <v>30</v>
      </c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>
        <v>5</v>
      </c>
      <c r="CZ132" s="11">
        <f t="shared" si="10"/>
        <v>180</v>
      </c>
      <c r="DA132" s="10"/>
      <c r="DB132" s="10"/>
      <c r="DC132" s="10"/>
      <c r="DD132" s="10"/>
      <c r="DE132" s="10"/>
      <c r="DF132" s="10"/>
      <c r="DG132" s="10"/>
      <c r="DH132" s="10"/>
      <c r="DI132" s="10">
        <v>4</v>
      </c>
      <c r="DJ132" s="11">
        <f t="shared" si="11"/>
        <v>144</v>
      </c>
      <c r="DK132" s="10"/>
      <c r="DL132" s="10"/>
      <c r="DM132" s="10"/>
      <c r="DN132" s="11">
        <f t="shared" si="12"/>
        <v>0</v>
      </c>
      <c r="DO132" s="10"/>
      <c r="DP132" s="10"/>
      <c r="DQ132" s="10">
        <v>21</v>
      </c>
      <c r="DR132" s="11">
        <f t="shared" si="13"/>
        <v>756</v>
      </c>
      <c r="DS132" s="10">
        <v>0</v>
      </c>
      <c r="DT132" s="11">
        <f t="shared" si="14"/>
        <v>0</v>
      </c>
      <c r="DU132" s="10"/>
      <c r="DV132" s="11">
        <f t="shared" si="15"/>
        <v>0</v>
      </c>
      <c r="DW132" s="10">
        <v>0</v>
      </c>
      <c r="DX132" s="11">
        <f t="shared" si="16"/>
        <v>0</v>
      </c>
      <c r="DY132" s="10"/>
      <c r="DZ132" s="10"/>
      <c r="EA132" s="11">
        <f t="shared" si="17"/>
        <v>0</v>
      </c>
      <c r="EB132" s="10"/>
      <c r="EC132" s="11">
        <f t="shared" si="18"/>
        <v>0</v>
      </c>
      <c r="ED132" s="10"/>
      <c r="EE132" s="10"/>
    </row>
    <row r="133" spans="2:135" ht="16.5">
      <c r="B133" s="47">
        <v>122</v>
      </c>
      <c r="C133" s="50" t="s">
        <v>804</v>
      </c>
      <c r="D133" s="49" t="s">
        <v>220</v>
      </c>
      <c r="E133" s="49"/>
      <c r="F133" s="49"/>
      <c r="G133" s="49"/>
      <c r="H133" s="71">
        <f t="shared" si="19"/>
        <v>1.2</v>
      </c>
      <c r="I133" s="10">
        <v>1</v>
      </c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1">
        <f t="shared" si="10"/>
        <v>0</v>
      </c>
      <c r="DA133" s="10"/>
      <c r="DB133" s="10"/>
      <c r="DC133" s="10"/>
      <c r="DD133" s="10"/>
      <c r="DE133" s="10"/>
      <c r="DF133" s="10"/>
      <c r="DG133" s="10"/>
      <c r="DH133" s="10"/>
      <c r="DI133" s="10"/>
      <c r="DJ133" s="11">
        <f t="shared" si="11"/>
        <v>0</v>
      </c>
      <c r="DK133" s="10"/>
      <c r="DL133" s="10"/>
      <c r="DM133" s="10"/>
      <c r="DN133" s="11">
        <f t="shared" si="12"/>
        <v>0</v>
      </c>
      <c r="DO133" s="10"/>
      <c r="DP133" s="10"/>
      <c r="DQ133" s="10">
        <v>1</v>
      </c>
      <c r="DR133" s="11">
        <f t="shared" si="13"/>
        <v>1.2</v>
      </c>
      <c r="DS133" s="10">
        <v>0</v>
      </c>
      <c r="DT133" s="11">
        <f t="shared" si="14"/>
        <v>0</v>
      </c>
      <c r="DU133" s="10"/>
      <c r="DV133" s="11">
        <f t="shared" si="15"/>
        <v>0</v>
      </c>
      <c r="DW133" s="10">
        <v>0</v>
      </c>
      <c r="DX133" s="11">
        <f t="shared" si="16"/>
        <v>0</v>
      </c>
      <c r="DY133" s="10"/>
      <c r="DZ133" s="10"/>
      <c r="EA133" s="11">
        <f t="shared" si="17"/>
        <v>0</v>
      </c>
      <c r="EB133" s="10"/>
      <c r="EC133" s="11">
        <f t="shared" si="18"/>
        <v>0</v>
      </c>
      <c r="ED133" s="10"/>
      <c r="EE133" s="10"/>
    </row>
    <row r="134" spans="2:135" ht="16.5">
      <c r="B134" s="47">
        <v>123</v>
      </c>
      <c r="C134" s="50" t="s">
        <v>805</v>
      </c>
      <c r="D134" s="49" t="s">
        <v>221</v>
      </c>
      <c r="E134" s="49"/>
      <c r="F134" s="49"/>
      <c r="G134" s="49"/>
      <c r="H134" s="71">
        <f t="shared" si="19"/>
        <v>8.4</v>
      </c>
      <c r="I134" s="10">
        <v>7</v>
      </c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>
        <v>2</v>
      </c>
      <c r="CZ134" s="11">
        <f t="shared" si="10"/>
        <v>16.8</v>
      </c>
      <c r="DA134" s="10"/>
      <c r="DB134" s="10"/>
      <c r="DC134" s="10"/>
      <c r="DD134" s="10"/>
      <c r="DE134" s="10"/>
      <c r="DF134" s="10"/>
      <c r="DG134" s="10"/>
      <c r="DH134" s="10"/>
      <c r="DI134" s="10"/>
      <c r="DJ134" s="11">
        <f t="shared" si="11"/>
        <v>0</v>
      </c>
      <c r="DK134" s="10"/>
      <c r="DL134" s="10"/>
      <c r="DM134" s="10"/>
      <c r="DN134" s="11">
        <f t="shared" si="12"/>
        <v>0</v>
      </c>
      <c r="DO134" s="10"/>
      <c r="DP134" s="10"/>
      <c r="DQ134" s="10">
        <v>5</v>
      </c>
      <c r="DR134" s="11">
        <f t="shared" si="13"/>
        <v>42</v>
      </c>
      <c r="DS134" s="10">
        <v>0</v>
      </c>
      <c r="DT134" s="11">
        <f t="shared" si="14"/>
        <v>0</v>
      </c>
      <c r="DU134" s="10"/>
      <c r="DV134" s="11">
        <f t="shared" si="15"/>
        <v>0</v>
      </c>
      <c r="DW134" s="10">
        <v>0</v>
      </c>
      <c r="DX134" s="11">
        <f t="shared" si="16"/>
        <v>0</v>
      </c>
      <c r="DY134" s="10"/>
      <c r="DZ134" s="10"/>
      <c r="EA134" s="11">
        <f t="shared" si="17"/>
        <v>0</v>
      </c>
      <c r="EB134" s="10"/>
      <c r="EC134" s="11">
        <f t="shared" si="18"/>
        <v>0</v>
      </c>
      <c r="ED134" s="10"/>
      <c r="EE134" s="10"/>
    </row>
    <row r="135" spans="2:135" ht="16.5">
      <c r="B135" s="47">
        <v>124</v>
      </c>
      <c r="C135" s="50" t="s">
        <v>806</v>
      </c>
      <c r="D135" s="49" t="s">
        <v>222</v>
      </c>
      <c r="E135" s="49"/>
      <c r="F135" s="49"/>
      <c r="G135" s="49"/>
      <c r="H135" s="71">
        <f t="shared" si="19"/>
        <v>18</v>
      </c>
      <c r="I135" s="10">
        <v>15</v>
      </c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>
        <v>1</v>
      </c>
      <c r="CZ135" s="11">
        <f t="shared" si="10"/>
        <v>18</v>
      </c>
      <c r="DA135" s="10"/>
      <c r="DB135" s="10"/>
      <c r="DC135" s="10"/>
      <c r="DD135" s="10"/>
      <c r="DE135" s="10"/>
      <c r="DF135" s="10"/>
      <c r="DG135" s="10"/>
      <c r="DH135" s="10"/>
      <c r="DI135" s="10"/>
      <c r="DJ135" s="11">
        <f t="shared" si="11"/>
        <v>0</v>
      </c>
      <c r="DK135" s="10"/>
      <c r="DL135" s="10"/>
      <c r="DM135" s="10"/>
      <c r="DN135" s="11">
        <f t="shared" si="12"/>
        <v>0</v>
      </c>
      <c r="DO135" s="10"/>
      <c r="DP135" s="10"/>
      <c r="DQ135" s="10">
        <v>14</v>
      </c>
      <c r="DR135" s="11">
        <f t="shared" si="13"/>
        <v>252</v>
      </c>
      <c r="DS135" s="10">
        <v>0</v>
      </c>
      <c r="DT135" s="11">
        <f t="shared" si="14"/>
        <v>0</v>
      </c>
      <c r="DU135" s="10"/>
      <c r="DV135" s="11">
        <f t="shared" si="15"/>
        <v>0</v>
      </c>
      <c r="DW135" s="10">
        <v>0</v>
      </c>
      <c r="DX135" s="11">
        <f t="shared" si="16"/>
        <v>0</v>
      </c>
      <c r="DY135" s="10"/>
      <c r="DZ135" s="10"/>
      <c r="EA135" s="11">
        <f t="shared" si="17"/>
        <v>0</v>
      </c>
      <c r="EB135" s="10"/>
      <c r="EC135" s="11">
        <f t="shared" si="18"/>
        <v>0</v>
      </c>
      <c r="ED135" s="10"/>
      <c r="EE135" s="10"/>
    </row>
    <row r="136" spans="2:135" ht="16.5">
      <c r="B136" s="47">
        <v>125</v>
      </c>
      <c r="C136" s="50" t="s">
        <v>807</v>
      </c>
      <c r="D136" s="49" t="s">
        <v>223</v>
      </c>
      <c r="E136" s="49"/>
      <c r="F136" s="49"/>
      <c r="G136" s="49"/>
      <c r="H136" s="71">
        <f t="shared" si="19"/>
        <v>1.2</v>
      </c>
      <c r="I136" s="10">
        <v>1</v>
      </c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1">
        <f t="shared" si="10"/>
        <v>0</v>
      </c>
      <c r="DA136" s="10"/>
      <c r="DB136" s="10"/>
      <c r="DC136" s="10"/>
      <c r="DD136" s="10"/>
      <c r="DE136" s="10"/>
      <c r="DF136" s="10"/>
      <c r="DG136" s="10"/>
      <c r="DH136" s="10"/>
      <c r="DI136" s="10"/>
      <c r="DJ136" s="11">
        <f t="shared" si="11"/>
        <v>0</v>
      </c>
      <c r="DK136" s="10"/>
      <c r="DL136" s="10"/>
      <c r="DM136" s="10"/>
      <c r="DN136" s="11">
        <f t="shared" si="12"/>
        <v>0</v>
      </c>
      <c r="DO136" s="10"/>
      <c r="DP136" s="10"/>
      <c r="DQ136" s="10">
        <v>0</v>
      </c>
      <c r="DR136" s="11">
        <f t="shared" si="13"/>
        <v>0</v>
      </c>
      <c r="DS136" s="10">
        <v>0</v>
      </c>
      <c r="DT136" s="11">
        <f t="shared" si="14"/>
        <v>0</v>
      </c>
      <c r="DU136" s="10">
        <v>1</v>
      </c>
      <c r="DV136" s="11">
        <f t="shared" si="15"/>
        <v>1.2</v>
      </c>
      <c r="DW136" s="10">
        <v>0</v>
      </c>
      <c r="DX136" s="11">
        <f t="shared" si="16"/>
        <v>0</v>
      </c>
      <c r="DY136" s="10"/>
      <c r="DZ136" s="10"/>
      <c r="EA136" s="11">
        <f t="shared" si="17"/>
        <v>0</v>
      </c>
      <c r="EB136" s="10"/>
      <c r="EC136" s="11">
        <f t="shared" si="18"/>
        <v>0</v>
      </c>
      <c r="ED136" s="10"/>
      <c r="EE136" s="10"/>
    </row>
    <row r="137" spans="2:135" ht="16.5">
      <c r="B137" s="47">
        <v>126</v>
      </c>
      <c r="C137" s="50" t="s">
        <v>808</v>
      </c>
      <c r="D137" s="49" t="s">
        <v>224</v>
      </c>
      <c r="E137" s="49"/>
      <c r="F137" s="49"/>
      <c r="G137" s="49"/>
      <c r="H137" s="71">
        <f t="shared" si="19"/>
        <v>55.199999999999996</v>
      </c>
      <c r="I137" s="10">
        <v>46</v>
      </c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>
        <v>28</v>
      </c>
      <c r="CZ137" s="11">
        <f t="shared" si="10"/>
        <v>1545.6</v>
      </c>
      <c r="DA137" s="10"/>
      <c r="DB137" s="10"/>
      <c r="DC137" s="10"/>
      <c r="DD137" s="10"/>
      <c r="DE137" s="10"/>
      <c r="DF137" s="10"/>
      <c r="DG137" s="10"/>
      <c r="DH137" s="10"/>
      <c r="DI137" s="10">
        <v>8</v>
      </c>
      <c r="DJ137" s="11">
        <f t="shared" si="11"/>
        <v>441.59999999999997</v>
      </c>
      <c r="DK137" s="10"/>
      <c r="DL137" s="10"/>
      <c r="DM137" s="10"/>
      <c r="DN137" s="11">
        <f t="shared" si="12"/>
        <v>0</v>
      </c>
      <c r="DO137" s="10"/>
      <c r="DP137" s="10"/>
      <c r="DQ137" s="10">
        <v>0</v>
      </c>
      <c r="DR137" s="11">
        <f t="shared" si="13"/>
        <v>0</v>
      </c>
      <c r="DS137" s="10">
        <v>0</v>
      </c>
      <c r="DT137" s="11">
        <f t="shared" si="14"/>
        <v>0</v>
      </c>
      <c r="DU137" s="10"/>
      <c r="DV137" s="11">
        <f t="shared" si="15"/>
        <v>0</v>
      </c>
      <c r="DW137" s="10">
        <v>10</v>
      </c>
      <c r="DX137" s="11">
        <f t="shared" si="16"/>
        <v>552</v>
      </c>
      <c r="DY137" s="10"/>
      <c r="DZ137" s="10"/>
      <c r="EA137" s="11">
        <f t="shared" si="17"/>
        <v>0</v>
      </c>
      <c r="EB137" s="10"/>
      <c r="EC137" s="11">
        <f t="shared" si="18"/>
        <v>0</v>
      </c>
      <c r="ED137" s="10"/>
      <c r="EE137" s="10"/>
    </row>
    <row r="138" spans="2:135" ht="16.5">
      <c r="B138" s="47">
        <v>127</v>
      </c>
      <c r="C138" s="50" t="s">
        <v>809</v>
      </c>
      <c r="D138" s="49" t="s">
        <v>225</v>
      </c>
      <c r="E138" s="49"/>
      <c r="F138" s="49"/>
      <c r="G138" s="49"/>
      <c r="H138" s="71">
        <f t="shared" si="19"/>
        <v>24</v>
      </c>
      <c r="I138" s="10">
        <v>20</v>
      </c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>
        <v>2</v>
      </c>
      <c r="CZ138" s="11">
        <f t="shared" si="10"/>
        <v>48</v>
      </c>
      <c r="DA138" s="10"/>
      <c r="DB138" s="10"/>
      <c r="DC138" s="10"/>
      <c r="DD138" s="10"/>
      <c r="DE138" s="10"/>
      <c r="DF138" s="10"/>
      <c r="DG138" s="10"/>
      <c r="DH138" s="10"/>
      <c r="DI138" s="10"/>
      <c r="DJ138" s="11">
        <f t="shared" si="11"/>
        <v>0</v>
      </c>
      <c r="DK138" s="10"/>
      <c r="DL138" s="10"/>
      <c r="DM138" s="10"/>
      <c r="DN138" s="11">
        <f t="shared" si="12"/>
        <v>0</v>
      </c>
      <c r="DO138" s="10"/>
      <c r="DP138" s="10"/>
      <c r="DQ138" s="10">
        <v>18</v>
      </c>
      <c r="DR138" s="11">
        <f t="shared" si="13"/>
        <v>432</v>
      </c>
      <c r="DS138" s="10">
        <v>0</v>
      </c>
      <c r="DT138" s="11">
        <f t="shared" si="14"/>
        <v>0</v>
      </c>
      <c r="DU138" s="10"/>
      <c r="DV138" s="11">
        <f t="shared" si="15"/>
        <v>0</v>
      </c>
      <c r="DW138" s="10">
        <v>0</v>
      </c>
      <c r="DX138" s="11">
        <f t="shared" si="16"/>
        <v>0</v>
      </c>
      <c r="DY138" s="10"/>
      <c r="DZ138" s="10"/>
      <c r="EA138" s="11">
        <f t="shared" si="17"/>
        <v>0</v>
      </c>
      <c r="EB138" s="10"/>
      <c r="EC138" s="11">
        <f t="shared" si="18"/>
        <v>0</v>
      </c>
      <c r="ED138" s="10"/>
      <c r="EE138" s="10"/>
    </row>
    <row r="139" spans="2:135" ht="16.5">
      <c r="B139" s="47">
        <v>128</v>
      </c>
      <c r="C139" s="50" t="s">
        <v>810</v>
      </c>
      <c r="D139" s="49" t="s">
        <v>226</v>
      </c>
      <c r="E139" s="49"/>
      <c r="F139" s="49"/>
      <c r="G139" s="49"/>
      <c r="H139" s="71">
        <f t="shared" si="19"/>
        <v>50.4</v>
      </c>
      <c r="I139" s="10">
        <v>42</v>
      </c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1">
        <f t="shared" si="10"/>
        <v>0</v>
      </c>
      <c r="DA139" s="10"/>
      <c r="DB139" s="10"/>
      <c r="DC139" s="10"/>
      <c r="DD139" s="10"/>
      <c r="DE139" s="10"/>
      <c r="DF139" s="10"/>
      <c r="DG139" s="10"/>
      <c r="DH139" s="10"/>
      <c r="DI139" s="10"/>
      <c r="DJ139" s="11">
        <f t="shared" si="11"/>
        <v>0</v>
      </c>
      <c r="DK139" s="10"/>
      <c r="DL139" s="10"/>
      <c r="DM139" s="10"/>
      <c r="DN139" s="11">
        <f t="shared" si="12"/>
        <v>0</v>
      </c>
      <c r="DO139" s="10"/>
      <c r="DP139" s="10"/>
      <c r="DQ139" s="10">
        <v>2</v>
      </c>
      <c r="DR139" s="11">
        <f t="shared" si="13"/>
        <v>100.8</v>
      </c>
      <c r="DS139" s="10">
        <v>0</v>
      </c>
      <c r="DT139" s="11">
        <f t="shared" si="14"/>
        <v>0</v>
      </c>
      <c r="DU139" s="10"/>
      <c r="DV139" s="11">
        <f t="shared" si="15"/>
        <v>0</v>
      </c>
      <c r="DW139" s="10">
        <v>40</v>
      </c>
      <c r="DX139" s="11">
        <f t="shared" si="16"/>
        <v>2016</v>
      </c>
      <c r="DY139" s="10"/>
      <c r="DZ139" s="10"/>
      <c r="EA139" s="11">
        <f t="shared" si="17"/>
        <v>0</v>
      </c>
      <c r="EB139" s="10"/>
      <c r="EC139" s="11">
        <f t="shared" si="18"/>
        <v>0</v>
      </c>
      <c r="ED139" s="10"/>
      <c r="EE139" s="10"/>
    </row>
    <row r="140" spans="2:135" ht="33">
      <c r="B140" s="47">
        <v>129</v>
      </c>
      <c r="C140" s="50" t="s">
        <v>811</v>
      </c>
      <c r="D140" s="49" t="s">
        <v>227</v>
      </c>
      <c r="E140" s="49"/>
      <c r="F140" s="49"/>
      <c r="G140" s="49"/>
      <c r="H140" s="71">
        <f t="shared" si="19"/>
        <v>15.6</v>
      </c>
      <c r="I140" s="10">
        <v>13</v>
      </c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1">
        <f t="shared" si="10"/>
        <v>0</v>
      </c>
      <c r="DA140" s="10"/>
      <c r="DB140" s="10"/>
      <c r="DC140" s="10"/>
      <c r="DD140" s="10"/>
      <c r="DE140" s="10"/>
      <c r="DF140" s="10"/>
      <c r="DG140" s="10"/>
      <c r="DH140" s="10"/>
      <c r="DI140" s="10"/>
      <c r="DJ140" s="11">
        <f t="shared" si="11"/>
        <v>0</v>
      </c>
      <c r="DK140" s="10"/>
      <c r="DL140" s="10"/>
      <c r="DM140" s="10"/>
      <c r="DN140" s="11">
        <f t="shared" si="12"/>
        <v>0</v>
      </c>
      <c r="DO140" s="10"/>
      <c r="DP140" s="10"/>
      <c r="DQ140" s="10">
        <v>12</v>
      </c>
      <c r="DR140" s="11">
        <f t="shared" si="13"/>
        <v>187.2</v>
      </c>
      <c r="DS140" s="10">
        <v>0</v>
      </c>
      <c r="DT140" s="11">
        <f t="shared" si="14"/>
        <v>0</v>
      </c>
      <c r="DU140" s="10"/>
      <c r="DV140" s="11">
        <f t="shared" si="15"/>
        <v>0</v>
      </c>
      <c r="DW140" s="10">
        <v>1</v>
      </c>
      <c r="DX140" s="11">
        <f t="shared" si="16"/>
        <v>15.6</v>
      </c>
      <c r="DY140" s="10"/>
      <c r="DZ140" s="10"/>
      <c r="EA140" s="11">
        <f t="shared" si="17"/>
        <v>0</v>
      </c>
      <c r="EB140" s="10"/>
      <c r="EC140" s="11">
        <f t="shared" si="18"/>
        <v>0</v>
      </c>
      <c r="ED140" s="10"/>
      <c r="EE140" s="10"/>
    </row>
    <row r="141" spans="2:135" ht="16.5">
      <c r="B141" s="47">
        <v>130</v>
      </c>
      <c r="C141" s="50" t="s">
        <v>812</v>
      </c>
      <c r="D141" s="49" t="s">
        <v>228</v>
      </c>
      <c r="E141" s="49"/>
      <c r="F141" s="49"/>
      <c r="G141" s="49"/>
      <c r="H141" s="71">
        <f t="shared" si="19"/>
        <v>19.2</v>
      </c>
      <c r="I141" s="10">
        <v>16</v>
      </c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1">
        <f t="shared" ref="CZ141:CZ204" si="20">H141*CY141</f>
        <v>0</v>
      </c>
      <c r="DA141" s="10"/>
      <c r="DB141" s="10"/>
      <c r="DC141" s="10"/>
      <c r="DD141" s="10"/>
      <c r="DE141" s="10"/>
      <c r="DF141" s="10"/>
      <c r="DG141" s="10"/>
      <c r="DH141" s="10"/>
      <c r="DI141" s="10"/>
      <c r="DJ141" s="11">
        <f t="shared" ref="DJ141:DJ204" si="21">DI141*H141</f>
        <v>0</v>
      </c>
      <c r="DK141" s="10"/>
      <c r="DL141" s="10"/>
      <c r="DM141" s="10"/>
      <c r="DN141" s="11">
        <f t="shared" ref="DN141:DN204" si="22">DM141*H141</f>
        <v>0</v>
      </c>
      <c r="DO141" s="10"/>
      <c r="DP141" s="10"/>
      <c r="DQ141" s="10">
        <v>0</v>
      </c>
      <c r="DR141" s="11">
        <f t="shared" ref="DR141:DR204" si="23">H141*DQ141</f>
        <v>0</v>
      </c>
      <c r="DS141" s="10">
        <v>6</v>
      </c>
      <c r="DT141" s="11">
        <f t="shared" ref="DT141:DT204" si="24">DS141*H141</f>
        <v>115.19999999999999</v>
      </c>
      <c r="DU141" s="10">
        <v>4</v>
      </c>
      <c r="DV141" s="11">
        <f t="shared" ref="DV141:DV204" si="25">DU141*H141</f>
        <v>76.8</v>
      </c>
      <c r="DW141" s="10">
        <v>6</v>
      </c>
      <c r="DX141" s="11">
        <f t="shared" ref="DX141:DX204" si="26">H141*DW141</f>
        <v>115.19999999999999</v>
      </c>
      <c r="DY141" s="10"/>
      <c r="DZ141" s="10"/>
      <c r="EA141" s="11">
        <f t="shared" ref="EA141:EA204" si="27">H141*DZ141</f>
        <v>0</v>
      </c>
      <c r="EB141" s="10"/>
      <c r="EC141" s="11">
        <f t="shared" ref="EC141:EC204" si="28">EB141*H141</f>
        <v>0</v>
      </c>
      <c r="ED141" s="10"/>
      <c r="EE141" s="10"/>
    </row>
    <row r="142" spans="2:135" ht="16.5">
      <c r="B142" s="47">
        <v>131</v>
      </c>
      <c r="C142" s="50" t="s">
        <v>813</v>
      </c>
      <c r="D142" s="49" t="s">
        <v>229</v>
      </c>
      <c r="E142" s="49"/>
      <c r="F142" s="49"/>
      <c r="G142" s="49"/>
      <c r="H142" s="71">
        <f t="shared" ref="H142:H205" si="29">I142*1.2</f>
        <v>10.799999999999999</v>
      </c>
      <c r="I142" s="10">
        <v>9</v>
      </c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1">
        <f t="shared" si="20"/>
        <v>0</v>
      </c>
      <c r="DA142" s="10"/>
      <c r="DB142" s="10"/>
      <c r="DC142" s="10"/>
      <c r="DD142" s="10"/>
      <c r="DE142" s="10"/>
      <c r="DF142" s="10"/>
      <c r="DG142" s="10"/>
      <c r="DH142" s="10"/>
      <c r="DI142" s="10"/>
      <c r="DJ142" s="11">
        <f t="shared" si="21"/>
        <v>0</v>
      </c>
      <c r="DK142" s="10"/>
      <c r="DL142" s="10"/>
      <c r="DM142" s="10"/>
      <c r="DN142" s="11">
        <f t="shared" si="22"/>
        <v>0</v>
      </c>
      <c r="DO142" s="10"/>
      <c r="DP142" s="10"/>
      <c r="DQ142" s="10">
        <v>6</v>
      </c>
      <c r="DR142" s="11">
        <f t="shared" si="23"/>
        <v>64.8</v>
      </c>
      <c r="DS142" s="10">
        <v>0</v>
      </c>
      <c r="DT142" s="11">
        <f t="shared" si="24"/>
        <v>0</v>
      </c>
      <c r="DU142" s="10"/>
      <c r="DV142" s="11">
        <f t="shared" si="25"/>
        <v>0</v>
      </c>
      <c r="DW142" s="10">
        <v>0</v>
      </c>
      <c r="DX142" s="11">
        <f t="shared" si="26"/>
        <v>0</v>
      </c>
      <c r="DY142" s="10"/>
      <c r="DZ142" s="10"/>
      <c r="EA142" s="11">
        <f t="shared" si="27"/>
        <v>0</v>
      </c>
      <c r="EB142" s="10">
        <v>3</v>
      </c>
      <c r="EC142" s="11">
        <f t="shared" si="28"/>
        <v>32.4</v>
      </c>
      <c r="ED142" s="10"/>
      <c r="EE142" s="10"/>
    </row>
    <row r="143" spans="2:135" ht="16.5">
      <c r="B143" s="47">
        <v>132</v>
      </c>
      <c r="C143" s="50" t="s">
        <v>814</v>
      </c>
      <c r="D143" s="49" t="s">
        <v>230</v>
      </c>
      <c r="E143" s="49"/>
      <c r="F143" s="49"/>
      <c r="G143" s="49"/>
      <c r="H143" s="71">
        <f t="shared" si="29"/>
        <v>16.8</v>
      </c>
      <c r="I143" s="10">
        <v>14</v>
      </c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>
        <v>2</v>
      </c>
      <c r="CZ143" s="11">
        <f t="shared" si="20"/>
        <v>33.6</v>
      </c>
      <c r="DA143" s="10"/>
      <c r="DB143" s="10"/>
      <c r="DC143" s="10"/>
      <c r="DD143" s="10"/>
      <c r="DE143" s="10"/>
      <c r="DF143" s="10"/>
      <c r="DG143" s="10"/>
      <c r="DH143" s="10"/>
      <c r="DI143" s="10"/>
      <c r="DJ143" s="11">
        <f t="shared" si="21"/>
        <v>0</v>
      </c>
      <c r="DK143" s="10"/>
      <c r="DL143" s="10"/>
      <c r="DM143" s="10"/>
      <c r="DN143" s="11">
        <f t="shared" si="22"/>
        <v>0</v>
      </c>
      <c r="DO143" s="10"/>
      <c r="DP143" s="10"/>
      <c r="DQ143" s="10">
        <v>12</v>
      </c>
      <c r="DR143" s="11">
        <f t="shared" si="23"/>
        <v>201.60000000000002</v>
      </c>
      <c r="DS143" s="10">
        <v>0</v>
      </c>
      <c r="DT143" s="11">
        <f t="shared" si="24"/>
        <v>0</v>
      </c>
      <c r="DU143" s="10"/>
      <c r="DV143" s="11">
        <f t="shared" si="25"/>
        <v>0</v>
      </c>
      <c r="DW143" s="10">
        <v>0</v>
      </c>
      <c r="DX143" s="11">
        <f t="shared" si="26"/>
        <v>0</v>
      </c>
      <c r="DY143" s="10"/>
      <c r="DZ143" s="10"/>
      <c r="EA143" s="11">
        <f t="shared" si="27"/>
        <v>0</v>
      </c>
      <c r="EB143" s="10"/>
      <c r="EC143" s="11">
        <f t="shared" si="28"/>
        <v>0</v>
      </c>
      <c r="ED143" s="10"/>
      <c r="EE143" s="10"/>
    </row>
    <row r="144" spans="2:135" ht="16.5">
      <c r="B144" s="47">
        <v>133</v>
      </c>
      <c r="C144" s="50" t="s">
        <v>815</v>
      </c>
      <c r="D144" s="49" t="s">
        <v>231</v>
      </c>
      <c r="E144" s="49"/>
      <c r="F144" s="49"/>
      <c r="G144" s="49"/>
      <c r="H144" s="71">
        <f t="shared" si="29"/>
        <v>3.5999999999999996</v>
      </c>
      <c r="I144" s="10">
        <v>3</v>
      </c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>
        <v>3</v>
      </c>
      <c r="CZ144" s="11">
        <f t="shared" si="20"/>
        <v>10.799999999999999</v>
      </c>
      <c r="DA144" s="10"/>
      <c r="DB144" s="10"/>
      <c r="DC144" s="10"/>
      <c r="DD144" s="10"/>
      <c r="DE144" s="10"/>
      <c r="DF144" s="10"/>
      <c r="DG144" s="10"/>
      <c r="DH144" s="10"/>
      <c r="DI144" s="10"/>
      <c r="DJ144" s="11">
        <f t="shared" si="21"/>
        <v>0</v>
      </c>
      <c r="DK144" s="10"/>
      <c r="DL144" s="10"/>
      <c r="DM144" s="10"/>
      <c r="DN144" s="11">
        <f t="shared" si="22"/>
        <v>0</v>
      </c>
      <c r="DO144" s="10"/>
      <c r="DP144" s="10"/>
      <c r="DQ144" s="10">
        <v>0</v>
      </c>
      <c r="DR144" s="11">
        <f t="shared" si="23"/>
        <v>0</v>
      </c>
      <c r="DS144" s="10">
        <v>0</v>
      </c>
      <c r="DT144" s="11">
        <f t="shared" si="24"/>
        <v>0</v>
      </c>
      <c r="DU144" s="10"/>
      <c r="DV144" s="11">
        <f t="shared" si="25"/>
        <v>0</v>
      </c>
      <c r="DW144" s="10">
        <v>0</v>
      </c>
      <c r="DX144" s="11">
        <f t="shared" si="26"/>
        <v>0</v>
      </c>
      <c r="DY144" s="10"/>
      <c r="DZ144" s="10"/>
      <c r="EA144" s="11">
        <f t="shared" si="27"/>
        <v>0</v>
      </c>
      <c r="EB144" s="10"/>
      <c r="EC144" s="11">
        <f t="shared" si="28"/>
        <v>0</v>
      </c>
      <c r="ED144" s="10"/>
      <c r="EE144" s="10"/>
    </row>
    <row r="145" spans="2:135" ht="16.5">
      <c r="B145" s="47">
        <v>134</v>
      </c>
      <c r="C145" s="50" t="s">
        <v>816</v>
      </c>
      <c r="D145" s="49" t="s">
        <v>232</v>
      </c>
      <c r="E145" s="49"/>
      <c r="F145" s="49"/>
      <c r="G145" s="49"/>
      <c r="H145" s="71">
        <f t="shared" si="29"/>
        <v>8.4</v>
      </c>
      <c r="I145" s="10">
        <v>7</v>
      </c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1">
        <f t="shared" si="20"/>
        <v>0</v>
      </c>
      <c r="DA145" s="10"/>
      <c r="DB145" s="10"/>
      <c r="DC145" s="10"/>
      <c r="DD145" s="10"/>
      <c r="DE145" s="10"/>
      <c r="DF145" s="10"/>
      <c r="DG145" s="10"/>
      <c r="DH145" s="10"/>
      <c r="DI145" s="10"/>
      <c r="DJ145" s="11">
        <f t="shared" si="21"/>
        <v>0</v>
      </c>
      <c r="DK145" s="10"/>
      <c r="DL145" s="10"/>
      <c r="DM145" s="10"/>
      <c r="DN145" s="11">
        <f t="shared" si="22"/>
        <v>0</v>
      </c>
      <c r="DO145" s="10"/>
      <c r="DP145" s="10"/>
      <c r="DQ145" s="10">
        <v>7</v>
      </c>
      <c r="DR145" s="11">
        <f t="shared" si="23"/>
        <v>58.800000000000004</v>
      </c>
      <c r="DS145" s="10">
        <v>0</v>
      </c>
      <c r="DT145" s="11">
        <f t="shared" si="24"/>
        <v>0</v>
      </c>
      <c r="DU145" s="10"/>
      <c r="DV145" s="11">
        <f t="shared" si="25"/>
        <v>0</v>
      </c>
      <c r="DW145" s="10">
        <v>0</v>
      </c>
      <c r="DX145" s="11">
        <f t="shared" si="26"/>
        <v>0</v>
      </c>
      <c r="DY145" s="10"/>
      <c r="DZ145" s="10"/>
      <c r="EA145" s="11">
        <f t="shared" si="27"/>
        <v>0</v>
      </c>
      <c r="EB145" s="10"/>
      <c r="EC145" s="11">
        <f t="shared" si="28"/>
        <v>0</v>
      </c>
      <c r="ED145" s="10"/>
      <c r="EE145" s="10"/>
    </row>
    <row r="146" spans="2:135" ht="16.5">
      <c r="B146" s="47">
        <v>135</v>
      </c>
      <c r="C146" s="50" t="s">
        <v>817</v>
      </c>
      <c r="D146" s="49" t="s">
        <v>233</v>
      </c>
      <c r="E146" s="49"/>
      <c r="F146" s="49"/>
      <c r="G146" s="49"/>
      <c r="H146" s="71">
        <f t="shared" si="29"/>
        <v>7.1999999999999993</v>
      </c>
      <c r="I146" s="10">
        <v>6</v>
      </c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1">
        <f t="shared" si="20"/>
        <v>0</v>
      </c>
      <c r="DA146" s="10"/>
      <c r="DB146" s="10"/>
      <c r="DC146" s="10"/>
      <c r="DD146" s="10"/>
      <c r="DE146" s="10"/>
      <c r="DF146" s="10"/>
      <c r="DG146" s="10"/>
      <c r="DH146" s="10"/>
      <c r="DI146" s="10"/>
      <c r="DJ146" s="11">
        <f t="shared" si="21"/>
        <v>0</v>
      </c>
      <c r="DK146" s="10"/>
      <c r="DL146" s="10"/>
      <c r="DM146" s="10"/>
      <c r="DN146" s="11">
        <f t="shared" si="22"/>
        <v>0</v>
      </c>
      <c r="DO146" s="10"/>
      <c r="DP146" s="10"/>
      <c r="DQ146" s="10">
        <v>5</v>
      </c>
      <c r="DR146" s="11">
        <f t="shared" si="23"/>
        <v>36</v>
      </c>
      <c r="DS146" s="10">
        <v>0</v>
      </c>
      <c r="DT146" s="11">
        <f t="shared" si="24"/>
        <v>0</v>
      </c>
      <c r="DU146" s="10"/>
      <c r="DV146" s="11">
        <f t="shared" si="25"/>
        <v>0</v>
      </c>
      <c r="DW146" s="10">
        <v>0</v>
      </c>
      <c r="DX146" s="11">
        <f t="shared" si="26"/>
        <v>0</v>
      </c>
      <c r="DY146" s="10"/>
      <c r="DZ146" s="10"/>
      <c r="EA146" s="11">
        <f t="shared" si="27"/>
        <v>0</v>
      </c>
      <c r="EB146" s="10">
        <v>1</v>
      </c>
      <c r="EC146" s="11">
        <f t="shared" si="28"/>
        <v>7.1999999999999993</v>
      </c>
      <c r="ED146" s="10"/>
      <c r="EE146" s="10"/>
    </row>
    <row r="147" spans="2:135" ht="16.5">
      <c r="B147" s="47">
        <v>136</v>
      </c>
      <c r="C147" s="50" t="s">
        <v>818</v>
      </c>
      <c r="D147" s="49" t="s">
        <v>234</v>
      </c>
      <c r="E147" s="49"/>
      <c r="F147" s="49"/>
      <c r="G147" s="49"/>
      <c r="H147" s="71">
        <f t="shared" si="29"/>
        <v>2.4</v>
      </c>
      <c r="I147" s="10">
        <v>2</v>
      </c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  <c r="CQ147" s="10"/>
      <c r="CR147" s="10"/>
      <c r="CS147" s="10"/>
      <c r="CT147" s="10"/>
      <c r="CU147" s="10"/>
      <c r="CV147" s="10"/>
      <c r="CW147" s="10"/>
      <c r="CX147" s="10"/>
      <c r="CY147" s="10"/>
      <c r="CZ147" s="11">
        <f t="shared" si="20"/>
        <v>0</v>
      </c>
      <c r="DA147" s="10"/>
      <c r="DB147" s="10"/>
      <c r="DC147" s="10"/>
      <c r="DD147" s="10"/>
      <c r="DE147" s="10"/>
      <c r="DF147" s="10"/>
      <c r="DG147" s="10"/>
      <c r="DH147" s="10"/>
      <c r="DI147" s="10"/>
      <c r="DJ147" s="11">
        <f t="shared" si="21"/>
        <v>0</v>
      </c>
      <c r="DK147" s="10"/>
      <c r="DL147" s="10"/>
      <c r="DM147" s="10"/>
      <c r="DN147" s="11">
        <f t="shared" si="22"/>
        <v>0</v>
      </c>
      <c r="DO147" s="10"/>
      <c r="DP147" s="10"/>
      <c r="DQ147" s="10">
        <v>0</v>
      </c>
      <c r="DR147" s="11">
        <f t="shared" si="23"/>
        <v>0</v>
      </c>
      <c r="DS147" s="10">
        <v>0</v>
      </c>
      <c r="DT147" s="11">
        <f t="shared" si="24"/>
        <v>0</v>
      </c>
      <c r="DU147" s="10"/>
      <c r="DV147" s="11">
        <f t="shared" si="25"/>
        <v>0</v>
      </c>
      <c r="DW147" s="10">
        <v>0</v>
      </c>
      <c r="DX147" s="11">
        <f t="shared" si="26"/>
        <v>0</v>
      </c>
      <c r="DY147" s="10"/>
      <c r="DZ147" s="10"/>
      <c r="EA147" s="11">
        <f t="shared" si="27"/>
        <v>0</v>
      </c>
      <c r="EB147" s="10">
        <v>2</v>
      </c>
      <c r="EC147" s="11">
        <f t="shared" si="28"/>
        <v>4.8</v>
      </c>
      <c r="ED147" s="10"/>
      <c r="EE147" s="10"/>
    </row>
    <row r="148" spans="2:135" ht="16.5">
      <c r="B148" s="47">
        <v>137</v>
      </c>
      <c r="C148" s="50" t="s">
        <v>819</v>
      </c>
      <c r="D148" s="49" t="s">
        <v>235</v>
      </c>
      <c r="E148" s="49"/>
      <c r="F148" s="49"/>
      <c r="G148" s="49"/>
      <c r="H148" s="71">
        <f t="shared" si="29"/>
        <v>4.8</v>
      </c>
      <c r="I148" s="10">
        <v>4</v>
      </c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L148" s="10"/>
      <c r="CM148" s="10"/>
      <c r="CN148" s="10"/>
      <c r="CO148" s="10"/>
      <c r="CP148" s="10"/>
      <c r="CQ148" s="10"/>
      <c r="CR148" s="10"/>
      <c r="CS148" s="10"/>
      <c r="CT148" s="10"/>
      <c r="CU148" s="10"/>
      <c r="CV148" s="10"/>
      <c r="CW148" s="10"/>
      <c r="CX148" s="10"/>
      <c r="CY148" s="10"/>
      <c r="CZ148" s="11">
        <f t="shared" si="20"/>
        <v>0</v>
      </c>
      <c r="DA148" s="10"/>
      <c r="DB148" s="10"/>
      <c r="DC148" s="10"/>
      <c r="DD148" s="10"/>
      <c r="DE148" s="10"/>
      <c r="DF148" s="10"/>
      <c r="DG148" s="10"/>
      <c r="DH148" s="10"/>
      <c r="DI148" s="10"/>
      <c r="DJ148" s="11">
        <f t="shared" si="21"/>
        <v>0</v>
      </c>
      <c r="DK148" s="10"/>
      <c r="DL148" s="10"/>
      <c r="DM148" s="10"/>
      <c r="DN148" s="11">
        <f t="shared" si="22"/>
        <v>0</v>
      </c>
      <c r="DO148" s="10"/>
      <c r="DP148" s="10"/>
      <c r="DQ148" s="10">
        <v>4</v>
      </c>
      <c r="DR148" s="11">
        <f t="shared" si="23"/>
        <v>19.2</v>
      </c>
      <c r="DS148" s="10">
        <v>0</v>
      </c>
      <c r="DT148" s="11">
        <f t="shared" si="24"/>
        <v>0</v>
      </c>
      <c r="DU148" s="10"/>
      <c r="DV148" s="11">
        <f t="shared" si="25"/>
        <v>0</v>
      </c>
      <c r="DW148" s="10">
        <v>0</v>
      </c>
      <c r="DX148" s="11">
        <f t="shared" si="26"/>
        <v>0</v>
      </c>
      <c r="DY148" s="10"/>
      <c r="DZ148" s="10"/>
      <c r="EA148" s="11">
        <f t="shared" si="27"/>
        <v>0</v>
      </c>
      <c r="EB148" s="10"/>
      <c r="EC148" s="11">
        <f t="shared" si="28"/>
        <v>0</v>
      </c>
      <c r="ED148" s="10"/>
      <c r="EE148" s="10"/>
    </row>
    <row r="149" spans="2:135" ht="16.5">
      <c r="B149" s="47">
        <v>138</v>
      </c>
      <c r="C149" s="50" t="s">
        <v>820</v>
      </c>
      <c r="D149" s="49" t="s">
        <v>236</v>
      </c>
      <c r="E149" s="49"/>
      <c r="F149" s="49"/>
      <c r="G149" s="49"/>
      <c r="H149" s="71">
        <f t="shared" si="29"/>
        <v>2.4</v>
      </c>
      <c r="I149" s="10">
        <v>2</v>
      </c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1">
        <f t="shared" si="20"/>
        <v>0</v>
      </c>
      <c r="DA149" s="10"/>
      <c r="DB149" s="10"/>
      <c r="DC149" s="10"/>
      <c r="DD149" s="10"/>
      <c r="DE149" s="10"/>
      <c r="DF149" s="10"/>
      <c r="DG149" s="10"/>
      <c r="DH149" s="10"/>
      <c r="DI149" s="10"/>
      <c r="DJ149" s="11">
        <f t="shared" si="21"/>
        <v>0</v>
      </c>
      <c r="DK149" s="10"/>
      <c r="DL149" s="10"/>
      <c r="DM149" s="10"/>
      <c r="DN149" s="11">
        <f t="shared" si="22"/>
        <v>0</v>
      </c>
      <c r="DO149" s="10"/>
      <c r="DP149" s="10"/>
      <c r="DQ149" s="10">
        <v>2</v>
      </c>
      <c r="DR149" s="11">
        <f t="shared" si="23"/>
        <v>4.8</v>
      </c>
      <c r="DS149" s="10">
        <v>0</v>
      </c>
      <c r="DT149" s="11">
        <f t="shared" si="24"/>
        <v>0</v>
      </c>
      <c r="DU149" s="10"/>
      <c r="DV149" s="11">
        <f t="shared" si="25"/>
        <v>0</v>
      </c>
      <c r="DW149" s="10">
        <v>0</v>
      </c>
      <c r="DX149" s="11">
        <f t="shared" si="26"/>
        <v>0</v>
      </c>
      <c r="DY149" s="10"/>
      <c r="DZ149" s="10"/>
      <c r="EA149" s="11">
        <f t="shared" si="27"/>
        <v>0</v>
      </c>
      <c r="EB149" s="10"/>
      <c r="EC149" s="11">
        <f t="shared" si="28"/>
        <v>0</v>
      </c>
      <c r="ED149" s="10"/>
      <c r="EE149" s="10"/>
    </row>
    <row r="150" spans="2:135" ht="16.5">
      <c r="B150" s="47">
        <v>139</v>
      </c>
      <c r="C150" s="50" t="s">
        <v>821</v>
      </c>
      <c r="D150" s="49" t="s">
        <v>237</v>
      </c>
      <c r="E150" s="49"/>
      <c r="F150" s="49"/>
      <c r="G150" s="49"/>
      <c r="H150" s="71">
        <f t="shared" si="29"/>
        <v>36</v>
      </c>
      <c r="I150" s="10">
        <v>30</v>
      </c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L150" s="10"/>
      <c r="CM150" s="10"/>
      <c r="CN150" s="10"/>
      <c r="CO150" s="10"/>
      <c r="CP150" s="10"/>
      <c r="CQ150" s="10"/>
      <c r="CR150" s="10"/>
      <c r="CS150" s="10"/>
      <c r="CT150" s="10"/>
      <c r="CU150" s="10"/>
      <c r="CV150" s="10"/>
      <c r="CW150" s="10"/>
      <c r="CX150" s="10"/>
      <c r="CY150" s="10">
        <v>8</v>
      </c>
      <c r="CZ150" s="11">
        <f t="shared" si="20"/>
        <v>288</v>
      </c>
      <c r="DA150" s="10"/>
      <c r="DB150" s="10"/>
      <c r="DC150" s="10"/>
      <c r="DD150" s="10"/>
      <c r="DE150" s="10"/>
      <c r="DF150" s="10"/>
      <c r="DG150" s="10"/>
      <c r="DH150" s="10"/>
      <c r="DI150" s="10">
        <v>4</v>
      </c>
      <c r="DJ150" s="11">
        <f t="shared" si="21"/>
        <v>144</v>
      </c>
      <c r="DK150" s="10"/>
      <c r="DL150" s="10"/>
      <c r="DM150" s="10"/>
      <c r="DN150" s="11">
        <f t="shared" si="22"/>
        <v>0</v>
      </c>
      <c r="DO150" s="10"/>
      <c r="DP150" s="10"/>
      <c r="DQ150" s="10">
        <v>18</v>
      </c>
      <c r="DR150" s="11">
        <f t="shared" si="23"/>
        <v>648</v>
      </c>
      <c r="DS150" s="10">
        <v>0</v>
      </c>
      <c r="DT150" s="11">
        <f t="shared" si="24"/>
        <v>0</v>
      </c>
      <c r="DU150" s="10"/>
      <c r="DV150" s="11">
        <f t="shared" si="25"/>
        <v>0</v>
      </c>
      <c r="DW150" s="10">
        <v>0</v>
      </c>
      <c r="DX150" s="11">
        <f t="shared" si="26"/>
        <v>0</v>
      </c>
      <c r="DY150" s="10"/>
      <c r="DZ150" s="10"/>
      <c r="EA150" s="11">
        <f t="shared" si="27"/>
        <v>0</v>
      </c>
      <c r="EB150" s="10"/>
      <c r="EC150" s="11">
        <f t="shared" si="28"/>
        <v>0</v>
      </c>
      <c r="ED150" s="10"/>
      <c r="EE150" s="10"/>
    </row>
    <row r="151" spans="2:135" ht="16.5">
      <c r="B151" s="47">
        <v>140</v>
      </c>
      <c r="C151" s="50" t="s">
        <v>822</v>
      </c>
      <c r="D151" s="49" t="s">
        <v>238</v>
      </c>
      <c r="E151" s="49"/>
      <c r="F151" s="49"/>
      <c r="G151" s="49"/>
      <c r="H151" s="71">
        <f t="shared" si="29"/>
        <v>7.1999999999999993</v>
      </c>
      <c r="I151" s="10">
        <v>6</v>
      </c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  <c r="CQ151" s="10"/>
      <c r="CR151" s="10"/>
      <c r="CS151" s="10"/>
      <c r="CT151" s="10"/>
      <c r="CU151" s="10"/>
      <c r="CV151" s="10"/>
      <c r="CW151" s="10"/>
      <c r="CX151" s="10"/>
      <c r="CY151" s="10"/>
      <c r="CZ151" s="11">
        <f t="shared" si="20"/>
        <v>0</v>
      </c>
      <c r="DA151" s="10"/>
      <c r="DB151" s="10"/>
      <c r="DC151" s="10"/>
      <c r="DD151" s="10"/>
      <c r="DE151" s="10"/>
      <c r="DF151" s="10"/>
      <c r="DG151" s="10"/>
      <c r="DH151" s="10"/>
      <c r="DI151" s="10"/>
      <c r="DJ151" s="11">
        <f t="shared" si="21"/>
        <v>0</v>
      </c>
      <c r="DK151" s="10"/>
      <c r="DL151" s="10"/>
      <c r="DM151" s="10"/>
      <c r="DN151" s="11">
        <f t="shared" si="22"/>
        <v>0</v>
      </c>
      <c r="DO151" s="10"/>
      <c r="DP151" s="10"/>
      <c r="DQ151" s="10">
        <v>0</v>
      </c>
      <c r="DR151" s="11">
        <f t="shared" si="23"/>
        <v>0</v>
      </c>
      <c r="DS151" s="10">
        <v>0</v>
      </c>
      <c r="DT151" s="11">
        <f t="shared" si="24"/>
        <v>0</v>
      </c>
      <c r="DU151" s="10"/>
      <c r="DV151" s="11">
        <f t="shared" si="25"/>
        <v>0</v>
      </c>
      <c r="DW151" s="10">
        <v>6</v>
      </c>
      <c r="DX151" s="11">
        <f t="shared" si="26"/>
        <v>43.199999999999996</v>
      </c>
      <c r="DY151" s="10"/>
      <c r="DZ151" s="10"/>
      <c r="EA151" s="11">
        <f t="shared" si="27"/>
        <v>0</v>
      </c>
      <c r="EB151" s="10"/>
      <c r="EC151" s="11">
        <f t="shared" si="28"/>
        <v>0</v>
      </c>
      <c r="ED151" s="10"/>
      <c r="EE151" s="10"/>
    </row>
    <row r="152" spans="2:135" ht="16.5">
      <c r="B152" s="47">
        <v>141</v>
      </c>
      <c r="C152" s="50" t="s">
        <v>823</v>
      </c>
      <c r="D152" s="49" t="s">
        <v>239</v>
      </c>
      <c r="E152" s="49"/>
      <c r="F152" s="49"/>
      <c r="G152" s="49"/>
      <c r="H152" s="71">
        <f t="shared" si="29"/>
        <v>3.5999999999999996</v>
      </c>
      <c r="I152" s="10">
        <v>3</v>
      </c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0"/>
      <c r="CZ152" s="11">
        <f t="shared" si="20"/>
        <v>0</v>
      </c>
      <c r="DA152" s="10"/>
      <c r="DB152" s="10"/>
      <c r="DC152" s="10"/>
      <c r="DD152" s="10"/>
      <c r="DE152" s="10"/>
      <c r="DF152" s="10"/>
      <c r="DG152" s="10"/>
      <c r="DH152" s="10"/>
      <c r="DI152" s="10">
        <v>1</v>
      </c>
      <c r="DJ152" s="11">
        <f t="shared" si="21"/>
        <v>3.5999999999999996</v>
      </c>
      <c r="DK152" s="10"/>
      <c r="DL152" s="10"/>
      <c r="DM152" s="10"/>
      <c r="DN152" s="11">
        <f t="shared" si="22"/>
        <v>0</v>
      </c>
      <c r="DO152" s="10"/>
      <c r="DP152" s="10"/>
      <c r="DQ152" s="10">
        <v>2</v>
      </c>
      <c r="DR152" s="11">
        <f t="shared" si="23"/>
        <v>7.1999999999999993</v>
      </c>
      <c r="DS152" s="10">
        <v>0</v>
      </c>
      <c r="DT152" s="11">
        <f t="shared" si="24"/>
        <v>0</v>
      </c>
      <c r="DU152" s="10"/>
      <c r="DV152" s="11">
        <f t="shared" si="25"/>
        <v>0</v>
      </c>
      <c r="DW152" s="10">
        <v>0</v>
      </c>
      <c r="DX152" s="11">
        <f t="shared" si="26"/>
        <v>0</v>
      </c>
      <c r="DY152" s="10"/>
      <c r="DZ152" s="10"/>
      <c r="EA152" s="11">
        <f t="shared" si="27"/>
        <v>0</v>
      </c>
      <c r="EB152" s="10"/>
      <c r="EC152" s="11">
        <f t="shared" si="28"/>
        <v>0</v>
      </c>
      <c r="ED152" s="10"/>
      <c r="EE152" s="10"/>
    </row>
    <row r="153" spans="2:135" ht="16.5">
      <c r="B153" s="47">
        <v>142</v>
      </c>
      <c r="C153" s="50" t="s">
        <v>824</v>
      </c>
      <c r="D153" s="49" t="s">
        <v>240</v>
      </c>
      <c r="E153" s="49"/>
      <c r="F153" s="49"/>
      <c r="G153" s="49"/>
      <c r="H153" s="71">
        <f t="shared" si="29"/>
        <v>16.8</v>
      </c>
      <c r="I153" s="10">
        <v>14</v>
      </c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  <c r="CQ153" s="10"/>
      <c r="CR153" s="10"/>
      <c r="CS153" s="10"/>
      <c r="CT153" s="10"/>
      <c r="CU153" s="10"/>
      <c r="CV153" s="10"/>
      <c r="CW153" s="10"/>
      <c r="CX153" s="10"/>
      <c r="CY153" s="10">
        <v>2</v>
      </c>
      <c r="CZ153" s="11">
        <f t="shared" si="20"/>
        <v>33.6</v>
      </c>
      <c r="DA153" s="10"/>
      <c r="DB153" s="10"/>
      <c r="DC153" s="10"/>
      <c r="DD153" s="10"/>
      <c r="DE153" s="10"/>
      <c r="DF153" s="10"/>
      <c r="DG153" s="10"/>
      <c r="DH153" s="10"/>
      <c r="DI153" s="10">
        <v>4</v>
      </c>
      <c r="DJ153" s="11">
        <f t="shared" si="21"/>
        <v>67.2</v>
      </c>
      <c r="DK153" s="10"/>
      <c r="DL153" s="10"/>
      <c r="DM153" s="10"/>
      <c r="DN153" s="11">
        <f t="shared" si="22"/>
        <v>0</v>
      </c>
      <c r="DO153" s="10"/>
      <c r="DP153" s="10"/>
      <c r="DQ153" s="10">
        <v>8</v>
      </c>
      <c r="DR153" s="11">
        <f t="shared" si="23"/>
        <v>134.4</v>
      </c>
      <c r="DS153" s="10">
        <v>0</v>
      </c>
      <c r="DT153" s="11">
        <f t="shared" si="24"/>
        <v>0</v>
      </c>
      <c r="DU153" s="10"/>
      <c r="DV153" s="11">
        <f t="shared" si="25"/>
        <v>0</v>
      </c>
      <c r="DW153" s="10">
        <v>0</v>
      </c>
      <c r="DX153" s="11">
        <f t="shared" si="26"/>
        <v>0</v>
      </c>
      <c r="DY153" s="10"/>
      <c r="DZ153" s="10"/>
      <c r="EA153" s="11">
        <f t="shared" si="27"/>
        <v>0</v>
      </c>
      <c r="EB153" s="10"/>
      <c r="EC153" s="11">
        <f t="shared" si="28"/>
        <v>0</v>
      </c>
      <c r="ED153" s="10"/>
      <c r="EE153" s="10"/>
    </row>
    <row r="154" spans="2:135" ht="16.5">
      <c r="B154" s="47">
        <v>143</v>
      </c>
      <c r="C154" s="50" t="s">
        <v>825</v>
      </c>
      <c r="D154" s="49" t="s">
        <v>241</v>
      </c>
      <c r="E154" s="49"/>
      <c r="F154" s="49"/>
      <c r="G154" s="49"/>
      <c r="H154" s="71">
        <f t="shared" si="29"/>
        <v>3.5999999999999996</v>
      </c>
      <c r="I154" s="10">
        <v>3</v>
      </c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>
        <v>1</v>
      </c>
      <c r="CZ154" s="11">
        <f t="shared" si="20"/>
        <v>3.5999999999999996</v>
      </c>
      <c r="DA154" s="10"/>
      <c r="DB154" s="10"/>
      <c r="DC154" s="10"/>
      <c r="DD154" s="10"/>
      <c r="DE154" s="10"/>
      <c r="DF154" s="10"/>
      <c r="DG154" s="10"/>
      <c r="DH154" s="10"/>
      <c r="DI154" s="10"/>
      <c r="DJ154" s="11">
        <f t="shared" si="21"/>
        <v>0</v>
      </c>
      <c r="DK154" s="10"/>
      <c r="DL154" s="10"/>
      <c r="DM154" s="10"/>
      <c r="DN154" s="11">
        <f t="shared" si="22"/>
        <v>0</v>
      </c>
      <c r="DO154" s="10"/>
      <c r="DP154" s="10"/>
      <c r="DQ154" s="10">
        <v>2</v>
      </c>
      <c r="DR154" s="11">
        <f t="shared" si="23"/>
        <v>7.1999999999999993</v>
      </c>
      <c r="DS154" s="10">
        <v>0</v>
      </c>
      <c r="DT154" s="11">
        <f t="shared" si="24"/>
        <v>0</v>
      </c>
      <c r="DU154" s="10"/>
      <c r="DV154" s="11">
        <f t="shared" si="25"/>
        <v>0</v>
      </c>
      <c r="DW154" s="10">
        <v>0</v>
      </c>
      <c r="DX154" s="11">
        <f t="shared" si="26"/>
        <v>0</v>
      </c>
      <c r="DY154" s="10"/>
      <c r="DZ154" s="10"/>
      <c r="EA154" s="11">
        <f t="shared" si="27"/>
        <v>0</v>
      </c>
      <c r="EB154" s="10"/>
      <c r="EC154" s="11">
        <f t="shared" si="28"/>
        <v>0</v>
      </c>
      <c r="ED154" s="10"/>
      <c r="EE154" s="10"/>
    </row>
    <row r="155" spans="2:135" ht="16.5">
      <c r="B155" s="47">
        <v>144</v>
      </c>
      <c r="C155" s="50" t="s">
        <v>826</v>
      </c>
      <c r="D155" s="49" t="s">
        <v>242</v>
      </c>
      <c r="E155" s="49"/>
      <c r="F155" s="49"/>
      <c r="G155" s="49"/>
      <c r="H155" s="71">
        <f t="shared" si="29"/>
        <v>33.6</v>
      </c>
      <c r="I155" s="10">
        <v>28</v>
      </c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  <c r="CQ155" s="10"/>
      <c r="CR155" s="10"/>
      <c r="CS155" s="10"/>
      <c r="CT155" s="10"/>
      <c r="CU155" s="10"/>
      <c r="CV155" s="10"/>
      <c r="CW155" s="10"/>
      <c r="CX155" s="10"/>
      <c r="CY155" s="10"/>
      <c r="CZ155" s="11">
        <f t="shared" si="20"/>
        <v>0</v>
      </c>
      <c r="DA155" s="10"/>
      <c r="DB155" s="10"/>
      <c r="DC155" s="10"/>
      <c r="DD155" s="10"/>
      <c r="DE155" s="10"/>
      <c r="DF155" s="10"/>
      <c r="DG155" s="10"/>
      <c r="DH155" s="10"/>
      <c r="DI155" s="10"/>
      <c r="DJ155" s="11">
        <f t="shared" si="21"/>
        <v>0</v>
      </c>
      <c r="DK155" s="10"/>
      <c r="DL155" s="10"/>
      <c r="DM155" s="10"/>
      <c r="DN155" s="11">
        <f t="shared" si="22"/>
        <v>0</v>
      </c>
      <c r="DO155" s="10"/>
      <c r="DP155" s="10"/>
      <c r="DQ155" s="10">
        <v>28</v>
      </c>
      <c r="DR155" s="11">
        <f t="shared" si="23"/>
        <v>940.80000000000007</v>
      </c>
      <c r="DS155" s="10">
        <v>0</v>
      </c>
      <c r="DT155" s="11">
        <f t="shared" si="24"/>
        <v>0</v>
      </c>
      <c r="DU155" s="10"/>
      <c r="DV155" s="11">
        <f t="shared" si="25"/>
        <v>0</v>
      </c>
      <c r="DW155" s="10">
        <v>0</v>
      </c>
      <c r="DX155" s="11">
        <f t="shared" si="26"/>
        <v>0</v>
      </c>
      <c r="DY155" s="10"/>
      <c r="DZ155" s="10"/>
      <c r="EA155" s="11">
        <f t="shared" si="27"/>
        <v>0</v>
      </c>
      <c r="EB155" s="10"/>
      <c r="EC155" s="11">
        <f t="shared" si="28"/>
        <v>0</v>
      </c>
      <c r="ED155" s="10"/>
      <c r="EE155" s="10"/>
    </row>
    <row r="156" spans="2:135" ht="16.5">
      <c r="B156" s="47">
        <v>145</v>
      </c>
      <c r="C156" s="50" t="s">
        <v>827</v>
      </c>
      <c r="D156" s="49" t="s">
        <v>243</v>
      </c>
      <c r="E156" s="49"/>
      <c r="F156" s="49"/>
      <c r="G156" s="49"/>
      <c r="H156" s="71">
        <f t="shared" si="29"/>
        <v>2.4</v>
      </c>
      <c r="I156" s="10">
        <v>2</v>
      </c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>
        <v>1</v>
      </c>
      <c r="CZ156" s="11">
        <f t="shared" si="20"/>
        <v>2.4</v>
      </c>
      <c r="DA156" s="10"/>
      <c r="DB156" s="10"/>
      <c r="DC156" s="10"/>
      <c r="DD156" s="10"/>
      <c r="DE156" s="10"/>
      <c r="DF156" s="10"/>
      <c r="DG156" s="10"/>
      <c r="DH156" s="10"/>
      <c r="DI156" s="10"/>
      <c r="DJ156" s="11">
        <f t="shared" si="21"/>
        <v>0</v>
      </c>
      <c r="DK156" s="10"/>
      <c r="DL156" s="10"/>
      <c r="DM156" s="10">
        <v>1</v>
      </c>
      <c r="DN156" s="11">
        <f t="shared" si="22"/>
        <v>2.4</v>
      </c>
      <c r="DO156" s="10"/>
      <c r="DP156" s="10"/>
      <c r="DQ156" s="10">
        <v>0</v>
      </c>
      <c r="DR156" s="11">
        <f t="shared" si="23"/>
        <v>0</v>
      </c>
      <c r="DS156" s="10">
        <v>0</v>
      </c>
      <c r="DT156" s="11">
        <f t="shared" si="24"/>
        <v>0</v>
      </c>
      <c r="DU156" s="10"/>
      <c r="DV156" s="11">
        <f t="shared" si="25"/>
        <v>0</v>
      </c>
      <c r="DW156" s="10">
        <v>0</v>
      </c>
      <c r="DX156" s="11">
        <f t="shared" si="26"/>
        <v>0</v>
      </c>
      <c r="DY156" s="10"/>
      <c r="DZ156" s="10"/>
      <c r="EA156" s="11">
        <f t="shared" si="27"/>
        <v>0</v>
      </c>
      <c r="EB156" s="10"/>
      <c r="EC156" s="11">
        <f t="shared" si="28"/>
        <v>0</v>
      </c>
      <c r="ED156" s="10"/>
      <c r="EE156" s="10"/>
    </row>
    <row r="157" spans="2:135" ht="16.5">
      <c r="B157" s="47">
        <v>146</v>
      </c>
      <c r="C157" s="50" t="s">
        <v>828</v>
      </c>
      <c r="D157" s="49" t="s">
        <v>244</v>
      </c>
      <c r="E157" s="49"/>
      <c r="F157" s="49"/>
      <c r="G157" s="49"/>
      <c r="H157" s="71">
        <f t="shared" si="29"/>
        <v>4.8</v>
      </c>
      <c r="I157" s="10">
        <v>4</v>
      </c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  <c r="CQ157" s="10"/>
      <c r="CR157" s="10"/>
      <c r="CS157" s="10"/>
      <c r="CT157" s="10"/>
      <c r="CU157" s="10"/>
      <c r="CV157" s="10"/>
      <c r="CW157" s="10"/>
      <c r="CX157" s="10"/>
      <c r="CY157" s="10"/>
      <c r="CZ157" s="11">
        <f t="shared" si="20"/>
        <v>0</v>
      </c>
      <c r="DA157" s="10"/>
      <c r="DB157" s="10"/>
      <c r="DC157" s="10"/>
      <c r="DD157" s="10"/>
      <c r="DE157" s="10"/>
      <c r="DF157" s="10"/>
      <c r="DG157" s="10"/>
      <c r="DH157" s="10"/>
      <c r="DI157" s="10"/>
      <c r="DJ157" s="11">
        <f t="shared" si="21"/>
        <v>0</v>
      </c>
      <c r="DK157" s="10"/>
      <c r="DL157" s="10"/>
      <c r="DM157" s="10"/>
      <c r="DN157" s="11">
        <f t="shared" si="22"/>
        <v>0</v>
      </c>
      <c r="DO157" s="10"/>
      <c r="DP157" s="10"/>
      <c r="DQ157" s="10">
        <v>0</v>
      </c>
      <c r="DR157" s="11">
        <f t="shared" si="23"/>
        <v>0</v>
      </c>
      <c r="DS157" s="10">
        <v>0</v>
      </c>
      <c r="DT157" s="11">
        <f t="shared" si="24"/>
        <v>0</v>
      </c>
      <c r="DU157" s="10"/>
      <c r="DV157" s="11">
        <f t="shared" si="25"/>
        <v>0</v>
      </c>
      <c r="DW157" s="10">
        <v>4</v>
      </c>
      <c r="DX157" s="11">
        <f t="shared" si="26"/>
        <v>19.2</v>
      </c>
      <c r="DY157" s="10"/>
      <c r="DZ157" s="10"/>
      <c r="EA157" s="11">
        <f t="shared" si="27"/>
        <v>0</v>
      </c>
      <c r="EB157" s="10"/>
      <c r="EC157" s="11">
        <f t="shared" si="28"/>
        <v>0</v>
      </c>
      <c r="ED157" s="10"/>
      <c r="EE157" s="10"/>
    </row>
    <row r="158" spans="2:135" ht="16.5">
      <c r="B158" s="47">
        <v>147</v>
      </c>
      <c r="C158" s="50" t="s">
        <v>829</v>
      </c>
      <c r="D158" s="49" t="s">
        <v>245</v>
      </c>
      <c r="E158" s="49"/>
      <c r="F158" s="49"/>
      <c r="G158" s="49"/>
      <c r="H158" s="71">
        <f t="shared" si="29"/>
        <v>20.399999999999999</v>
      </c>
      <c r="I158" s="10">
        <v>17</v>
      </c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L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L158" s="10"/>
      <c r="CM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1">
        <f t="shared" si="20"/>
        <v>0</v>
      </c>
      <c r="DA158" s="10"/>
      <c r="DB158" s="10"/>
      <c r="DC158" s="10"/>
      <c r="DD158" s="10"/>
      <c r="DE158" s="10"/>
      <c r="DF158" s="10"/>
      <c r="DG158" s="10"/>
      <c r="DH158" s="10"/>
      <c r="DI158" s="10">
        <v>1</v>
      </c>
      <c r="DJ158" s="11">
        <f t="shared" si="21"/>
        <v>20.399999999999999</v>
      </c>
      <c r="DK158" s="10"/>
      <c r="DL158" s="10"/>
      <c r="DM158" s="10"/>
      <c r="DN158" s="11">
        <f t="shared" si="22"/>
        <v>0</v>
      </c>
      <c r="DO158" s="10"/>
      <c r="DP158" s="10"/>
      <c r="DQ158" s="10">
        <v>0</v>
      </c>
      <c r="DR158" s="11">
        <f t="shared" si="23"/>
        <v>0</v>
      </c>
      <c r="DS158" s="10">
        <v>0</v>
      </c>
      <c r="DT158" s="11">
        <f t="shared" si="24"/>
        <v>0</v>
      </c>
      <c r="DU158" s="10">
        <v>1</v>
      </c>
      <c r="DV158" s="11">
        <f t="shared" si="25"/>
        <v>20.399999999999999</v>
      </c>
      <c r="DW158" s="10">
        <v>15</v>
      </c>
      <c r="DX158" s="11">
        <f t="shared" si="26"/>
        <v>306</v>
      </c>
      <c r="DY158" s="10"/>
      <c r="DZ158" s="10"/>
      <c r="EA158" s="11">
        <f t="shared" si="27"/>
        <v>0</v>
      </c>
      <c r="EB158" s="10"/>
      <c r="EC158" s="11">
        <f t="shared" si="28"/>
        <v>0</v>
      </c>
      <c r="ED158" s="10"/>
      <c r="EE158" s="10"/>
    </row>
    <row r="159" spans="2:135" ht="16.5">
      <c r="B159" s="47">
        <v>148</v>
      </c>
      <c r="C159" s="50" t="s">
        <v>830</v>
      </c>
      <c r="D159" s="49" t="s">
        <v>246</v>
      </c>
      <c r="E159" s="49"/>
      <c r="F159" s="49"/>
      <c r="G159" s="49"/>
      <c r="H159" s="71">
        <f t="shared" si="29"/>
        <v>10.799999999999999</v>
      </c>
      <c r="I159" s="10">
        <v>9</v>
      </c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1">
        <f t="shared" si="20"/>
        <v>0</v>
      </c>
      <c r="DA159" s="10"/>
      <c r="DB159" s="10"/>
      <c r="DC159" s="10"/>
      <c r="DD159" s="10"/>
      <c r="DE159" s="10"/>
      <c r="DF159" s="10"/>
      <c r="DG159" s="10"/>
      <c r="DH159" s="10"/>
      <c r="DI159" s="10"/>
      <c r="DJ159" s="11">
        <f t="shared" si="21"/>
        <v>0</v>
      </c>
      <c r="DK159" s="10"/>
      <c r="DL159" s="10"/>
      <c r="DM159" s="10"/>
      <c r="DN159" s="11">
        <f t="shared" si="22"/>
        <v>0</v>
      </c>
      <c r="DO159" s="10"/>
      <c r="DP159" s="10"/>
      <c r="DQ159" s="10">
        <v>9</v>
      </c>
      <c r="DR159" s="11">
        <f t="shared" si="23"/>
        <v>97.199999999999989</v>
      </c>
      <c r="DS159" s="10">
        <v>0</v>
      </c>
      <c r="DT159" s="11">
        <f t="shared" si="24"/>
        <v>0</v>
      </c>
      <c r="DU159" s="10"/>
      <c r="DV159" s="11">
        <f t="shared" si="25"/>
        <v>0</v>
      </c>
      <c r="DW159" s="10">
        <v>0</v>
      </c>
      <c r="DX159" s="11">
        <f t="shared" si="26"/>
        <v>0</v>
      </c>
      <c r="DY159" s="10"/>
      <c r="DZ159" s="10"/>
      <c r="EA159" s="11">
        <f t="shared" si="27"/>
        <v>0</v>
      </c>
      <c r="EB159" s="10"/>
      <c r="EC159" s="11">
        <f t="shared" si="28"/>
        <v>0</v>
      </c>
      <c r="ED159" s="10"/>
      <c r="EE159" s="10"/>
    </row>
    <row r="160" spans="2:135" ht="16.5">
      <c r="B160" s="47">
        <v>149</v>
      </c>
      <c r="C160" s="50" t="s">
        <v>831</v>
      </c>
      <c r="D160" s="49" t="s">
        <v>247</v>
      </c>
      <c r="E160" s="49"/>
      <c r="F160" s="49"/>
      <c r="G160" s="49"/>
      <c r="H160" s="71">
        <f t="shared" si="29"/>
        <v>32.4</v>
      </c>
      <c r="I160" s="10">
        <v>27</v>
      </c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1">
        <f t="shared" si="20"/>
        <v>0</v>
      </c>
      <c r="DA160" s="10"/>
      <c r="DB160" s="10"/>
      <c r="DC160" s="10"/>
      <c r="DD160" s="10"/>
      <c r="DE160" s="10"/>
      <c r="DF160" s="10"/>
      <c r="DG160" s="10"/>
      <c r="DH160" s="10"/>
      <c r="DI160" s="10"/>
      <c r="DJ160" s="11">
        <f t="shared" si="21"/>
        <v>0</v>
      </c>
      <c r="DK160" s="10"/>
      <c r="DL160" s="10"/>
      <c r="DM160" s="10"/>
      <c r="DN160" s="11">
        <f t="shared" si="22"/>
        <v>0</v>
      </c>
      <c r="DO160" s="10"/>
      <c r="DP160" s="10"/>
      <c r="DQ160" s="10">
        <v>27</v>
      </c>
      <c r="DR160" s="11">
        <f t="shared" si="23"/>
        <v>874.8</v>
      </c>
      <c r="DS160" s="10">
        <v>0</v>
      </c>
      <c r="DT160" s="11">
        <f t="shared" si="24"/>
        <v>0</v>
      </c>
      <c r="DU160" s="10"/>
      <c r="DV160" s="11">
        <f t="shared" si="25"/>
        <v>0</v>
      </c>
      <c r="DW160" s="10">
        <v>0</v>
      </c>
      <c r="DX160" s="11">
        <f t="shared" si="26"/>
        <v>0</v>
      </c>
      <c r="DY160" s="10"/>
      <c r="DZ160" s="10"/>
      <c r="EA160" s="11">
        <f t="shared" si="27"/>
        <v>0</v>
      </c>
      <c r="EB160" s="10"/>
      <c r="EC160" s="11">
        <f t="shared" si="28"/>
        <v>0</v>
      </c>
      <c r="ED160" s="10"/>
      <c r="EE160" s="10"/>
    </row>
    <row r="161" spans="2:135" ht="16.5">
      <c r="B161" s="47">
        <v>150</v>
      </c>
      <c r="C161" s="50" t="s">
        <v>832</v>
      </c>
      <c r="D161" s="49" t="s">
        <v>248</v>
      </c>
      <c r="E161" s="49"/>
      <c r="F161" s="49"/>
      <c r="G161" s="49"/>
      <c r="H161" s="71">
        <f t="shared" si="29"/>
        <v>18</v>
      </c>
      <c r="I161" s="10">
        <v>15</v>
      </c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  <c r="CQ161" s="10"/>
      <c r="CR161" s="10"/>
      <c r="CS161" s="10"/>
      <c r="CT161" s="10"/>
      <c r="CU161" s="10"/>
      <c r="CV161" s="10"/>
      <c r="CW161" s="10"/>
      <c r="CX161" s="10"/>
      <c r="CY161" s="10"/>
      <c r="CZ161" s="11">
        <f t="shared" si="20"/>
        <v>0</v>
      </c>
      <c r="DA161" s="10"/>
      <c r="DB161" s="10"/>
      <c r="DC161" s="10"/>
      <c r="DD161" s="10"/>
      <c r="DE161" s="10"/>
      <c r="DF161" s="10"/>
      <c r="DG161" s="10"/>
      <c r="DH161" s="10"/>
      <c r="DI161" s="10"/>
      <c r="DJ161" s="11">
        <f t="shared" si="21"/>
        <v>0</v>
      </c>
      <c r="DK161" s="10"/>
      <c r="DL161" s="10"/>
      <c r="DM161" s="10"/>
      <c r="DN161" s="11">
        <f t="shared" si="22"/>
        <v>0</v>
      </c>
      <c r="DO161" s="10"/>
      <c r="DP161" s="10"/>
      <c r="DQ161" s="10">
        <v>12</v>
      </c>
      <c r="DR161" s="11">
        <f t="shared" si="23"/>
        <v>216</v>
      </c>
      <c r="DS161" s="10">
        <v>0</v>
      </c>
      <c r="DT161" s="11">
        <f t="shared" si="24"/>
        <v>0</v>
      </c>
      <c r="DU161" s="10"/>
      <c r="DV161" s="11">
        <f t="shared" si="25"/>
        <v>0</v>
      </c>
      <c r="DW161" s="10">
        <v>3</v>
      </c>
      <c r="DX161" s="11">
        <f t="shared" si="26"/>
        <v>54</v>
      </c>
      <c r="DY161" s="10"/>
      <c r="DZ161" s="10"/>
      <c r="EA161" s="11">
        <f t="shared" si="27"/>
        <v>0</v>
      </c>
      <c r="EB161" s="10"/>
      <c r="EC161" s="11">
        <f t="shared" si="28"/>
        <v>0</v>
      </c>
      <c r="ED161" s="10"/>
      <c r="EE161" s="10"/>
    </row>
    <row r="162" spans="2:135" ht="16.5">
      <c r="B162" s="47">
        <v>151</v>
      </c>
      <c r="C162" s="50" t="s">
        <v>833</v>
      </c>
      <c r="D162" s="49" t="s">
        <v>249</v>
      </c>
      <c r="E162" s="49"/>
      <c r="F162" s="49"/>
      <c r="G162" s="49"/>
      <c r="H162" s="71">
        <f t="shared" si="29"/>
        <v>12</v>
      </c>
      <c r="I162" s="10">
        <v>10</v>
      </c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  <c r="CQ162" s="10"/>
      <c r="CR162" s="10"/>
      <c r="CS162" s="10"/>
      <c r="CT162" s="10"/>
      <c r="CU162" s="10"/>
      <c r="CV162" s="10"/>
      <c r="CW162" s="10"/>
      <c r="CX162" s="10"/>
      <c r="CY162" s="10"/>
      <c r="CZ162" s="11">
        <f t="shared" si="20"/>
        <v>0</v>
      </c>
      <c r="DA162" s="10"/>
      <c r="DB162" s="10"/>
      <c r="DC162" s="10"/>
      <c r="DD162" s="10"/>
      <c r="DE162" s="10"/>
      <c r="DF162" s="10"/>
      <c r="DG162" s="10"/>
      <c r="DH162" s="10"/>
      <c r="DI162" s="10"/>
      <c r="DJ162" s="11">
        <f t="shared" si="21"/>
        <v>0</v>
      </c>
      <c r="DK162" s="10"/>
      <c r="DL162" s="10"/>
      <c r="DM162" s="10"/>
      <c r="DN162" s="11">
        <f t="shared" si="22"/>
        <v>0</v>
      </c>
      <c r="DO162" s="10"/>
      <c r="DP162" s="10"/>
      <c r="DQ162" s="10">
        <v>10</v>
      </c>
      <c r="DR162" s="11">
        <f t="shared" si="23"/>
        <v>120</v>
      </c>
      <c r="DS162" s="10">
        <v>0</v>
      </c>
      <c r="DT162" s="11">
        <f t="shared" si="24"/>
        <v>0</v>
      </c>
      <c r="DU162" s="10"/>
      <c r="DV162" s="11">
        <f t="shared" si="25"/>
        <v>0</v>
      </c>
      <c r="DW162" s="10">
        <v>0</v>
      </c>
      <c r="DX162" s="11">
        <f t="shared" si="26"/>
        <v>0</v>
      </c>
      <c r="DY162" s="10"/>
      <c r="DZ162" s="10"/>
      <c r="EA162" s="11">
        <f t="shared" si="27"/>
        <v>0</v>
      </c>
      <c r="EB162" s="10"/>
      <c r="EC162" s="11">
        <f t="shared" si="28"/>
        <v>0</v>
      </c>
      <c r="ED162" s="10"/>
      <c r="EE162" s="10"/>
    </row>
    <row r="163" spans="2:135" ht="16.5">
      <c r="B163" s="47">
        <v>152</v>
      </c>
      <c r="C163" s="50" t="s">
        <v>834</v>
      </c>
      <c r="D163" s="49" t="s">
        <v>250</v>
      </c>
      <c r="E163" s="49"/>
      <c r="F163" s="49"/>
      <c r="G163" s="49"/>
      <c r="H163" s="71">
        <f t="shared" si="29"/>
        <v>6</v>
      </c>
      <c r="I163" s="10">
        <v>5</v>
      </c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10"/>
      <c r="CR163" s="10"/>
      <c r="CS163" s="10"/>
      <c r="CT163" s="10"/>
      <c r="CU163" s="10"/>
      <c r="CV163" s="10"/>
      <c r="CW163" s="10"/>
      <c r="CX163" s="10"/>
      <c r="CY163" s="10"/>
      <c r="CZ163" s="11">
        <f t="shared" si="20"/>
        <v>0</v>
      </c>
      <c r="DA163" s="10"/>
      <c r="DB163" s="10"/>
      <c r="DC163" s="10"/>
      <c r="DD163" s="10"/>
      <c r="DE163" s="10"/>
      <c r="DF163" s="10"/>
      <c r="DG163" s="10"/>
      <c r="DH163" s="10"/>
      <c r="DI163" s="10"/>
      <c r="DJ163" s="11">
        <f t="shared" si="21"/>
        <v>0</v>
      </c>
      <c r="DK163" s="10"/>
      <c r="DL163" s="10"/>
      <c r="DM163" s="10"/>
      <c r="DN163" s="11">
        <f t="shared" si="22"/>
        <v>0</v>
      </c>
      <c r="DO163" s="10"/>
      <c r="DP163" s="10"/>
      <c r="DQ163" s="10">
        <v>5</v>
      </c>
      <c r="DR163" s="11">
        <f t="shared" si="23"/>
        <v>30</v>
      </c>
      <c r="DS163" s="10">
        <v>0</v>
      </c>
      <c r="DT163" s="11">
        <f t="shared" si="24"/>
        <v>0</v>
      </c>
      <c r="DU163" s="10"/>
      <c r="DV163" s="11">
        <f t="shared" si="25"/>
        <v>0</v>
      </c>
      <c r="DW163" s="10">
        <v>0</v>
      </c>
      <c r="DX163" s="11">
        <f t="shared" si="26"/>
        <v>0</v>
      </c>
      <c r="DY163" s="10"/>
      <c r="DZ163" s="10"/>
      <c r="EA163" s="11">
        <f t="shared" si="27"/>
        <v>0</v>
      </c>
      <c r="EB163" s="10"/>
      <c r="EC163" s="11">
        <f t="shared" si="28"/>
        <v>0</v>
      </c>
      <c r="ED163" s="10"/>
      <c r="EE163" s="10"/>
    </row>
    <row r="164" spans="2:135" ht="16.5">
      <c r="B164" s="47">
        <v>153</v>
      </c>
      <c r="C164" s="50" t="s">
        <v>835</v>
      </c>
      <c r="D164" s="49" t="s">
        <v>251</v>
      </c>
      <c r="E164" s="49"/>
      <c r="F164" s="49"/>
      <c r="G164" s="49"/>
      <c r="H164" s="71">
        <f t="shared" si="29"/>
        <v>79.2</v>
      </c>
      <c r="I164" s="10">
        <v>66</v>
      </c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1">
        <f t="shared" si="20"/>
        <v>0</v>
      </c>
      <c r="DA164" s="10"/>
      <c r="DB164" s="10"/>
      <c r="DC164" s="10"/>
      <c r="DD164" s="10"/>
      <c r="DE164" s="10"/>
      <c r="DF164" s="10"/>
      <c r="DG164" s="10"/>
      <c r="DH164" s="10"/>
      <c r="DI164" s="10">
        <v>1</v>
      </c>
      <c r="DJ164" s="11">
        <f t="shared" si="21"/>
        <v>79.2</v>
      </c>
      <c r="DK164" s="10"/>
      <c r="DL164" s="10"/>
      <c r="DM164" s="10">
        <v>14</v>
      </c>
      <c r="DN164" s="11">
        <f t="shared" si="22"/>
        <v>1108.8</v>
      </c>
      <c r="DO164" s="10"/>
      <c r="DP164" s="10"/>
      <c r="DQ164" s="10">
        <v>1</v>
      </c>
      <c r="DR164" s="11">
        <f t="shared" si="23"/>
        <v>79.2</v>
      </c>
      <c r="DS164" s="10">
        <v>23</v>
      </c>
      <c r="DT164" s="11">
        <f t="shared" si="24"/>
        <v>1821.6000000000001</v>
      </c>
      <c r="DU164" s="10">
        <v>14</v>
      </c>
      <c r="DV164" s="11">
        <f t="shared" si="25"/>
        <v>1108.8</v>
      </c>
      <c r="DW164" s="10">
        <v>13</v>
      </c>
      <c r="DX164" s="11">
        <f t="shared" si="26"/>
        <v>1029.6000000000001</v>
      </c>
      <c r="DY164" s="10"/>
      <c r="DZ164" s="10"/>
      <c r="EA164" s="11">
        <f t="shared" si="27"/>
        <v>0</v>
      </c>
      <c r="EB164" s="10"/>
      <c r="EC164" s="11">
        <f t="shared" si="28"/>
        <v>0</v>
      </c>
      <c r="ED164" s="10"/>
      <c r="EE164" s="10"/>
    </row>
    <row r="165" spans="2:135" ht="16.5">
      <c r="B165" s="47">
        <v>154</v>
      </c>
      <c r="C165" s="50" t="s">
        <v>836</v>
      </c>
      <c r="D165" s="49" t="s">
        <v>252</v>
      </c>
      <c r="E165" s="49"/>
      <c r="F165" s="49"/>
      <c r="G165" s="49"/>
      <c r="H165" s="71">
        <f t="shared" si="29"/>
        <v>1.2</v>
      </c>
      <c r="I165" s="10">
        <v>1</v>
      </c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  <c r="CQ165" s="10"/>
      <c r="CR165" s="10"/>
      <c r="CS165" s="10"/>
      <c r="CT165" s="10"/>
      <c r="CU165" s="10"/>
      <c r="CV165" s="10"/>
      <c r="CW165" s="10"/>
      <c r="CX165" s="10"/>
      <c r="CY165" s="10"/>
      <c r="CZ165" s="11">
        <f t="shared" si="20"/>
        <v>0</v>
      </c>
      <c r="DA165" s="10"/>
      <c r="DB165" s="10"/>
      <c r="DC165" s="10"/>
      <c r="DD165" s="10"/>
      <c r="DE165" s="10"/>
      <c r="DF165" s="10"/>
      <c r="DG165" s="10"/>
      <c r="DH165" s="10"/>
      <c r="DI165" s="10"/>
      <c r="DJ165" s="11">
        <f t="shared" si="21"/>
        <v>0</v>
      </c>
      <c r="DK165" s="10"/>
      <c r="DL165" s="10"/>
      <c r="DM165" s="10"/>
      <c r="DN165" s="11">
        <f t="shared" si="22"/>
        <v>0</v>
      </c>
      <c r="DO165" s="10"/>
      <c r="DP165" s="10"/>
      <c r="DQ165" s="10">
        <v>0</v>
      </c>
      <c r="DR165" s="11">
        <f t="shared" si="23"/>
        <v>0</v>
      </c>
      <c r="DS165" s="10">
        <v>1</v>
      </c>
      <c r="DT165" s="11">
        <f t="shared" si="24"/>
        <v>1.2</v>
      </c>
      <c r="DU165" s="10"/>
      <c r="DV165" s="11">
        <f t="shared" si="25"/>
        <v>0</v>
      </c>
      <c r="DW165" s="10">
        <v>0</v>
      </c>
      <c r="DX165" s="11">
        <f t="shared" si="26"/>
        <v>0</v>
      </c>
      <c r="DY165" s="10"/>
      <c r="DZ165" s="10"/>
      <c r="EA165" s="11">
        <f t="shared" si="27"/>
        <v>0</v>
      </c>
      <c r="EB165" s="10"/>
      <c r="EC165" s="11">
        <f t="shared" si="28"/>
        <v>0</v>
      </c>
      <c r="ED165" s="10"/>
      <c r="EE165" s="10"/>
    </row>
    <row r="166" spans="2:135" ht="16.5">
      <c r="B166" s="47">
        <v>155</v>
      </c>
      <c r="C166" s="50" t="s">
        <v>837</v>
      </c>
      <c r="D166" s="49" t="s">
        <v>253</v>
      </c>
      <c r="E166" s="49"/>
      <c r="F166" s="49"/>
      <c r="G166" s="49"/>
      <c r="H166" s="71">
        <f t="shared" si="29"/>
        <v>3.5999999999999996</v>
      </c>
      <c r="I166" s="10">
        <v>3</v>
      </c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  <c r="CQ166" s="10"/>
      <c r="CR166" s="10"/>
      <c r="CS166" s="10"/>
      <c r="CT166" s="10"/>
      <c r="CU166" s="10"/>
      <c r="CV166" s="10"/>
      <c r="CW166" s="10"/>
      <c r="CX166" s="10"/>
      <c r="CY166" s="10"/>
      <c r="CZ166" s="11">
        <f t="shared" si="20"/>
        <v>0</v>
      </c>
      <c r="DA166" s="10"/>
      <c r="DB166" s="10"/>
      <c r="DC166" s="10"/>
      <c r="DD166" s="10"/>
      <c r="DE166" s="10"/>
      <c r="DF166" s="10"/>
      <c r="DG166" s="10"/>
      <c r="DH166" s="10"/>
      <c r="DI166" s="10"/>
      <c r="DJ166" s="11">
        <f t="shared" si="21"/>
        <v>0</v>
      </c>
      <c r="DK166" s="10"/>
      <c r="DL166" s="10"/>
      <c r="DM166" s="10"/>
      <c r="DN166" s="11">
        <f t="shared" si="22"/>
        <v>0</v>
      </c>
      <c r="DO166" s="10"/>
      <c r="DP166" s="10"/>
      <c r="DQ166" s="10">
        <v>3</v>
      </c>
      <c r="DR166" s="11">
        <f t="shared" si="23"/>
        <v>10.799999999999999</v>
      </c>
      <c r="DS166" s="10">
        <v>0</v>
      </c>
      <c r="DT166" s="11">
        <f t="shared" si="24"/>
        <v>0</v>
      </c>
      <c r="DU166" s="10"/>
      <c r="DV166" s="11">
        <f t="shared" si="25"/>
        <v>0</v>
      </c>
      <c r="DW166" s="10">
        <v>0</v>
      </c>
      <c r="DX166" s="11">
        <f t="shared" si="26"/>
        <v>0</v>
      </c>
      <c r="DY166" s="10"/>
      <c r="DZ166" s="10"/>
      <c r="EA166" s="11">
        <f t="shared" si="27"/>
        <v>0</v>
      </c>
      <c r="EB166" s="10"/>
      <c r="EC166" s="11">
        <f t="shared" si="28"/>
        <v>0</v>
      </c>
      <c r="ED166" s="10"/>
      <c r="EE166" s="10"/>
    </row>
    <row r="167" spans="2:135" ht="16.5">
      <c r="B167" s="47">
        <v>156</v>
      </c>
      <c r="C167" s="50" t="s">
        <v>838</v>
      </c>
      <c r="D167" s="49" t="s">
        <v>254</v>
      </c>
      <c r="E167" s="49"/>
      <c r="F167" s="49"/>
      <c r="G167" s="49"/>
      <c r="H167" s="71">
        <f t="shared" si="29"/>
        <v>16.8</v>
      </c>
      <c r="I167" s="10">
        <v>14</v>
      </c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  <c r="CQ167" s="10"/>
      <c r="CR167" s="10"/>
      <c r="CS167" s="10"/>
      <c r="CT167" s="10"/>
      <c r="CU167" s="10"/>
      <c r="CV167" s="10"/>
      <c r="CW167" s="10"/>
      <c r="CX167" s="10"/>
      <c r="CY167" s="10"/>
      <c r="CZ167" s="11">
        <f t="shared" si="20"/>
        <v>0</v>
      </c>
      <c r="DA167" s="10"/>
      <c r="DB167" s="10"/>
      <c r="DC167" s="10"/>
      <c r="DD167" s="10"/>
      <c r="DE167" s="10"/>
      <c r="DF167" s="10"/>
      <c r="DG167" s="10"/>
      <c r="DH167" s="10"/>
      <c r="DI167" s="10"/>
      <c r="DJ167" s="11">
        <f t="shared" si="21"/>
        <v>0</v>
      </c>
      <c r="DK167" s="10"/>
      <c r="DL167" s="10"/>
      <c r="DM167" s="10"/>
      <c r="DN167" s="11">
        <f t="shared" si="22"/>
        <v>0</v>
      </c>
      <c r="DO167" s="10"/>
      <c r="DP167" s="10"/>
      <c r="DQ167" s="10">
        <v>0</v>
      </c>
      <c r="DR167" s="11">
        <f t="shared" si="23"/>
        <v>0</v>
      </c>
      <c r="DS167" s="10">
        <v>0</v>
      </c>
      <c r="DT167" s="11">
        <f t="shared" si="24"/>
        <v>0</v>
      </c>
      <c r="DU167" s="10">
        <v>5</v>
      </c>
      <c r="DV167" s="11">
        <f t="shared" si="25"/>
        <v>84</v>
      </c>
      <c r="DW167" s="10">
        <v>9</v>
      </c>
      <c r="DX167" s="11">
        <f t="shared" si="26"/>
        <v>151.20000000000002</v>
      </c>
      <c r="DY167" s="10"/>
      <c r="DZ167" s="10"/>
      <c r="EA167" s="11">
        <f t="shared" si="27"/>
        <v>0</v>
      </c>
      <c r="EB167" s="10"/>
      <c r="EC167" s="11">
        <f t="shared" si="28"/>
        <v>0</v>
      </c>
      <c r="ED167" s="10"/>
      <c r="EE167" s="10"/>
    </row>
    <row r="168" spans="2:135" ht="16.5">
      <c r="B168" s="47">
        <v>157</v>
      </c>
      <c r="C168" s="50" t="s">
        <v>839</v>
      </c>
      <c r="D168" s="49" t="s">
        <v>255</v>
      </c>
      <c r="E168" s="49"/>
      <c r="F168" s="49"/>
      <c r="G168" s="49"/>
      <c r="H168" s="71">
        <f t="shared" si="29"/>
        <v>1.2</v>
      </c>
      <c r="I168" s="10">
        <v>1</v>
      </c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  <c r="CQ168" s="10"/>
      <c r="CR168" s="10"/>
      <c r="CS168" s="10"/>
      <c r="CT168" s="10"/>
      <c r="CU168" s="10"/>
      <c r="CV168" s="10"/>
      <c r="CW168" s="10"/>
      <c r="CX168" s="10"/>
      <c r="CY168" s="10"/>
      <c r="CZ168" s="11">
        <f t="shared" si="20"/>
        <v>0</v>
      </c>
      <c r="DA168" s="10"/>
      <c r="DB168" s="10"/>
      <c r="DC168" s="10"/>
      <c r="DD168" s="10"/>
      <c r="DE168" s="10"/>
      <c r="DF168" s="10"/>
      <c r="DG168" s="10"/>
      <c r="DH168" s="10"/>
      <c r="DI168" s="10"/>
      <c r="DJ168" s="11">
        <f t="shared" si="21"/>
        <v>0</v>
      </c>
      <c r="DK168" s="10"/>
      <c r="DL168" s="10"/>
      <c r="DM168" s="10"/>
      <c r="DN168" s="11">
        <f t="shared" si="22"/>
        <v>0</v>
      </c>
      <c r="DO168" s="10"/>
      <c r="DP168" s="10"/>
      <c r="DQ168" s="10">
        <v>0</v>
      </c>
      <c r="DR168" s="11">
        <f t="shared" si="23"/>
        <v>0</v>
      </c>
      <c r="DS168" s="10">
        <v>1</v>
      </c>
      <c r="DT168" s="11">
        <f t="shared" si="24"/>
        <v>1.2</v>
      </c>
      <c r="DU168" s="10"/>
      <c r="DV168" s="11">
        <f t="shared" si="25"/>
        <v>0</v>
      </c>
      <c r="DW168" s="10">
        <v>0</v>
      </c>
      <c r="DX168" s="11">
        <f t="shared" si="26"/>
        <v>0</v>
      </c>
      <c r="DY168" s="10"/>
      <c r="DZ168" s="10"/>
      <c r="EA168" s="11">
        <f t="shared" si="27"/>
        <v>0</v>
      </c>
      <c r="EB168" s="10"/>
      <c r="EC168" s="11">
        <f t="shared" si="28"/>
        <v>0</v>
      </c>
      <c r="ED168" s="10"/>
      <c r="EE168" s="10"/>
    </row>
    <row r="169" spans="2:135" ht="16.5">
      <c r="B169" s="47">
        <v>158</v>
      </c>
      <c r="C169" s="50" t="s">
        <v>840</v>
      </c>
      <c r="D169" s="49" t="s">
        <v>256</v>
      </c>
      <c r="E169" s="49"/>
      <c r="F169" s="49"/>
      <c r="G169" s="49"/>
      <c r="H169" s="71">
        <f t="shared" si="29"/>
        <v>9.6</v>
      </c>
      <c r="I169" s="10">
        <v>8</v>
      </c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1">
        <f t="shared" si="20"/>
        <v>0</v>
      </c>
      <c r="DA169" s="10"/>
      <c r="DB169" s="10"/>
      <c r="DC169" s="10"/>
      <c r="DD169" s="10"/>
      <c r="DE169" s="10"/>
      <c r="DF169" s="10"/>
      <c r="DG169" s="10"/>
      <c r="DH169" s="10"/>
      <c r="DI169" s="10"/>
      <c r="DJ169" s="11">
        <f t="shared" si="21"/>
        <v>0</v>
      </c>
      <c r="DK169" s="10"/>
      <c r="DL169" s="10"/>
      <c r="DM169" s="10"/>
      <c r="DN169" s="11">
        <f t="shared" si="22"/>
        <v>0</v>
      </c>
      <c r="DO169" s="10"/>
      <c r="DP169" s="10"/>
      <c r="DQ169" s="10">
        <v>0</v>
      </c>
      <c r="DR169" s="11">
        <f t="shared" si="23"/>
        <v>0</v>
      </c>
      <c r="DS169" s="10">
        <v>8</v>
      </c>
      <c r="DT169" s="11">
        <f t="shared" si="24"/>
        <v>76.8</v>
      </c>
      <c r="DU169" s="10"/>
      <c r="DV169" s="11">
        <f t="shared" si="25"/>
        <v>0</v>
      </c>
      <c r="DW169" s="10">
        <v>0</v>
      </c>
      <c r="DX169" s="11">
        <f t="shared" si="26"/>
        <v>0</v>
      </c>
      <c r="DY169" s="10"/>
      <c r="DZ169" s="10"/>
      <c r="EA169" s="11">
        <f t="shared" si="27"/>
        <v>0</v>
      </c>
      <c r="EB169" s="10"/>
      <c r="EC169" s="11">
        <f t="shared" si="28"/>
        <v>0</v>
      </c>
      <c r="ED169" s="10"/>
      <c r="EE169" s="10"/>
    </row>
    <row r="170" spans="2:135" ht="16.5">
      <c r="B170" s="47">
        <v>159</v>
      </c>
      <c r="C170" s="50" t="s">
        <v>841</v>
      </c>
      <c r="D170" s="49" t="s">
        <v>257</v>
      </c>
      <c r="E170" s="49"/>
      <c r="F170" s="49"/>
      <c r="G170" s="49"/>
      <c r="H170" s="71">
        <f t="shared" si="29"/>
        <v>1.2</v>
      </c>
      <c r="I170" s="10">
        <v>1</v>
      </c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1">
        <f t="shared" si="20"/>
        <v>0</v>
      </c>
      <c r="DA170" s="10"/>
      <c r="DB170" s="10"/>
      <c r="DC170" s="10"/>
      <c r="DD170" s="10"/>
      <c r="DE170" s="10"/>
      <c r="DF170" s="10"/>
      <c r="DG170" s="10"/>
      <c r="DH170" s="10"/>
      <c r="DI170" s="10"/>
      <c r="DJ170" s="11">
        <f t="shared" si="21"/>
        <v>0</v>
      </c>
      <c r="DK170" s="10"/>
      <c r="DL170" s="10"/>
      <c r="DM170" s="10"/>
      <c r="DN170" s="11">
        <f t="shared" si="22"/>
        <v>0</v>
      </c>
      <c r="DO170" s="10"/>
      <c r="DP170" s="10"/>
      <c r="DQ170" s="10">
        <v>0</v>
      </c>
      <c r="DR170" s="11">
        <f t="shared" si="23"/>
        <v>0</v>
      </c>
      <c r="DS170" s="10">
        <v>0</v>
      </c>
      <c r="DT170" s="11">
        <f t="shared" si="24"/>
        <v>0</v>
      </c>
      <c r="DU170" s="10"/>
      <c r="DV170" s="11">
        <f t="shared" si="25"/>
        <v>0</v>
      </c>
      <c r="DW170" s="10">
        <v>0</v>
      </c>
      <c r="DX170" s="11">
        <f t="shared" si="26"/>
        <v>0</v>
      </c>
      <c r="DY170" s="10"/>
      <c r="DZ170" s="10">
        <v>1</v>
      </c>
      <c r="EA170" s="11">
        <f t="shared" si="27"/>
        <v>1.2</v>
      </c>
      <c r="EB170" s="10"/>
      <c r="EC170" s="11">
        <f t="shared" si="28"/>
        <v>0</v>
      </c>
      <c r="ED170" s="10"/>
      <c r="EE170" s="10"/>
    </row>
    <row r="171" spans="2:135" ht="16.5">
      <c r="B171" s="47">
        <v>160</v>
      </c>
      <c r="C171" s="50" t="s">
        <v>842</v>
      </c>
      <c r="D171" s="49" t="s">
        <v>258</v>
      </c>
      <c r="E171" s="49"/>
      <c r="F171" s="49"/>
      <c r="G171" s="49"/>
      <c r="H171" s="71">
        <f t="shared" si="29"/>
        <v>8.4</v>
      </c>
      <c r="I171" s="10">
        <v>7</v>
      </c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  <c r="CQ171" s="10"/>
      <c r="CR171" s="10"/>
      <c r="CS171" s="10"/>
      <c r="CT171" s="10"/>
      <c r="CU171" s="10"/>
      <c r="CV171" s="10"/>
      <c r="CW171" s="10"/>
      <c r="CX171" s="10"/>
      <c r="CY171" s="10"/>
      <c r="CZ171" s="11">
        <f t="shared" si="20"/>
        <v>0</v>
      </c>
      <c r="DA171" s="10"/>
      <c r="DB171" s="10"/>
      <c r="DC171" s="10"/>
      <c r="DD171" s="10"/>
      <c r="DE171" s="10"/>
      <c r="DF171" s="10"/>
      <c r="DG171" s="10"/>
      <c r="DH171" s="10"/>
      <c r="DI171" s="10">
        <v>1</v>
      </c>
      <c r="DJ171" s="11">
        <f t="shared" si="21"/>
        <v>8.4</v>
      </c>
      <c r="DK171" s="10"/>
      <c r="DL171" s="10"/>
      <c r="DM171" s="10"/>
      <c r="DN171" s="11">
        <f t="shared" si="22"/>
        <v>0</v>
      </c>
      <c r="DO171" s="10"/>
      <c r="DP171" s="10"/>
      <c r="DQ171" s="10">
        <v>0</v>
      </c>
      <c r="DR171" s="11">
        <f t="shared" si="23"/>
        <v>0</v>
      </c>
      <c r="DS171" s="10">
        <v>0</v>
      </c>
      <c r="DT171" s="11">
        <f t="shared" si="24"/>
        <v>0</v>
      </c>
      <c r="DU171" s="10"/>
      <c r="DV171" s="11">
        <f t="shared" si="25"/>
        <v>0</v>
      </c>
      <c r="DW171" s="10">
        <v>6</v>
      </c>
      <c r="DX171" s="11">
        <f t="shared" si="26"/>
        <v>50.400000000000006</v>
      </c>
      <c r="DY171" s="10"/>
      <c r="DZ171" s="10"/>
      <c r="EA171" s="11">
        <f t="shared" si="27"/>
        <v>0</v>
      </c>
      <c r="EB171" s="10"/>
      <c r="EC171" s="11">
        <f t="shared" si="28"/>
        <v>0</v>
      </c>
      <c r="ED171" s="10"/>
      <c r="EE171" s="10"/>
    </row>
    <row r="172" spans="2:135" ht="16.5">
      <c r="B172" s="47">
        <v>161</v>
      </c>
      <c r="C172" s="50" t="s">
        <v>843</v>
      </c>
      <c r="D172" s="49" t="s">
        <v>259</v>
      </c>
      <c r="E172" s="49"/>
      <c r="F172" s="49"/>
      <c r="G172" s="49"/>
      <c r="H172" s="71">
        <f t="shared" si="29"/>
        <v>1.2</v>
      </c>
      <c r="I172" s="10">
        <v>1</v>
      </c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  <c r="CQ172" s="10"/>
      <c r="CR172" s="10"/>
      <c r="CS172" s="10"/>
      <c r="CT172" s="10"/>
      <c r="CU172" s="10"/>
      <c r="CV172" s="10"/>
      <c r="CW172" s="10"/>
      <c r="CX172" s="10"/>
      <c r="CY172" s="10"/>
      <c r="CZ172" s="11">
        <f t="shared" si="20"/>
        <v>0</v>
      </c>
      <c r="DA172" s="10"/>
      <c r="DB172" s="10"/>
      <c r="DC172" s="10"/>
      <c r="DD172" s="10"/>
      <c r="DE172" s="10"/>
      <c r="DF172" s="10"/>
      <c r="DG172" s="10"/>
      <c r="DH172" s="10"/>
      <c r="DI172" s="10"/>
      <c r="DJ172" s="11">
        <f t="shared" si="21"/>
        <v>0</v>
      </c>
      <c r="DK172" s="10"/>
      <c r="DL172" s="10"/>
      <c r="DM172" s="10"/>
      <c r="DN172" s="11">
        <f t="shared" si="22"/>
        <v>0</v>
      </c>
      <c r="DO172" s="10"/>
      <c r="DP172" s="10"/>
      <c r="DQ172" s="10">
        <v>1</v>
      </c>
      <c r="DR172" s="11">
        <f t="shared" si="23"/>
        <v>1.2</v>
      </c>
      <c r="DS172" s="10">
        <v>0</v>
      </c>
      <c r="DT172" s="11">
        <f t="shared" si="24"/>
        <v>0</v>
      </c>
      <c r="DU172" s="10"/>
      <c r="DV172" s="11">
        <f t="shared" si="25"/>
        <v>0</v>
      </c>
      <c r="DW172" s="10">
        <v>0</v>
      </c>
      <c r="DX172" s="11">
        <f t="shared" si="26"/>
        <v>0</v>
      </c>
      <c r="DY172" s="10"/>
      <c r="DZ172" s="10"/>
      <c r="EA172" s="11">
        <f t="shared" si="27"/>
        <v>0</v>
      </c>
      <c r="EB172" s="10"/>
      <c r="EC172" s="11">
        <f t="shared" si="28"/>
        <v>0</v>
      </c>
      <c r="ED172" s="10"/>
      <c r="EE172" s="10"/>
    </row>
    <row r="173" spans="2:135" ht="16.5">
      <c r="B173" s="47">
        <v>162</v>
      </c>
      <c r="C173" s="50" t="s">
        <v>844</v>
      </c>
      <c r="D173" s="49" t="s">
        <v>260</v>
      </c>
      <c r="E173" s="49"/>
      <c r="F173" s="49"/>
      <c r="G173" s="49"/>
      <c r="H173" s="71">
        <f t="shared" si="29"/>
        <v>19.2</v>
      </c>
      <c r="I173" s="10">
        <v>16</v>
      </c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  <c r="CQ173" s="10"/>
      <c r="CR173" s="10"/>
      <c r="CS173" s="10"/>
      <c r="CT173" s="10"/>
      <c r="CU173" s="10"/>
      <c r="CV173" s="10"/>
      <c r="CW173" s="10"/>
      <c r="CX173" s="10"/>
      <c r="CY173" s="10"/>
      <c r="CZ173" s="11">
        <f t="shared" si="20"/>
        <v>0</v>
      </c>
      <c r="DA173" s="10"/>
      <c r="DB173" s="10"/>
      <c r="DC173" s="10"/>
      <c r="DD173" s="10"/>
      <c r="DE173" s="10"/>
      <c r="DF173" s="10"/>
      <c r="DG173" s="10"/>
      <c r="DH173" s="10"/>
      <c r="DI173" s="10">
        <v>2</v>
      </c>
      <c r="DJ173" s="11">
        <f t="shared" si="21"/>
        <v>38.4</v>
      </c>
      <c r="DK173" s="10"/>
      <c r="DL173" s="10"/>
      <c r="DM173" s="10"/>
      <c r="DN173" s="11">
        <f t="shared" si="22"/>
        <v>0</v>
      </c>
      <c r="DO173" s="10"/>
      <c r="DP173" s="10"/>
      <c r="DQ173" s="10">
        <v>10</v>
      </c>
      <c r="DR173" s="11">
        <f t="shared" si="23"/>
        <v>192</v>
      </c>
      <c r="DS173" s="10">
        <v>4</v>
      </c>
      <c r="DT173" s="11">
        <f t="shared" si="24"/>
        <v>76.8</v>
      </c>
      <c r="DU173" s="10"/>
      <c r="DV173" s="11">
        <f t="shared" si="25"/>
        <v>0</v>
      </c>
      <c r="DW173" s="10">
        <v>0</v>
      </c>
      <c r="DX173" s="11">
        <f t="shared" si="26"/>
        <v>0</v>
      </c>
      <c r="DY173" s="10"/>
      <c r="DZ173" s="10"/>
      <c r="EA173" s="11">
        <f t="shared" si="27"/>
        <v>0</v>
      </c>
      <c r="EB173" s="10"/>
      <c r="EC173" s="11">
        <f t="shared" si="28"/>
        <v>0</v>
      </c>
      <c r="ED173" s="10"/>
      <c r="EE173" s="10"/>
    </row>
    <row r="174" spans="2:135" ht="16.5">
      <c r="B174" s="47">
        <v>163</v>
      </c>
      <c r="C174" s="50" t="s">
        <v>845</v>
      </c>
      <c r="D174" s="49" t="s">
        <v>261</v>
      </c>
      <c r="E174" s="49"/>
      <c r="F174" s="49"/>
      <c r="G174" s="49"/>
      <c r="H174" s="71">
        <f t="shared" si="29"/>
        <v>2.4</v>
      </c>
      <c r="I174" s="10">
        <v>2</v>
      </c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1">
        <f t="shared" si="20"/>
        <v>0</v>
      </c>
      <c r="DA174" s="10"/>
      <c r="DB174" s="10"/>
      <c r="DC174" s="10"/>
      <c r="DD174" s="10"/>
      <c r="DE174" s="10"/>
      <c r="DF174" s="10"/>
      <c r="DG174" s="10"/>
      <c r="DH174" s="10"/>
      <c r="DI174" s="10"/>
      <c r="DJ174" s="11">
        <f t="shared" si="21"/>
        <v>0</v>
      </c>
      <c r="DK174" s="10"/>
      <c r="DL174" s="10"/>
      <c r="DM174" s="10"/>
      <c r="DN174" s="11">
        <f t="shared" si="22"/>
        <v>0</v>
      </c>
      <c r="DO174" s="10"/>
      <c r="DP174" s="10"/>
      <c r="DQ174" s="10">
        <v>2</v>
      </c>
      <c r="DR174" s="11">
        <f t="shared" si="23"/>
        <v>4.8</v>
      </c>
      <c r="DS174" s="10">
        <v>0</v>
      </c>
      <c r="DT174" s="11">
        <f t="shared" si="24"/>
        <v>0</v>
      </c>
      <c r="DU174" s="10"/>
      <c r="DV174" s="11">
        <f t="shared" si="25"/>
        <v>0</v>
      </c>
      <c r="DW174" s="10">
        <v>0</v>
      </c>
      <c r="DX174" s="11">
        <f t="shared" si="26"/>
        <v>0</v>
      </c>
      <c r="DY174" s="10"/>
      <c r="DZ174" s="10"/>
      <c r="EA174" s="11">
        <f t="shared" si="27"/>
        <v>0</v>
      </c>
      <c r="EB174" s="10"/>
      <c r="EC174" s="11">
        <f t="shared" si="28"/>
        <v>0</v>
      </c>
      <c r="ED174" s="10"/>
      <c r="EE174" s="10"/>
    </row>
    <row r="175" spans="2:135" ht="16.5">
      <c r="B175" s="47">
        <v>164</v>
      </c>
      <c r="C175" s="50" t="s">
        <v>846</v>
      </c>
      <c r="D175" s="49" t="s">
        <v>262</v>
      </c>
      <c r="E175" s="49"/>
      <c r="F175" s="49"/>
      <c r="G175" s="49"/>
      <c r="H175" s="71">
        <f t="shared" si="29"/>
        <v>19.2</v>
      </c>
      <c r="I175" s="10">
        <v>16</v>
      </c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  <c r="CQ175" s="10"/>
      <c r="CR175" s="10"/>
      <c r="CS175" s="10"/>
      <c r="CT175" s="10"/>
      <c r="CU175" s="10"/>
      <c r="CV175" s="10"/>
      <c r="CW175" s="10"/>
      <c r="CX175" s="10"/>
      <c r="CY175" s="10"/>
      <c r="CZ175" s="11">
        <f t="shared" si="20"/>
        <v>0</v>
      </c>
      <c r="DA175" s="10"/>
      <c r="DB175" s="10"/>
      <c r="DC175" s="10"/>
      <c r="DD175" s="10"/>
      <c r="DE175" s="10"/>
      <c r="DF175" s="10"/>
      <c r="DG175" s="10"/>
      <c r="DH175" s="10"/>
      <c r="DI175" s="10"/>
      <c r="DJ175" s="11">
        <f t="shared" si="21"/>
        <v>0</v>
      </c>
      <c r="DK175" s="10"/>
      <c r="DL175" s="10"/>
      <c r="DM175" s="10"/>
      <c r="DN175" s="11">
        <f t="shared" si="22"/>
        <v>0</v>
      </c>
      <c r="DO175" s="10"/>
      <c r="DP175" s="10"/>
      <c r="DQ175" s="10">
        <v>12</v>
      </c>
      <c r="DR175" s="11">
        <f t="shared" si="23"/>
        <v>230.39999999999998</v>
      </c>
      <c r="DS175" s="10">
        <v>0</v>
      </c>
      <c r="DT175" s="11">
        <f t="shared" si="24"/>
        <v>0</v>
      </c>
      <c r="DU175" s="10">
        <v>2</v>
      </c>
      <c r="DV175" s="11">
        <f t="shared" si="25"/>
        <v>38.4</v>
      </c>
      <c r="DW175" s="10">
        <v>2</v>
      </c>
      <c r="DX175" s="11">
        <f t="shared" si="26"/>
        <v>38.4</v>
      </c>
      <c r="DY175" s="10"/>
      <c r="DZ175" s="10"/>
      <c r="EA175" s="11">
        <f t="shared" si="27"/>
        <v>0</v>
      </c>
      <c r="EB175" s="10"/>
      <c r="EC175" s="11">
        <f t="shared" si="28"/>
        <v>0</v>
      </c>
      <c r="ED175" s="10"/>
      <c r="EE175" s="10"/>
    </row>
    <row r="176" spans="2:135" ht="16.5">
      <c r="B176" s="47">
        <v>165</v>
      </c>
      <c r="C176" s="50" t="s">
        <v>847</v>
      </c>
      <c r="D176" s="49" t="s">
        <v>263</v>
      </c>
      <c r="E176" s="49"/>
      <c r="F176" s="49"/>
      <c r="G176" s="49"/>
      <c r="H176" s="71">
        <f t="shared" si="29"/>
        <v>10.799999999999999</v>
      </c>
      <c r="I176" s="10">
        <v>9</v>
      </c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  <c r="CQ176" s="10"/>
      <c r="CR176" s="10"/>
      <c r="CS176" s="10"/>
      <c r="CT176" s="10"/>
      <c r="CU176" s="10"/>
      <c r="CV176" s="10"/>
      <c r="CW176" s="10"/>
      <c r="CX176" s="10"/>
      <c r="CY176" s="10"/>
      <c r="CZ176" s="11">
        <f t="shared" si="20"/>
        <v>0</v>
      </c>
      <c r="DA176" s="10"/>
      <c r="DB176" s="10"/>
      <c r="DC176" s="10"/>
      <c r="DD176" s="10"/>
      <c r="DE176" s="10"/>
      <c r="DF176" s="10"/>
      <c r="DG176" s="10"/>
      <c r="DH176" s="10"/>
      <c r="DI176" s="10"/>
      <c r="DJ176" s="11">
        <f t="shared" si="21"/>
        <v>0</v>
      </c>
      <c r="DK176" s="10"/>
      <c r="DL176" s="10"/>
      <c r="DM176" s="10"/>
      <c r="DN176" s="11">
        <f t="shared" si="22"/>
        <v>0</v>
      </c>
      <c r="DO176" s="10"/>
      <c r="DP176" s="10"/>
      <c r="DQ176" s="10">
        <v>0</v>
      </c>
      <c r="DR176" s="11">
        <f t="shared" si="23"/>
        <v>0</v>
      </c>
      <c r="DS176" s="10">
        <v>0</v>
      </c>
      <c r="DT176" s="11">
        <f t="shared" si="24"/>
        <v>0</v>
      </c>
      <c r="DU176" s="10"/>
      <c r="DV176" s="11">
        <f t="shared" si="25"/>
        <v>0</v>
      </c>
      <c r="DW176" s="10">
        <v>9</v>
      </c>
      <c r="DX176" s="11">
        <f t="shared" si="26"/>
        <v>97.199999999999989</v>
      </c>
      <c r="DY176" s="10"/>
      <c r="DZ176" s="10"/>
      <c r="EA176" s="11">
        <f t="shared" si="27"/>
        <v>0</v>
      </c>
      <c r="EB176" s="10"/>
      <c r="EC176" s="11">
        <f t="shared" si="28"/>
        <v>0</v>
      </c>
      <c r="ED176" s="10"/>
      <c r="EE176" s="10"/>
    </row>
    <row r="177" spans="2:135" ht="16.5">
      <c r="B177" s="47">
        <v>166</v>
      </c>
      <c r="C177" s="50" t="s">
        <v>848</v>
      </c>
      <c r="D177" s="49" t="s">
        <v>264</v>
      </c>
      <c r="E177" s="49"/>
      <c r="F177" s="49"/>
      <c r="G177" s="49"/>
      <c r="H177" s="71">
        <f t="shared" si="29"/>
        <v>9.6</v>
      </c>
      <c r="I177" s="10">
        <v>8</v>
      </c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L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  <c r="CQ177" s="10"/>
      <c r="CR177" s="10"/>
      <c r="CS177" s="10"/>
      <c r="CT177" s="10"/>
      <c r="CU177" s="10"/>
      <c r="CV177" s="10"/>
      <c r="CW177" s="10"/>
      <c r="CX177" s="10"/>
      <c r="CY177" s="10">
        <v>2</v>
      </c>
      <c r="CZ177" s="11">
        <f t="shared" si="20"/>
        <v>19.2</v>
      </c>
      <c r="DA177" s="10"/>
      <c r="DB177" s="10"/>
      <c r="DC177" s="10"/>
      <c r="DD177" s="10"/>
      <c r="DE177" s="10"/>
      <c r="DF177" s="10"/>
      <c r="DG177" s="10"/>
      <c r="DH177" s="10"/>
      <c r="DI177" s="10">
        <v>1</v>
      </c>
      <c r="DJ177" s="11">
        <f t="shared" si="21"/>
        <v>9.6</v>
      </c>
      <c r="DK177" s="10"/>
      <c r="DL177" s="10"/>
      <c r="DM177" s="10"/>
      <c r="DN177" s="11">
        <f t="shared" si="22"/>
        <v>0</v>
      </c>
      <c r="DO177" s="10"/>
      <c r="DP177" s="10"/>
      <c r="DQ177" s="10">
        <v>5</v>
      </c>
      <c r="DR177" s="11">
        <f t="shared" si="23"/>
        <v>48</v>
      </c>
      <c r="DS177" s="10">
        <v>0</v>
      </c>
      <c r="DT177" s="11">
        <f t="shared" si="24"/>
        <v>0</v>
      </c>
      <c r="DU177" s="10"/>
      <c r="DV177" s="11">
        <f t="shared" si="25"/>
        <v>0</v>
      </c>
      <c r="DW177" s="10">
        <v>0</v>
      </c>
      <c r="DX177" s="11">
        <f t="shared" si="26"/>
        <v>0</v>
      </c>
      <c r="DY177" s="10"/>
      <c r="DZ177" s="10"/>
      <c r="EA177" s="11">
        <f t="shared" si="27"/>
        <v>0</v>
      </c>
      <c r="EB177" s="10"/>
      <c r="EC177" s="11">
        <f t="shared" si="28"/>
        <v>0</v>
      </c>
      <c r="ED177" s="10"/>
      <c r="EE177" s="10"/>
    </row>
    <row r="178" spans="2:135" ht="16.5">
      <c r="B178" s="47">
        <v>167</v>
      </c>
      <c r="C178" s="50" t="s">
        <v>849</v>
      </c>
      <c r="D178" s="49" t="s">
        <v>265</v>
      </c>
      <c r="E178" s="49"/>
      <c r="F178" s="49"/>
      <c r="G178" s="49"/>
      <c r="H178" s="71">
        <f t="shared" si="29"/>
        <v>8.4</v>
      </c>
      <c r="I178" s="10">
        <v>7</v>
      </c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L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  <c r="CQ178" s="10"/>
      <c r="CR178" s="10"/>
      <c r="CS178" s="10"/>
      <c r="CT178" s="10"/>
      <c r="CU178" s="10"/>
      <c r="CV178" s="10"/>
      <c r="CW178" s="10"/>
      <c r="CX178" s="10"/>
      <c r="CY178" s="10"/>
      <c r="CZ178" s="11">
        <f t="shared" si="20"/>
        <v>0</v>
      </c>
      <c r="DA178" s="10"/>
      <c r="DB178" s="10"/>
      <c r="DC178" s="10"/>
      <c r="DD178" s="10"/>
      <c r="DE178" s="10"/>
      <c r="DF178" s="10"/>
      <c r="DG178" s="10"/>
      <c r="DH178" s="10"/>
      <c r="DI178" s="10"/>
      <c r="DJ178" s="11">
        <f t="shared" si="21"/>
        <v>0</v>
      </c>
      <c r="DK178" s="10"/>
      <c r="DL178" s="10"/>
      <c r="DM178" s="10"/>
      <c r="DN178" s="11">
        <f t="shared" si="22"/>
        <v>0</v>
      </c>
      <c r="DO178" s="10"/>
      <c r="DP178" s="10"/>
      <c r="DQ178" s="10">
        <v>7</v>
      </c>
      <c r="DR178" s="11">
        <f t="shared" si="23"/>
        <v>58.800000000000004</v>
      </c>
      <c r="DS178" s="10">
        <v>0</v>
      </c>
      <c r="DT178" s="11">
        <f t="shared" si="24"/>
        <v>0</v>
      </c>
      <c r="DU178" s="10"/>
      <c r="DV178" s="11">
        <f t="shared" si="25"/>
        <v>0</v>
      </c>
      <c r="DW178" s="10">
        <v>0</v>
      </c>
      <c r="DX178" s="11">
        <f t="shared" si="26"/>
        <v>0</v>
      </c>
      <c r="DY178" s="10"/>
      <c r="DZ178" s="10"/>
      <c r="EA178" s="11">
        <f t="shared" si="27"/>
        <v>0</v>
      </c>
      <c r="EB178" s="10"/>
      <c r="EC178" s="11">
        <f t="shared" si="28"/>
        <v>0</v>
      </c>
      <c r="ED178" s="10"/>
      <c r="EE178" s="10"/>
    </row>
    <row r="179" spans="2:135" ht="16.5">
      <c r="B179" s="47">
        <v>168</v>
      </c>
      <c r="C179" s="50" t="s">
        <v>850</v>
      </c>
      <c r="D179" s="49" t="s">
        <v>266</v>
      </c>
      <c r="E179" s="49"/>
      <c r="F179" s="49"/>
      <c r="G179" s="49"/>
      <c r="H179" s="71">
        <f t="shared" si="29"/>
        <v>69.599999999999994</v>
      </c>
      <c r="I179" s="10">
        <v>58</v>
      </c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L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  <c r="CQ179" s="10"/>
      <c r="CR179" s="10"/>
      <c r="CS179" s="10"/>
      <c r="CT179" s="10"/>
      <c r="CU179" s="10"/>
      <c r="CV179" s="10"/>
      <c r="CW179" s="10"/>
      <c r="CX179" s="10"/>
      <c r="CY179" s="10">
        <v>6</v>
      </c>
      <c r="CZ179" s="11">
        <f t="shared" si="20"/>
        <v>417.59999999999997</v>
      </c>
      <c r="DA179" s="10"/>
      <c r="DB179" s="10"/>
      <c r="DC179" s="10"/>
      <c r="DD179" s="10"/>
      <c r="DE179" s="10"/>
      <c r="DF179" s="10"/>
      <c r="DG179" s="10"/>
      <c r="DH179" s="10"/>
      <c r="DI179" s="10">
        <v>10</v>
      </c>
      <c r="DJ179" s="11">
        <f t="shared" si="21"/>
        <v>696</v>
      </c>
      <c r="DK179" s="10"/>
      <c r="DL179" s="10"/>
      <c r="DM179" s="10"/>
      <c r="DN179" s="11">
        <f t="shared" si="22"/>
        <v>0</v>
      </c>
      <c r="DO179" s="10"/>
      <c r="DP179" s="10"/>
      <c r="DQ179" s="10">
        <v>42</v>
      </c>
      <c r="DR179" s="11">
        <f t="shared" si="23"/>
        <v>2923.2</v>
      </c>
      <c r="DS179" s="10">
        <v>0</v>
      </c>
      <c r="DT179" s="11">
        <f t="shared" si="24"/>
        <v>0</v>
      </c>
      <c r="DU179" s="10"/>
      <c r="DV179" s="11">
        <f t="shared" si="25"/>
        <v>0</v>
      </c>
      <c r="DW179" s="10">
        <v>0</v>
      </c>
      <c r="DX179" s="11">
        <f t="shared" si="26"/>
        <v>0</v>
      </c>
      <c r="DY179" s="10"/>
      <c r="DZ179" s="10"/>
      <c r="EA179" s="11">
        <f t="shared" si="27"/>
        <v>0</v>
      </c>
      <c r="EB179" s="10"/>
      <c r="EC179" s="11">
        <f t="shared" si="28"/>
        <v>0</v>
      </c>
      <c r="ED179" s="10"/>
      <c r="EE179" s="10"/>
    </row>
    <row r="180" spans="2:135" ht="16.5">
      <c r="B180" s="47">
        <v>169</v>
      </c>
      <c r="C180" s="50" t="s">
        <v>851</v>
      </c>
      <c r="D180" s="49" t="s">
        <v>267</v>
      </c>
      <c r="E180" s="49"/>
      <c r="F180" s="49"/>
      <c r="G180" s="49"/>
      <c r="H180" s="71">
        <f t="shared" si="29"/>
        <v>20.399999999999999</v>
      </c>
      <c r="I180" s="10">
        <v>17</v>
      </c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1">
        <f t="shared" si="20"/>
        <v>0</v>
      </c>
      <c r="DA180" s="10"/>
      <c r="DB180" s="10"/>
      <c r="DC180" s="10"/>
      <c r="DD180" s="10"/>
      <c r="DE180" s="10"/>
      <c r="DF180" s="10"/>
      <c r="DG180" s="10"/>
      <c r="DH180" s="10"/>
      <c r="DI180" s="10"/>
      <c r="DJ180" s="11">
        <f t="shared" si="21"/>
        <v>0</v>
      </c>
      <c r="DK180" s="10"/>
      <c r="DL180" s="10"/>
      <c r="DM180" s="10"/>
      <c r="DN180" s="11">
        <f t="shared" si="22"/>
        <v>0</v>
      </c>
      <c r="DO180" s="10"/>
      <c r="DP180" s="10"/>
      <c r="DQ180" s="10">
        <v>17</v>
      </c>
      <c r="DR180" s="11">
        <f t="shared" si="23"/>
        <v>346.79999999999995</v>
      </c>
      <c r="DS180" s="10">
        <v>0</v>
      </c>
      <c r="DT180" s="11">
        <f t="shared" si="24"/>
        <v>0</v>
      </c>
      <c r="DU180" s="10"/>
      <c r="DV180" s="11">
        <f t="shared" si="25"/>
        <v>0</v>
      </c>
      <c r="DW180" s="10">
        <v>0</v>
      </c>
      <c r="DX180" s="11">
        <f t="shared" si="26"/>
        <v>0</v>
      </c>
      <c r="DY180" s="10"/>
      <c r="DZ180" s="10"/>
      <c r="EA180" s="11">
        <f t="shared" si="27"/>
        <v>0</v>
      </c>
      <c r="EB180" s="10"/>
      <c r="EC180" s="11">
        <f t="shared" si="28"/>
        <v>0</v>
      </c>
      <c r="ED180" s="10"/>
      <c r="EE180" s="10"/>
    </row>
    <row r="181" spans="2:135" ht="16.5">
      <c r="B181" s="47">
        <v>170</v>
      </c>
      <c r="C181" s="50" t="s">
        <v>852</v>
      </c>
      <c r="D181" s="49" t="s">
        <v>268</v>
      </c>
      <c r="E181" s="49"/>
      <c r="F181" s="49"/>
      <c r="G181" s="49"/>
      <c r="H181" s="71">
        <f t="shared" si="29"/>
        <v>49.199999999999996</v>
      </c>
      <c r="I181" s="10">
        <v>41</v>
      </c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>
        <v>2</v>
      </c>
      <c r="CZ181" s="11">
        <f t="shared" si="20"/>
        <v>98.399999999999991</v>
      </c>
      <c r="DA181" s="10"/>
      <c r="DB181" s="10"/>
      <c r="DC181" s="10"/>
      <c r="DD181" s="10"/>
      <c r="DE181" s="10"/>
      <c r="DF181" s="10"/>
      <c r="DG181" s="10"/>
      <c r="DH181" s="10"/>
      <c r="DI181" s="10">
        <v>5</v>
      </c>
      <c r="DJ181" s="11">
        <f t="shared" si="21"/>
        <v>245.99999999999997</v>
      </c>
      <c r="DK181" s="10"/>
      <c r="DL181" s="10"/>
      <c r="DM181" s="10"/>
      <c r="DN181" s="11">
        <f t="shared" si="22"/>
        <v>0</v>
      </c>
      <c r="DO181" s="10"/>
      <c r="DP181" s="10"/>
      <c r="DQ181" s="10">
        <v>34</v>
      </c>
      <c r="DR181" s="11">
        <f t="shared" si="23"/>
        <v>1672.8</v>
      </c>
      <c r="DS181" s="10">
        <v>0</v>
      </c>
      <c r="DT181" s="11">
        <f t="shared" si="24"/>
        <v>0</v>
      </c>
      <c r="DU181" s="10"/>
      <c r="DV181" s="11">
        <f t="shared" si="25"/>
        <v>0</v>
      </c>
      <c r="DW181" s="10">
        <v>0</v>
      </c>
      <c r="DX181" s="11">
        <f t="shared" si="26"/>
        <v>0</v>
      </c>
      <c r="DY181" s="10"/>
      <c r="DZ181" s="10"/>
      <c r="EA181" s="11">
        <f t="shared" si="27"/>
        <v>0</v>
      </c>
      <c r="EB181" s="10"/>
      <c r="EC181" s="11">
        <f t="shared" si="28"/>
        <v>0</v>
      </c>
      <c r="ED181" s="10"/>
      <c r="EE181" s="10"/>
    </row>
    <row r="182" spans="2:135" ht="16.5">
      <c r="B182" s="47">
        <v>171</v>
      </c>
      <c r="C182" s="50" t="s">
        <v>853</v>
      </c>
      <c r="D182" s="49" t="s">
        <v>269</v>
      </c>
      <c r="E182" s="49"/>
      <c r="F182" s="49"/>
      <c r="G182" s="49"/>
      <c r="H182" s="71">
        <f t="shared" si="29"/>
        <v>8.4</v>
      </c>
      <c r="I182" s="10">
        <v>7</v>
      </c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1">
        <f t="shared" si="20"/>
        <v>0</v>
      </c>
      <c r="DA182" s="10"/>
      <c r="DB182" s="10"/>
      <c r="DC182" s="10"/>
      <c r="DD182" s="10"/>
      <c r="DE182" s="10"/>
      <c r="DF182" s="10"/>
      <c r="DG182" s="10"/>
      <c r="DH182" s="10"/>
      <c r="DI182" s="10"/>
      <c r="DJ182" s="11">
        <f t="shared" si="21"/>
        <v>0</v>
      </c>
      <c r="DK182" s="10"/>
      <c r="DL182" s="10"/>
      <c r="DM182" s="10"/>
      <c r="DN182" s="11">
        <f t="shared" si="22"/>
        <v>0</v>
      </c>
      <c r="DO182" s="10"/>
      <c r="DP182" s="10"/>
      <c r="DQ182" s="10">
        <v>7</v>
      </c>
      <c r="DR182" s="11">
        <f t="shared" si="23"/>
        <v>58.800000000000004</v>
      </c>
      <c r="DS182" s="10">
        <v>0</v>
      </c>
      <c r="DT182" s="11">
        <f t="shared" si="24"/>
        <v>0</v>
      </c>
      <c r="DU182" s="10"/>
      <c r="DV182" s="11">
        <f t="shared" si="25"/>
        <v>0</v>
      </c>
      <c r="DW182" s="10">
        <v>0</v>
      </c>
      <c r="DX182" s="11">
        <f t="shared" si="26"/>
        <v>0</v>
      </c>
      <c r="DY182" s="10"/>
      <c r="DZ182" s="10"/>
      <c r="EA182" s="11">
        <f t="shared" si="27"/>
        <v>0</v>
      </c>
      <c r="EB182" s="10"/>
      <c r="EC182" s="11">
        <f t="shared" si="28"/>
        <v>0</v>
      </c>
      <c r="ED182" s="10"/>
      <c r="EE182" s="10"/>
    </row>
    <row r="183" spans="2:135" ht="16.5">
      <c r="B183" s="47">
        <v>172</v>
      </c>
      <c r="C183" s="50" t="s">
        <v>854</v>
      </c>
      <c r="D183" s="49" t="s">
        <v>270</v>
      </c>
      <c r="E183" s="49"/>
      <c r="F183" s="49"/>
      <c r="G183" s="49"/>
      <c r="H183" s="71">
        <f t="shared" si="29"/>
        <v>1.2</v>
      </c>
      <c r="I183" s="10">
        <v>1</v>
      </c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L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1">
        <f t="shared" si="20"/>
        <v>0</v>
      </c>
      <c r="DA183" s="10"/>
      <c r="DB183" s="10"/>
      <c r="DC183" s="10"/>
      <c r="DD183" s="10"/>
      <c r="DE183" s="10"/>
      <c r="DF183" s="10"/>
      <c r="DG183" s="10"/>
      <c r="DH183" s="10"/>
      <c r="DI183" s="10"/>
      <c r="DJ183" s="11">
        <f t="shared" si="21"/>
        <v>0</v>
      </c>
      <c r="DK183" s="10"/>
      <c r="DL183" s="10"/>
      <c r="DM183" s="10"/>
      <c r="DN183" s="11">
        <f t="shared" si="22"/>
        <v>0</v>
      </c>
      <c r="DO183" s="10"/>
      <c r="DP183" s="10"/>
      <c r="DQ183" s="10">
        <v>1</v>
      </c>
      <c r="DR183" s="11">
        <f t="shared" si="23"/>
        <v>1.2</v>
      </c>
      <c r="DS183" s="10">
        <v>0</v>
      </c>
      <c r="DT183" s="11">
        <f t="shared" si="24"/>
        <v>0</v>
      </c>
      <c r="DU183" s="10"/>
      <c r="DV183" s="11">
        <f t="shared" si="25"/>
        <v>0</v>
      </c>
      <c r="DW183" s="10">
        <v>0</v>
      </c>
      <c r="DX183" s="11">
        <f t="shared" si="26"/>
        <v>0</v>
      </c>
      <c r="DY183" s="10"/>
      <c r="DZ183" s="10"/>
      <c r="EA183" s="11">
        <f t="shared" si="27"/>
        <v>0</v>
      </c>
      <c r="EB183" s="10"/>
      <c r="EC183" s="11">
        <f t="shared" si="28"/>
        <v>0</v>
      </c>
      <c r="ED183" s="10"/>
      <c r="EE183" s="10"/>
    </row>
    <row r="184" spans="2:135" ht="16.5">
      <c r="B184" s="47">
        <v>173</v>
      </c>
      <c r="C184" s="50" t="s">
        <v>855</v>
      </c>
      <c r="D184" s="49" t="s">
        <v>271</v>
      </c>
      <c r="E184" s="49"/>
      <c r="F184" s="49"/>
      <c r="G184" s="49"/>
      <c r="H184" s="71">
        <f t="shared" si="29"/>
        <v>25.2</v>
      </c>
      <c r="I184" s="10">
        <v>21</v>
      </c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L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1">
        <f t="shared" si="20"/>
        <v>0</v>
      </c>
      <c r="DA184" s="10"/>
      <c r="DB184" s="10"/>
      <c r="DC184" s="10"/>
      <c r="DD184" s="10"/>
      <c r="DE184" s="10"/>
      <c r="DF184" s="10"/>
      <c r="DG184" s="10"/>
      <c r="DH184" s="10"/>
      <c r="DI184" s="10"/>
      <c r="DJ184" s="11">
        <f t="shared" si="21"/>
        <v>0</v>
      </c>
      <c r="DK184" s="10"/>
      <c r="DL184" s="10"/>
      <c r="DM184" s="10"/>
      <c r="DN184" s="11">
        <f t="shared" si="22"/>
        <v>0</v>
      </c>
      <c r="DO184" s="10"/>
      <c r="DP184" s="10"/>
      <c r="DQ184" s="10">
        <v>0</v>
      </c>
      <c r="DR184" s="11">
        <f t="shared" si="23"/>
        <v>0</v>
      </c>
      <c r="DS184" s="10">
        <v>21</v>
      </c>
      <c r="DT184" s="11">
        <f t="shared" si="24"/>
        <v>529.19999999999993</v>
      </c>
      <c r="DU184" s="10"/>
      <c r="DV184" s="11">
        <f t="shared" si="25"/>
        <v>0</v>
      </c>
      <c r="DW184" s="10">
        <v>0</v>
      </c>
      <c r="DX184" s="11">
        <f t="shared" si="26"/>
        <v>0</v>
      </c>
      <c r="DY184" s="10"/>
      <c r="DZ184" s="10"/>
      <c r="EA184" s="11">
        <f t="shared" si="27"/>
        <v>0</v>
      </c>
      <c r="EB184" s="10"/>
      <c r="EC184" s="11">
        <f t="shared" si="28"/>
        <v>0</v>
      </c>
      <c r="ED184" s="10"/>
      <c r="EE184" s="10"/>
    </row>
    <row r="185" spans="2:135" ht="16.5">
      <c r="B185" s="47">
        <v>174</v>
      </c>
      <c r="C185" s="50" t="s">
        <v>856</v>
      </c>
      <c r="D185" s="49" t="s">
        <v>272</v>
      </c>
      <c r="E185" s="49"/>
      <c r="F185" s="49"/>
      <c r="G185" s="49"/>
      <c r="H185" s="71">
        <f t="shared" si="29"/>
        <v>10.799999999999999</v>
      </c>
      <c r="I185" s="10">
        <v>9</v>
      </c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L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0"/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1">
        <f t="shared" si="20"/>
        <v>0</v>
      </c>
      <c r="DA185" s="10"/>
      <c r="DB185" s="10"/>
      <c r="DC185" s="10"/>
      <c r="DD185" s="10"/>
      <c r="DE185" s="10"/>
      <c r="DF185" s="10"/>
      <c r="DG185" s="10"/>
      <c r="DH185" s="10"/>
      <c r="DI185" s="10"/>
      <c r="DJ185" s="11">
        <f t="shared" si="21"/>
        <v>0</v>
      </c>
      <c r="DK185" s="10"/>
      <c r="DL185" s="10"/>
      <c r="DM185" s="10"/>
      <c r="DN185" s="11">
        <f t="shared" si="22"/>
        <v>0</v>
      </c>
      <c r="DO185" s="10"/>
      <c r="DP185" s="10"/>
      <c r="DQ185" s="10">
        <v>9</v>
      </c>
      <c r="DR185" s="11">
        <f t="shared" si="23"/>
        <v>97.199999999999989</v>
      </c>
      <c r="DS185" s="10">
        <v>0</v>
      </c>
      <c r="DT185" s="11">
        <f t="shared" si="24"/>
        <v>0</v>
      </c>
      <c r="DU185" s="10"/>
      <c r="DV185" s="11">
        <f t="shared" si="25"/>
        <v>0</v>
      </c>
      <c r="DW185" s="10">
        <v>0</v>
      </c>
      <c r="DX185" s="11">
        <f t="shared" si="26"/>
        <v>0</v>
      </c>
      <c r="DY185" s="10"/>
      <c r="DZ185" s="10"/>
      <c r="EA185" s="11">
        <f t="shared" si="27"/>
        <v>0</v>
      </c>
      <c r="EB185" s="10"/>
      <c r="EC185" s="11">
        <f t="shared" si="28"/>
        <v>0</v>
      </c>
      <c r="ED185" s="10"/>
      <c r="EE185" s="10"/>
    </row>
    <row r="186" spans="2:135" ht="16.5">
      <c r="B186" s="47">
        <v>175</v>
      </c>
      <c r="C186" s="50" t="s">
        <v>857</v>
      </c>
      <c r="D186" s="49" t="s">
        <v>273</v>
      </c>
      <c r="E186" s="49"/>
      <c r="F186" s="49"/>
      <c r="G186" s="49"/>
      <c r="H186" s="71">
        <f t="shared" si="29"/>
        <v>12</v>
      </c>
      <c r="I186" s="10">
        <v>10</v>
      </c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L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1">
        <f t="shared" si="20"/>
        <v>0</v>
      </c>
      <c r="DA186" s="10"/>
      <c r="DB186" s="10"/>
      <c r="DC186" s="10"/>
      <c r="DD186" s="10"/>
      <c r="DE186" s="10"/>
      <c r="DF186" s="10"/>
      <c r="DG186" s="10"/>
      <c r="DH186" s="10"/>
      <c r="DI186" s="10"/>
      <c r="DJ186" s="11">
        <f t="shared" si="21"/>
        <v>0</v>
      </c>
      <c r="DK186" s="10"/>
      <c r="DL186" s="10"/>
      <c r="DM186" s="10"/>
      <c r="DN186" s="11">
        <f t="shared" si="22"/>
        <v>0</v>
      </c>
      <c r="DO186" s="10"/>
      <c r="DP186" s="10"/>
      <c r="DQ186" s="10">
        <v>7</v>
      </c>
      <c r="DR186" s="11">
        <f t="shared" si="23"/>
        <v>84</v>
      </c>
      <c r="DS186" s="10">
        <v>0</v>
      </c>
      <c r="DT186" s="11">
        <f t="shared" si="24"/>
        <v>0</v>
      </c>
      <c r="DU186" s="10">
        <v>3</v>
      </c>
      <c r="DV186" s="11">
        <f t="shared" si="25"/>
        <v>36</v>
      </c>
      <c r="DW186" s="10">
        <v>0</v>
      </c>
      <c r="DX186" s="11">
        <f t="shared" si="26"/>
        <v>0</v>
      </c>
      <c r="DY186" s="10"/>
      <c r="DZ186" s="10"/>
      <c r="EA186" s="11">
        <f t="shared" si="27"/>
        <v>0</v>
      </c>
      <c r="EB186" s="10"/>
      <c r="EC186" s="11">
        <f t="shared" si="28"/>
        <v>0</v>
      </c>
      <c r="ED186" s="10"/>
      <c r="EE186" s="10"/>
    </row>
    <row r="187" spans="2:135" ht="16.5">
      <c r="B187" s="47">
        <v>176</v>
      </c>
      <c r="C187" s="50" t="s">
        <v>858</v>
      </c>
      <c r="D187" s="49" t="s">
        <v>274</v>
      </c>
      <c r="E187" s="49"/>
      <c r="F187" s="49"/>
      <c r="G187" s="49"/>
      <c r="H187" s="71">
        <f t="shared" si="29"/>
        <v>36</v>
      </c>
      <c r="I187" s="10">
        <v>30</v>
      </c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L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1">
        <f t="shared" si="20"/>
        <v>0</v>
      </c>
      <c r="DA187" s="10"/>
      <c r="DB187" s="10"/>
      <c r="DC187" s="10"/>
      <c r="DD187" s="10"/>
      <c r="DE187" s="10"/>
      <c r="DF187" s="10"/>
      <c r="DG187" s="10"/>
      <c r="DH187" s="10"/>
      <c r="DI187" s="10"/>
      <c r="DJ187" s="11">
        <f t="shared" si="21"/>
        <v>0</v>
      </c>
      <c r="DK187" s="10"/>
      <c r="DL187" s="10"/>
      <c r="DM187" s="10"/>
      <c r="DN187" s="11">
        <f t="shared" si="22"/>
        <v>0</v>
      </c>
      <c r="DO187" s="10"/>
      <c r="DP187" s="10"/>
      <c r="DQ187" s="10">
        <v>30</v>
      </c>
      <c r="DR187" s="11">
        <f t="shared" si="23"/>
        <v>1080</v>
      </c>
      <c r="DS187" s="10">
        <v>0</v>
      </c>
      <c r="DT187" s="11">
        <f t="shared" si="24"/>
        <v>0</v>
      </c>
      <c r="DU187" s="10"/>
      <c r="DV187" s="11">
        <f t="shared" si="25"/>
        <v>0</v>
      </c>
      <c r="DW187" s="10">
        <v>0</v>
      </c>
      <c r="DX187" s="11">
        <f t="shared" si="26"/>
        <v>0</v>
      </c>
      <c r="DY187" s="10"/>
      <c r="DZ187" s="10"/>
      <c r="EA187" s="11">
        <f t="shared" si="27"/>
        <v>0</v>
      </c>
      <c r="EB187" s="10"/>
      <c r="EC187" s="11">
        <f t="shared" si="28"/>
        <v>0</v>
      </c>
      <c r="ED187" s="10"/>
      <c r="EE187" s="10"/>
    </row>
    <row r="188" spans="2:135" ht="16.5">
      <c r="B188" s="47">
        <v>177</v>
      </c>
      <c r="C188" s="50" t="s">
        <v>859</v>
      </c>
      <c r="D188" s="49" t="s">
        <v>275</v>
      </c>
      <c r="E188" s="49"/>
      <c r="F188" s="49"/>
      <c r="G188" s="49"/>
      <c r="H188" s="71">
        <f t="shared" si="29"/>
        <v>4.8</v>
      </c>
      <c r="I188" s="10">
        <v>4</v>
      </c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L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1">
        <f t="shared" si="20"/>
        <v>0</v>
      </c>
      <c r="DA188" s="10"/>
      <c r="DB188" s="10"/>
      <c r="DC188" s="10"/>
      <c r="DD188" s="10"/>
      <c r="DE188" s="10"/>
      <c r="DF188" s="10"/>
      <c r="DG188" s="10"/>
      <c r="DH188" s="10"/>
      <c r="DI188" s="10"/>
      <c r="DJ188" s="11">
        <f t="shared" si="21"/>
        <v>0</v>
      </c>
      <c r="DK188" s="10"/>
      <c r="DL188" s="10"/>
      <c r="DM188" s="10"/>
      <c r="DN188" s="11">
        <f t="shared" si="22"/>
        <v>0</v>
      </c>
      <c r="DO188" s="10"/>
      <c r="DP188" s="10"/>
      <c r="DQ188" s="10">
        <v>4</v>
      </c>
      <c r="DR188" s="11">
        <f t="shared" si="23"/>
        <v>19.2</v>
      </c>
      <c r="DS188" s="10">
        <v>0</v>
      </c>
      <c r="DT188" s="11">
        <f t="shared" si="24"/>
        <v>0</v>
      </c>
      <c r="DU188" s="10"/>
      <c r="DV188" s="11">
        <f t="shared" si="25"/>
        <v>0</v>
      </c>
      <c r="DW188" s="10">
        <v>0</v>
      </c>
      <c r="DX188" s="11">
        <f t="shared" si="26"/>
        <v>0</v>
      </c>
      <c r="DY188" s="10"/>
      <c r="DZ188" s="10"/>
      <c r="EA188" s="11">
        <f t="shared" si="27"/>
        <v>0</v>
      </c>
      <c r="EB188" s="10"/>
      <c r="EC188" s="11">
        <f t="shared" si="28"/>
        <v>0</v>
      </c>
      <c r="ED188" s="10"/>
      <c r="EE188" s="10"/>
    </row>
    <row r="189" spans="2:135" ht="16.5">
      <c r="B189" s="47">
        <v>178</v>
      </c>
      <c r="C189" s="50" t="s">
        <v>860</v>
      </c>
      <c r="D189" s="49" t="s">
        <v>276</v>
      </c>
      <c r="E189" s="49"/>
      <c r="F189" s="49"/>
      <c r="G189" s="49"/>
      <c r="H189" s="71">
        <f t="shared" si="29"/>
        <v>13.2</v>
      </c>
      <c r="I189" s="10">
        <v>11</v>
      </c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L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>
        <v>1</v>
      </c>
      <c r="CZ189" s="11">
        <f t="shared" si="20"/>
        <v>13.2</v>
      </c>
      <c r="DA189" s="10"/>
      <c r="DB189" s="10"/>
      <c r="DC189" s="10"/>
      <c r="DD189" s="10"/>
      <c r="DE189" s="10"/>
      <c r="DF189" s="10"/>
      <c r="DG189" s="10"/>
      <c r="DH189" s="10"/>
      <c r="DI189" s="10"/>
      <c r="DJ189" s="11">
        <f t="shared" si="21"/>
        <v>0</v>
      </c>
      <c r="DK189" s="10"/>
      <c r="DL189" s="10"/>
      <c r="DM189" s="10"/>
      <c r="DN189" s="11">
        <f t="shared" si="22"/>
        <v>0</v>
      </c>
      <c r="DO189" s="10"/>
      <c r="DP189" s="10"/>
      <c r="DQ189" s="10">
        <v>10</v>
      </c>
      <c r="DR189" s="11">
        <f t="shared" si="23"/>
        <v>132</v>
      </c>
      <c r="DS189" s="10">
        <v>0</v>
      </c>
      <c r="DT189" s="11">
        <f t="shared" si="24"/>
        <v>0</v>
      </c>
      <c r="DU189" s="10"/>
      <c r="DV189" s="11">
        <f t="shared" si="25"/>
        <v>0</v>
      </c>
      <c r="DW189" s="10">
        <v>0</v>
      </c>
      <c r="DX189" s="11">
        <f t="shared" si="26"/>
        <v>0</v>
      </c>
      <c r="DY189" s="10"/>
      <c r="DZ189" s="10"/>
      <c r="EA189" s="11">
        <f t="shared" si="27"/>
        <v>0</v>
      </c>
      <c r="EB189" s="10"/>
      <c r="EC189" s="11">
        <f t="shared" si="28"/>
        <v>0</v>
      </c>
      <c r="ED189" s="10"/>
      <c r="EE189" s="10"/>
    </row>
    <row r="190" spans="2:135" ht="16.5">
      <c r="B190" s="47">
        <v>179</v>
      </c>
      <c r="C190" s="50" t="s">
        <v>861</v>
      </c>
      <c r="D190" s="49" t="s">
        <v>277</v>
      </c>
      <c r="E190" s="49"/>
      <c r="F190" s="49"/>
      <c r="G190" s="49"/>
      <c r="H190" s="71">
        <f t="shared" si="29"/>
        <v>12</v>
      </c>
      <c r="I190" s="10">
        <v>10</v>
      </c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L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>
        <v>1</v>
      </c>
      <c r="CZ190" s="11">
        <f t="shared" si="20"/>
        <v>12</v>
      </c>
      <c r="DA190" s="10"/>
      <c r="DB190" s="10"/>
      <c r="DC190" s="10"/>
      <c r="DD190" s="10"/>
      <c r="DE190" s="10"/>
      <c r="DF190" s="10"/>
      <c r="DG190" s="10"/>
      <c r="DH190" s="10"/>
      <c r="DI190" s="10"/>
      <c r="DJ190" s="11">
        <f t="shared" si="21"/>
        <v>0</v>
      </c>
      <c r="DK190" s="10"/>
      <c r="DL190" s="10"/>
      <c r="DM190" s="10"/>
      <c r="DN190" s="11">
        <f t="shared" si="22"/>
        <v>0</v>
      </c>
      <c r="DO190" s="10"/>
      <c r="DP190" s="10"/>
      <c r="DQ190" s="10">
        <v>2</v>
      </c>
      <c r="DR190" s="11">
        <f t="shared" si="23"/>
        <v>24</v>
      </c>
      <c r="DS190" s="10">
        <v>0</v>
      </c>
      <c r="DT190" s="11">
        <f t="shared" si="24"/>
        <v>0</v>
      </c>
      <c r="DU190" s="10">
        <v>7</v>
      </c>
      <c r="DV190" s="11">
        <f t="shared" si="25"/>
        <v>84</v>
      </c>
      <c r="DW190" s="10">
        <v>0</v>
      </c>
      <c r="DX190" s="11">
        <f t="shared" si="26"/>
        <v>0</v>
      </c>
      <c r="DY190" s="10"/>
      <c r="DZ190" s="10"/>
      <c r="EA190" s="11">
        <f t="shared" si="27"/>
        <v>0</v>
      </c>
      <c r="EB190" s="10"/>
      <c r="EC190" s="11">
        <f t="shared" si="28"/>
        <v>0</v>
      </c>
      <c r="ED190" s="10"/>
      <c r="EE190" s="10"/>
    </row>
    <row r="191" spans="2:135" ht="16.5">
      <c r="B191" s="47">
        <v>180</v>
      </c>
      <c r="C191" s="50" t="s">
        <v>862</v>
      </c>
      <c r="D191" s="49" t="s">
        <v>278</v>
      </c>
      <c r="E191" s="49"/>
      <c r="F191" s="49"/>
      <c r="G191" s="49"/>
      <c r="H191" s="71">
        <f t="shared" si="29"/>
        <v>7.1999999999999993</v>
      </c>
      <c r="I191" s="10">
        <v>6</v>
      </c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L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1">
        <f t="shared" si="20"/>
        <v>0</v>
      </c>
      <c r="DA191" s="10"/>
      <c r="DB191" s="10"/>
      <c r="DC191" s="10"/>
      <c r="DD191" s="10"/>
      <c r="DE191" s="10"/>
      <c r="DF191" s="10"/>
      <c r="DG191" s="10"/>
      <c r="DH191" s="10"/>
      <c r="DI191" s="10"/>
      <c r="DJ191" s="11">
        <f t="shared" si="21"/>
        <v>0</v>
      </c>
      <c r="DK191" s="10"/>
      <c r="DL191" s="10"/>
      <c r="DM191" s="10"/>
      <c r="DN191" s="11">
        <f t="shared" si="22"/>
        <v>0</v>
      </c>
      <c r="DO191" s="10"/>
      <c r="DP191" s="10"/>
      <c r="DQ191" s="10">
        <v>0</v>
      </c>
      <c r="DR191" s="11">
        <f t="shared" si="23"/>
        <v>0</v>
      </c>
      <c r="DS191" s="10">
        <v>6</v>
      </c>
      <c r="DT191" s="11">
        <f t="shared" si="24"/>
        <v>43.199999999999996</v>
      </c>
      <c r="DU191" s="10"/>
      <c r="DV191" s="11">
        <f t="shared" si="25"/>
        <v>0</v>
      </c>
      <c r="DW191" s="10">
        <v>0</v>
      </c>
      <c r="DX191" s="11">
        <f t="shared" si="26"/>
        <v>0</v>
      </c>
      <c r="DY191" s="10"/>
      <c r="DZ191" s="10"/>
      <c r="EA191" s="11">
        <f t="shared" si="27"/>
        <v>0</v>
      </c>
      <c r="EB191" s="10"/>
      <c r="EC191" s="11">
        <f t="shared" si="28"/>
        <v>0</v>
      </c>
      <c r="ED191" s="10"/>
      <c r="EE191" s="10"/>
    </row>
    <row r="192" spans="2:135" ht="16.5">
      <c r="B192" s="47">
        <v>181</v>
      </c>
      <c r="C192" s="50" t="s">
        <v>863</v>
      </c>
      <c r="D192" s="49" t="s">
        <v>279</v>
      </c>
      <c r="E192" s="49"/>
      <c r="F192" s="49"/>
      <c r="G192" s="49"/>
      <c r="H192" s="71">
        <f t="shared" si="29"/>
        <v>25.2</v>
      </c>
      <c r="I192" s="10">
        <v>21</v>
      </c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/>
      <c r="CY192" s="10">
        <v>5</v>
      </c>
      <c r="CZ192" s="11">
        <f t="shared" si="20"/>
        <v>126</v>
      </c>
      <c r="DA192" s="10"/>
      <c r="DB192" s="10"/>
      <c r="DC192" s="10"/>
      <c r="DD192" s="10"/>
      <c r="DE192" s="10"/>
      <c r="DF192" s="10"/>
      <c r="DG192" s="10"/>
      <c r="DH192" s="10"/>
      <c r="DI192" s="10">
        <v>1</v>
      </c>
      <c r="DJ192" s="11">
        <f t="shared" si="21"/>
        <v>25.2</v>
      </c>
      <c r="DK192" s="10"/>
      <c r="DL192" s="10"/>
      <c r="DM192" s="10"/>
      <c r="DN192" s="11">
        <f t="shared" si="22"/>
        <v>0</v>
      </c>
      <c r="DO192" s="10"/>
      <c r="DP192" s="10"/>
      <c r="DQ192" s="10">
        <v>14</v>
      </c>
      <c r="DR192" s="11">
        <f t="shared" si="23"/>
        <v>352.8</v>
      </c>
      <c r="DS192" s="10">
        <v>0</v>
      </c>
      <c r="DT192" s="11">
        <f t="shared" si="24"/>
        <v>0</v>
      </c>
      <c r="DU192" s="10">
        <v>1</v>
      </c>
      <c r="DV192" s="11">
        <f t="shared" si="25"/>
        <v>25.2</v>
      </c>
      <c r="DW192" s="10">
        <v>0</v>
      </c>
      <c r="DX192" s="11">
        <f t="shared" si="26"/>
        <v>0</v>
      </c>
      <c r="DY192" s="10"/>
      <c r="DZ192" s="10"/>
      <c r="EA192" s="11">
        <f t="shared" si="27"/>
        <v>0</v>
      </c>
      <c r="EB192" s="10"/>
      <c r="EC192" s="11">
        <f t="shared" si="28"/>
        <v>0</v>
      </c>
      <c r="ED192" s="10"/>
      <c r="EE192" s="10"/>
    </row>
    <row r="193" spans="2:135" ht="16.5">
      <c r="B193" s="47">
        <v>182</v>
      </c>
      <c r="C193" s="50" t="s">
        <v>864</v>
      </c>
      <c r="D193" s="49" t="s">
        <v>280</v>
      </c>
      <c r="E193" s="49"/>
      <c r="F193" s="49"/>
      <c r="G193" s="49"/>
      <c r="H193" s="71">
        <f t="shared" si="29"/>
        <v>1.2</v>
      </c>
      <c r="I193" s="10">
        <v>1</v>
      </c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CX193" s="10"/>
      <c r="CY193" s="10"/>
      <c r="CZ193" s="11">
        <f t="shared" si="20"/>
        <v>0</v>
      </c>
      <c r="DA193" s="10"/>
      <c r="DB193" s="10"/>
      <c r="DC193" s="10"/>
      <c r="DD193" s="10"/>
      <c r="DE193" s="10"/>
      <c r="DF193" s="10"/>
      <c r="DG193" s="10"/>
      <c r="DH193" s="10"/>
      <c r="DI193" s="10"/>
      <c r="DJ193" s="11">
        <f t="shared" si="21"/>
        <v>0</v>
      </c>
      <c r="DK193" s="10"/>
      <c r="DL193" s="10"/>
      <c r="DM193" s="10"/>
      <c r="DN193" s="11">
        <f t="shared" si="22"/>
        <v>0</v>
      </c>
      <c r="DO193" s="10"/>
      <c r="DP193" s="10"/>
      <c r="DQ193" s="10">
        <v>1</v>
      </c>
      <c r="DR193" s="11">
        <f t="shared" si="23"/>
        <v>1.2</v>
      </c>
      <c r="DS193" s="10">
        <v>0</v>
      </c>
      <c r="DT193" s="11">
        <f t="shared" si="24"/>
        <v>0</v>
      </c>
      <c r="DU193" s="10"/>
      <c r="DV193" s="11">
        <f t="shared" si="25"/>
        <v>0</v>
      </c>
      <c r="DW193" s="10">
        <v>0</v>
      </c>
      <c r="DX193" s="11">
        <f t="shared" si="26"/>
        <v>0</v>
      </c>
      <c r="DY193" s="10"/>
      <c r="DZ193" s="10"/>
      <c r="EA193" s="11">
        <f t="shared" si="27"/>
        <v>0</v>
      </c>
      <c r="EB193" s="10"/>
      <c r="EC193" s="11">
        <f t="shared" si="28"/>
        <v>0</v>
      </c>
      <c r="ED193" s="10"/>
      <c r="EE193" s="10"/>
    </row>
    <row r="194" spans="2:135" ht="16.5">
      <c r="B194" s="47">
        <v>183</v>
      </c>
      <c r="C194" s="50" t="s">
        <v>865</v>
      </c>
      <c r="D194" s="49" t="s">
        <v>281</v>
      </c>
      <c r="E194" s="49"/>
      <c r="F194" s="49"/>
      <c r="G194" s="49"/>
      <c r="H194" s="71">
        <f t="shared" si="29"/>
        <v>10.799999999999999</v>
      </c>
      <c r="I194" s="10">
        <v>9</v>
      </c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1">
        <f t="shared" si="20"/>
        <v>0</v>
      </c>
      <c r="DA194" s="10"/>
      <c r="DB194" s="10"/>
      <c r="DC194" s="10"/>
      <c r="DD194" s="10"/>
      <c r="DE194" s="10"/>
      <c r="DF194" s="10"/>
      <c r="DG194" s="10"/>
      <c r="DH194" s="10"/>
      <c r="DI194" s="10"/>
      <c r="DJ194" s="11">
        <f t="shared" si="21"/>
        <v>0</v>
      </c>
      <c r="DK194" s="10"/>
      <c r="DL194" s="10"/>
      <c r="DM194" s="10"/>
      <c r="DN194" s="11">
        <f t="shared" si="22"/>
        <v>0</v>
      </c>
      <c r="DO194" s="10"/>
      <c r="DP194" s="10"/>
      <c r="DQ194" s="10">
        <v>2</v>
      </c>
      <c r="DR194" s="11">
        <f t="shared" si="23"/>
        <v>21.599999999999998</v>
      </c>
      <c r="DS194" s="10">
        <v>0</v>
      </c>
      <c r="DT194" s="11">
        <f t="shared" si="24"/>
        <v>0</v>
      </c>
      <c r="DU194" s="10">
        <v>4</v>
      </c>
      <c r="DV194" s="11">
        <f t="shared" si="25"/>
        <v>43.199999999999996</v>
      </c>
      <c r="DW194" s="10">
        <v>3</v>
      </c>
      <c r="DX194" s="11">
        <f t="shared" si="26"/>
        <v>32.4</v>
      </c>
      <c r="DY194" s="10"/>
      <c r="DZ194" s="10"/>
      <c r="EA194" s="11">
        <f t="shared" si="27"/>
        <v>0</v>
      </c>
      <c r="EB194" s="10"/>
      <c r="EC194" s="11">
        <f t="shared" si="28"/>
        <v>0</v>
      </c>
      <c r="ED194" s="10"/>
      <c r="EE194" s="10"/>
    </row>
    <row r="195" spans="2:135" ht="16.5">
      <c r="B195" s="47">
        <v>184</v>
      </c>
      <c r="C195" s="50" t="s">
        <v>866</v>
      </c>
      <c r="D195" s="49" t="s">
        <v>282</v>
      </c>
      <c r="E195" s="49"/>
      <c r="F195" s="49"/>
      <c r="G195" s="49"/>
      <c r="H195" s="71">
        <f t="shared" si="29"/>
        <v>76.8</v>
      </c>
      <c r="I195" s="10">
        <v>64</v>
      </c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L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  <c r="CQ195" s="10"/>
      <c r="CR195" s="10"/>
      <c r="CS195" s="10"/>
      <c r="CT195" s="10"/>
      <c r="CU195" s="10"/>
      <c r="CV195" s="10"/>
      <c r="CW195" s="10"/>
      <c r="CX195" s="10"/>
      <c r="CY195" s="10">
        <v>29</v>
      </c>
      <c r="CZ195" s="11">
        <f t="shared" si="20"/>
        <v>2227.1999999999998</v>
      </c>
      <c r="DA195" s="10"/>
      <c r="DB195" s="10"/>
      <c r="DC195" s="10"/>
      <c r="DD195" s="10"/>
      <c r="DE195" s="10"/>
      <c r="DF195" s="10"/>
      <c r="DG195" s="10"/>
      <c r="DH195" s="10"/>
      <c r="DI195" s="10">
        <v>4</v>
      </c>
      <c r="DJ195" s="11">
        <f t="shared" si="21"/>
        <v>307.2</v>
      </c>
      <c r="DK195" s="10"/>
      <c r="DL195" s="10"/>
      <c r="DM195" s="10">
        <v>14</v>
      </c>
      <c r="DN195" s="11">
        <f t="shared" si="22"/>
        <v>1075.2</v>
      </c>
      <c r="DO195" s="10"/>
      <c r="DP195" s="10"/>
      <c r="DQ195" s="10">
        <v>10</v>
      </c>
      <c r="DR195" s="11">
        <f t="shared" si="23"/>
        <v>768</v>
      </c>
      <c r="DS195" s="10">
        <v>0</v>
      </c>
      <c r="DT195" s="11">
        <f t="shared" si="24"/>
        <v>0</v>
      </c>
      <c r="DU195" s="10"/>
      <c r="DV195" s="11">
        <f t="shared" si="25"/>
        <v>0</v>
      </c>
      <c r="DW195" s="10">
        <v>7</v>
      </c>
      <c r="DX195" s="11">
        <f t="shared" si="26"/>
        <v>537.6</v>
      </c>
      <c r="DY195" s="10"/>
      <c r="DZ195" s="10"/>
      <c r="EA195" s="11">
        <f t="shared" si="27"/>
        <v>0</v>
      </c>
      <c r="EB195" s="10"/>
      <c r="EC195" s="11">
        <f t="shared" si="28"/>
        <v>0</v>
      </c>
      <c r="ED195" s="10"/>
      <c r="EE195" s="10"/>
    </row>
    <row r="196" spans="2:135" ht="16.5">
      <c r="B196" s="47">
        <v>185</v>
      </c>
      <c r="C196" s="50" t="s">
        <v>867</v>
      </c>
      <c r="D196" s="49" t="s">
        <v>283</v>
      </c>
      <c r="E196" s="49"/>
      <c r="F196" s="49"/>
      <c r="G196" s="49"/>
      <c r="H196" s="71">
        <f t="shared" si="29"/>
        <v>10.799999999999999</v>
      </c>
      <c r="I196" s="10">
        <v>9</v>
      </c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L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  <c r="CQ196" s="10"/>
      <c r="CR196" s="10"/>
      <c r="CS196" s="10"/>
      <c r="CT196" s="10"/>
      <c r="CU196" s="10"/>
      <c r="CV196" s="10"/>
      <c r="CW196" s="10"/>
      <c r="CX196" s="10"/>
      <c r="CY196" s="10">
        <v>7</v>
      </c>
      <c r="CZ196" s="11">
        <f t="shared" si="20"/>
        <v>75.599999999999994</v>
      </c>
      <c r="DA196" s="10"/>
      <c r="DB196" s="10"/>
      <c r="DC196" s="10"/>
      <c r="DD196" s="10"/>
      <c r="DE196" s="10"/>
      <c r="DF196" s="10"/>
      <c r="DG196" s="10"/>
      <c r="DH196" s="10"/>
      <c r="DI196" s="10">
        <v>1</v>
      </c>
      <c r="DJ196" s="11">
        <f t="shared" si="21"/>
        <v>10.799999999999999</v>
      </c>
      <c r="DK196" s="10"/>
      <c r="DL196" s="10"/>
      <c r="DM196" s="10"/>
      <c r="DN196" s="11">
        <f t="shared" si="22"/>
        <v>0</v>
      </c>
      <c r="DO196" s="10"/>
      <c r="DP196" s="10"/>
      <c r="DQ196" s="10">
        <v>1</v>
      </c>
      <c r="DR196" s="11">
        <f t="shared" si="23"/>
        <v>10.799999999999999</v>
      </c>
      <c r="DS196" s="10">
        <v>0</v>
      </c>
      <c r="DT196" s="11">
        <f t="shared" si="24"/>
        <v>0</v>
      </c>
      <c r="DU196" s="10"/>
      <c r="DV196" s="11">
        <f t="shared" si="25"/>
        <v>0</v>
      </c>
      <c r="DW196" s="10">
        <v>0</v>
      </c>
      <c r="DX196" s="11">
        <f t="shared" si="26"/>
        <v>0</v>
      </c>
      <c r="DY196" s="10"/>
      <c r="DZ196" s="10"/>
      <c r="EA196" s="11">
        <f t="shared" si="27"/>
        <v>0</v>
      </c>
      <c r="EB196" s="10"/>
      <c r="EC196" s="11">
        <f t="shared" si="28"/>
        <v>0</v>
      </c>
      <c r="ED196" s="10"/>
      <c r="EE196" s="10"/>
    </row>
    <row r="197" spans="2:135" ht="16.5">
      <c r="B197" s="47">
        <v>186</v>
      </c>
      <c r="C197" s="50" t="s">
        <v>683</v>
      </c>
      <c r="D197" s="49" t="s">
        <v>284</v>
      </c>
      <c r="E197" s="49"/>
      <c r="F197" s="49"/>
      <c r="G197" s="49"/>
      <c r="H197" s="71">
        <f t="shared" si="29"/>
        <v>1.2</v>
      </c>
      <c r="I197" s="10">
        <v>1</v>
      </c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L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  <c r="CQ197" s="10"/>
      <c r="CR197" s="10"/>
      <c r="CS197" s="10"/>
      <c r="CT197" s="10"/>
      <c r="CU197" s="10"/>
      <c r="CV197" s="10"/>
      <c r="CW197" s="10"/>
      <c r="CX197" s="10"/>
      <c r="CY197" s="10"/>
      <c r="CZ197" s="11">
        <f t="shared" si="20"/>
        <v>0</v>
      </c>
      <c r="DA197" s="10"/>
      <c r="DB197" s="10"/>
      <c r="DC197" s="10"/>
      <c r="DD197" s="10"/>
      <c r="DE197" s="10"/>
      <c r="DF197" s="10"/>
      <c r="DG197" s="10"/>
      <c r="DH197" s="10"/>
      <c r="DI197" s="10"/>
      <c r="DJ197" s="11">
        <f t="shared" si="21"/>
        <v>0</v>
      </c>
      <c r="DK197" s="10"/>
      <c r="DL197" s="10"/>
      <c r="DM197" s="10"/>
      <c r="DN197" s="11">
        <f t="shared" si="22"/>
        <v>0</v>
      </c>
      <c r="DO197" s="10"/>
      <c r="DP197" s="10"/>
      <c r="DQ197" s="10">
        <v>1</v>
      </c>
      <c r="DR197" s="11">
        <f t="shared" si="23"/>
        <v>1.2</v>
      </c>
      <c r="DS197" s="10">
        <v>0</v>
      </c>
      <c r="DT197" s="11">
        <f t="shared" si="24"/>
        <v>0</v>
      </c>
      <c r="DU197" s="10"/>
      <c r="DV197" s="11">
        <f t="shared" si="25"/>
        <v>0</v>
      </c>
      <c r="DW197" s="10">
        <v>0</v>
      </c>
      <c r="DX197" s="11">
        <f t="shared" si="26"/>
        <v>0</v>
      </c>
      <c r="DY197" s="10"/>
      <c r="DZ197" s="10"/>
      <c r="EA197" s="11">
        <f t="shared" si="27"/>
        <v>0</v>
      </c>
      <c r="EB197" s="10"/>
      <c r="EC197" s="11">
        <f t="shared" si="28"/>
        <v>0</v>
      </c>
      <c r="ED197" s="10"/>
      <c r="EE197" s="10"/>
    </row>
    <row r="198" spans="2:135" ht="16.5">
      <c r="B198" s="47">
        <v>187</v>
      </c>
      <c r="C198" s="50" t="s">
        <v>868</v>
      </c>
      <c r="D198" s="49" t="s">
        <v>285</v>
      </c>
      <c r="E198" s="49"/>
      <c r="F198" s="49"/>
      <c r="G198" s="49"/>
      <c r="H198" s="71">
        <f t="shared" si="29"/>
        <v>7.1999999999999993</v>
      </c>
      <c r="I198" s="10">
        <v>6</v>
      </c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  <c r="CQ198" s="10"/>
      <c r="CR198" s="10"/>
      <c r="CS198" s="10"/>
      <c r="CT198" s="10"/>
      <c r="CU198" s="10"/>
      <c r="CV198" s="10"/>
      <c r="CW198" s="10"/>
      <c r="CX198" s="10"/>
      <c r="CY198" s="10"/>
      <c r="CZ198" s="11">
        <f t="shared" si="20"/>
        <v>0</v>
      </c>
      <c r="DA198" s="10"/>
      <c r="DB198" s="10"/>
      <c r="DC198" s="10"/>
      <c r="DD198" s="10"/>
      <c r="DE198" s="10"/>
      <c r="DF198" s="10"/>
      <c r="DG198" s="10"/>
      <c r="DH198" s="10"/>
      <c r="DI198" s="10"/>
      <c r="DJ198" s="11">
        <f t="shared" si="21"/>
        <v>0</v>
      </c>
      <c r="DK198" s="10"/>
      <c r="DL198" s="10"/>
      <c r="DM198" s="10"/>
      <c r="DN198" s="11">
        <f t="shared" si="22"/>
        <v>0</v>
      </c>
      <c r="DO198" s="10"/>
      <c r="DP198" s="10"/>
      <c r="DQ198" s="10">
        <v>6</v>
      </c>
      <c r="DR198" s="11">
        <f t="shared" si="23"/>
        <v>43.199999999999996</v>
      </c>
      <c r="DS198" s="10">
        <v>0</v>
      </c>
      <c r="DT198" s="11">
        <f t="shared" si="24"/>
        <v>0</v>
      </c>
      <c r="DU198" s="10"/>
      <c r="DV198" s="11">
        <f t="shared" si="25"/>
        <v>0</v>
      </c>
      <c r="DW198" s="10">
        <v>0</v>
      </c>
      <c r="DX198" s="11">
        <f t="shared" si="26"/>
        <v>0</v>
      </c>
      <c r="DY198" s="10"/>
      <c r="DZ198" s="10"/>
      <c r="EA198" s="11">
        <f t="shared" si="27"/>
        <v>0</v>
      </c>
      <c r="EB198" s="10"/>
      <c r="EC198" s="11">
        <f t="shared" si="28"/>
        <v>0</v>
      </c>
      <c r="ED198" s="10"/>
      <c r="EE198" s="10"/>
    </row>
    <row r="199" spans="2:135" ht="16.5">
      <c r="B199" s="47">
        <v>188</v>
      </c>
      <c r="C199" s="50" t="s">
        <v>869</v>
      </c>
      <c r="D199" s="49" t="s">
        <v>286</v>
      </c>
      <c r="E199" s="49"/>
      <c r="F199" s="49"/>
      <c r="G199" s="49"/>
      <c r="H199" s="71">
        <f t="shared" si="29"/>
        <v>1.2</v>
      </c>
      <c r="I199" s="10">
        <v>1</v>
      </c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1">
        <f t="shared" si="20"/>
        <v>0</v>
      </c>
      <c r="DA199" s="10"/>
      <c r="DB199" s="10"/>
      <c r="DC199" s="10"/>
      <c r="DD199" s="10"/>
      <c r="DE199" s="10"/>
      <c r="DF199" s="10"/>
      <c r="DG199" s="10"/>
      <c r="DH199" s="10"/>
      <c r="DI199" s="10"/>
      <c r="DJ199" s="11">
        <f t="shared" si="21"/>
        <v>0</v>
      </c>
      <c r="DK199" s="10"/>
      <c r="DL199" s="10"/>
      <c r="DM199" s="10"/>
      <c r="DN199" s="11">
        <f t="shared" si="22"/>
        <v>0</v>
      </c>
      <c r="DO199" s="10"/>
      <c r="DP199" s="10"/>
      <c r="DQ199" s="10">
        <v>1</v>
      </c>
      <c r="DR199" s="11">
        <f t="shared" si="23"/>
        <v>1.2</v>
      </c>
      <c r="DS199" s="10">
        <v>0</v>
      </c>
      <c r="DT199" s="11">
        <f t="shared" si="24"/>
        <v>0</v>
      </c>
      <c r="DU199" s="10"/>
      <c r="DV199" s="11">
        <f t="shared" si="25"/>
        <v>0</v>
      </c>
      <c r="DW199" s="10">
        <v>0</v>
      </c>
      <c r="DX199" s="11">
        <f t="shared" si="26"/>
        <v>0</v>
      </c>
      <c r="DY199" s="10"/>
      <c r="DZ199" s="10"/>
      <c r="EA199" s="11">
        <f t="shared" si="27"/>
        <v>0</v>
      </c>
      <c r="EB199" s="10"/>
      <c r="EC199" s="11">
        <f t="shared" si="28"/>
        <v>0</v>
      </c>
      <c r="ED199" s="10"/>
      <c r="EE199" s="10"/>
    </row>
    <row r="200" spans="2:135" ht="16.5">
      <c r="B200" s="47">
        <v>189</v>
      </c>
      <c r="C200" s="50" t="s">
        <v>870</v>
      </c>
      <c r="D200" s="49" t="s">
        <v>287</v>
      </c>
      <c r="E200" s="49"/>
      <c r="F200" s="49"/>
      <c r="G200" s="49"/>
      <c r="H200" s="71">
        <f t="shared" si="29"/>
        <v>24</v>
      </c>
      <c r="I200" s="10">
        <v>20</v>
      </c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  <c r="CQ200" s="10"/>
      <c r="CR200" s="10"/>
      <c r="CS200" s="10"/>
      <c r="CT200" s="10"/>
      <c r="CU200" s="10"/>
      <c r="CV200" s="10"/>
      <c r="CW200" s="10"/>
      <c r="CX200" s="10"/>
      <c r="CY200" s="10"/>
      <c r="CZ200" s="11">
        <f t="shared" si="20"/>
        <v>0</v>
      </c>
      <c r="DA200" s="10"/>
      <c r="DB200" s="10"/>
      <c r="DC200" s="10"/>
      <c r="DD200" s="10"/>
      <c r="DE200" s="10"/>
      <c r="DF200" s="10"/>
      <c r="DG200" s="10"/>
      <c r="DH200" s="10"/>
      <c r="DI200" s="10"/>
      <c r="DJ200" s="11">
        <f t="shared" si="21"/>
        <v>0</v>
      </c>
      <c r="DK200" s="10"/>
      <c r="DL200" s="10"/>
      <c r="DM200" s="10"/>
      <c r="DN200" s="11">
        <f t="shared" si="22"/>
        <v>0</v>
      </c>
      <c r="DO200" s="10"/>
      <c r="DP200" s="10"/>
      <c r="DQ200" s="10">
        <v>20</v>
      </c>
      <c r="DR200" s="11">
        <f t="shared" si="23"/>
        <v>480</v>
      </c>
      <c r="DS200" s="10">
        <v>0</v>
      </c>
      <c r="DT200" s="11">
        <f t="shared" si="24"/>
        <v>0</v>
      </c>
      <c r="DU200" s="10"/>
      <c r="DV200" s="11">
        <f t="shared" si="25"/>
        <v>0</v>
      </c>
      <c r="DW200" s="10">
        <v>0</v>
      </c>
      <c r="DX200" s="11">
        <f t="shared" si="26"/>
        <v>0</v>
      </c>
      <c r="DY200" s="10"/>
      <c r="DZ200" s="10"/>
      <c r="EA200" s="11">
        <f t="shared" si="27"/>
        <v>0</v>
      </c>
      <c r="EB200" s="10"/>
      <c r="EC200" s="11">
        <f t="shared" si="28"/>
        <v>0</v>
      </c>
      <c r="ED200" s="10"/>
      <c r="EE200" s="10"/>
    </row>
    <row r="201" spans="2:135" ht="16.5">
      <c r="B201" s="47">
        <v>190</v>
      </c>
      <c r="C201" s="50" t="s">
        <v>871</v>
      </c>
      <c r="D201" s="49" t="s">
        <v>288</v>
      </c>
      <c r="E201" s="49"/>
      <c r="F201" s="49"/>
      <c r="G201" s="49"/>
      <c r="H201" s="71">
        <f t="shared" si="29"/>
        <v>8.4</v>
      </c>
      <c r="I201" s="10">
        <v>7</v>
      </c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L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  <c r="CD201" s="10"/>
      <c r="CE201" s="10"/>
      <c r="CF201" s="10"/>
      <c r="CG201" s="10"/>
      <c r="CH201" s="10"/>
      <c r="CI201" s="10"/>
      <c r="CJ201" s="10"/>
      <c r="CK201" s="10"/>
      <c r="CL201" s="10"/>
      <c r="CM201" s="10"/>
      <c r="CN201" s="10"/>
      <c r="CO201" s="10"/>
      <c r="CP201" s="10"/>
      <c r="CQ201" s="10"/>
      <c r="CR201" s="10"/>
      <c r="CS201" s="10"/>
      <c r="CT201" s="10"/>
      <c r="CU201" s="10"/>
      <c r="CV201" s="10"/>
      <c r="CW201" s="10"/>
      <c r="CX201" s="10"/>
      <c r="CY201" s="10"/>
      <c r="CZ201" s="11">
        <f t="shared" si="20"/>
        <v>0</v>
      </c>
      <c r="DA201" s="10"/>
      <c r="DB201" s="10"/>
      <c r="DC201" s="10"/>
      <c r="DD201" s="10"/>
      <c r="DE201" s="10"/>
      <c r="DF201" s="10"/>
      <c r="DG201" s="10"/>
      <c r="DH201" s="10"/>
      <c r="DI201" s="10"/>
      <c r="DJ201" s="11">
        <f t="shared" si="21"/>
        <v>0</v>
      </c>
      <c r="DK201" s="10"/>
      <c r="DL201" s="10"/>
      <c r="DM201" s="10"/>
      <c r="DN201" s="11">
        <f t="shared" si="22"/>
        <v>0</v>
      </c>
      <c r="DO201" s="10"/>
      <c r="DP201" s="10"/>
      <c r="DQ201" s="10">
        <v>6</v>
      </c>
      <c r="DR201" s="11">
        <f t="shared" si="23"/>
        <v>50.400000000000006</v>
      </c>
      <c r="DS201" s="10">
        <v>1</v>
      </c>
      <c r="DT201" s="11">
        <f t="shared" si="24"/>
        <v>8.4</v>
      </c>
      <c r="DU201" s="10"/>
      <c r="DV201" s="11">
        <f t="shared" si="25"/>
        <v>0</v>
      </c>
      <c r="DW201" s="10">
        <v>0</v>
      </c>
      <c r="DX201" s="11">
        <f t="shared" si="26"/>
        <v>0</v>
      </c>
      <c r="DY201" s="10"/>
      <c r="DZ201" s="10"/>
      <c r="EA201" s="11">
        <f t="shared" si="27"/>
        <v>0</v>
      </c>
      <c r="EB201" s="10"/>
      <c r="EC201" s="11">
        <f t="shared" si="28"/>
        <v>0</v>
      </c>
      <c r="ED201" s="10"/>
      <c r="EE201" s="10"/>
    </row>
    <row r="202" spans="2:135" ht="16.5">
      <c r="B202" s="47">
        <v>191</v>
      </c>
      <c r="C202" s="50" t="s">
        <v>872</v>
      </c>
      <c r="D202" s="49" t="s">
        <v>289</v>
      </c>
      <c r="E202" s="49"/>
      <c r="F202" s="49"/>
      <c r="G202" s="49"/>
      <c r="H202" s="71">
        <f t="shared" si="29"/>
        <v>2.4</v>
      </c>
      <c r="I202" s="10">
        <v>2</v>
      </c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L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  <c r="CG202" s="10"/>
      <c r="CH202" s="10"/>
      <c r="CI202" s="10"/>
      <c r="CJ202" s="10"/>
      <c r="CK202" s="10"/>
      <c r="CL202" s="10"/>
      <c r="CM202" s="10"/>
      <c r="CN202" s="10"/>
      <c r="CO202" s="10"/>
      <c r="CP202" s="10"/>
      <c r="CQ202" s="10"/>
      <c r="CR202" s="10"/>
      <c r="CS202" s="10"/>
      <c r="CT202" s="10"/>
      <c r="CU202" s="10"/>
      <c r="CV202" s="10"/>
      <c r="CW202" s="10"/>
      <c r="CX202" s="10"/>
      <c r="CY202" s="10"/>
      <c r="CZ202" s="11">
        <f t="shared" si="20"/>
        <v>0</v>
      </c>
      <c r="DA202" s="10"/>
      <c r="DB202" s="10"/>
      <c r="DC202" s="10"/>
      <c r="DD202" s="10"/>
      <c r="DE202" s="10"/>
      <c r="DF202" s="10"/>
      <c r="DG202" s="10"/>
      <c r="DH202" s="10"/>
      <c r="DI202" s="10"/>
      <c r="DJ202" s="11">
        <f t="shared" si="21"/>
        <v>0</v>
      </c>
      <c r="DK202" s="10"/>
      <c r="DL202" s="10"/>
      <c r="DM202" s="10"/>
      <c r="DN202" s="11">
        <f t="shared" si="22"/>
        <v>0</v>
      </c>
      <c r="DO202" s="10"/>
      <c r="DP202" s="10"/>
      <c r="DQ202" s="10">
        <v>2</v>
      </c>
      <c r="DR202" s="11">
        <f t="shared" si="23"/>
        <v>4.8</v>
      </c>
      <c r="DS202" s="10">
        <v>0</v>
      </c>
      <c r="DT202" s="11">
        <f t="shared" si="24"/>
        <v>0</v>
      </c>
      <c r="DU202" s="10"/>
      <c r="DV202" s="11">
        <f t="shared" si="25"/>
        <v>0</v>
      </c>
      <c r="DW202" s="10">
        <v>0</v>
      </c>
      <c r="DX202" s="11">
        <f t="shared" si="26"/>
        <v>0</v>
      </c>
      <c r="DY202" s="10"/>
      <c r="DZ202" s="10"/>
      <c r="EA202" s="11">
        <f t="shared" si="27"/>
        <v>0</v>
      </c>
      <c r="EB202" s="10"/>
      <c r="EC202" s="11">
        <f t="shared" si="28"/>
        <v>0</v>
      </c>
      <c r="ED202" s="10"/>
      <c r="EE202" s="10"/>
    </row>
    <row r="203" spans="2:135" ht="16.5">
      <c r="B203" s="47">
        <v>192</v>
      </c>
      <c r="C203" s="50" t="s">
        <v>873</v>
      </c>
      <c r="D203" s="49" t="s">
        <v>290</v>
      </c>
      <c r="E203" s="49"/>
      <c r="F203" s="49"/>
      <c r="G203" s="49"/>
      <c r="H203" s="71">
        <f t="shared" si="29"/>
        <v>9.6</v>
      </c>
      <c r="I203" s="10">
        <v>8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L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  <c r="CG203" s="10"/>
      <c r="CH203" s="10"/>
      <c r="CI203" s="10"/>
      <c r="CJ203" s="10"/>
      <c r="CK203" s="10"/>
      <c r="CL203" s="10"/>
      <c r="CM203" s="10"/>
      <c r="CN203" s="10"/>
      <c r="CO203" s="10"/>
      <c r="CP203" s="10"/>
      <c r="CQ203" s="10"/>
      <c r="CR203" s="10"/>
      <c r="CS203" s="10"/>
      <c r="CT203" s="10"/>
      <c r="CU203" s="10"/>
      <c r="CV203" s="10"/>
      <c r="CW203" s="10"/>
      <c r="CX203" s="10"/>
      <c r="CY203" s="10"/>
      <c r="CZ203" s="11">
        <f t="shared" si="20"/>
        <v>0</v>
      </c>
      <c r="DA203" s="10"/>
      <c r="DB203" s="10"/>
      <c r="DC203" s="10"/>
      <c r="DD203" s="10"/>
      <c r="DE203" s="10"/>
      <c r="DF203" s="10"/>
      <c r="DG203" s="10"/>
      <c r="DH203" s="10"/>
      <c r="DI203" s="10"/>
      <c r="DJ203" s="11">
        <f t="shared" si="21"/>
        <v>0</v>
      </c>
      <c r="DK203" s="10"/>
      <c r="DL203" s="10"/>
      <c r="DM203" s="10"/>
      <c r="DN203" s="11">
        <f t="shared" si="22"/>
        <v>0</v>
      </c>
      <c r="DO203" s="10"/>
      <c r="DP203" s="10"/>
      <c r="DQ203" s="10">
        <v>0</v>
      </c>
      <c r="DR203" s="11">
        <f t="shared" si="23"/>
        <v>0</v>
      </c>
      <c r="DS203" s="10">
        <v>0</v>
      </c>
      <c r="DT203" s="11">
        <f t="shared" si="24"/>
        <v>0</v>
      </c>
      <c r="DU203" s="10"/>
      <c r="DV203" s="11">
        <f t="shared" si="25"/>
        <v>0</v>
      </c>
      <c r="DW203" s="10">
        <v>8</v>
      </c>
      <c r="DX203" s="11">
        <f t="shared" si="26"/>
        <v>76.8</v>
      </c>
      <c r="DY203" s="10"/>
      <c r="DZ203" s="10"/>
      <c r="EA203" s="11">
        <f t="shared" si="27"/>
        <v>0</v>
      </c>
      <c r="EB203" s="10"/>
      <c r="EC203" s="11">
        <f t="shared" si="28"/>
        <v>0</v>
      </c>
      <c r="ED203" s="10"/>
      <c r="EE203" s="10"/>
    </row>
    <row r="204" spans="2:135" ht="16.5">
      <c r="B204" s="47">
        <v>193</v>
      </c>
      <c r="C204" s="50" t="s">
        <v>874</v>
      </c>
      <c r="D204" s="49" t="s">
        <v>291</v>
      </c>
      <c r="E204" s="49"/>
      <c r="F204" s="49"/>
      <c r="G204" s="49"/>
      <c r="H204" s="71">
        <f t="shared" si="29"/>
        <v>9.6</v>
      </c>
      <c r="I204" s="10">
        <v>8</v>
      </c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L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L204" s="10"/>
      <c r="CM204" s="10"/>
      <c r="CN204" s="10"/>
      <c r="CO204" s="10"/>
      <c r="CP204" s="10"/>
      <c r="CQ204" s="10"/>
      <c r="CR204" s="10"/>
      <c r="CS204" s="10"/>
      <c r="CT204" s="10"/>
      <c r="CU204" s="10"/>
      <c r="CV204" s="10"/>
      <c r="CW204" s="10"/>
      <c r="CX204" s="10"/>
      <c r="CY204" s="10"/>
      <c r="CZ204" s="11">
        <f t="shared" si="20"/>
        <v>0</v>
      </c>
      <c r="DA204" s="10"/>
      <c r="DB204" s="10"/>
      <c r="DC204" s="10"/>
      <c r="DD204" s="10"/>
      <c r="DE204" s="10"/>
      <c r="DF204" s="10"/>
      <c r="DG204" s="10"/>
      <c r="DH204" s="10"/>
      <c r="DI204" s="10"/>
      <c r="DJ204" s="11">
        <f t="shared" si="21"/>
        <v>0</v>
      </c>
      <c r="DK204" s="10"/>
      <c r="DL204" s="10"/>
      <c r="DM204" s="10"/>
      <c r="DN204" s="11">
        <f t="shared" si="22"/>
        <v>0</v>
      </c>
      <c r="DO204" s="10"/>
      <c r="DP204" s="10"/>
      <c r="DQ204" s="10">
        <v>0</v>
      </c>
      <c r="DR204" s="11">
        <f t="shared" si="23"/>
        <v>0</v>
      </c>
      <c r="DS204" s="10">
        <v>0</v>
      </c>
      <c r="DT204" s="11">
        <f t="shared" si="24"/>
        <v>0</v>
      </c>
      <c r="DU204" s="10"/>
      <c r="DV204" s="11">
        <f t="shared" si="25"/>
        <v>0</v>
      </c>
      <c r="DW204" s="10">
        <v>8</v>
      </c>
      <c r="DX204" s="11">
        <f t="shared" si="26"/>
        <v>76.8</v>
      </c>
      <c r="DY204" s="10"/>
      <c r="DZ204" s="10"/>
      <c r="EA204" s="11">
        <f t="shared" si="27"/>
        <v>0</v>
      </c>
      <c r="EB204" s="10"/>
      <c r="EC204" s="11">
        <f t="shared" si="28"/>
        <v>0</v>
      </c>
      <c r="ED204" s="10"/>
      <c r="EE204" s="10"/>
    </row>
    <row r="205" spans="2:135" ht="16.5">
      <c r="B205" s="47">
        <v>194</v>
      </c>
      <c r="C205" s="50" t="s">
        <v>875</v>
      </c>
      <c r="D205" s="49" t="s">
        <v>292</v>
      </c>
      <c r="E205" s="49"/>
      <c r="F205" s="49"/>
      <c r="G205" s="49"/>
      <c r="H205" s="71">
        <f t="shared" si="29"/>
        <v>9.6</v>
      </c>
      <c r="I205" s="10">
        <v>8</v>
      </c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  <c r="BL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L205" s="10"/>
      <c r="CM205" s="10"/>
      <c r="CN205" s="10"/>
      <c r="CO205" s="10"/>
      <c r="CP205" s="10"/>
      <c r="CQ205" s="10"/>
      <c r="CR205" s="10"/>
      <c r="CS205" s="10"/>
      <c r="CT205" s="10"/>
      <c r="CU205" s="10"/>
      <c r="CV205" s="10"/>
      <c r="CW205" s="10"/>
      <c r="CX205" s="10"/>
      <c r="CY205" s="10"/>
      <c r="CZ205" s="11">
        <f t="shared" ref="CZ205:CZ268" si="30">H205*CY205</f>
        <v>0</v>
      </c>
      <c r="DA205" s="10"/>
      <c r="DB205" s="10"/>
      <c r="DC205" s="10"/>
      <c r="DD205" s="10"/>
      <c r="DE205" s="10"/>
      <c r="DF205" s="10"/>
      <c r="DG205" s="10"/>
      <c r="DH205" s="10"/>
      <c r="DI205" s="10"/>
      <c r="DJ205" s="11">
        <f t="shared" ref="DJ205:DJ268" si="31">DI205*H205</f>
        <v>0</v>
      </c>
      <c r="DK205" s="10"/>
      <c r="DL205" s="10"/>
      <c r="DM205" s="10"/>
      <c r="DN205" s="11">
        <f t="shared" ref="DN205:DN268" si="32">DM205*H205</f>
        <v>0</v>
      </c>
      <c r="DO205" s="10"/>
      <c r="DP205" s="10"/>
      <c r="DQ205" s="10">
        <v>0</v>
      </c>
      <c r="DR205" s="11">
        <f t="shared" ref="DR205:DR268" si="33">H205*DQ205</f>
        <v>0</v>
      </c>
      <c r="DS205" s="10">
        <v>0</v>
      </c>
      <c r="DT205" s="11">
        <f t="shared" ref="DT205:DT268" si="34">DS205*H205</f>
        <v>0</v>
      </c>
      <c r="DU205" s="10"/>
      <c r="DV205" s="11">
        <f t="shared" ref="DV205:DV268" si="35">DU205*H205</f>
        <v>0</v>
      </c>
      <c r="DW205" s="10">
        <v>8</v>
      </c>
      <c r="DX205" s="11">
        <f t="shared" ref="DX205:DX268" si="36">H205*DW205</f>
        <v>76.8</v>
      </c>
      <c r="DY205" s="10"/>
      <c r="DZ205" s="10"/>
      <c r="EA205" s="11">
        <f t="shared" ref="EA205:EA268" si="37">H205*DZ205</f>
        <v>0</v>
      </c>
      <c r="EB205" s="10"/>
      <c r="EC205" s="11">
        <f t="shared" ref="EC205:EC268" si="38">EB205*H205</f>
        <v>0</v>
      </c>
      <c r="ED205" s="10"/>
      <c r="EE205" s="10"/>
    </row>
    <row r="206" spans="2:135" ht="16.5">
      <c r="B206" s="47">
        <v>195</v>
      </c>
      <c r="C206" s="50" t="s">
        <v>876</v>
      </c>
      <c r="D206" s="49" t="s">
        <v>293</v>
      </c>
      <c r="E206" s="49"/>
      <c r="F206" s="49"/>
      <c r="G206" s="49"/>
      <c r="H206" s="71">
        <f t="shared" ref="H206:H269" si="39">I206*1.2</f>
        <v>9.6</v>
      </c>
      <c r="I206" s="10">
        <v>8</v>
      </c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0"/>
      <c r="CN206" s="10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1">
        <f t="shared" si="30"/>
        <v>0</v>
      </c>
      <c r="DA206" s="10"/>
      <c r="DB206" s="10"/>
      <c r="DC206" s="10"/>
      <c r="DD206" s="10"/>
      <c r="DE206" s="10"/>
      <c r="DF206" s="10"/>
      <c r="DG206" s="10"/>
      <c r="DH206" s="10"/>
      <c r="DI206" s="10"/>
      <c r="DJ206" s="11">
        <f t="shared" si="31"/>
        <v>0</v>
      </c>
      <c r="DK206" s="10"/>
      <c r="DL206" s="10"/>
      <c r="DM206" s="10"/>
      <c r="DN206" s="11">
        <f t="shared" si="32"/>
        <v>0</v>
      </c>
      <c r="DO206" s="10"/>
      <c r="DP206" s="10"/>
      <c r="DQ206" s="10">
        <v>0</v>
      </c>
      <c r="DR206" s="11">
        <f t="shared" si="33"/>
        <v>0</v>
      </c>
      <c r="DS206" s="10">
        <v>0</v>
      </c>
      <c r="DT206" s="11">
        <f t="shared" si="34"/>
        <v>0</v>
      </c>
      <c r="DU206" s="10"/>
      <c r="DV206" s="11">
        <f t="shared" si="35"/>
        <v>0</v>
      </c>
      <c r="DW206" s="10">
        <v>8</v>
      </c>
      <c r="DX206" s="11">
        <f t="shared" si="36"/>
        <v>76.8</v>
      </c>
      <c r="DY206" s="10"/>
      <c r="DZ206" s="10"/>
      <c r="EA206" s="11">
        <f t="shared" si="37"/>
        <v>0</v>
      </c>
      <c r="EB206" s="10"/>
      <c r="EC206" s="11">
        <f t="shared" si="38"/>
        <v>0</v>
      </c>
      <c r="ED206" s="10"/>
      <c r="EE206" s="10"/>
    </row>
    <row r="207" spans="2:135" ht="16.5">
      <c r="B207" s="47">
        <v>196</v>
      </c>
      <c r="C207" s="50" t="s">
        <v>877</v>
      </c>
      <c r="D207" s="49" t="s">
        <v>294</v>
      </c>
      <c r="E207" s="49"/>
      <c r="F207" s="49"/>
      <c r="G207" s="49"/>
      <c r="H207" s="71">
        <f t="shared" si="39"/>
        <v>3.5999999999999996</v>
      </c>
      <c r="I207" s="10">
        <v>3</v>
      </c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  <c r="BI207" s="10"/>
      <c r="BJ207" s="10"/>
      <c r="BK207" s="10"/>
      <c r="BL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  <c r="CG207" s="10"/>
      <c r="CH207" s="10"/>
      <c r="CI207" s="10"/>
      <c r="CJ207" s="10"/>
      <c r="CK207" s="10"/>
      <c r="CL207" s="10"/>
      <c r="CM207" s="10"/>
      <c r="CN207" s="10"/>
      <c r="CO207" s="10"/>
      <c r="CP207" s="10"/>
      <c r="CQ207" s="10"/>
      <c r="CR207" s="10"/>
      <c r="CS207" s="10"/>
      <c r="CT207" s="10"/>
      <c r="CU207" s="10"/>
      <c r="CV207" s="10"/>
      <c r="CW207" s="10"/>
      <c r="CX207" s="10"/>
      <c r="CY207" s="10"/>
      <c r="CZ207" s="11">
        <f t="shared" si="30"/>
        <v>0</v>
      </c>
      <c r="DA207" s="10"/>
      <c r="DB207" s="10"/>
      <c r="DC207" s="10"/>
      <c r="DD207" s="10"/>
      <c r="DE207" s="10"/>
      <c r="DF207" s="10"/>
      <c r="DG207" s="10"/>
      <c r="DH207" s="10"/>
      <c r="DI207" s="10"/>
      <c r="DJ207" s="11">
        <f t="shared" si="31"/>
        <v>0</v>
      </c>
      <c r="DK207" s="10"/>
      <c r="DL207" s="10"/>
      <c r="DM207" s="10"/>
      <c r="DN207" s="11">
        <f t="shared" si="32"/>
        <v>0</v>
      </c>
      <c r="DO207" s="10"/>
      <c r="DP207" s="10"/>
      <c r="DQ207" s="10">
        <v>0</v>
      </c>
      <c r="DR207" s="11">
        <f t="shared" si="33"/>
        <v>0</v>
      </c>
      <c r="DS207" s="10">
        <v>0</v>
      </c>
      <c r="DT207" s="11">
        <f t="shared" si="34"/>
        <v>0</v>
      </c>
      <c r="DU207" s="10"/>
      <c r="DV207" s="11">
        <f t="shared" si="35"/>
        <v>0</v>
      </c>
      <c r="DW207" s="10">
        <v>3</v>
      </c>
      <c r="DX207" s="11">
        <f t="shared" si="36"/>
        <v>10.799999999999999</v>
      </c>
      <c r="DY207" s="10"/>
      <c r="DZ207" s="10"/>
      <c r="EA207" s="11">
        <f t="shared" si="37"/>
        <v>0</v>
      </c>
      <c r="EB207" s="10"/>
      <c r="EC207" s="11">
        <f t="shared" si="38"/>
        <v>0</v>
      </c>
      <c r="ED207" s="10"/>
      <c r="EE207" s="10"/>
    </row>
    <row r="208" spans="2:135" ht="16.5">
      <c r="B208" s="47">
        <v>197</v>
      </c>
      <c r="C208" s="50" t="s">
        <v>878</v>
      </c>
      <c r="D208" s="49" t="s">
        <v>295</v>
      </c>
      <c r="E208" s="49"/>
      <c r="F208" s="49"/>
      <c r="G208" s="49"/>
      <c r="H208" s="71">
        <f t="shared" si="39"/>
        <v>3.5999999999999996</v>
      </c>
      <c r="I208" s="10">
        <v>3</v>
      </c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/>
      <c r="BK208" s="10"/>
      <c r="BL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  <c r="CG208" s="10"/>
      <c r="CH208" s="10"/>
      <c r="CI208" s="10"/>
      <c r="CJ208" s="10"/>
      <c r="CK208" s="10"/>
      <c r="CL208" s="10"/>
      <c r="CM208" s="10"/>
      <c r="CN208" s="10"/>
      <c r="CO208" s="10"/>
      <c r="CP208" s="10"/>
      <c r="CQ208" s="10"/>
      <c r="CR208" s="10"/>
      <c r="CS208" s="10"/>
      <c r="CT208" s="10"/>
      <c r="CU208" s="10"/>
      <c r="CV208" s="10"/>
      <c r="CW208" s="10"/>
      <c r="CX208" s="10"/>
      <c r="CY208" s="10"/>
      <c r="CZ208" s="11">
        <f t="shared" si="30"/>
        <v>0</v>
      </c>
      <c r="DA208" s="10"/>
      <c r="DB208" s="10"/>
      <c r="DC208" s="10"/>
      <c r="DD208" s="10"/>
      <c r="DE208" s="10"/>
      <c r="DF208" s="10"/>
      <c r="DG208" s="10"/>
      <c r="DH208" s="10"/>
      <c r="DI208" s="10"/>
      <c r="DJ208" s="11">
        <f t="shared" si="31"/>
        <v>0</v>
      </c>
      <c r="DK208" s="10"/>
      <c r="DL208" s="10"/>
      <c r="DM208" s="10"/>
      <c r="DN208" s="11">
        <f t="shared" si="32"/>
        <v>0</v>
      </c>
      <c r="DO208" s="10"/>
      <c r="DP208" s="10"/>
      <c r="DQ208" s="10">
        <v>0</v>
      </c>
      <c r="DR208" s="11">
        <f t="shared" si="33"/>
        <v>0</v>
      </c>
      <c r="DS208" s="10">
        <v>0</v>
      </c>
      <c r="DT208" s="11">
        <f t="shared" si="34"/>
        <v>0</v>
      </c>
      <c r="DU208" s="10"/>
      <c r="DV208" s="11">
        <f t="shared" si="35"/>
        <v>0</v>
      </c>
      <c r="DW208" s="10">
        <v>3</v>
      </c>
      <c r="DX208" s="11">
        <f t="shared" si="36"/>
        <v>10.799999999999999</v>
      </c>
      <c r="DY208" s="10"/>
      <c r="DZ208" s="10"/>
      <c r="EA208" s="11">
        <f t="shared" si="37"/>
        <v>0</v>
      </c>
      <c r="EB208" s="10"/>
      <c r="EC208" s="11">
        <f t="shared" si="38"/>
        <v>0</v>
      </c>
      <c r="ED208" s="10"/>
      <c r="EE208" s="10"/>
    </row>
    <row r="209" spans="2:135" ht="16.5">
      <c r="B209" s="47">
        <v>198</v>
      </c>
      <c r="C209" s="50" t="s">
        <v>879</v>
      </c>
      <c r="D209" s="49" t="s">
        <v>296</v>
      </c>
      <c r="E209" s="49"/>
      <c r="F209" s="49"/>
      <c r="G209" s="49"/>
      <c r="H209" s="71">
        <f t="shared" si="39"/>
        <v>2.4</v>
      </c>
      <c r="I209" s="10">
        <v>2</v>
      </c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/>
      <c r="BK209" s="10"/>
      <c r="BL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1">
        <f t="shared" si="30"/>
        <v>0</v>
      </c>
      <c r="DA209" s="10"/>
      <c r="DB209" s="10"/>
      <c r="DC209" s="10"/>
      <c r="DD209" s="10"/>
      <c r="DE209" s="10"/>
      <c r="DF209" s="10"/>
      <c r="DG209" s="10"/>
      <c r="DH209" s="10"/>
      <c r="DI209" s="10"/>
      <c r="DJ209" s="11">
        <f t="shared" si="31"/>
        <v>0</v>
      </c>
      <c r="DK209" s="10"/>
      <c r="DL209" s="10"/>
      <c r="DM209" s="10"/>
      <c r="DN209" s="11">
        <f t="shared" si="32"/>
        <v>0</v>
      </c>
      <c r="DO209" s="10"/>
      <c r="DP209" s="10"/>
      <c r="DQ209" s="10">
        <v>2</v>
      </c>
      <c r="DR209" s="11">
        <f t="shared" si="33"/>
        <v>4.8</v>
      </c>
      <c r="DS209" s="10">
        <v>0</v>
      </c>
      <c r="DT209" s="11">
        <f t="shared" si="34"/>
        <v>0</v>
      </c>
      <c r="DU209" s="10"/>
      <c r="DV209" s="11">
        <f t="shared" si="35"/>
        <v>0</v>
      </c>
      <c r="DW209" s="10">
        <v>0</v>
      </c>
      <c r="DX209" s="11">
        <f t="shared" si="36"/>
        <v>0</v>
      </c>
      <c r="DY209" s="10"/>
      <c r="DZ209" s="10"/>
      <c r="EA209" s="11">
        <f t="shared" si="37"/>
        <v>0</v>
      </c>
      <c r="EB209" s="10"/>
      <c r="EC209" s="11">
        <f t="shared" si="38"/>
        <v>0</v>
      </c>
      <c r="ED209" s="10"/>
      <c r="EE209" s="10"/>
    </row>
    <row r="210" spans="2:135" ht="16.5">
      <c r="B210" s="47">
        <v>199</v>
      </c>
      <c r="C210" s="50" t="s">
        <v>880</v>
      </c>
      <c r="D210" s="49" t="s">
        <v>297</v>
      </c>
      <c r="E210" s="49"/>
      <c r="F210" s="49"/>
      <c r="G210" s="49"/>
      <c r="H210" s="71">
        <f t="shared" si="39"/>
        <v>1.2</v>
      </c>
      <c r="I210" s="10">
        <v>1</v>
      </c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L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  <c r="CG210" s="10"/>
      <c r="CH210" s="10"/>
      <c r="CI210" s="10"/>
      <c r="CJ210" s="10"/>
      <c r="CK210" s="10"/>
      <c r="CL210" s="10"/>
      <c r="CM210" s="10"/>
      <c r="CN210" s="10"/>
      <c r="CO210" s="10"/>
      <c r="CP210" s="10"/>
      <c r="CQ210" s="10"/>
      <c r="CR210" s="10"/>
      <c r="CS210" s="10"/>
      <c r="CT210" s="10"/>
      <c r="CU210" s="10"/>
      <c r="CV210" s="10"/>
      <c r="CW210" s="10"/>
      <c r="CX210" s="10"/>
      <c r="CY210" s="10"/>
      <c r="CZ210" s="11">
        <f t="shared" si="30"/>
        <v>0</v>
      </c>
      <c r="DA210" s="10"/>
      <c r="DB210" s="10"/>
      <c r="DC210" s="10"/>
      <c r="DD210" s="10"/>
      <c r="DE210" s="10"/>
      <c r="DF210" s="10"/>
      <c r="DG210" s="10"/>
      <c r="DH210" s="10"/>
      <c r="DI210" s="10"/>
      <c r="DJ210" s="11">
        <f t="shared" si="31"/>
        <v>0</v>
      </c>
      <c r="DK210" s="10"/>
      <c r="DL210" s="10"/>
      <c r="DM210" s="10"/>
      <c r="DN210" s="11">
        <f t="shared" si="32"/>
        <v>0</v>
      </c>
      <c r="DO210" s="10"/>
      <c r="DP210" s="10"/>
      <c r="DQ210" s="10">
        <v>1</v>
      </c>
      <c r="DR210" s="11">
        <f t="shared" si="33"/>
        <v>1.2</v>
      </c>
      <c r="DS210" s="10">
        <v>0</v>
      </c>
      <c r="DT210" s="11">
        <f t="shared" si="34"/>
        <v>0</v>
      </c>
      <c r="DU210" s="10"/>
      <c r="DV210" s="11">
        <f t="shared" si="35"/>
        <v>0</v>
      </c>
      <c r="DW210" s="10">
        <v>0</v>
      </c>
      <c r="DX210" s="11">
        <f t="shared" si="36"/>
        <v>0</v>
      </c>
      <c r="DY210" s="10"/>
      <c r="DZ210" s="10"/>
      <c r="EA210" s="11">
        <f t="shared" si="37"/>
        <v>0</v>
      </c>
      <c r="EB210" s="10"/>
      <c r="EC210" s="11">
        <f t="shared" si="38"/>
        <v>0</v>
      </c>
      <c r="ED210" s="10"/>
      <c r="EE210" s="10"/>
    </row>
    <row r="211" spans="2:135" ht="16.5">
      <c r="B211" s="47">
        <v>200</v>
      </c>
      <c r="C211" s="50" t="s">
        <v>881</v>
      </c>
      <c r="D211" s="49" t="s">
        <v>298</v>
      </c>
      <c r="E211" s="49"/>
      <c r="F211" s="49"/>
      <c r="G211" s="49"/>
      <c r="H211" s="71">
        <f t="shared" si="39"/>
        <v>1.2</v>
      </c>
      <c r="I211" s="10">
        <v>1</v>
      </c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/>
      <c r="BH211" s="10"/>
      <c r="BI211" s="10"/>
      <c r="BJ211" s="10"/>
      <c r="BK211" s="10"/>
      <c r="BL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  <c r="CG211" s="10"/>
      <c r="CH211" s="10"/>
      <c r="CI211" s="10"/>
      <c r="CJ211" s="10"/>
      <c r="CK211" s="10"/>
      <c r="CL211" s="10"/>
      <c r="CM211" s="10"/>
      <c r="CN211" s="10"/>
      <c r="CO211" s="10"/>
      <c r="CP211" s="10"/>
      <c r="CQ211" s="10"/>
      <c r="CR211" s="10"/>
      <c r="CS211" s="10"/>
      <c r="CT211" s="10"/>
      <c r="CU211" s="10"/>
      <c r="CV211" s="10"/>
      <c r="CW211" s="10"/>
      <c r="CX211" s="10"/>
      <c r="CY211" s="10"/>
      <c r="CZ211" s="11">
        <f t="shared" si="30"/>
        <v>0</v>
      </c>
      <c r="DA211" s="10"/>
      <c r="DB211" s="10"/>
      <c r="DC211" s="10"/>
      <c r="DD211" s="10"/>
      <c r="DE211" s="10"/>
      <c r="DF211" s="10"/>
      <c r="DG211" s="10"/>
      <c r="DH211" s="10"/>
      <c r="DI211" s="10"/>
      <c r="DJ211" s="11">
        <f t="shared" si="31"/>
        <v>0</v>
      </c>
      <c r="DK211" s="10"/>
      <c r="DL211" s="10"/>
      <c r="DM211" s="10"/>
      <c r="DN211" s="11">
        <f t="shared" si="32"/>
        <v>0</v>
      </c>
      <c r="DO211" s="10"/>
      <c r="DP211" s="10"/>
      <c r="DQ211" s="10">
        <v>1</v>
      </c>
      <c r="DR211" s="11">
        <f t="shared" si="33"/>
        <v>1.2</v>
      </c>
      <c r="DS211" s="10">
        <v>0</v>
      </c>
      <c r="DT211" s="11">
        <f t="shared" si="34"/>
        <v>0</v>
      </c>
      <c r="DU211" s="10"/>
      <c r="DV211" s="11">
        <f t="shared" si="35"/>
        <v>0</v>
      </c>
      <c r="DW211" s="10">
        <v>0</v>
      </c>
      <c r="DX211" s="11">
        <f t="shared" si="36"/>
        <v>0</v>
      </c>
      <c r="DY211" s="10"/>
      <c r="DZ211" s="10"/>
      <c r="EA211" s="11">
        <f t="shared" si="37"/>
        <v>0</v>
      </c>
      <c r="EB211" s="10"/>
      <c r="EC211" s="11">
        <f t="shared" si="38"/>
        <v>0</v>
      </c>
      <c r="ED211" s="10"/>
      <c r="EE211" s="10"/>
    </row>
    <row r="212" spans="2:135" ht="16.5">
      <c r="B212" s="47">
        <v>201</v>
      </c>
      <c r="C212" s="50" t="s">
        <v>882</v>
      </c>
      <c r="D212" s="49" t="s">
        <v>299</v>
      </c>
      <c r="E212" s="49"/>
      <c r="F212" s="49"/>
      <c r="G212" s="49"/>
      <c r="H212" s="71">
        <f t="shared" si="39"/>
        <v>3.5999999999999996</v>
      </c>
      <c r="I212" s="10">
        <v>3</v>
      </c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/>
      <c r="BI212" s="10"/>
      <c r="BJ212" s="10"/>
      <c r="BK212" s="10"/>
      <c r="BL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1">
        <f t="shared" si="30"/>
        <v>0</v>
      </c>
      <c r="DA212" s="10"/>
      <c r="DB212" s="10"/>
      <c r="DC212" s="10"/>
      <c r="DD212" s="10"/>
      <c r="DE212" s="10"/>
      <c r="DF212" s="10"/>
      <c r="DG212" s="10"/>
      <c r="DH212" s="10"/>
      <c r="DI212" s="10"/>
      <c r="DJ212" s="11">
        <f t="shared" si="31"/>
        <v>0</v>
      </c>
      <c r="DK212" s="10"/>
      <c r="DL212" s="10"/>
      <c r="DM212" s="10"/>
      <c r="DN212" s="11">
        <f t="shared" si="32"/>
        <v>0</v>
      </c>
      <c r="DO212" s="10"/>
      <c r="DP212" s="10"/>
      <c r="DQ212" s="10">
        <v>3</v>
      </c>
      <c r="DR212" s="11">
        <f t="shared" si="33"/>
        <v>10.799999999999999</v>
      </c>
      <c r="DS212" s="10">
        <v>0</v>
      </c>
      <c r="DT212" s="11">
        <f t="shared" si="34"/>
        <v>0</v>
      </c>
      <c r="DU212" s="10"/>
      <c r="DV212" s="11">
        <f t="shared" si="35"/>
        <v>0</v>
      </c>
      <c r="DW212" s="10">
        <v>0</v>
      </c>
      <c r="DX212" s="11">
        <f t="shared" si="36"/>
        <v>0</v>
      </c>
      <c r="DY212" s="10"/>
      <c r="DZ212" s="10"/>
      <c r="EA212" s="11">
        <f t="shared" si="37"/>
        <v>0</v>
      </c>
      <c r="EB212" s="10"/>
      <c r="EC212" s="11">
        <f t="shared" si="38"/>
        <v>0</v>
      </c>
      <c r="ED212" s="10"/>
      <c r="EE212" s="10"/>
    </row>
    <row r="213" spans="2:135" ht="16.5">
      <c r="B213" s="47">
        <v>202</v>
      </c>
      <c r="C213" s="50" t="s">
        <v>883</v>
      </c>
      <c r="D213" s="49" t="s">
        <v>300</v>
      </c>
      <c r="E213" s="49"/>
      <c r="F213" s="49"/>
      <c r="G213" s="49"/>
      <c r="H213" s="71">
        <f t="shared" si="39"/>
        <v>2.4</v>
      </c>
      <c r="I213" s="10">
        <v>2</v>
      </c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  <c r="CG213" s="10"/>
      <c r="CH213" s="10"/>
      <c r="CI213" s="10"/>
      <c r="CJ213" s="10"/>
      <c r="CK213" s="10"/>
      <c r="CL213" s="10"/>
      <c r="CM213" s="10"/>
      <c r="CN213" s="10"/>
      <c r="CO213" s="10"/>
      <c r="CP213" s="10"/>
      <c r="CQ213" s="10"/>
      <c r="CR213" s="10"/>
      <c r="CS213" s="10"/>
      <c r="CT213" s="10"/>
      <c r="CU213" s="10"/>
      <c r="CV213" s="10"/>
      <c r="CW213" s="10"/>
      <c r="CX213" s="10"/>
      <c r="CY213" s="10"/>
      <c r="CZ213" s="11">
        <f t="shared" si="30"/>
        <v>0</v>
      </c>
      <c r="DA213" s="10"/>
      <c r="DB213" s="10"/>
      <c r="DC213" s="10"/>
      <c r="DD213" s="10"/>
      <c r="DE213" s="10"/>
      <c r="DF213" s="10"/>
      <c r="DG213" s="10"/>
      <c r="DH213" s="10"/>
      <c r="DI213" s="10"/>
      <c r="DJ213" s="11">
        <f t="shared" si="31"/>
        <v>0</v>
      </c>
      <c r="DK213" s="10"/>
      <c r="DL213" s="10"/>
      <c r="DM213" s="10"/>
      <c r="DN213" s="11">
        <f t="shared" si="32"/>
        <v>0</v>
      </c>
      <c r="DO213" s="10"/>
      <c r="DP213" s="10"/>
      <c r="DQ213" s="10">
        <v>2</v>
      </c>
      <c r="DR213" s="11">
        <f t="shared" si="33"/>
        <v>4.8</v>
      </c>
      <c r="DS213" s="10">
        <v>0</v>
      </c>
      <c r="DT213" s="11">
        <f t="shared" si="34"/>
        <v>0</v>
      </c>
      <c r="DU213" s="10"/>
      <c r="DV213" s="11">
        <f t="shared" si="35"/>
        <v>0</v>
      </c>
      <c r="DW213" s="10">
        <v>0</v>
      </c>
      <c r="DX213" s="11">
        <f t="shared" si="36"/>
        <v>0</v>
      </c>
      <c r="DY213" s="10"/>
      <c r="DZ213" s="10"/>
      <c r="EA213" s="11">
        <f t="shared" si="37"/>
        <v>0</v>
      </c>
      <c r="EB213" s="10"/>
      <c r="EC213" s="11">
        <f t="shared" si="38"/>
        <v>0</v>
      </c>
      <c r="ED213" s="10"/>
      <c r="EE213" s="10"/>
    </row>
    <row r="214" spans="2:135" ht="16.5">
      <c r="B214" s="47">
        <v>203</v>
      </c>
      <c r="C214" s="50" t="s">
        <v>884</v>
      </c>
      <c r="D214" s="49" t="s">
        <v>301</v>
      </c>
      <c r="E214" s="49"/>
      <c r="F214" s="49"/>
      <c r="G214" s="49"/>
      <c r="H214" s="71">
        <f t="shared" si="39"/>
        <v>3.5999999999999996</v>
      </c>
      <c r="I214" s="10">
        <v>3</v>
      </c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L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0"/>
      <c r="CR214" s="10"/>
      <c r="CS214" s="10"/>
      <c r="CT214" s="10"/>
      <c r="CU214" s="10"/>
      <c r="CV214" s="10"/>
      <c r="CW214" s="10"/>
      <c r="CX214" s="10"/>
      <c r="CY214" s="10"/>
      <c r="CZ214" s="11">
        <f t="shared" si="30"/>
        <v>0</v>
      </c>
      <c r="DA214" s="10"/>
      <c r="DB214" s="10"/>
      <c r="DC214" s="10"/>
      <c r="DD214" s="10"/>
      <c r="DE214" s="10"/>
      <c r="DF214" s="10"/>
      <c r="DG214" s="10"/>
      <c r="DH214" s="10"/>
      <c r="DI214" s="10"/>
      <c r="DJ214" s="11">
        <f t="shared" si="31"/>
        <v>0</v>
      </c>
      <c r="DK214" s="10"/>
      <c r="DL214" s="10"/>
      <c r="DM214" s="10"/>
      <c r="DN214" s="11">
        <f t="shared" si="32"/>
        <v>0</v>
      </c>
      <c r="DO214" s="10"/>
      <c r="DP214" s="10"/>
      <c r="DQ214" s="10">
        <v>0</v>
      </c>
      <c r="DR214" s="11">
        <f t="shared" si="33"/>
        <v>0</v>
      </c>
      <c r="DS214" s="10">
        <v>0</v>
      </c>
      <c r="DT214" s="11">
        <f t="shared" si="34"/>
        <v>0</v>
      </c>
      <c r="DU214" s="10"/>
      <c r="DV214" s="11">
        <f t="shared" si="35"/>
        <v>0</v>
      </c>
      <c r="DW214" s="10">
        <v>3</v>
      </c>
      <c r="DX214" s="11">
        <f t="shared" si="36"/>
        <v>10.799999999999999</v>
      </c>
      <c r="DY214" s="10"/>
      <c r="DZ214" s="10"/>
      <c r="EA214" s="11">
        <f t="shared" si="37"/>
        <v>0</v>
      </c>
      <c r="EB214" s="10"/>
      <c r="EC214" s="11">
        <f t="shared" si="38"/>
        <v>0</v>
      </c>
      <c r="ED214" s="10"/>
      <c r="EE214" s="10"/>
    </row>
    <row r="215" spans="2:135" ht="16.5">
      <c r="B215" s="47">
        <v>204</v>
      </c>
      <c r="C215" s="50" t="s">
        <v>885</v>
      </c>
      <c r="D215" s="49" t="s">
        <v>302</v>
      </c>
      <c r="E215" s="49"/>
      <c r="F215" s="49"/>
      <c r="G215" s="49"/>
      <c r="H215" s="71">
        <f t="shared" si="39"/>
        <v>6</v>
      </c>
      <c r="I215" s="10">
        <v>5</v>
      </c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0"/>
      <c r="CQ215" s="10"/>
      <c r="CR215" s="10"/>
      <c r="CS215" s="10"/>
      <c r="CT215" s="10"/>
      <c r="CU215" s="10"/>
      <c r="CV215" s="10"/>
      <c r="CW215" s="10"/>
      <c r="CX215" s="10"/>
      <c r="CY215" s="10"/>
      <c r="CZ215" s="11">
        <f t="shared" si="30"/>
        <v>0</v>
      </c>
      <c r="DA215" s="10"/>
      <c r="DB215" s="10"/>
      <c r="DC215" s="10"/>
      <c r="DD215" s="10"/>
      <c r="DE215" s="10"/>
      <c r="DF215" s="10"/>
      <c r="DG215" s="10"/>
      <c r="DH215" s="10"/>
      <c r="DI215" s="10"/>
      <c r="DJ215" s="11">
        <f t="shared" si="31"/>
        <v>0</v>
      </c>
      <c r="DK215" s="10"/>
      <c r="DL215" s="10"/>
      <c r="DM215" s="10"/>
      <c r="DN215" s="11">
        <f t="shared" si="32"/>
        <v>0</v>
      </c>
      <c r="DO215" s="10"/>
      <c r="DP215" s="10"/>
      <c r="DQ215" s="10">
        <v>5</v>
      </c>
      <c r="DR215" s="11">
        <f t="shared" si="33"/>
        <v>30</v>
      </c>
      <c r="DS215" s="10">
        <v>0</v>
      </c>
      <c r="DT215" s="11">
        <f t="shared" si="34"/>
        <v>0</v>
      </c>
      <c r="DU215" s="10"/>
      <c r="DV215" s="11">
        <f t="shared" si="35"/>
        <v>0</v>
      </c>
      <c r="DW215" s="10">
        <v>0</v>
      </c>
      <c r="DX215" s="11">
        <f t="shared" si="36"/>
        <v>0</v>
      </c>
      <c r="DY215" s="10"/>
      <c r="DZ215" s="10"/>
      <c r="EA215" s="11">
        <f t="shared" si="37"/>
        <v>0</v>
      </c>
      <c r="EB215" s="10"/>
      <c r="EC215" s="11">
        <f t="shared" si="38"/>
        <v>0</v>
      </c>
      <c r="ED215" s="10"/>
      <c r="EE215" s="10"/>
    </row>
    <row r="216" spans="2:135" ht="16.5">
      <c r="B216" s="47">
        <v>205</v>
      </c>
      <c r="C216" s="50" t="s">
        <v>886</v>
      </c>
      <c r="D216" s="49" t="s">
        <v>303</v>
      </c>
      <c r="E216" s="49"/>
      <c r="F216" s="49"/>
      <c r="G216" s="49"/>
      <c r="H216" s="71">
        <f t="shared" si="39"/>
        <v>4.8</v>
      </c>
      <c r="I216" s="10">
        <v>4</v>
      </c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  <c r="BB216" s="10"/>
      <c r="BC216" s="10"/>
      <c r="BD216" s="10"/>
      <c r="BE216" s="10"/>
      <c r="BF216" s="10"/>
      <c r="BG216" s="10"/>
      <c r="BH216" s="10"/>
      <c r="BI216" s="10"/>
      <c r="BJ216" s="10"/>
      <c r="BK216" s="10"/>
      <c r="BL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  <c r="CD216" s="10"/>
      <c r="CE216" s="10"/>
      <c r="CF216" s="10"/>
      <c r="CG216" s="10"/>
      <c r="CH216" s="10"/>
      <c r="CI216" s="10"/>
      <c r="CJ216" s="10"/>
      <c r="CK216" s="10"/>
      <c r="CL216" s="10"/>
      <c r="CM216" s="10"/>
      <c r="CN216" s="10"/>
      <c r="CO216" s="10"/>
      <c r="CP216" s="10"/>
      <c r="CQ216" s="10"/>
      <c r="CR216" s="10"/>
      <c r="CS216" s="10"/>
      <c r="CT216" s="10"/>
      <c r="CU216" s="10"/>
      <c r="CV216" s="10"/>
      <c r="CW216" s="10"/>
      <c r="CX216" s="10"/>
      <c r="CY216" s="10">
        <v>4</v>
      </c>
      <c r="CZ216" s="11">
        <f t="shared" si="30"/>
        <v>19.2</v>
      </c>
      <c r="DA216" s="10"/>
      <c r="DB216" s="10"/>
      <c r="DC216" s="10"/>
      <c r="DD216" s="10"/>
      <c r="DE216" s="10"/>
      <c r="DF216" s="10"/>
      <c r="DG216" s="10"/>
      <c r="DH216" s="10"/>
      <c r="DI216" s="10"/>
      <c r="DJ216" s="11">
        <f t="shared" si="31"/>
        <v>0</v>
      </c>
      <c r="DK216" s="10"/>
      <c r="DL216" s="10"/>
      <c r="DM216" s="10"/>
      <c r="DN216" s="11">
        <f t="shared" si="32"/>
        <v>0</v>
      </c>
      <c r="DO216" s="10"/>
      <c r="DP216" s="10"/>
      <c r="DQ216" s="10">
        <v>0</v>
      </c>
      <c r="DR216" s="11">
        <f t="shared" si="33"/>
        <v>0</v>
      </c>
      <c r="DS216" s="10">
        <v>0</v>
      </c>
      <c r="DT216" s="11">
        <f t="shared" si="34"/>
        <v>0</v>
      </c>
      <c r="DU216" s="10"/>
      <c r="DV216" s="11">
        <f t="shared" si="35"/>
        <v>0</v>
      </c>
      <c r="DW216" s="10">
        <v>0</v>
      </c>
      <c r="DX216" s="11">
        <f t="shared" si="36"/>
        <v>0</v>
      </c>
      <c r="DY216" s="10"/>
      <c r="DZ216" s="10"/>
      <c r="EA216" s="11">
        <f t="shared" si="37"/>
        <v>0</v>
      </c>
      <c r="EB216" s="10"/>
      <c r="EC216" s="11">
        <f t="shared" si="38"/>
        <v>0</v>
      </c>
      <c r="ED216" s="10"/>
      <c r="EE216" s="10"/>
    </row>
    <row r="217" spans="2:135" ht="16.5">
      <c r="B217" s="47">
        <v>206</v>
      </c>
      <c r="C217" s="50" t="s">
        <v>887</v>
      </c>
      <c r="D217" s="49" t="s">
        <v>304</v>
      </c>
      <c r="E217" s="49"/>
      <c r="F217" s="49"/>
      <c r="G217" s="49"/>
      <c r="H217" s="71">
        <f t="shared" si="39"/>
        <v>4.8</v>
      </c>
      <c r="I217" s="10">
        <v>4</v>
      </c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  <c r="BB217" s="10"/>
      <c r="BC217" s="10"/>
      <c r="BD217" s="10"/>
      <c r="BE217" s="10"/>
      <c r="BF217" s="10"/>
      <c r="BG217" s="10"/>
      <c r="BH217" s="10"/>
      <c r="BI217" s="10"/>
      <c r="BJ217" s="10"/>
      <c r="BK217" s="10"/>
      <c r="BL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  <c r="CD217" s="10"/>
      <c r="CE217" s="10"/>
      <c r="CF217" s="10"/>
      <c r="CG217" s="10"/>
      <c r="CH217" s="10"/>
      <c r="CI217" s="10"/>
      <c r="CJ217" s="10"/>
      <c r="CK217" s="10"/>
      <c r="CL217" s="10"/>
      <c r="CM217" s="10"/>
      <c r="CN217" s="10"/>
      <c r="CO217" s="10"/>
      <c r="CP217" s="10"/>
      <c r="CQ217" s="10"/>
      <c r="CR217" s="10"/>
      <c r="CS217" s="10"/>
      <c r="CT217" s="10"/>
      <c r="CU217" s="10"/>
      <c r="CV217" s="10"/>
      <c r="CW217" s="10"/>
      <c r="CX217" s="10"/>
      <c r="CY217" s="10">
        <v>1</v>
      </c>
      <c r="CZ217" s="11">
        <f t="shared" si="30"/>
        <v>4.8</v>
      </c>
      <c r="DA217" s="10"/>
      <c r="DB217" s="10"/>
      <c r="DC217" s="10"/>
      <c r="DD217" s="10"/>
      <c r="DE217" s="10"/>
      <c r="DF217" s="10"/>
      <c r="DG217" s="10"/>
      <c r="DH217" s="10"/>
      <c r="DI217" s="10"/>
      <c r="DJ217" s="11">
        <f t="shared" si="31"/>
        <v>0</v>
      </c>
      <c r="DK217" s="10"/>
      <c r="DL217" s="10"/>
      <c r="DM217" s="10"/>
      <c r="DN217" s="11">
        <f t="shared" si="32"/>
        <v>0</v>
      </c>
      <c r="DO217" s="10"/>
      <c r="DP217" s="10"/>
      <c r="DQ217" s="10">
        <v>3</v>
      </c>
      <c r="DR217" s="11">
        <f t="shared" si="33"/>
        <v>14.399999999999999</v>
      </c>
      <c r="DS217" s="10">
        <v>0</v>
      </c>
      <c r="DT217" s="11">
        <f t="shared" si="34"/>
        <v>0</v>
      </c>
      <c r="DU217" s="10"/>
      <c r="DV217" s="11">
        <f t="shared" si="35"/>
        <v>0</v>
      </c>
      <c r="DW217" s="10">
        <v>0</v>
      </c>
      <c r="DX217" s="11">
        <f t="shared" si="36"/>
        <v>0</v>
      </c>
      <c r="DY217" s="10"/>
      <c r="DZ217" s="10"/>
      <c r="EA217" s="11">
        <f t="shared" si="37"/>
        <v>0</v>
      </c>
      <c r="EB217" s="10"/>
      <c r="EC217" s="11">
        <f t="shared" si="38"/>
        <v>0</v>
      </c>
      <c r="ED217" s="10"/>
      <c r="EE217" s="10"/>
    </row>
    <row r="218" spans="2:135" ht="16.5">
      <c r="B218" s="47">
        <v>207</v>
      </c>
      <c r="C218" s="50" t="s">
        <v>888</v>
      </c>
      <c r="D218" s="49" t="s">
        <v>305</v>
      </c>
      <c r="E218" s="49"/>
      <c r="F218" s="49"/>
      <c r="G218" s="49"/>
      <c r="H218" s="71">
        <f t="shared" si="39"/>
        <v>3.5999999999999996</v>
      </c>
      <c r="I218" s="10">
        <v>3</v>
      </c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  <c r="BB218" s="10"/>
      <c r="BC218" s="10"/>
      <c r="BD218" s="10"/>
      <c r="BE218" s="10"/>
      <c r="BF218" s="10"/>
      <c r="BG218" s="10"/>
      <c r="BH218" s="10"/>
      <c r="BI218" s="10"/>
      <c r="BJ218" s="10"/>
      <c r="BK218" s="10"/>
      <c r="BL218" s="10"/>
      <c r="BN218" s="10"/>
      <c r="BO218" s="10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  <c r="CD218" s="10"/>
      <c r="CE218" s="10"/>
      <c r="CF218" s="10"/>
      <c r="CG218" s="10"/>
      <c r="CH218" s="10"/>
      <c r="CI218" s="10"/>
      <c r="CJ218" s="10"/>
      <c r="CK218" s="10"/>
      <c r="CL218" s="10"/>
      <c r="CM218" s="10"/>
      <c r="CN218" s="10"/>
      <c r="CO218" s="10"/>
      <c r="CP218" s="10"/>
      <c r="CQ218" s="10"/>
      <c r="CR218" s="10"/>
      <c r="CS218" s="10"/>
      <c r="CT218" s="10"/>
      <c r="CU218" s="10"/>
      <c r="CV218" s="10"/>
      <c r="CW218" s="10"/>
      <c r="CX218" s="10"/>
      <c r="CY218" s="10"/>
      <c r="CZ218" s="11">
        <f t="shared" si="30"/>
        <v>0</v>
      </c>
      <c r="DA218" s="10"/>
      <c r="DB218" s="10"/>
      <c r="DC218" s="10"/>
      <c r="DD218" s="10"/>
      <c r="DE218" s="10"/>
      <c r="DF218" s="10"/>
      <c r="DG218" s="10"/>
      <c r="DH218" s="10"/>
      <c r="DI218" s="10"/>
      <c r="DJ218" s="11">
        <f t="shared" si="31"/>
        <v>0</v>
      </c>
      <c r="DK218" s="10"/>
      <c r="DL218" s="10"/>
      <c r="DM218" s="10"/>
      <c r="DN218" s="11">
        <f t="shared" si="32"/>
        <v>0</v>
      </c>
      <c r="DO218" s="10"/>
      <c r="DP218" s="10"/>
      <c r="DQ218" s="10">
        <v>3</v>
      </c>
      <c r="DR218" s="11">
        <f t="shared" si="33"/>
        <v>10.799999999999999</v>
      </c>
      <c r="DS218" s="10">
        <v>0</v>
      </c>
      <c r="DT218" s="11">
        <f t="shared" si="34"/>
        <v>0</v>
      </c>
      <c r="DU218" s="10"/>
      <c r="DV218" s="11">
        <f t="shared" si="35"/>
        <v>0</v>
      </c>
      <c r="DW218" s="10">
        <v>0</v>
      </c>
      <c r="DX218" s="11">
        <f t="shared" si="36"/>
        <v>0</v>
      </c>
      <c r="DY218" s="10"/>
      <c r="DZ218" s="10"/>
      <c r="EA218" s="11">
        <f t="shared" si="37"/>
        <v>0</v>
      </c>
      <c r="EB218" s="10"/>
      <c r="EC218" s="11">
        <f t="shared" si="38"/>
        <v>0</v>
      </c>
      <c r="ED218" s="10"/>
      <c r="EE218" s="10"/>
    </row>
    <row r="219" spans="2:135" ht="16.5">
      <c r="B219" s="47">
        <v>208</v>
      </c>
      <c r="C219" s="50" t="s">
        <v>889</v>
      </c>
      <c r="D219" s="49" t="s">
        <v>306</v>
      </c>
      <c r="E219" s="49"/>
      <c r="F219" s="49"/>
      <c r="G219" s="49"/>
      <c r="H219" s="71">
        <f t="shared" si="39"/>
        <v>9.6</v>
      </c>
      <c r="I219" s="10">
        <v>8</v>
      </c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  <c r="BI219" s="10"/>
      <c r="BJ219" s="10"/>
      <c r="BK219" s="10"/>
      <c r="BL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L219" s="10"/>
      <c r="CM219" s="10"/>
      <c r="CN219" s="10"/>
      <c r="CO219" s="10"/>
      <c r="CP219" s="10"/>
      <c r="CQ219" s="10"/>
      <c r="CR219" s="10"/>
      <c r="CS219" s="10"/>
      <c r="CT219" s="10"/>
      <c r="CU219" s="10"/>
      <c r="CV219" s="10"/>
      <c r="CW219" s="10"/>
      <c r="CX219" s="10"/>
      <c r="CY219" s="10">
        <v>8</v>
      </c>
      <c r="CZ219" s="11">
        <f t="shared" si="30"/>
        <v>76.8</v>
      </c>
      <c r="DA219" s="10"/>
      <c r="DB219" s="10"/>
      <c r="DC219" s="10"/>
      <c r="DD219" s="10"/>
      <c r="DE219" s="10"/>
      <c r="DF219" s="10"/>
      <c r="DG219" s="10"/>
      <c r="DH219" s="10"/>
      <c r="DI219" s="10"/>
      <c r="DJ219" s="11">
        <f t="shared" si="31"/>
        <v>0</v>
      </c>
      <c r="DK219" s="10"/>
      <c r="DL219" s="10"/>
      <c r="DM219" s="10"/>
      <c r="DN219" s="11">
        <f t="shared" si="32"/>
        <v>0</v>
      </c>
      <c r="DO219" s="10"/>
      <c r="DP219" s="10"/>
      <c r="DQ219" s="10">
        <v>0</v>
      </c>
      <c r="DR219" s="11">
        <f t="shared" si="33"/>
        <v>0</v>
      </c>
      <c r="DS219" s="10">
        <v>0</v>
      </c>
      <c r="DT219" s="11">
        <f t="shared" si="34"/>
        <v>0</v>
      </c>
      <c r="DU219" s="10"/>
      <c r="DV219" s="11">
        <f t="shared" si="35"/>
        <v>0</v>
      </c>
      <c r="DW219" s="10">
        <v>0</v>
      </c>
      <c r="DX219" s="11">
        <f t="shared" si="36"/>
        <v>0</v>
      </c>
      <c r="DY219" s="10"/>
      <c r="DZ219" s="10"/>
      <c r="EA219" s="11">
        <f t="shared" si="37"/>
        <v>0</v>
      </c>
      <c r="EB219" s="10"/>
      <c r="EC219" s="11">
        <f t="shared" si="38"/>
        <v>0</v>
      </c>
      <c r="ED219" s="10"/>
      <c r="EE219" s="10"/>
    </row>
    <row r="220" spans="2:135" ht="16.5">
      <c r="B220" s="47">
        <v>209</v>
      </c>
      <c r="C220" s="50" t="s">
        <v>890</v>
      </c>
      <c r="D220" s="49" t="s">
        <v>307</v>
      </c>
      <c r="E220" s="49"/>
      <c r="F220" s="49"/>
      <c r="G220" s="49"/>
      <c r="H220" s="71">
        <f t="shared" si="39"/>
        <v>2.4</v>
      </c>
      <c r="I220" s="10">
        <v>2</v>
      </c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  <c r="BI220" s="10"/>
      <c r="BJ220" s="10"/>
      <c r="BK220" s="10"/>
      <c r="BL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  <c r="CG220" s="10"/>
      <c r="CH220" s="10"/>
      <c r="CI220" s="10"/>
      <c r="CJ220" s="10"/>
      <c r="CK220" s="10"/>
      <c r="CL220" s="10"/>
      <c r="CM220" s="10"/>
      <c r="CN220" s="10"/>
      <c r="CO220" s="10"/>
      <c r="CP220" s="10"/>
      <c r="CQ220" s="10"/>
      <c r="CR220" s="10"/>
      <c r="CS220" s="10"/>
      <c r="CT220" s="10"/>
      <c r="CU220" s="10"/>
      <c r="CV220" s="10"/>
      <c r="CW220" s="10"/>
      <c r="CX220" s="10"/>
      <c r="CY220" s="10">
        <v>1</v>
      </c>
      <c r="CZ220" s="11">
        <f t="shared" si="30"/>
        <v>2.4</v>
      </c>
      <c r="DA220" s="10"/>
      <c r="DB220" s="10"/>
      <c r="DC220" s="10"/>
      <c r="DD220" s="10"/>
      <c r="DE220" s="10"/>
      <c r="DF220" s="10"/>
      <c r="DG220" s="10"/>
      <c r="DH220" s="10"/>
      <c r="DI220" s="10"/>
      <c r="DJ220" s="11">
        <f t="shared" si="31"/>
        <v>0</v>
      </c>
      <c r="DK220" s="10"/>
      <c r="DL220" s="10"/>
      <c r="DM220" s="10">
        <v>1</v>
      </c>
      <c r="DN220" s="11">
        <f t="shared" si="32"/>
        <v>2.4</v>
      </c>
      <c r="DO220" s="10"/>
      <c r="DP220" s="10"/>
      <c r="DQ220" s="10">
        <v>0</v>
      </c>
      <c r="DR220" s="11">
        <f t="shared" si="33"/>
        <v>0</v>
      </c>
      <c r="DS220" s="10">
        <v>0</v>
      </c>
      <c r="DT220" s="11">
        <f t="shared" si="34"/>
        <v>0</v>
      </c>
      <c r="DU220" s="10"/>
      <c r="DV220" s="11">
        <f t="shared" si="35"/>
        <v>0</v>
      </c>
      <c r="DW220" s="10">
        <v>0</v>
      </c>
      <c r="DX220" s="11">
        <f t="shared" si="36"/>
        <v>0</v>
      </c>
      <c r="DY220" s="10"/>
      <c r="DZ220" s="10"/>
      <c r="EA220" s="11">
        <f t="shared" si="37"/>
        <v>0</v>
      </c>
      <c r="EB220" s="10"/>
      <c r="EC220" s="11">
        <f t="shared" si="38"/>
        <v>0</v>
      </c>
      <c r="ED220" s="10"/>
      <c r="EE220" s="10"/>
    </row>
    <row r="221" spans="2:135" ht="16.5">
      <c r="B221" s="47">
        <v>210</v>
      </c>
      <c r="C221" s="50" t="s">
        <v>891</v>
      </c>
      <c r="D221" s="49" t="s">
        <v>308</v>
      </c>
      <c r="E221" s="49"/>
      <c r="F221" s="49"/>
      <c r="G221" s="49"/>
      <c r="H221" s="71">
        <f t="shared" si="39"/>
        <v>1.2</v>
      </c>
      <c r="I221" s="10">
        <v>1</v>
      </c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/>
      <c r="BH221" s="10"/>
      <c r="BI221" s="10"/>
      <c r="BJ221" s="10"/>
      <c r="BK221" s="10"/>
      <c r="BL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  <c r="CG221" s="10"/>
      <c r="CH221" s="10"/>
      <c r="CI221" s="10"/>
      <c r="CJ221" s="10"/>
      <c r="CK221" s="10"/>
      <c r="CL221" s="10"/>
      <c r="CM221" s="10"/>
      <c r="CN221" s="10"/>
      <c r="CO221" s="10"/>
      <c r="CP221" s="10"/>
      <c r="CQ221" s="10"/>
      <c r="CR221" s="10"/>
      <c r="CS221" s="10"/>
      <c r="CT221" s="10"/>
      <c r="CU221" s="10"/>
      <c r="CV221" s="10"/>
      <c r="CW221" s="10"/>
      <c r="CX221" s="10"/>
      <c r="CY221" s="10">
        <v>1</v>
      </c>
      <c r="CZ221" s="11">
        <f t="shared" si="30"/>
        <v>1.2</v>
      </c>
      <c r="DA221" s="10"/>
      <c r="DB221" s="10"/>
      <c r="DC221" s="10"/>
      <c r="DD221" s="10"/>
      <c r="DE221" s="10"/>
      <c r="DF221" s="10"/>
      <c r="DG221" s="10"/>
      <c r="DH221" s="10"/>
      <c r="DI221" s="10"/>
      <c r="DJ221" s="11">
        <f t="shared" si="31"/>
        <v>0</v>
      </c>
      <c r="DK221" s="10"/>
      <c r="DL221" s="10"/>
      <c r="DM221" s="10"/>
      <c r="DN221" s="11">
        <f t="shared" si="32"/>
        <v>0</v>
      </c>
      <c r="DO221" s="10"/>
      <c r="DP221" s="10"/>
      <c r="DQ221" s="10">
        <v>0</v>
      </c>
      <c r="DR221" s="11">
        <f t="shared" si="33"/>
        <v>0</v>
      </c>
      <c r="DS221" s="10">
        <v>0</v>
      </c>
      <c r="DT221" s="11">
        <f t="shared" si="34"/>
        <v>0</v>
      </c>
      <c r="DU221" s="10"/>
      <c r="DV221" s="11">
        <f t="shared" si="35"/>
        <v>0</v>
      </c>
      <c r="DW221" s="10">
        <v>0</v>
      </c>
      <c r="DX221" s="11">
        <f t="shared" si="36"/>
        <v>0</v>
      </c>
      <c r="DY221" s="10"/>
      <c r="DZ221" s="10"/>
      <c r="EA221" s="11">
        <f t="shared" si="37"/>
        <v>0</v>
      </c>
      <c r="EB221" s="10"/>
      <c r="EC221" s="11">
        <f t="shared" si="38"/>
        <v>0</v>
      </c>
      <c r="ED221" s="10"/>
      <c r="EE221" s="10"/>
    </row>
    <row r="222" spans="2:135" ht="16.5">
      <c r="B222" s="47">
        <v>211</v>
      </c>
      <c r="C222" s="50" t="s">
        <v>892</v>
      </c>
      <c r="D222" s="49" t="s">
        <v>309</v>
      </c>
      <c r="E222" s="49"/>
      <c r="F222" s="49"/>
      <c r="G222" s="49"/>
      <c r="H222" s="71">
        <f t="shared" si="39"/>
        <v>1.2</v>
      </c>
      <c r="I222" s="10">
        <v>1</v>
      </c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  <c r="BI222" s="10"/>
      <c r="BJ222" s="10"/>
      <c r="BK222" s="10"/>
      <c r="BL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  <c r="CG222" s="10"/>
      <c r="CH222" s="10"/>
      <c r="CI222" s="10"/>
      <c r="CJ222" s="10"/>
      <c r="CK222" s="10"/>
      <c r="CL222" s="10"/>
      <c r="CM222" s="10"/>
      <c r="CN222" s="10"/>
      <c r="CO222" s="10"/>
      <c r="CP222" s="10"/>
      <c r="CQ222" s="10"/>
      <c r="CR222" s="10"/>
      <c r="CS222" s="10"/>
      <c r="CT222" s="10"/>
      <c r="CU222" s="10"/>
      <c r="CV222" s="10"/>
      <c r="CW222" s="10"/>
      <c r="CX222" s="10"/>
      <c r="CY222" s="10"/>
      <c r="CZ222" s="11">
        <f t="shared" si="30"/>
        <v>0</v>
      </c>
      <c r="DA222" s="10"/>
      <c r="DB222" s="10"/>
      <c r="DC222" s="10"/>
      <c r="DD222" s="10"/>
      <c r="DE222" s="10"/>
      <c r="DF222" s="10"/>
      <c r="DG222" s="10"/>
      <c r="DH222" s="10"/>
      <c r="DI222" s="10"/>
      <c r="DJ222" s="11">
        <f t="shared" si="31"/>
        <v>0</v>
      </c>
      <c r="DK222" s="10"/>
      <c r="DL222" s="10"/>
      <c r="DM222" s="10"/>
      <c r="DN222" s="11">
        <f t="shared" si="32"/>
        <v>0</v>
      </c>
      <c r="DO222" s="10"/>
      <c r="DP222" s="10"/>
      <c r="DQ222" s="10">
        <v>1</v>
      </c>
      <c r="DR222" s="11">
        <f t="shared" si="33"/>
        <v>1.2</v>
      </c>
      <c r="DS222" s="10">
        <v>0</v>
      </c>
      <c r="DT222" s="11">
        <f t="shared" si="34"/>
        <v>0</v>
      </c>
      <c r="DU222" s="10"/>
      <c r="DV222" s="11">
        <f t="shared" si="35"/>
        <v>0</v>
      </c>
      <c r="DW222" s="10">
        <v>0</v>
      </c>
      <c r="DX222" s="11">
        <f t="shared" si="36"/>
        <v>0</v>
      </c>
      <c r="DY222" s="10"/>
      <c r="DZ222" s="10"/>
      <c r="EA222" s="11">
        <f t="shared" si="37"/>
        <v>0</v>
      </c>
      <c r="EB222" s="10"/>
      <c r="EC222" s="11">
        <f t="shared" si="38"/>
        <v>0</v>
      </c>
      <c r="ED222" s="10"/>
      <c r="EE222" s="10"/>
    </row>
    <row r="223" spans="2:135" ht="16.5">
      <c r="B223" s="47">
        <v>212</v>
      </c>
      <c r="C223" s="50" t="s">
        <v>893</v>
      </c>
      <c r="D223" s="49" t="s">
        <v>310</v>
      </c>
      <c r="E223" s="49"/>
      <c r="F223" s="49"/>
      <c r="G223" s="49"/>
      <c r="H223" s="71">
        <f t="shared" si="39"/>
        <v>26.4</v>
      </c>
      <c r="I223" s="10">
        <v>22</v>
      </c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/>
      <c r="BI223" s="10"/>
      <c r="BJ223" s="10"/>
      <c r="BK223" s="10"/>
      <c r="BL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  <c r="CG223" s="10"/>
      <c r="CH223" s="10"/>
      <c r="CI223" s="10"/>
      <c r="CJ223" s="10"/>
      <c r="CK223" s="10"/>
      <c r="CL223" s="10"/>
      <c r="CM223" s="10"/>
      <c r="CN223" s="10"/>
      <c r="CO223" s="10"/>
      <c r="CP223" s="10"/>
      <c r="CQ223" s="10"/>
      <c r="CR223" s="10"/>
      <c r="CS223" s="10"/>
      <c r="CT223" s="10"/>
      <c r="CU223" s="10"/>
      <c r="CV223" s="10"/>
      <c r="CW223" s="10"/>
      <c r="CX223" s="10"/>
      <c r="CY223" s="10">
        <v>2</v>
      </c>
      <c r="CZ223" s="11">
        <f t="shared" si="30"/>
        <v>52.8</v>
      </c>
      <c r="DA223" s="10"/>
      <c r="DB223" s="10"/>
      <c r="DC223" s="10"/>
      <c r="DD223" s="10"/>
      <c r="DE223" s="10"/>
      <c r="DF223" s="10"/>
      <c r="DG223" s="10"/>
      <c r="DH223" s="10"/>
      <c r="DI223" s="10">
        <v>2</v>
      </c>
      <c r="DJ223" s="11">
        <f t="shared" si="31"/>
        <v>52.8</v>
      </c>
      <c r="DK223" s="10"/>
      <c r="DL223" s="10"/>
      <c r="DM223" s="10"/>
      <c r="DN223" s="11">
        <f t="shared" si="32"/>
        <v>0</v>
      </c>
      <c r="DO223" s="10"/>
      <c r="DP223" s="10"/>
      <c r="DQ223" s="10">
        <v>17</v>
      </c>
      <c r="DR223" s="11">
        <f t="shared" si="33"/>
        <v>448.79999999999995</v>
      </c>
      <c r="DS223" s="10">
        <v>0</v>
      </c>
      <c r="DT223" s="11">
        <f t="shared" si="34"/>
        <v>0</v>
      </c>
      <c r="DU223" s="10"/>
      <c r="DV223" s="11">
        <f t="shared" si="35"/>
        <v>0</v>
      </c>
      <c r="DW223" s="10">
        <v>1</v>
      </c>
      <c r="DX223" s="11">
        <f t="shared" si="36"/>
        <v>26.4</v>
      </c>
      <c r="DY223" s="10"/>
      <c r="DZ223" s="10"/>
      <c r="EA223" s="11">
        <f t="shared" si="37"/>
        <v>0</v>
      </c>
      <c r="EB223" s="10"/>
      <c r="EC223" s="11">
        <f t="shared" si="38"/>
        <v>0</v>
      </c>
      <c r="ED223" s="10"/>
      <c r="EE223" s="10"/>
    </row>
    <row r="224" spans="2:135" ht="33">
      <c r="B224" s="47">
        <v>213</v>
      </c>
      <c r="C224" s="50" t="s">
        <v>894</v>
      </c>
      <c r="D224" s="49" t="s">
        <v>311</v>
      </c>
      <c r="E224" s="49"/>
      <c r="F224" s="49"/>
      <c r="G224" s="49"/>
      <c r="H224" s="71">
        <f t="shared" si="39"/>
        <v>1.2</v>
      </c>
      <c r="I224" s="10">
        <v>1</v>
      </c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/>
      <c r="BL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L224" s="10"/>
      <c r="CM224" s="10"/>
      <c r="CN224" s="10"/>
      <c r="CO224" s="10"/>
      <c r="CP224" s="10"/>
      <c r="CQ224" s="10"/>
      <c r="CR224" s="10"/>
      <c r="CS224" s="10"/>
      <c r="CT224" s="10"/>
      <c r="CU224" s="10"/>
      <c r="CV224" s="10"/>
      <c r="CW224" s="10"/>
      <c r="CX224" s="10"/>
      <c r="CY224" s="10">
        <v>1</v>
      </c>
      <c r="CZ224" s="11">
        <f t="shared" si="30"/>
        <v>1.2</v>
      </c>
      <c r="DA224" s="10"/>
      <c r="DB224" s="10"/>
      <c r="DC224" s="10"/>
      <c r="DD224" s="10"/>
      <c r="DE224" s="10"/>
      <c r="DF224" s="10"/>
      <c r="DG224" s="10"/>
      <c r="DH224" s="10"/>
      <c r="DI224" s="10"/>
      <c r="DJ224" s="11">
        <f t="shared" si="31"/>
        <v>0</v>
      </c>
      <c r="DK224" s="10"/>
      <c r="DL224" s="10"/>
      <c r="DM224" s="10"/>
      <c r="DN224" s="11">
        <f t="shared" si="32"/>
        <v>0</v>
      </c>
      <c r="DO224" s="10"/>
      <c r="DP224" s="10"/>
      <c r="DQ224" s="10">
        <v>0</v>
      </c>
      <c r="DR224" s="11">
        <f t="shared" si="33"/>
        <v>0</v>
      </c>
      <c r="DS224" s="10">
        <v>0</v>
      </c>
      <c r="DT224" s="11">
        <f t="shared" si="34"/>
        <v>0</v>
      </c>
      <c r="DU224" s="10"/>
      <c r="DV224" s="11">
        <f t="shared" si="35"/>
        <v>0</v>
      </c>
      <c r="DW224" s="10">
        <v>0</v>
      </c>
      <c r="DX224" s="11">
        <f t="shared" si="36"/>
        <v>0</v>
      </c>
      <c r="DY224" s="10"/>
      <c r="DZ224" s="10"/>
      <c r="EA224" s="11">
        <f t="shared" si="37"/>
        <v>0</v>
      </c>
      <c r="EB224" s="10"/>
      <c r="EC224" s="11">
        <f t="shared" si="38"/>
        <v>0</v>
      </c>
      <c r="ED224" s="10"/>
      <c r="EE224" s="10"/>
    </row>
    <row r="225" spans="2:135" ht="16.5">
      <c r="B225" s="47">
        <v>214</v>
      </c>
      <c r="C225" s="50" t="s">
        <v>895</v>
      </c>
      <c r="D225" s="49" t="s">
        <v>312</v>
      </c>
      <c r="E225" s="49"/>
      <c r="F225" s="49"/>
      <c r="G225" s="49"/>
      <c r="H225" s="71">
        <f t="shared" si="39"/>
        <v>7.1999999999999993</v>
      </c>
      <c r="I225" s="10">
        <v>6</v>
      </c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  <c r="BB225" s="10"/>
      <c r="BC225" s="10"/>
      <c r="BD225" s="10"/>
      <c r="BE225" s="10"/>
      <c r="BF225" s="10"/>
      <c r="BG225" s="10"/>
      <c r="BH225" s="10"/>
      <c r="BI225" s="10"/>
      <c r="BJ225" s="10"/>
      <c r="BK225" s="10"/>
      <c r="BL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  <c r="CD225" s="10"/>
      <c r="CE225" s="10"/>
      <c r="CF225" s="10"/>
      <c r="CG225" s="10"/>
      <c r="CH225" s="10"/>
      <c r="CI225" s="10"/>
      <c r="CJ225" s="10"/>
      <c r="CK225" s="10"/>
      <c r="CL225" s="10"/>
      <c r="CM225" s="10"/>
      <c r="CN225" s="10"/>
      <c r="CO225" s="10"/>
      <c r="CP225" s="10"/>
      <c r="CQ225" s="10"/>
      <c r="CR225" s="10"/>
      <c r="CS225" s="10"/>
      <c r="CT225" s="10"/>
      <c r="CU225" s="10"/>
      <c r="CV225" s="10"/>
      <c r="CW225" s="10"/>
      <c r="CX225" s="10"/>
      <c r="CY225" s="10"/>
      <c r="CZ225" s="11">
        <f t="shared" si="30"/>
        <v>0</v>
      </c>
      <c r="DA225" s="10"/>
      <c r="DB225" s="10"/>
      <c r="DC225" s="10"/>
      <c r="DD225" s="10"/>
      <c r="DE225" s="10"/>
      <c r="DF225" s="10"/>
      <c r="DG225" s="10"/>
      <c r="DH225" s="10"/>
      <c r="DI225" s="10"/>
      <c r="DJ225" s="11">
        <f t="shared" si="31"/>
        <v>0</v>
      </c>
      <c r="DK225" s="10"/>
      <c r="DL225" s="10"/>
      <c r="DM225" s="10">
        <v>2</v>
      </c>
      <c r="DN225" s="11">
        <f t="shared" si="32"/>
        <v>14.399999999999999</v>
      </c>
      <c r="DO225" s="10"/>
      <c r="DP225" s="10"/>
      <c r="DQ225" s="10">
        <v>1</v>
      </c>
      <c r="DR225" s="11">
        <f t="shared" si="33"/>
        <v>7.1999999999999993</v>
      </c>
      <c r="DS225" s="10">
        <v>0</v>
      </c>
      <c r="DT225" s="11">
        <f t="shared" si="34"/>
        <v>0</v>
      </c>
      <c r="DU225" s="10"/>
      <c r="DV225" s="11">
        <f t="shared" si="35"/>
        <v>0</v>
      </c>
      <c r="DW225" s="10">
        <v>0</v>
      </c>
      <c r="DX225" s="11">
        <f t="shared" si="36"/>
        <v>0</v>
      </c>
      <c r="DY225" s="10"/>
      <c r="DZ225" s="10">
        <v>3</v>
      </c>
      <c r="EA225" s="11">
        <f t="shared" si="37"/>
        <v>21.599999999999998</v>
      </c>
      <c r="EB225" s="10"/>
      <c r="EC225" s="11">
        <f t="shared" si="38"/>
        <v>0</v>
      </c>
      <c r="ED225" s="10"/>
      <c r="EE225" s="10"/>
    </row>
    <row r="226" spans="2:135" ht="16.5">
      <c r="B226" s="47">
        <v>215</v>
      </c>
      <c r="C226" s="50" t="s">
        <v>896</v>
      </c>
      <c r="D226" s="49" t="s">
        <v>313</v>
      </c>
      <c r="E226" s="49"/>
      <c r="F226" s="49"/>
      <c r="G226" s="49"/>
      <c r="H226" s="71">
        <f t="shared" si="39"/>
        <v>9.6</v>
      </c>
      <c r="I226" s="10">
        <v>8</v>
      </c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  <c r="BF226" s="10"/>
      <c r="BG226" s="10"/>
      <c r="BH226" s="10"/>
      <c r="BI226" s="10"/>
      <c r="BJ226" s="10"/>
      <c r="BK226" s="10"/>
      <c r="BL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  <c r="CD226" s="10"/>
      <c r="CE226" s="10"/>
      <c r="CF226" s="10"/>
      <c r="CG226" s="10"/>
      <c r="CH226" s="10"/>
      <c r="CI226" s="10"/>
      <c r="CJ226" s="10"/>
      <c r="CK226" s="10"/>
      <c r="CL226" s="10"/>
      <c r="CM226" s="10"/>
      <c r="CN226" s="10"/>
      <c r="CO226" s="10"/>
      <c r="CP226" s="10"/>
      <c r="CQ226" s="10"/>
      <c r="CR226" s="10"/>
      <c r="CS226" s="10"/>
      <c r="CT226" s="10"/>
      <c r="CU226" s="10"/>
      <c r="CV226" s="10"/>
      <c r="CW226" s="10"/>
      <c r="CX226" s="10"/>
      <c r="CY226" s="10"/>
      <c r="CZ226" s="11">
        <f t="shared" si="30"/>
        <v>0</v>
      </c>
      <c r="DA226" s="10"/>
      <c r="DB226" s="10"/>
      <c r="DC226" s="10"/>
      <c r="DD226" s="10"/>
      <c r="DE226" s="10"/>
      <c r="DF226" s="10"/>
      <c r="DG226" s="10"/>
      <c r="DH226" s="10"/>
      <c r="DI226" s="10"/>
      <c r="DJ226" s="11">
        <f t="shared" si="31"/>
        <v>0</v>
      </c>
      <c r="DK226" s="10"/>
      <c r="DL226" s="10"/>
      <c r="DM226" s="10"/>
      <c r="DN226" s="11">
        <f t="shared" si="32"/>
        <v>0</v>
      </c>
      <c r="DO226" s="10"/>
      <c r="DP226" s="10"/>
      <c r="DQ226" s="10">
        <v>8</v>
      </c>
      <c r="DR226" s="11">
        <f t="shared" si="33"/>
        <v>76.8</v>
      </c>
      <c r="DS226" s="10">
        <v>0</v>
      </c>
      <c r="DT226" s="11">
        <f t="shared" si="34"/>
        <v>0</v>
      </c>
      <c r="DU226" s="10"/>
      <c r="DV226" s="11">
        <f t="shared" si="35"/>
        <v>0</v>
      </c>
      <c r="DW226" s="10">
        <v>0</v>
      </c>
      <c r="DX226" s="11">
        <f t="shared" si="36"/>
        <v>0</v>
      </c>
      <c r="DY226" s="10"/>
      <c r="DZ226" s="10"/>
      <c r="EA226" s="11">
        <f t="shared" si="37"/>
        <v>0</v>
      </c>
      <c r="EB226" s="10"/>
      <c r="EC226" s="11">
        <f t="shared" si="38"/>
        <v>0</v>
      </c>
      <c r="ED226" s="10"/>
      <c r="EE226" s="10"/>
    </row>
    <row r="227" spans="2:135" ht="16.5">
      <c r="B227" s="47">
        <v>216</v>
      </c>
      <c r="C227" s="50" t="s">
        <v>897</v>
      </c>
      <c r="D227" s="49" t="s">
        <v>314</v>
      </c>
      <c r="E227" s="49"/>
      <c r="F227" s="49"/>
      <c r="G227" s="49"/>
      <c r="H227" s="71">
        <f t="shared" si="39"/>
        <v>4.8</v>
      </c>
      <c r="I227" s="10">
        <v>4</v>
      </c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  <c r="BB227" s="10"/>
      <c r="BC227" s="10"/>
      <c r="BD227" s="10"/>
      <c r="BE227" s="10"/>
      <c r="BF227" s="10"/>
      <c r="BG227" s="10"/>
      <c r="BH227" s="10"/>
      <c r="BI227" s="10"/>
      <c r="BJ227" s="10"/>
      <c r="BK227" s="10"/>
      <c r="BL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  <c r="CD227" s="10"/>
      <c r="CE227" s="10"/>
      <c r="CF227" s="10"/>
      <c r="CG227" s="10"/>
      <c r="CH227" s="10"/>
      <c r="CI227" s="10"/>
      <c r="CJ227" s="10"/>
      <c r="CK227" s="10"/>
      <c r="CL227" s="10"/>
      <c r="CM227" s="10"/>
      <c r="CN227" s="10"/>
      <c r="CO227" s="10"/>
      <c r="CP227" s="10"/>
      <c r="CQ227" s="10"/>
      <c r="CR227" s="10"/>
      <c r="CS227" s="10"/>
      <c r="CT227" s="10"/>
      <c r="CU227" s="10"/>
      <c r="CV227" s="10"/>
      <c r="CW227" s="10"/>
      <c r="CX227" s="10"/>
      <c r="CY227" s="10"/>
      <c r="CZ227" s="11">
        <f t="shared" si="30"/>
        <v>0</v>
      </c>
      <c r="DA227" s="10"/>
      <c r="DB227" s="10"/>
      <c r="DC227" s="10"/>
      <c r="DD227" s="10"/>
      <c r="DE227" s="10"/>
      <c r="DF227" s="10"/>
      <c r="DG227" s="10"/>
      <c r="DH227" s="10"/>
      <c r="DI227" s="10"/>
      <c r="DJ227" s="11">
        <f t="shared" si="31"/>
        <v>0</v>
      </c>
      <c r="DK227" s="10"/>
      <c r="DL227" s="10"/>
      <c r="DM227" s="10"/>
      <c r="DN227" s="11">
        <f t="shared" si="32"/>
        <v>0</v>
      </c>
      <c r="DO227" s="10"/>
      <c r="DP227" s="10"/>
      <c r="DQ227" s="10">
        <v>0</v>
      </c>
      <c r="DR227" s="11">
        <f t="shared" si="33"/>
        <v>0</v>
      </c>
      <c r="DS227" s="10">
        <v>4</v>
      </c>
      <c r="DT227" s="11">
        <f t="shared" si="34"/>
        <v>19.2</v>
      </c>
      <c r="DU227" s="10"/>
      <c r="DV227" s="11">
        <f t="shared" si="35"/>
        <v>0</v>
      </c>
      <c r="DW227" s="10">
        <v>0</v>
      </c>
      <c r="DX227" s="11">
        <f t="shared" si="36"/>
        <v>0</v>
      </c>
      <c r="DY227" s="10"/>
      <c r="DZ227" s="10"/>
      <c r="EA227" s="11">
        <f t="shared" si="37"/>
        <v>0</v>
      </c>
      <c r="EB227" s="10"/>
      <c r="EC227" s="11">
        <f t="shared" si="38"/>
        <v>0</v>
      </c>
      <c r="ED227" s="10"/>
      <c r="EE227" s="10"/>
    </row>
    <row r="228" spans="2:135" ht="16.5">
      <c r="B228" s="47">
        <v>217</v>
      </c>
      <c r="C228" s="50" t="s">
        <v>898</v>
      </c>
      <c r="D228" s="49" t="s">
        <v>315</v>
      </c>
      <c r="E228" s="49"/>
      <c r="F228" s="49"/>
      <c r="G228" s="49"/>
      <c r="H228" s="71">
        <f t="shared" si="39"/>
        <v>4.8</v>
      </c>
      <c r="I228" s="10">
        <v>4</v>
      </c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  <c r="BB228" s="10"/>
      <c r="BC228" s="10"/>
      <c r="BD228" s="10"/>
      <c r="BE228" s="10"/>
      <c r="BF228" s="10"/>
      <c r="BG228" s="10"/>
      <c r="BH228" s="10"/>
      <c r="BI228" s="10"/>
      <c r="BJ228" s="10"/>
      <c r="BK228" s="10"/>
      <c r="BL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  <c r="CD228" s="10"/>
      <c r="CE228" s="10"/>
      <c r="CF228" s="10"/>
      <c r="CG228" s="10"/>
      <c r="CH228" s="10"/>
      <c r="CI228" s="10"/>
      <c r="CJ228" s="10"/>
      <c r="CK228" s="10"/>
      <c r="CL228" s="10"/>
      <c r="CM228" s="10"/>
      <c r="CN228" s="10"/>
      <c r="CO228" s="10"/>
      <c r="CP228" s="10"/>
      <c r="CQ228" s="10"/>
      <c r="CR228" s="10"/>
      <c r="CS228" s="10"/>
      <c r="CT228" s="10"/>
      <c r="CU228" s="10"/>
      <c r="CV228" s="10"/>
      <c r="CW228" s="10"/>
      <c r="CX228" s="10"/>
      <c r="CY228" s="10"/>
      <c r="CZ228" s="11">
        <f t="shared" si="30"/>
        <v>0</v>
      </c>
      <c r="DA228" s="10"/>
      <c r="DB228" s="10"/>
      <c r="DC228" s="10"/>
      <c r="DD228" s="10"/>
      <c r="DE228" s="10"/>
      <c r="DF228" s="10"/>
      <c r="DG228" s="10"/>
      <c r="DH228" s="10"/>
      <c r="DI228" s="10"/>
      <c r="DJ228" s="11">
        <f t="shared" si="31"/>
        <v>0</v>
      </c>
      <c r="DK228" s="10"/>
      <c r="DL228" s="10"/>
      <c r="DM228" s="10"/>
      <c r="DN228" s="11">
        <f t="shared" si="32"/>
        <v>0</v>
      </c>
      <c r="DO228" s="10"/>
      <c r="DP228" s="10"/>
      <c r="DQ228" s="10">
        <v>4</v>
      </c>
      <c r="DR228" s="11">
        <f t="shared" si="33"/>
        <v>19.2</v>
      </c>
      <c r="DS228" s="10">
        <v>0</v>
      </c>
      <c r="DT228" s="11">
        <f t="shared" si="34"/>
        <v>0</v>
      </c>
      <c r="DU228" s="10"/>
      <c r="DV228" s="11">
        <f t="shared" si="35"/>
        <v>0</v>
      </c>
      <c r="DW228" s="10">
        <v>0</v>
      </c>
      <c r="DX228" s="11">
        <f t="shared" si="36"/>
        <v>0</v>
      </c>
      <c r="DY228" s="10"/>
      <c r="DZ228" s="10"/>
      <c r="EA228" s="11">
        <f t="shared" si="37"/>
        <v>0</v>
      </c>
      <c r="EB228" s="10"/>
      <c r="EC228" s="11">
        <f t="shared" si="38"/>
        <v>0</v>
      </c>
      <c r="ED228" s="10"/>
      <c r="EE228" s="10"/>
    </row>
    <row r="229" spans="2:135" ht="16.5">
      <c r="B229" s="47">
        <v>218</v>
      </c>
      <c r="C229" s="50" t="s">
        <v>899</v>
      </c>
      <c r="D229" s="49" t="s">
        <v>316</v>
      </c>
      <c r="E229" s="49"/>
      <c r="F229" s="49"/>
      <c r="G229" s="49"/>
      <c r="H229" s="71">
        <f t="shared" si="39"/>
        <v>15.6</v>
      </c>
      <c r="I229" s="10">
        <v>13</v>
      </c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  <c r="BI229" s="10"/>
      <c r="BJ229" s="10"/>
      <c r="BK229" s="10"/>
      <c r="BL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  <c r="CQ229" s="10"/>
      <c r="CR229" s="10"/>
      <c r="CS229" s="10"/>
      <c r="CT229" s="10"/>
      <c r="CU229" s="10"/>
      <c r="CV229" s="10"/>
      <c r="CW229" s="10"/>
      <c r="CX229" s="10"/>
      <c r="CY229" s="10"/>
      <c r="CZ229" s="11">
        <f t="shared" si="30"/>
        <v>0</v>
      </c>
      <c r="DA229" s="10"/>
      <c r="DB229" s="10"/>
      <c r="DC229" s="10"/>
      <c r="DD229" s="10"/>
      <c r="DE229" s="10"/>
      <c r="DF229" s="10"/>
      <c r="DG229" s="10"/>
      <c r="DH229" s="10"/>
      <c r="DI229" s="10"/>
      <c r="DJ229" s="11">
        <f t="shared" si="31"/>
        <v>0</v>
      </c>
      <c r="DK229" s="10"/>
      <c r="DL229" s="10"/>
      <c r="DM229" s="10"/>
      <c r="DN229" s="11">
        <f t="shared" si="32"/>
        <v>0</v>
      </c>
      <c r="DO229" s="10"/>
      <c r="DP229" s="10"/>
      <c r="DQ229" s="10">
        <v>7</v>
      </c>
      <c r="DR229" s="11">
        <f t="shared" si="33"/>
        <v>109.2</v>
      </c>
      <c r="DS229" s="10">
        <v>0</v>
      </c>
      <c r="DT229" s="11">
        <f t="shared" si="34"/>
        <v>0</v>
      </c>
      <c r="DU229" s="10"/>
      <c r="DV229" s="11">
        <f t="shared" si="35"/>
        <v>0</v>
      </c>
      <c r="DW229" s="10">
        <v>6</v>
      </c>
      <c r="DX229" s="11">
        <f t="shared" si="36"/>
        <v>93.6</v>
      </c>
      <c r="DY229" s="10"/>
      <c r="DZ229" s="10"/>
      <c r="EA229" s="11">
        <f t="shared" si="37"/>
        <v>0</v>
      </c>
      <c r="EB229" s="10"/>
      <c r="EC229" s="11">
        <f t="shared" si="38"/>
        <v>0</v>
      </c>
      <c r="ED229" s="10"/>
      <c r="EE229" s="10"/>
    </row>
    <row r="230" spans="2:135" ht="16.5">
      <c r="B230" s="47">
        <v>219</v>
      </c>
      <c r="C230" s="50" t="s">
        <v>900</v>
      </c>
      <c r="D230" s="49" t="s">
        <v>317</v>
      </c>
      <c r="E230" s="49"/>
      <c r="F230" s="49"/>
      <c r="G230" s="49"/>
      <c r="H230" s="71">
        <f t="shared" si="39"/>
        <v>13.2</v>
      </c>
      <c r="I230" s="10">
        <v>11</v>
      </c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10"/>
      <c r="BK230" s="10"/>
      <c r="BL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  <c r="CD230" s="10"/>
      <c r="CE230" s="10"/>
      <c r="CF230" s="10"/>
      <c r="CG230" s="10"/>
      <c r="CH230" s="10"/>
      <c r="CI230" s="10"/>
      <c r="CJ230" s="10"/>
      <c r="CK230" s="10"/>
      <c r="CL230" s="10"/>
      <c r="CM230" s="10"/>
      <c r="CN230" s="10"/>
      <c r="CO230" s="10"/>
      <c r="CP230" s="10"/>
      <c r="CQ230" s="10"/>
      <c r="CR230" s="10"/>
      <c r="CS230" s="10"/>
      <c r="CT230" s="10"/>
      <c r="CU230" s="10"/>
      <c r="CV230" s="10"/>
      <c r="CW230" s="10"/>
      <c r="CX230" s="10"/>
      <c r="CY230" s="10"/>
      <c r="CZ230" s="11">
        <f t="shared" si="30"/>
        <v>0</v>
      </c>
      <c r="DA230" s="10"/>
      <c r="DB230" s="10"/>
      <c r="DC230" s="10"/>
      <c r="DD230" s="10"/>
      <c r="DE230" s="10"/>
      <c r="DF230" s="10"/>
      <c r="DG230" s="10"/>
      <c r="DH230" s="10"/>
      <c r="DI230" s="10">
        <v>1</v>
      </c>
      <c r="DJ230" s="11">
        <f t="shared" si="31"/>
        <v>13.2</v>
      </c>
      <c r="DK230" s="10"/>
      <c r="DL230" s="10"/>
      <c r="DM230" s="10"/>
      <c r="DN230" s="11">
        <f t="shared" si="32"/>
        <v>0</v>
      </c>
      <c r="DO230" s="10"/>
      <c r="DP230" s="10"/>
      <c r="DQ230" s="10">
        <v>4</v>
      </c>
      <c r="DR230" s="11">
        <f t="shared" si="33"/>
        <v>52.8</v>
      </c>
      <c r="DS230" s="10">
        <v>0</v>
      </c>
      <c r="DT230" s="11">
        <f t="shared" si="34"/>
        <v>0</v>
      </c>
      <c r="DU230" s="10"/>
      <c r="DV230" s="11">
        <f t="shared" si="35"/>
        <v>0</v>
      </c>
      <c r="DW230" s="10">
        <v>6</v>
      </c>
      <c r="DX230" s="11">
        <f t="shared" si="36"/>
        <v>79.199999999999989</v>
      </c>
      <c r="DY230" s="10"/>
      <c r="DZ230" s="10"/>
      <c r="EA230" s="11">
        <f t="shared" si="37"/>
        <v>0</v>
      </c>
      <c r="EB230" s="10"/>
      <c r="EC230" s="11">
        <f t="shared" si="38"/>
        <v>0</v>
      </c>
      <c r="ED230" s="10"/>
      <c r="EE230" s="10"/>
    </row>
    <row r="231" spans="2:135" ht="16.5">
      <c r="B231" s="47">
        <v>220</v>
      </c>
      <c r="C231" s="50" t="s">
        <v>901</v>
      </c>
      <c r="D231" s="49" t="s">
        <v>318</v>
      </c>
      <c r="E231" s="49"/>
      <c r="F231" s="49"/>
      <c r="G231" s="49"/>
      <c r="H231" s="71">
        <f t="shared" si="39"/>
        <v>4.8</v>
      </c>
      <c r="I231" s="10">
        <v>4</v>
      </c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10"/>
      <c r="BK231" s="10"/>
      <c r="BL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  <c r="CD231" s="10"/>
      <c r="CE231" s="10"/>
      <c r="CF231" s="10"/>
      <c r="CG231" s="10"/>
      <c r="CH231" s="10"/>
      <c r="CI231" s="10"/>
      <c r="CJ231" s="10"/>
      <c r="CK231" s="10"/>
      <c r="CL231" s="10"/>
      <c r="CM231" s="10"/>
      <c r="CN231" s="10"/>
      <c r="CO231" s="10"/>
      <c r="CP231" s="10"/>
      <c r="CQ231" s="10"/>
      <c r="CR231" s="10"/>
      <c r="CS231" s="10"/>
      <c r="CT231" s="10"/>
      <c r="CU231" s="10"/>
      <c r="CV231" s="10"/>
      <c r="CW231" s="10"/>
      <c r="CX231" s="10"/>
      <c r="CY231" s="10"/>
      <c r="CZ231" s="11">
        <f t="shared" si="30"/>
        <v>0</v>
      </c>
      <c r="DA231" s="10"/>
      <c r="DB231" s="10"/>
      <c r="DC231" s="10"/>
      <c r="DD231" s="10"/>
      <c r="DE231" s="10"/>
      <c r="DF231" s="10"/>
      <c r="DG231" s="10"/>
      <c r="DH231" s="10"/>
      <c r="DI231" s="10"/>
      <c r="DJ231" s="11">
        <f t="shared" si="31"/>
        <v>0</v>
      </c>
      <c r="DK231" s="10"/>
      <c r="DL231" s="10"/>
      <c r="DM231" s="10"/>
      <c r="DN231" s="11">
        <f t="shared" si="32"/>
        <v>0</v>
      </c>
      <c r="DO231" s="10"/>
      <c r="DP231" s="10"/>
      <c r="DQ231" s="10">
        <v>0</v>
      </c>
      <c r="DR231" s="11">
        <f t="shared" si="33"/>
        <v>0</v>
      </c>
      <c r="DS231" s="10">
        <v>4</v>
      </c>
      <c r="DT231" s="11">
        <f t="shared" si="34"/>
        <v>19.2</v>
      </c>
      <c r="DU231" s="10"/>
      <c r="DV231" s="11">
        <f t="shared" si="35"/>
        <v>0</v>
      </c>
      <c r="DW231" s="10">
        <v>0</v>
      </c>
      <c r="DX231" s="11">
        <f t="shared" si="36"/>
        <v>0</v>
      </c>
      <c r="DY231" s="10"/>
      <c r="DZ231" s="10"/>
      <c r="EA231" s="11">
        <f t="shared" si="37"/>
        <v>0</v>
      </c>
      <c r="EB231" s="10"/>
      <c r="EC231" s="11">
        <f t="shared" si="38"/>
        <v>0</v>
      </c>
      <c r="ED231" s="10"/>
      <c r="EE231" s="10"/>
    </row>
    <row r="232" spans="2:135" ht="16.5">
      <c r="B232" s="47">
        <v>221</v>
      </c>
      <c r="C232" s="50" t="s">
        <v>902</v>
      </c>
      <c r="D232" s="49" t="s">
        <v>319</v>
      </c>
      <c r="E232" s="49"/>
      <c r="F232" s="49"/>
      <c r="G232" s="49"/>
      <c r="H232" s="71">
        <f t="shared" si="39"/>
        <v>26.4</v>
      </c>
      <c r="I232" s="10">
        <v>22</v>
      </c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10"/>
      <c r="BK232" s="10"/>
      <c r="BL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  <c r="CD232" s="10"/>
      <c r="CE232" s="10"/>
      <c r="CF232" s="10"/>
      <c r="CG232" s="10"/>
      <c r="CH232" s="10"/>
      <c r="CI232" s="10"/>
      <c r="CJ232" s="10"/>
      <c r="CK232" s="10"/>
      <c r="CL232" s="10"/>
      <c r="CM232" s="10"/>
      <c r="CN232" s="10"/>
      <c r="CO232" s="10"/>
      <c r="CP232" s="10"/>
      <c r="CQ232" s="10"/>
      <c r="CR232" s="10"/>
      <c r="CS232" s="10"/>
      <c r="CT232" s="10"/>
      <c r="CU232" s="10"/>
      <c r="CV232" s="10"/>
      <c r="CW232" s="10"/>
      <c r="CX232" s="10"/>
      <c r="CY232" s="10">
        <v>5</v>
      </c>
      <c r="CZ232" s="11">
        <f t="shared" si="30"/>
        <v>132</v>
      </c>
      <c r="DA232" s="10"/>
      <c r="DB232" s="10"/>
      <c r="DC232" s="10"/>
      <c r="DD232" s="10"/>
      <c r="DE232" s="10"/>
      <c r="DF232" s="10"/>
      <c r="DG232" s="10"/>
      <c r="DH232" s="10"/>
      <c r="DI232" s="10">
        <v>6</v>
      </c>
      <c r="DJ232" s="11">
        <f t="shared" si="31"/>
        <v>158.39999999999998</v>
      </c>
      <c r="DK232" s="10"/>
      <c r="DL232" s="10"/>
      <c r="DM232" s="10"/>
      <c r="DN232" s="11">
        <f t="shared" si="32"/>
        <v>0</v>
      </c>
      <c r="DO232" s="10"/>
      <c r="DP232" s="10"/>
      <c r="DQ232" s="10">
        <v>5</v>
      </c>
      <c r="DR232" s="11">
        <f t="shared" si="33"/>
        <v>132</v>
      </c>
      <c r="DS232" s="10">
        <v>0</v>
      </c>
      <c r="DT232" s="11">
        <f t="shared" si="34"/>
        <v>0</v>
      </c>
      <c r="DU232" s="10">
        <v>3</v>
      </c>
      <c r="DV232" s="11">
        <f t="shared" si="35"/>
        <v>79.199999999999989</v>
      </c>
      <c r="DW232" s="10">
        <v>3</v>
      </c>
      <c r="DX232" s="11">
        <f t="shared" si="36"/>
        <v>79.199999999999989</v>
      </c>
      <c r="DY232" s="10"/>
      <c r="DZ232" s="10"/>
      <c r="EA232" s="11">
        <f t="shared" si="37"/>
        <v>0</v>
      </c>
      <c r="EB232" s="10"/>
      <c r="EC232" s="11">
        <f t="shared" si="38"/>
        <v>0</v>
      </c>
      <c r="ED232" s="10"/>
      <c r="EE232" s="10"/>
    </row>
    <row r="233" spans="2:135" ht="16.5">
      <c r="B233" s="47">
        <v>222</v>
      </c>
      <c r="C233" s="50" t="s">
        <v>903</v>
      </c>
      <c r="D233" s="49" t="s">
        <v>320</v>
      </c>
      <c r="E233" s="49"/>
      <c r="F233" s="49"/>
      <c r="G233" s="49"/>
      <c r="H233" s="71">
        <f t="shared" si="39"/>
        <v>1.2</v>
      </c>
      <c r="I233" s="10">
        <v>1</v>
      </c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10"/>
      <c r="BK233" s="10"/>
      <c r="BL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  <c r="CD233" s="10"/>
      <c r="CE233" s="10"/>
      <c r="CF233" s="10"/>
      <c r="CG233" s="10"/>
      <c r="CH233" s="10"/>
      <c r="CI233" s="10"/>
      <c r="CJ233" s="10"/>
      <c r="CK233" s="10"/>
      <c r="CL233" s="10"/>
      <c r="CM233" s="10"/>
      <c r="CN233" s="10"/>
      <c r="CO233" s="10"/>
      <c r="CP233" s="10"/>
      <c r="CQ233" s="10"/>
      <c r="CR233" s="10"/>
      <c r="CS233" s="10"/>
      <c r="CT233" s="10"/>
      <c r="CU233" s="10"/>
      <c r="CV233" s="10"/>
      <c r="CW233" s="10"/>
      <c r="CX233" s="10"/>
      <c r="CY233" s="10"/>
      <c r="CZ233" s="11">
        <f t="shared" si="30"/>
        <v>0</v>
      </c>
      <c r="DA233" s="10"/>
      <c r="DB233" s="10"/>
      <c r="DC233" s="10"/>
      <c r="DD233" s="10"/>
      <c r="DE233" s="10"/>
      <c r="DF233" s="10"/>
      <c r="DG233" s="10"/>
      <c r="DH233" s="10"/>
      <c r="DI233" s="10"/>
      <c r="DJ233" s="11">
        <f t="shared" si="31"/>
        <v>0</v>
      </c>
      <c r="DK233" s="10"/>
      <c r="DL233" s="10"/>
      <c r="DM233" s="10"/>
      <c r="DN233" s="11">
        <f t="shared" si="32"/>
        <v>0</v>
      </c>
      <c r="DO233" s="10"/>
      <c r="DP233" s="10"/>
      <c r="DQ233" s="10">
        <v>1</v>
      </c>
      <c r="DR233" s="11">
        <f t="shared" si="33"/>
        <v>1.2</v>
      </c>
      <c r="DS233" s="10">
        <v>0</v>
      </c>
      <c r="DT233" s="11">
        <f t="shared" si="34"/>
        <v>0</v>
      </c>
      <c r="DU233" s="10"/>
      <c r="DV233" s="11">
        <f t="shared" si="35"/>
        <v>0</v>
      </c>
      <c r="DW233" s="10">
        <v>0</v>
      </c>
      <c r="DX233" s="11">
        <f t="shared" si="36"/>
        <v>0</v>
      </c>
      <c r="DY233" s="10"/>
      <c r="DZ233" s="10"/>
      <c r="EA233" s="11">
        <f t="shared" si="37"/>
        <v>0</v>
      </c>
      <c r="EB233" s="10"/>
      <c r="EC233" s="11">
        <f t="shared" si="38"/>
        <v>0</v>
      </c>
      <c r="ED233" s="10"/>
      <c r="EE233" s="10"/>
    </row>
    <row r="234" spans="2:135" ht="16.5">
      <c r="B234" s="47">
        <v>223</v>
      </c>
      <c r="C234" s="50" t="s">
        <v>904</v>
      </c>
      <c r="D234" s="49" t="s">
        <v>321</v>
      </c>
      <c r="E234" s="49"/>
      <c r="F234" s="49"/>
      <c r="G234" s="49"/>
      <c r="H234" s="71">
        <f t="shared" si="39"/>
        <v>1.2</v>
      </c>
      <c r="I234" s="10">
        <v>1</v>
      </c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10"/>
      <c r="BK234" s="10"/>
      <c r="BL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  <c r="CG234" s="10"/>
      <c r="CH234" s="10"/>
      <c r="CI234" s="10"/>
      <c r="CJ234" s="10"/>
      <c r="CK234" s="10"/>
      <c r="CL234" s="10"/>
      <c r="CM234" s="10"/>
      <c r="CN234" s="10"/>
      <c r="CO234" s="10"/>
      <c r="CP234" s="10"/>
      <c r="CQ234" s="10"/>
      <c r="CR234" s="10"/>
      <c r="CS234" s="10"/>
      <c r="CT234" s="10"/>
      <c r="CU234" s="10"/>
      <c r="CV234" s="10"/>
      <c r="CW234" s="10"/>
      <c r="CX234" s="10"/>
      <c r="CY234" s="10"/>
      <c r="CZ234" s="11">
        <f t="shared" si="30"/>
        <v>0</v>
      </c>
      <c r="DA234" s="10"/>
      <c r="DB234" s="10"/>
      <c r="DC234" s="10"/>
      <c r="DD234" s="10"/>
      <c r="DE234" s="10"/>
      <c r="DF234" s="10"/>
      <c r="DG234" s="10"/>
      <c r="DH234" s="10"/>
      <c r="DI234" s="10"/>
      <c r="DJ234" s="11">
        <f t="shared" si="31"/>
        <v>0</v>
      </c>
      <c r="DK234" s="10"/>
      <c r="DL234" s="10"/>
      <c r="DM234" s="10"/>
      <c r="DN234" s="11">
        <f t="shared" si="32"/>
        <v>0</v>
      </c>
      <c r="DO234" s="10"/>
      <c r="DP234" s="10"/>
      <c r="DQ234" s="10">
        <v>1</v>
      </c>
      <c r="DR234" s="11">
        <f t="shared" si="33"/>
        <v>1.2</v>
      </c>
      <c r="DS234" s="10">
        <v>0</v>
      </c>
      <c r="DT234" s="11">
        <f t="shared" si="34"/>
        <v>0</v>
      </c>
      <c r="DU234" s="10"/>
      <c r="DV234" s="11">
        <f t="shared" si="35"/>
        <v>0</v>
      </c>
      <c r="DW234" s="10">
        <v>0</v>
      </c>
      <c r="DX234" s="11">
        <f t="shared" si="36"/>
        <v>0</v>
      </c>
      <c r="DY234" s="10"/>
      <c r="DZ234" s="10"/>
      <c r="EA234" s="11">
        <f t="shared" si="37"/>
        <v>0</v>
      </c>
      <c r="EB234" s="10"/>
      <c r="EC234" s="11">
        <f t="shared" si="38"/>
        <v>0</v>
      </c>
      <c r="ED234" s="10"/>
      <c r="EE234" s="10"/>
    </row>
    <row r="235" spans="2:135" ht="16.5">
      <c r="B235" s="47">
        <v>224</v>
      </c>
      <c r="C235" s="50" t="s">
        <v>905</v>
      </c>
      <c r="D235" s="49" t="s">
        <v>322</v>
      </c>
      <c r="E235" s="49"/>
      <c r="F235" s="49"/>
      <c r="G235" s="49"/>
      <c r="H235" s="71">
        <f t="shared" si="39"/>
        <v>2.4</v>
      </c>
      <c r="I235" s="10">
        <v>2</v>
      </c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10"/>
      <c r="BK235" s="10"/>
      <c r="BL235" s="10"/>
      <c r="BN235" s="10"/>
      <c r="BO235" s="10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  <c r="CD235" s="10"/>
      <c r="CE235" s="10"/>
      <c r="CF235" s="10"/>
      <c r="CG235" s="10"/>
      <c r="CH235" s="10"/>
      <c r="CI235" s="10"/>
      <c r="CJ235" s="10"/>
      <c r="CK235" s="10"/>
      <c r="CL235" s="10"/>
      <c r="CM235" s="10"/>
      <c r="CN235" s="10"/>
      <c r="CO235" s="10"/>
      <c r="CP235" s="10"/>
      <c r="CQ235" s="10"/>
      <c r="CR235" s="10"/>
      <c r="CS235" s="10"/>
      <c r="CT235" s="10"/>
      <c r="CU235" s="10"/>
      <c r="CV235" s="10"/>
      <c r="CW235" s="10"/>
      <c r="CX235" s="10"/>
      <c r="CY235" s="10"/>
      <c r="CZ235" s="11">
        <f t="shared" si="30"/>
        <v>0</v>
      </c>
      <c r="DA235" s="10"/>
      <c r="DB235" s="10"/>
      <c r="DC235" s="10"/>
      <c r="DD235" s="10"/>
      <c r="DE235" s="10"/>
      <c r="DF235" s="10"/>
      <c r="DG235" s="10"/>
      <c r="DH235" s="10"/>
      <c r="DI235" s="10"/>
      <c r="DJ235" s="11">
        <f t="shared" si="31"/>
        <v>0</v>
      </c>
      <c r="DK235" s="10"/>
      <c r="DL235" s="10"/>
      <c r="DM235" s="10"/>
      <c r="DN235" s="11">
        <f t="shared" si="32"/>
        <v>0</v>
      </c>
      <c r="DO235" s="10"/>
      <c r="DP235" s="10"/>
      <c r="DQ235" s="10">
        <v>2</v>
      </c>
      <c r="DR235" s="11">
        <f t="shared" si="33"/>
        <v>4.8</v>
      </c>
      <c r="DS235" s="10">
        <v>0</v>
      </c>
      <c r="DT235" s="11">
        <f t="shared" si="34"/>
        <v>0</v>
      </c>
      <c r="DU235" s="10"/>
      <c r="DV235" s="11">
        <f t="shared" si="35"/>
        <v>0</v>
      </c>
      <c r="DW235" s="10">
        <v>0</v>
      </c>
      <c r="DX235" s="11">
        <f t="shared" si="36"/>
        <v>0</v>
      </c>
      <c r="DY235" s="10"/>
      <c r="DZ235" s="10"/>
      <c r="EA235" s="11">
        <f t="shared" si="37"/>
        <v>0</v>
      </c>
      <c r="EB235" s="10"/>
      <c r="EC235" s="11">
        <f t="shared" si="38"/>
        <v>0</v>
      </c>
      <c r="ED235" s="10"/>
      <c r="EE235" s="10"/>
    </row>
    <row r="236" spans="2:135" ht="16.5">
      <c r="B236" s="47">
        <v>225</v>
      </c>
      <c r="C236" s="50" t="s">
        <v>906</v>
      </c>
      <c r="D236" s="49" t="s">
        <v>323</v>
      </c>
      <c r="E236" s="49"/>
      <c r="F236" s="49"/>
      <c r="G236" s="49"/>
      <c r="H236" s="71">
        <f t="shared" si="39"/>
        <v>3.5999999999999996</v>
      </c>
      <c r="I236" s="10">
        <v>3</v>
      </c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10"/>
      <c r="BK236" s="10"/>
      <c r="BL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  <c r="CD236" s="10"/>
      <c r="CE236" s="10"/>
      <c r="CF236" s="10"/>
      <c r="CG236" s="10"/>
      <c r="CH236" s="10"/>
      <c r="CI236" s="10"/>
      <c r="CJ236" s="10"/>
      <c r="CK236" s="10"/>
      <c r="CL236" s="10"/>
      <c r="CM236" s="10"/>
      <c r="CN236" s="10"/>
      <c r="CO236" s="10"/>
      <c r="CP236" s="10"/>
      <c r="CQ236" s="10"/>
      <c r="CR236" s="10"/>
      <c r="CS236" s="10"/>
      <c r="CT236" s="10"/>
      <c r="CU236" s="10"/>
      <c r="CV236" s="10"/>
      <c r="CW236" s="10"/>
      <c r="CX236" s="10"/>
      <c r="CY236" s="10"/>
      <c r="CZ236" s="11">
        <f t="shared" si="30"/>
        <v>0</v>
      </c>
      <c r="DA236" s="10"/>
      <c r="DB236" s="10"/>
      <c r="DC236" s="10"/>
      <c r="DD236" s="10"/>
      <c r="DE236" s="10"/>
      <c r="DF236" s="10"/>
      <c r="DG236" s="10"/>
      <c r="DH236" s="10"/>
      <c r="DI236" s="10"/>
      <c r="DJ236" s="11">
        <f t="shared" si="31"/>
        <v>0</v>
      </c>
      <c r="DK236" s="10"/>
      <c r="DL236" s="10"/>
      <c r="DM236" s="10"/>
      <c r="DN236" s="11">
        <f t="shared" si="32"/>
        <v>0</v>
      </c>
      <c r="DO236" s="10"/>
      <c r="DP236" s="10"/>
      <c r="DQ236" s="10">
        <v>3</v>
      </c>
      <c r="DR236" s="11">
        <f t="shared" si="33"/>
        <v>10.799999999999999</v>
      </c>
      <c r="DS236" s="10">
        <v>0</v>
      </c>
      <c r="DT236" s="11">
        <f t="shared" si="34"/>
        <v>0</v>
      </c>
      <c r="DU236" s="10"/>
      <c r="DV236" s="11">
        <f t="shared" si="35"/>
        <v>0</v>
      </c>
      <c r="DW236" s="10">
        <v>0</v>
      </c>
      <c r="DX236" s="11">
        <f t="shared" si="36"/>
        <v>0</v>
      </c>
      <c r="DY236" s="10"/>
      <c r="DZ236" s="10"/>
      <c r="EA236" s="11">
        <f t="shared" si="37"/>
        <v>0</v>
      </c>
      <c r="EB236" s="10"/>
      <c r="EC236" s="11">
        <f t="shared" si="38"/>
        <v>0</v>
      </c>
      <c r="ED236" s="10"/>
      <c r="EE236" s="10"/>
    </row>
    <row r="237" spans="2:135" ht="16.5">
      <c r="B237" s="47">
        <v>226</v>
      </c>
      <c r="C237" s="50" t="s">
        <v>907</v>
      </c>
      <c r="D237" s="49" t="s">
        <v>324</v>
      </c>
      <c r="E237" s="49"/>
      <c r="F237" s="49"/>
      <c r="G237" s="49"/>
      <c r="H237" s="71">
        <f t="shared" si="39"/>
        <v>10.799999999999999</v>
      </c>
      <c r="I237" s="10">
        <v>9</v>
      </c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10"/>
      <c r="BK237" s="10"/>
      <c r="BL237" s="10"/>
      <c r="BN237" s="10"/>
      <c r="B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  <c r="CG237" s="10"/>
      <c r="CH237" s="10"/>
      <c r="CI237" s="10"/>
      <c r="CJ237" s="10"/>
      <c r="CK237" s="10"/>
      <c r="CL237" s="10"/>
      <c r="CM237" s="10"/>
      <c r="CN237" s="10"/>
      <c r="CO237" s="10"/>
      <c r="CP237" s="10"/>
      <c r="CQ237" s="10"/>
      <c r="CR237" s="10"/>
      <c r="CS237" s="10"/>
      <c r="CT237" s="10"/>
      <c r="CU237" s="10"/>
      <c r="CV237" s="10"/>
      <c r="CW237" s="10"/>
      <c r="CX237" s="10"/>
      <c r="CY237" s="10"/>
      <c r="CZ237" s="11">
        <f t="shared" si="30"/>
        <v>0</v>
      </c>
      <c r="DA237" s="10"/>
      <c r="DB237" s="10"/>
      <c r="DC237" s="10"/>
      <c r="DD237" s="10"/>
      <c r="DE237" s="10"/>
      <c r="DF237" s="10"/>
      <c r="DG237" s="10"/>
      <c r="DH237" s="10"/>
      <c r="DI237" s="10"/>
      <c r="DJ237" s="11">
        <f t="shared" si="31"/>
        <v>0</v>
      </c>
      <c r="DK237" s="10"/>
      <c r="DL237" s="10"/>
      <c r="DM237" s="10">
        <v>4</v>
      </c>
      <c r="DN237" s="11">
        <f t="shared" si="32"/>
        <v>43.199999999999996</v>
      </c>
      <c r="DO237" s="10"/>
      <c r="DP237" s="10"/>
      <c r="DQ237" s="10">
        <v>4</v>
      </c>
      <c r="DR237" s="11">
        <f t="shared" si="33"/>
        <v>43.199999999999996</v>
      </c>
      <c r="DS237" s="10">
        <v>0</v>
      </c>
      <c r="DT237" s="11">
        <f t="shared" si="34"/>
        <v>0</v>
      </c>
      <c r="DU237" s="10"/>
      <c r="DV237" s="11">
        <f t="shared" si="35"/>
        <v>0</v>
      </c>
      <c r="DW237" s="10">
        <v>0</v>
      </c>
      <c r="DX237" s="11">
        <f t="shared" si="36"/>
        <v>0</v>
      </c>
      <c r="DY237" s="10"/>
      <c r="DZ237" s="10">
        <v>1</v>
      </c>
      <c r="EA237" s="11">
        <f t="shared" si="37"/>
        <v>10.799999999999999</v>
      </c>
      <c r="EB237" s="10"/>
      <c r="EC237" s="11">
        <f t="shared" si="38"/>
        <v>0</v>
      </c>
      <c r="ED237" s="10"/>
      <c r="EE237" s="10"/>
    </row>
    <row r="238" spans="2:135" ht="16.5">
      <c r="B238" s="47">
        <v>227</v>
      </c>
      <c r="C238" s="50" t="s">
        <v>908</v>
      </c>
      <c r="D238" s="49" t="s">
        <v>325</v>
      </c>
      <c r="E238" s="49"/>
      <c r="F238" s="49"/>
      <c r="G238" s="49"/>
      <c r="H238" s="71">
        <f t="shared" si="39"/>
        <v>21.599999999999998</v>
      </c>
      <c r="I238" s="10">
        <v>18</v>
      </c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10"/>
      <c r="BK238" s="10"/>
      <c r="BL238" s="10"/>
      <c r="BN238" s="10"/>
      <c r="BO238" s="10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  <c r="CD238" s="10"/>
      <c r="CE238" s="10"/>
      <c r="CF238" s="10"/>
      <c r="CG238" s="10"/>
      <c r="CH238" s="10"/>
      <c r="CI238" s="10"/>
      <c r="CJ238" s="10"/>
      <c r="CK238" s="10"/>
      <c r="CL238" s="10"/>
      <c r="CM238" s="10"/>
      <c r="CN238" s="10"/>
      <c r="CO238" s="10"/>
      <c r="CP238" s="10"/>
      <c r="CQ238" s="10"/>
      <c r="CR238" s="10"/>
      <c r="CS238" s="10"/>
      <c r="CT238" s="10"/>
      <c r="CU238" s="10"/>
      <c r="CV238" s="10"/>
      <c r="CW238" s="10"/>
      <c r="CX238" s="10"/>
      <c r="CY238" s="10">
        <v>1</v>
      </c>
      <c r="CZ238" s="11">
        <f t="shared" si="30"/>
        <v>21.599999999999998</v>
      </c>
      <c r="DA238" s="10"/>
      <c r="DB238" s="10"/>
      <c r="DC238" s="10"/>
      <c r="DD238" s="10"/>
      <c r="DE238" s="10"/>
      <c r="DF238" s="10"/>
      <c r="DG238" s="10"/>
      <c r="DH238" s="10"/>
      <c r="DI238" s="10"/>
      <c r="DJ238" s="11">
        <f t="shared" si="31"/>
        <v>0</v>
      </c>
      <c r="DK238" s="10"/>
      <c r="DL238" s="10"/>
      <c r="DM238" s="10"/>
      <c r="DN238" s="11">
        <f t="shared" si="32"/>
        <v>0</v>
      </c>
      <c r="DO238" s="10"/>
      <c r="DP238" s="10"/>
      <c r="DQ238" s="10">
        <v>17</v>
      </c>
      <c r="DR238" s="11">
        <f t="shared" si="33"/>
        <v>367.2</v>
      </c>
      <c r="DS238" s="10">
        <v>0</v>
      </c>
      <c r="DT238" s="11">
        <f t="shared" si="34"/>
        <v>0</v>
      </c>
      <c r="DU238" s="10"/>
      <c r="DV238" s="11">
        <f t="shared" si="35"/>
        <v>0</v>
      </c>
      <c r="DW238" s="10">
        <v>0</v>
      </c>
      <c r="DX238" s="11">
        <f t="shared" si="36"/>
        <v>0</v>
      </c>
      <c r="DY238" s="10"/>
      <c r="DZ238" s="10"/>
      <c r="EA238" s="11">
        <f t="shared" si="37"/>
        <v>0</v>
      </c>
      <c r="EB238" s="10"/>
      <c r="EC238" s="11">
        <f t="shared" si="38"/>
        <v>0</v>
      </c>
      <c r="ED238" s="10"/>
      <c r="EE238" s="10"/>
    </row>
    <row r="239" spans="2:135" ht="16.5">
      <c r="B239" s="47">
        <v>228</v>
      </c>
      <c r="C239" s="50" t="s">
        <v>909</v>
      </c>
      <c r="D239" s="49" t="s">
        <v>326</v>
      </c>
      <c r="E239" s="49"/>
      <c r="F239" s="49"/>
      <c r="G239" s="49"/>
      <c r="H239" s="71">
        <f t="shared" si="39"/>
        <v>1.2</v>
      </c>
      <c r="I239" s="10">
        <v>1</v>
      </c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10"/>
      <c r="BK239" s="10"/>
      <c r="BL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  <c r="CD239" s="10"/>
      <c r="CE239" s="10"/>
      <c r="CF239" s="10"/>
      <c r="CG239" s="10"/>
      <c r="CH239" s="10"/>
      <c r="CI239" s="10"/>
      <c r="CJ239" s="10"/>
      <c r="CK239" s="10"/>
      <c r="CL239" s="10"/>
      <c r="CM239" s="10"/>
      <c r="CN239" s="10"/>
      <c r="CO239" s="10"/>
      <c r="CP239" s="10"/>
      <c r="CQ239" s="10"/>
      <c r="CR239" s="10"/>
      <c r="CS239" s="10"/>
      <c r="CT239" s="10"/>
      <c r="CU239" s="10"/>
      <c r="CV239" s="10"/>
      <c r="CW239" s="10"/>
      <c r="CX239" s="10"/>
      <c r="CY239" s="10"/>
      <c r="CZ239" s="11">
        <f t="shared" si="30"/>
        <v>0</v>
      </c>
      <c r="DA239" s="10"/>
      <c r="DB239" s="10"/>
      <c r="DC239" s="10"/>
      <c r="DD239" s="10"/>
      <c r="DE239" s="10"/>
      <c r="DF239" s="10"/>
      <c r="DG239" s="10"/>
      <c r="DH239" s="10"/>
      <c r="DI239" s="10"/>
      <c r="DJ239" s="11">
        <f t="shared" si="31"/>
        <v>0</v>
      </c>
      <c r="DK239" s="10"/>
      <c r="DL239" s="10"/>
      <c r="DM239" s="10"/>
      <c r="DN239" s="11">
        <f t="shared" si="32"/>
        <v>0</v>
      </c>
      <c r="DO239" s="10"/>
      <c r="DP239" s="10"/>
      <c r="DQ239" s="10">
        <v>1</v>
      </c>
      <c r="DR239" s="11">
        <f t="shared" si="33"/>
        <v>1.2</v>
      </c>
      <c r="DS239" s="10">
        <v>0</v>
      </c>
      <c r="DT239" s="11">
        <f t="shared" si="34"/>
        <v>0</v>
      </c>
      <c r="DU239" s="10"/>
      <c r="DV239" s="11">
        <f t="shared" si="35"/>
        <v>0</v>
      </c>
      <c r="DW239" s="10">
        <v>0</v>
      </c>
      <c r="DX239" s="11">
        <f t="shared" si="36"/>
        <v>0</v>
      </c>
      <c r="DY239" s="10"/>
      <c r="DZ239" s="10"/>
      <c r="EA239" s="11">
        <f t="shared" si="37"/>
        <v>0</v>
      </c>
      <c r="EB239" s="10"/>
      <c r="EC239" s="11">
        <f t="shared" si="38"/>
        <v>0</v>
      </c>
      <c r="ED239" s="10"/>
      <c r="EE239" s="10"/>
    </row>
    <row r="240" spans="2:135" ht="16.5">
      <c r="B240" s="47">
        <v>229</v>
      </c>
      <c r="C240" s="50" t="s">
        <v>910</v>
      </c>
      <c r="D240" s="49" t="s">
        <v>327</v>
      </c>
      <c r="E240" s="49"/>
      <c r="F240" s="49"/>
      <c r="G240" s="49"/>
      <c r="H240" s="71">
        <f t="shared" si="39"/>
        <v>1.2</v>
      </c>
      <c r="I240" s="10">
        <v>1</v>
      </c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10"/>
      <c r="BK240" s="10"/>
      <c r="BL240" s="10"/>
      <c r="BN240" s="10"/>
      <c r="BO240" s="10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  <c r="CB240" s="10"/>
      <c r="CC240" s="10"/>
      <c r="CD240" s="10"/>
      <c r="CE240" s="10"/>
      <c r="CF240" s="10"/>
      <c r="CG240" s="10"/>
      <c r="CH240" s="10"/>
      <c r="CI240" s="10"/>
      <c r="CJ240" s="10"/>
      <c r="CK240" s="10"/>
      <c r="CL240" s="10"/>
      <c r="CM240" s="10"/>
      <c r="CN240" s="10"/>
      <c r="CO240" s="10"/>
      <c r="CP240" s="10"/>
      <c r="CQ240" s="10"/>
      <c r="CR240" s="10"/>
      <c r="CS240" s="10"/>
      <c r="CT240" s="10"/>
      <c r="CU240" s="10"/>
      <c r="CV240" s="10"/>
      <c r="CW240" s="10"/>
      <c r="CX240" s="10"/>
      <c r="CY240" s="10"/>
      <c r="CZ240" s="11">
        <f t="shared" si="30"/>
        <v>0</v>
      </c>
      <c r="DA240" s="10"/>
      <c r="DB240" s="10"/>
      <c r="DC240" s="10"/>
      <c r="DD240" s="10"/>
      <c r="DE240" s="10"/>
      <c r="DF240" s="10"/>
      <c r="DG240" s="10"/>
      <c r="DH240" s="10"/>
      <c r="DI240" s="10"/>
      <c r="DJ240" s="11">
        <f t="shared" si="31"/>
        <v>0</v>
      </c>
      <c r="DK240" s="10"/>
      <c r="DL240" s="10"/>
      <c r="DM240" s="10"/>
      <c r="DN240" s="11">
        <f t="shared" si="32"/>
        <v>0</v>
      </c>
      <c r="DO240" s="10"/>
      <c r="DP240" s="10"/>
      <c r="DQ240" s="10">
        <v>0</v>
      </c>
      <c r="DR240" s="11">
        <f t="shared" si="33"/>
        <v>0</v>
      </c>
      <c r="DS240" s="10">
        <v>0</v>
      </c>
      <c r="DT240" s="11">
        <f t="shared" si="34"/>
        <v>0</v>
      </c>
      <c r="DU240" s="10">
        <v>1</v>
      </c>
      <c r="DV240" s="11">
        <f t="shared" si="35"/>
        <v>1.2</v>
      </c>
      <c r="DW240" s="10">
        <v>0</v>
      </c>
      <c r="DX240" s="11">
        <f t="shared" si="36"/>
        <v>0</v>
      </c>
      <c r="DY240" s="10"/>
      <c r="DZ240" s="10"/>
      <c r="EA240" s="11">
        <f t="shared" si="37"/>
        <v>0</v>
      </c>
      <c r="EB240" s="10"/>
      <c r="EC240" s="11">
        <f t="shared" si="38"/>
        <v>0</v>
      </c>
      <c r="ED240" s="10"/>
      <c r="EE240" s="10"/>
    </row>
    <row r="241" spans="2:135" ht="16.5">
      <c r="B241" s="47">
        <v>230</v>
      </c>
      <c r="C241" s="50" t="s">
        <v>911</v>
      </c>
      <c r="D241" s="49" t="s">
        <v>328</v>
      </c>
      <c r="E241" s="49"/>
      <c r="F241" s="49"/>
      <c r="G241" s="49"/>
      <c r="H241" s="71">
        <f t="shared" si="39"/>
        <v>2.4</v>
      </c>
      <c r="I241" s="10">
        <v>2</v>
      </c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10"/>
      <c r="BK241" s="10"/>
      <c r="BL241" s="10"/>
      <c r="BN241" s="10"/>
      <c r="BO241" s="10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  <c r="CB241" s="10"/>
      <c r="CC241" s="10"/>
      <c r="CD241" s="10"/>
      <c r="CE241" s="10"/>
      <c r="CF241" s="10"/>
      <c r="CG241" s="10"/>
      <c r="CH241" s="10"/>
      <c r="CI241" s="10"/>
      <c r="CJ241" s="10"/>
      <c r="CK241" s="10"/>
      <c r="CL241" s="10"/>
      <c r="CM241" s="10"/>
      <c r="CN241" s="10"/>
      <c r="CO241" s="10"/>
      <c r="CP241" s="10"/>
      <c r="CQ241" s="10"/>
      <c r="CR241" s="10"/>
      <c r="CS241" s="10"/>
      <c r="CT241" s="10"/>
      <c r="CU241" s="10"/>
      <c r="CV241" s="10"/>
      <c r="CW241" s="10"/>
      <c r="CX241" s="10"/>
      <c r="CY241" s="10"/>
      <c r="CZ241" s="11">
        <f t="shared" si="30"/>
        <v>0</v>
      </c>
      <c r="DA241" s="10"/>
      <c r="DB241" s="10"/>
      <c r="DC241" s="10"/>
      <c r="DD241" s="10"/>
      <c r="DE241" s="10"/>
      <c r="DF241" s="10"/>
      <c r="DG241" s="10"/>
      <c r="DH241" s="10"/>
      <c r="DI241" s="10"/>
      <c r="DJ241" s="11">
        <f t="shared" si="31"/>
        <v>0</v>
      </c>
      <c r="DK241" s="10"/>
      <c r="DL241" s="10"/>
      <c r="DM241" s="10"/>
      <c r="DN241" s="11">
        <f t="shared" si="32"/>
        <v>0</v>
      </c>
      <c r="DO241" s="10"/>
      <c r="DP241" s="10"/>
      <c r="DQ241" s="10">
        <v>2</v>
      </c>
      <c r="DR241" s="11">
        <f t="shared" si="33"/>
        <v>4.8</v>
      </c>
      <c r="DS241" s="10">
        <v>0</v>
      </c>
      <c r="DT241" s="11">
        <f t="shared" si="34"/>
        <v>0</v>
      </c>
      <c r="DU241" s="10"/>
      <c r="DV241" s="11">
        <f t="shared" si="35"/>
        <v>0</v>
      </c>
      <c r="DW241" s="10">
        <v>0</v>
      </c>
      <c r="DX241" s="11">
        <f t="shared" si="36"/>
        <v>0</v>
      </c>
      <c r="DY241" s="10"/>
      <c r="DZ241" s="10"/>
      <c r="EA241" s="11">
        <f t="shared" si="37"/>
        <v>0</v>
      </c>
      <c r="EB241" s="10"/>
      <c r="EC241" s="11">
        <f t="shared" si="38"/>
        <v>0</v>
      </c>
      <c r="ED241" s="10"/>
      <c r="EE241" s="10"/>
    </row>
    <row r="242" spans="2:135" ht="16.5">
      <c r="B242" s="47">
        <v>231</v>
      </c>
      <c r="C242" s="50" t="s">
        <v>912</v>
      </c>
      <c r="D242" s="49" t="s">
        <v>329</v>
      </c>
      <c r="E242" s="49"/>
      <c r="F242" s="49"/>
      <c r="G242" s="49"/>
      <c r="H242" s="71">
        <f t="shared" si="39"/>
        <v>9.6</v>
      </c>
      <c r="I242" s="10">
        <v>8</v>
      </c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  <c r="BI242" s="10"/>
      <c r="BJ242" s="10"/>
      <c r="BK242" s="10"/>
      <c r="BL242" s="10"/>
      <c r="BN242" s="10"/>
      <c r="BO242" s="10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  <c r="CG242" s="10"/>
      <c r="CH242" s="10"/>
      <c r="CI242" s="10"/>
      <c r="CJ242" s="10"/>
      <c r="CK242" s="10"/>
      <c r="CL242" s="10"/>
      <c r="CM242" s="10"/>
      <c r="CN242" s="10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10"/>
      <c r="CZ242" s="11">
        <f t="shared" si="30"/>
        <v>0</v>
      </c>
      <c r="DA242" s="10"/>
      <c r="DB242" s="10"/>
      <c r="DC242" s="10"/>
      <c r="DD242" s="10"/>
      <c r="DE242" s="10"/>
      <c r="DF242" s="10"/>
      <c r="DG242" s="10"/>
      <c r="DH242" s="10"/>
      <c r="DI242" s="10"/>
      <c r="DJ242" s="11">
        <f t="shared" si="31"/>
        <v>0</v>
      </c>
      <c r="DK242" s="10"/>
      <c r="DL242" s="10"/>
      <c r="DM242" s="10"/>
      <c r="DN242" s="11">
        <f t="shared" si="32"/>
        <v>0</v>
      </c>
      <c r="DO242" s="10"/>
      <c r="DP242" s="10"/>
      <c r="DQ242" s="10">
        <v>6</v>
      </c>
      <c r="DR242" s="11">
        <f t="shared" si="33"/>
        <v>57.599999999999994</v>
      </c>
      <c r="DS242" s="10">
        <v>0</v>
      </c>
      <c r="DT242" s="11">
        <f t="shared" si="34"/>
        <v>0</v>
      </c>
      <c r="DU242" s="10">
        <v>2</v>
      </c>
      <c r="DV242" s="11">
        <f t="shared" si="35"/>
        <v>19.2</v>
      </c>
      <c r="DW242" s="10">
        <v>0</v>
      </c>
      <c r="DX242" s="11">
        <f t="shared" si="36"/>
        <v>0</v>
      </c>
      <c r="DY242" s="10"/>
      <c r="DZ242" s="10"/>
      <c r="EA242" s="11">
        <f t="shared" si="37"/>
        <v>0</v>
      </c>
      <c r="EB242" s="10"/>
      <c r="EC242" s="11">
        <f t="shared" si="38"/>
        <v>0</v>
      </c>
      <c r="ED242" s="10"/>
      <c r="EE242" s="10"/>
    </row>
    <row r="243" spans="2:135" ht="16.5">
      <c r="B243" s="47">
        <v>232</v>
      </c>
      <c r="C243" s="50" t="s">
        <v>913</v>
      </c>
      <c r="D243" s="49" t="s">
        <v>330</v>
      </c>
      <c r="E243" s="49"/>
      <c r="F243" s="49"/>
      <c r="G243" s="49"/>
      <c r="H243" s="71">
        <f t="shared" si="39"/>
        <v>3.5999999999999996</v>
      </c>
      <c r="I243" s="10">
        <v>3</v>
      </c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10"/>
      <c r="BK243" s="10"/>
      <c r="BL243" s="10"/>
      <c r="BN243" s="10"/>
      <c r="BO243" s="10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  <c r="CD243" s="10"/>
      <c r="CE243" s="10"/>
      <c r="CF243" s="10"/>
      <c r="CG243" s="10"/>
      <c r="CH243" s="10"/>
      <c r="CI243" s="10"/>
      <c r="CJ243" s="10"/>
      <c r="CK243" s="10"/>
      <c r="CL243" s="10"/>
      <c r="CM243" s="10"/>
      <c r="CN243" s="10"/>
      <c r="CO243" s="10"/>
      <c r="CP243" s="10"/>
      <c r="CQ243" s="10"/>
      <c r="CR243" s="10"/>
      <c r="CS243" s="10"/>
      <c r="CT243" s="10"/>
      <c r="CU243" s="10"/>
      <c r="CV243" s="10"/>
      <c r="CW243" s="10"/>
      <c r="CX243" s="10"/>
      <c r="CY243" s="10">
        <v>1</v>
      </c>
      <c r="CZ243" s="11">
        <f t="shared" si="30"/>
        <v>3.5999999999999996</v>
      </c>
      <c r="DA243" s="10"/>
      <c r="DB243" s="10"/>
      <c r="DC243" s="10"/>
      <c r="DD243" s="10"/>
      <c r="DE243" s="10"/>
      <c r="DF243" s="10"/>
      <c r="DG243" s="10"/>
      <c r="DH243" s="10"/>
      <c r="DI243" s="10"/>
      <c r="DJ243" s="11">
        <f t="shared" si="31"/>
        <v>0</v>
      </c>
      <c r="DK243" s="10"/>
      <c r="DL243" s="10"/>
      <c r="DM243" s="10"/>
      <c r="DN243" s="11">
        <f t="shared" si="32"/>
        <v>0</v>
      </c>
      <c r="DO243" s="10"/>
      <c r="DP243" s="10"/>
      <c r="DQ243" s="10">
        <v>2</v>
      </c>
      <c r="DR243" s="11">
        <f t="shared" si="33"/>
        <v>7.1999999999999993</v>
      </c>
      <c r="DS243" s="10">
        <v>0</v>
      </c>
      <c r="DT243" s="11">
        <f t="shared" si="34"/>
        <v>0</v>
      </c>
      <c r="DU243" s="10"/>
      <c r="DV243" s="11">
        <f t="shared" si="35"/>
        <v>0</v>
      </c>
      <c r="DW243" s="10">
        <v>0</v>
      </c>
      <c r="DX243" s="11">
        <f t="shared" si="36"/>
        <v>0</v>
      </c>
      <c r="DY243" s="10"/>
      <c r="DZ243" s="10"/>
      <c r="EA243" s="11">
        <f t="shared" si="37"/>
        <v>0</v>
      </c>
      <c r="EB243" s="10"/>
      <c r="EC243" s="11">
        <f t="shared" si="38"/>
        <v>0</v>
      </c>
      <c r="ED243" s="10"/>
      <c r="EE243" s="10"/>
    </row>
    <row r="244" spans="2:135" ht="16.5">
      <c r="B244" s="47">
        <v>233</v>
      </c>
      <c r="C244" s="50" t="s">
        <v>914</v>
      </c>
      <c r="D244" s="49" t="s">
        <v>331</v>
      </c>
      <c r="E244" s="49"/>
      <c r="F244" s="49"/>
      <c r="G244" s="49"/>
      <c r="H244" s="71">
        <f t="shared" si="39"/>
        <v>2.4</v>
      </c>
      <c r="I244" s="10">
        <v>2</v>
      </c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10"/>
      <c r="BK244" s="10"/>
      <c r="BL244" s="10"/>
      <c r="BN244" s="10"/>
      <c r="BO244" s="10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  <c r="CB244" s="10"/>
      <c r="CC244" s="10"/>
      <c r="CD244" s="10"/>
      <c r="CE244" s="10"/>
      <c r="CF244" s="10"/>
      <c r="CG244" s="10"/>
      <c r="CH244" s="10"/>
      <c r="CI244" s="10"/>
      <c r="CJ244" s="10"/>
      <c r="CK244" s="10"/>
      <c r="CL244" s="10"/>
      <c r="CM244" s="10"/>
      <c r="CN244" s="10"/>
      <c r="CO244" s="10"/>
      <c r="CP244" s="10"/>
      <c r="CQ244" s="10"/>
      <c r="CR244" s="10"/>
      <c r="CS244" s="10"/>
      <c r="CT244" s="10"/>
      <c r="CU244" s="10"/>
      <c r="CV244" s="10"/>
      <c r="CW244" s="10"/>
      <c r="CX244" s="10"/>
      <c r="CY244" s="10"/>
      <c r="CZ244" s="11">
        <f t="shared" si="30"/>
        <v>0</v>
      </c>
      <c r="DA244" s="10"/>
      <c r="DB244" s="10"/>
      <c r="DC244" s="10"/>
      <c r="DD244" s="10"/>
      <c r="DE244" s="10"/>
      <c r="DF244" s="10"/>
      <c r="DG244" s="10"/>
      <c r="DH244" s="10"/>
      <c r="DI244" s="10"/>
      <c r="DJ244" s="11">
        <f t="shared" si="31"/>
        <v>0</v>
      </c>
      <c r="DK244" s="10"/>
      <c r="DL244" s="10"/>
      <c r="DM244" s="10"/>
      <c r="DN244" s="11">
        <f t="shared" si="32"/>
        <v>0</v>
      </c>
      <c r="DO244" s="10"/>
      <c r="DP244" s="10"/>
      <c r="DQ244" s="10">
        <v>2</v>
      </c>
      <c r="DR244" s="11">
        <f t="shared" si="33"/>
        <v>4.8</v>
      </c>
      <c r="DS244" s="10">
        <v>0</v>
      </c>
      <c r="DT244" s="11">
        <f t="shared" si="34"/>
        <v>0</v>
      </c>
      <c r="DU244" s="10"/>
      <c r="DV244" s="11">
        <f t="shared" si="35"/>
        <v>0</v>
      </c>
      <c r="DW244" s="10">
        <v>0</v>
      </c>
      <c r="DX244" s="11">
        <f t="shared" si="36"/>
        <v>0</v>
      </c>
      <c r="DY244" s="10"/>
      <c r="DZ244" s="10"/>
      <c r="EA244" s="11">
        <f t="shared" si="37"/>
        <v>0</v>
      </c>
      <c r="EB244" s="10"/>
      <c r="EC244" s="11">
        <f t="shared" si="38"/>
        <v>0</v>
      </c>
      <c r="ED244" s="10"/>
      <c r="EE244" s="10"/>
    </row>
    <row r="245" spans="2:135" ht="16.5">
      <c r="B245" s="47">
        <v>234</v>
      </c>
      <c r="C245" s="50" t="s">
        <v>915</v>
      </c>
      <c r="D245" s="49" t="s">
        <v>332</v>
      </c>
      <c r="E245" s="49"/>
      <c r="F245" s="49"/>
      <c r="G245" s="49"/>
      <c r="H245" s="71">
        <f t="shared" si="39"/>
        <v>2.4</v>
      </c>
      <c r="I245" s="10">
        <v>2</v>
      </c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10"/>
      <c r="BK245" s="10"/>
      <c r="BL245" s="10"/>
      <c r="BN245" s="10"/>
      <c r="BO245" s="10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  <c r="CD245" s="10"/>
      <c r="CE245" s="10"/>
      <c r="CF245" s="10"/>
      <c r="CG245" s="10"/>
      <c r="CH245" s="10"/>
      <c r="CI245" s="10"/>
      <c r="CJ245" s="10"/>
      <c r="CK245" s="10"/>
      <c r="CL245" s="10"/>
      <c r="CM245" s="10"/>
      <c r="CN245" s="10"/>
      <c r="CO245" s="10"/>
      <c r="CP245" s="10"/>
      <c r="CQ245" s="10"/>
      <c r="CR245" s="10"/>
      <c r="CS245" s="10"/>
      <c r="CT245" s="10"/>
      <c r="CU245" s="10"/>
      <c r="CV245" s="10"/>
      <c r="CW245" s="10"/>
      <c r="CX245" s="10"/>
      <c r="CY245" s="10"/>
      <c r="CZ245" s="11">
        <f t="shared" si="30"/>
        <v>0</v>
      </c>
      <c r="DA245" s="10"/>
      <c r="DB245" s="10"/>
      <c r="DC245" s="10"/>
      <c r="DD245" s="10"/>
      <c r="DE245" s="10"/>
      <c r="DF245" s="10"/>
      <c r="DG245" s="10"/>
      <c r="DH245" s="10"/>
      <c r="DI245" s="10"/>
      <c r="DJ245" s="11">
        <f t="shared" si="31"/>
        <v>0</v>
      </c>
      <c r="DK245" s="10"/>
      <c r="DL245" s="10"/>
      <c r="DM245" s="10"/>
      <c r="DN245" s="11">
        <f t="shared" si="32"/>
        <v>0</v>
      </c>
      <c r="DO245" s="10"/>
      <c r="DP245" s="10"/>
      <c r="DQ245" s="10">
        <v>2</v>
      </c>
      <c r="DR245" s="11">
        <f t="shared" si="33"/>
        <v>4.8</v>
      </c>
      <c r="DS245" s="10">
        <v>0</v>
      </c>
      <c r="DT245" s="11">
        <f t="shared" si="34"/>
        <v>0</v>
      </c>
      <c r="DU245" s="10"/>
      <c r="DV245" s="11">
        <f t="shared" si="35"/>
        <v>0</v>
      </c>
      <c r="DW245" s="10">
        <v>0</v>
      </c>
      <c r="DX245" s="11">
        <f t="shared" si="36"/>
        <v>0</v>
      </c>
      <c r="DY245" s="10"/>
      <c r="DZ245" s="10"/>
      <c r="EA245" s="11">
        <f t="shared" si="37"/>
        <v>0</v>
      </c>
      <c r="EB245" s="10"/>
      <c r="EC245" s="11">
        <f t="shared" si="38"/>
        <v>0</v>
      </c>
      <c r="ED245" s="10"/>
      <c r="EE245" s="10"/>
    </row>
    <row r="246" spans="2:135" ht="16.5">
      <c r="B246" s="47">
        <v>235</v>
      </c>
      <c r="C246" s="50" t="s">
        <v>916</v>
      </c>
      <c r="D246" s="49" t="s">
        <v>333</v>
      </c>
      <c r="E246" s="49"/>
      <c r="F246" s="49"/>
      <c r="G246" s="49"/>
      <c r="H246" s="71">
        <f t="shared" si="39"/>
        <v>10.799999999999999</v>
      </c>
      <c r="I246" s="10">
        <v>9</v>
      </c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10"/>
      <c r="BK246" s="10"/>
      <c r="BL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  <c r="CD246" s="10"/>
      <c r="CE246" s="10"/>
      <c r="CF246" s="10"/>
      <c r="CG246" s="10"/>
      <c r="CH246" s="10"/>
      <c r="CI246" s="10"/>
      <c r="CJ246" s="10"/>
      <c r="CK246" s="10"/>
      <c r="CL246" s="10"/>
      <c r="CM246" s="10"/>
      <c r="CN246" s="10"/>
      <c r="CO246" s="10"/>
      <c r="CP246" s="10"/>
      <c r="CQ246" s="10"/>
      <c r="CR246" s="10"/>
      <c r="CS246" s="10"/>
      <c r="CT246" s="10"/>
      <c r="CU246" s="10"/>
      <c r="CV246" s="10"/>
      <c r="CW246" s="10"/>
      <c r="CX246" s="10"/>
      <c r="CY246" s="10">
        <v>2</v>
      </c>
      <c r="CZ246" s="11">
        <f t="shared" si="30"/>
        <v>21.599999999999998</v>
      </c>
      <c r="DA246" s="10"/>
      <c r="DB246" s="10"/>
      <c r="DC246" s="10"/>
      <c r="DD246" s="10"/>
      <c r="DE246" s="10"/>
      <c r="DF246" s="10"/>
      <c r="DG246" s="10"/>
      <c r="DH246" s="10"/>
      <c r="DI246" s="10"/>
      <c r="DJ246" s="11">
        <f t="shared" si="31"/>
        <v>0</v>
      </c>
      <c r="DK246" s="10"/>
      <c r="DL246" s="10"/>
      <c r="DM246" s="10">
        <v>4</v>
      </c>
      <c r="DN246" s="11">
        <f t="shared" si="32"/>
        <v>43.199999999999996</v>
      </c>
      <c r="DO246" s="10"/>
      <c r="DP246" s="10"/>
      <c r="DQ246" s="10">
        <v>0</v>
      </c>
      <c r="DR246" s="11">
        <f t="shared" si="33"/>
        <v>0</v>
      </c>
      <c r="DS246" s="10">
        <v>0</v>
      </c>
      <c r="DT246" s="11">
        <f t="shared" si="34"/>
        <v>0</v>
      </c>
      <c r="DU246" s="10"/>
      <c r="DV246" s="11">
        <f t="shared" si="35"/>
        <v>0</v>
      </c>
      <c r="DW246" s="10">
        <v>0</v>
      </c>
      <c r="DX246" s="11">
        <f t="shared" si="36"/>
        <v>0</v>
      </c>
      <c r="DY246" s="10"/>
      <c r="DZ246" s="10"/>
      <c r="EA246" s="11">
        <f t="shared" si="37"/>
        <v>0</v>
      </c>
      <c r="EB246" s="10">
        <v>3</v>
      </c>
      <c r="EC246" s="11">
        <f t="shared" si="38"/>
        <v>32.4</v>
      </c>
      <c r="ED246" s="10"/>
      <c r="EE246" s="10"/>
    </row>
    <row r="247" spans="2:135" ht="16.5">
      <c r="B247" s="47">
        <v>236</v>
      </c>
      <c r="C247" s="50" t="s">
        <v>917</v>
      </c>
      <c r="D247" s="49" t="s">
        <v>334</v>
      </c>
      <c r="E247" s="49"/>
      <c r="F247" s="49"/>
      <c r="G247" s="49"/>
      <c r="H247" s="71">
        <f t="shared" si="39"/>
        <v>1.2</v>
      </c>
      <c r="I247" s="10">
        <v>1</v>
      </c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10"/>
      <c r="BK247" s="10"/>
      <c r="BL247" s="10"/>
      <c r="BN247" s="10"/>
      <c r="BO247" s="10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  <c r="CD247" s="10"/>
      <c r="CE247" s="10"/>
      <c r="CF247" s="10"/>
      <c r="CG247" s="10"/>
      <c r="CH247" s="10"/>
      <c r="CI247" s="10"/>
      <c r="CJ247" s="10"/>
      <c r="CK247" s="10"/>
      <c r="CL247" s="10"/>
      <c r="CM247" s="10"/>
      <c r="CN247" s="10"/>
      <c r="CO247" s="10"/>
      <c r="CP247" s="10"/>
      <c r="CQ247" s="10"/>
      <c r="CR247" s="10"/>
      <c r="CS247" s="10"/>
      <c r="CT247" s="10"/>
      <c r="CU247" s="10"/>
      <c r="CV247" s="10"/>
      <c r="CW247" s="10"/>
      <c r="CX247" s="10"/>
      <c r="CY247" s="10"/>
      <c r="CZ247" s="11">
        <f t="shared" si="30"/>
        <v>0</v>
      </c>
      <c r="DA247" s="10"/>
      <c r="DB247" s="10"/>
      <c r="DC247" s="10"/>
      <c r="DD247" s="10"/>
      <c r="DE247" s="10"/>
      <c r="DF247" s="10"/>
      <c r="DG247" s="10"/>
      <c r="DH247" s="10"/>
      <c r="DI247" s="10"/>
      <c r="DJ247" s="11">
        <f t="shared" si="31"/>
        <v>0</v>
      </c>
      <c r="DK247" s="10"/>
      <c r="DL247" s="10"/>
      <c r="DM247" s="10"/>
      <c r="DN247" s="11">
        <f t="shared" si="32"/>
        <v>0</v>
      </c>
      <c r="DO247" s="10"/>
      <c r="DP247" s="10"/>
      <c r="DQ247" s="10">
        <v>0</v>
      </c>
      <c r="DR247" s="11">
        <f t="shared" si="33"/>
        <v>0</v>
      </c>
      <c r="DS247" s="10">
        <v>0</v>
      </c>
      <c r="DT247" s="11">
        <f t="shared" si="34"/>
        <v>0</v>
      </c>
      <c r="DU247" s="10">
        <v>1</v>
      </c>
      <c r="DV247" s="11">
        <f t="shared" si="35"/>
        <v>1.2</v>
      </c>
      <c r="DW247" s="10">
        <v>0</v>
      </c>
      <c r="DX247" s="11">
        <f t="shared" si="36"/>
        <v>0</v>
      </c>
      <c r="DY247" s="10"/>
      <c r="DZ247" s="10"/>
      <c r="EA247" s="11">
        <f t="shared" si="37"/>
        <v>0</v>
      </c>
      <c r="EB247" s="10"/>
      <c r="EC247" s="11">
        <f t="shared" si="38"/>
        <v>0</v>
      </c>
      <c r="ED247" s="10"/>
      <c r="EE247" s="10"/>
    </row>
    <row r="248" spans="2:135" ht="16.5">
      <c r="B248" s="47">
        <v>237</v>
      </c>
      <c r="C248" s="50" t="s">
        <v>918</v>
      </c>
      <c r="D248" s="49" t="s">
        <v>335</v>
      </c>
      <c r="E248" s="49"/>
      <c r="F248" s="49"/>
      <c r="G248" s="49"/>
      <c r="H248" s="71">
        <f t="shared" si="39"/>
        <v>3.5999999999999996</v>
      </c>
      <c r="I248" s="10">
        <v>3</v>
      </c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B248" s="10"/>
      <c r="BC248" s="10"/>
      <c r="BD248" s="10"/>
      <c r="BE248" s="10"/>
      <c r="BF248" s="10"/>
      <c r="BG248" s="10"/>
      <c r="BH248" s="10"/>
      <c r="BI248" s="10"/>
      <c r="BJ248" s="10"/>
      <c r="BK248" s="10"/>
      <c r="BL248" s="10"/>
      <c r="BN248" s="10"/>
      <c r="B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  <c r="CG248" s="10"/>
      <c r="CH248" s="10"/>
      <c r="CI248" s="10"/>
      <c r="CJ248" s="10"/>
      <c r="CK248" s="10"/>
      <c r="CL248" s="10"/>
      <c r="CM248" s="10"/>
      <c r="CN248" s="10"/>
      <c r="CO248" s="10"/>
      <c r="CP248" s="10"/>
      <c r="CQ248" s="10"/>
      <c r="CR248" s="10"/>
      <c r="CS248" s="10"/>
      <c r="CT248" s="10"/>
      <c r="CU248" s="10"/>
      <c r="CV248" s="10"/>
      <c r="CW248" s="10"/>
      <c r="CX248" s="10"/>
      <c r="CY248" s="10"/>
      <c r="CZ248" s="11">
        <f t="shared" si="30"/>
        <v>0</v>
      </c>
      <c r="DA248" s="10"/>
      <c r="DB248" s="10"/>
      <c r="DC248" s="10"/>
      <c r="DD248" s="10"/>
      <c r="DE248" s="10"/>
      <c r="DF248" s="10"/>
      <c r="DG248" s="10"/>
      <c r="DH248" s="10"/>
      <c r="DI248" s="10"/>
      <c r="DJ248" s="11">
        <f t="shared" si="31"/>
        <v>0</v>
      </c>
      <c r="DK248" s="10"/>
      <c r="DL248" s="10"/>
      <c r="DM248" s="10"/>
      <c r="DN248" s="11">
        <f t="shared" si="32"/>
        <v>0</v>
      </c>
      <c r="DO248" s="10"/>
      <c r="DP248" s="10"/>
      <c r="DQ248" s="10">
        <v>3</v>
      </c>
      <c r="DR248" s="11">
        <f t="shared" si="33"/>
        <v>10.799999999999999</v>
      </c>
      <c r="DS248" s="10">
        <v>0</v>
      </c>
      <c r="DT248" s="11">
        <f t="shared" si="34"/>
        <v>0</v>
      </c>
      <c r="DU248" s="10"/>
      <c r="DV248" s="11">
        <f t="shared" si="35"/>
        <v>0</v>
      </c>
      <c r="DW248" s="10">
        <v>0</v>
      </c>
      <c r="DX248" s="11">
        <f t="shared" si="36"/>
        <v>0</v>
      </c>
      <c r="DY248" s="10"/>
      <c r="DZ248" s="10"/>
      <c r="EA248" s="11">
        <f t="shared" si="37"/>
        <v>0</v>
      </c>
      <c r="EB248" s="10"/>
      <c r="EC248" s="11">
        <f t="shared" si="38"/>
        <v>0</v>
      </c>
      <c r="ED248" s="10"/>
      <c r="EE248" s="10"/>
    </row>
    <row r="249" spans="2:135" ht="16.5">
      <c r="B249" s="47">
        <v>238</v>
      </c>
      <c r="C249" s="50" t="s">
        <v>919</v>
      </c>
      <c r="D249" s="49" t="s">
        <v>336</v>
      </c>
      <c r="E249" s="49"/>
      <c r="F249" s="49"/>
      <c r="G249" s="49"/>
      <c r="H249" s="71">
        <f t="shared" si="39"/>
        <v>1.2</v>
      </c>
      <c r="I249" s="10">
        <v>1</v>
      </c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  <c r="BI249" s="10"/>
      <c r="BJ249" s="10"/>
      <c r="BK249" s="10"/>
      <c r="BL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1">
        <f t="shared" si="30"/>
        <v>0</v>
      </c>
      <c r="DA249" s="10"/>
      <c r="DB249" s="10"/>
      <c r="DC249" s="10"/>
      <c r="DD249" s="10"/>
      <c r="DE249" s="10"/>
      <c r="DF249" s="10"/>
      <c r="DG249" s="10"/>
      <c r="DH249" s="10"/>
      <c r="DI249" s="10"/>
      <c r="DJ249" s="11">
        <f t="shared" si="31"/>
        <v>0</v>
      </c>
      <c r="DK249" s="10"/>
      <c r="DL249" s="10"/>
      <c r="DM249" s="10"/>
      <c r="DN249" s="11">
        <f t="shared" si="32"/>
        <v>0</v>
      </c>
      <c r="DO249" s="10"/>
      <c r="DP249" s="10"/>
      <c r="DQ249" s="10">
        <v>0</v>
      </c>
      <c r="DR249" s="11">
        <f t="shared" si="33"/>
        <v>0</v>
      </c>
      <c r="DS249" s="10">
        <v>0</v>
      </c>
      <c r="DT249" s="11">
        <f t="shared" si="34"/>
        <v>0</v>
      </c>
      <c r="DU249" s="10"/>
      <c r="DV249" s="11">
        <f t="shared" si="35"/>
        <v>0</v>
      </c>
      <c r="DW249" s="10">
        <v>0</v>
      </c>
      <c r="DX249" s="11">
        <f t="shared" si="36"/>
        <v>0</v>
      </c>
      <c r="DY249" s="10"/>
      <c r="DZ249" s="10">
        <v>1</v>
      </c>
      <c r="EA249" s="11">
        <f t="shared" si="37"/>
        <v>1.2</v>
      </c>
      <c r="EB249" s="10"/>
      <c r="EC249" s="11">
        <f t="shared" si="38"/>
        <v>0</v>
      </c>
      <c r="ED249" s="10"/>
      <c r="EE249" s="10"/>
    </row>
    <row r="250" spans="2:135" ht="16.5">
      <c r="B250" s="47">
        <v>239</v>
      </c>
      <c r="C250" s="50" t="s">
        <v>920</v>
      </c>
      <c r="D250" s="49" t="s">
        <v>337</v>
      </c>
      <c r="E250" s="49"/>
      <c r="F250" s="49"/>
      <c r="G250" s="49"/>
      <c r="H250" s="71">
        <f t="shared" si="39"/>
        <v>20.399999999999999</v>
      </c>
      <c r="I250" s="10">
        <v>17</v>
      </c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  <c r="BB250" s="10"/>
      <c r="BC250" s="10"/>
      <c r="BD250" s="10"/>
      <c r="BE250" s="10"/>
      <c r="BF250" s="10"/>
      <c r="BG250" s="10"/>
      <c r="BH250" s="10"/>
      <c r="BI250" s="10"/>
      <c r="BJ250" s="10"/>
      <c r="BK250" s="10"/>
      <c r="BL250" s="10"/>
      <c r="BN250" s="10"/>
      <c r="BO250" s="10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  <c r="CD250" s="10"/>
      <c r="CE250" s="10"/>
      <c r="CF250" s="10"/>
      <c r="CG250" s="10"/>
      <c r="CH250" s="10"/>
      <c r="CI250" s="10"/>
      <c r="CJ250" s="10"/>
      <c r="CK250" s="10"/>
      <c r="CL250" s="10"/>
      <c r="CM250" s="10"/>
      <c r="CN250" s="10"/>
      <c r="CO250" s="10"/>
      <c r="CP250" s="10"/>
      <c r="CQ250" s="10"/>
      <c r="CR250" s="10"/>
      <c r="CS250" s="10"/>
      <c r="CT250" s="10"/>
      <c r="CU250" s="10"/>
      <c r="CV250" s="10"/>
      <c r="CW250" s="10"/>
      <c r="CX250" s="10"/>
      <c r="CY250" s="10"/>
      <c r="CZ250" s="11">
        <f t="shared" si="30"/>
        <v>0</v>
      </c>
      <c r="DA250" s="10"/>
      <c r="DB250" s="10"/>
      <c r="DC250" s="10"/>
      <c r="DD250" s="10"/>
      <c r="DE250" s="10"/>
      <c r="DF250" s="10"/>
      <c r="DG250" s="10"/>
      <c r="DH250" s="10"/>
      <c r="DI250" s="10"/>
      <c r="DJ250" s="11">
        <f t="shared" si="31"/>
        <v>0</v>
      </c>
      <c r="DK250" s="10"/>
      <c r="DL250" s="10"/>
      <c r="DM250" s="10"/>
      <c r="DN250" s="11">
        <f t="shared" si="32"/>
        <v>0</v>
      </c>
      <c r="DO250" s="10"/>
      <c r="DP250" s="10"/>
      <c r="DQ250" s="10">
        <v>11</v>
      </c>
      <c r="DR250" s="11">
        <f t="shared" si="33"/>
        <v>224.39999999999998</v>
      </c>
      <c r="DS250" s="10">
        <v>0</v>
      </c>
      <c r="DT250" s="11">
        <f t="shared" si="34"/>
        <v>0</v>
      </c>
      <c r="DU250" s="10"/>
      <c r="DV250" s="11">
        <f t="shared" si="35"/>
        <v>0</v>
      </c>
      <c r="DW250" s="10">
        <v>6</v>
      </c>
      <c r="DX250" s="11">
        <f t="shared" si="36"/>
        <v>122.39999999999999</v>
      </c>
      <c r="DY250" s="10"/>
      <c r="DZ250" s="10"/>
      <c r="EA250" s="11">
        <f t="shared" si="37"/>
        <v>0</v>
      </c>
      <c r="EB250" s="10"/>
      <c r="EC250" s="11">
        <f t="shared" si="38"/>
        <v>0</v>
      </c>
      <c r="ED250" s="10"/>
      <c r="EE250" s="10"/>
    </row>
    <row r="251" spans="2:135" ht="16.5">
      <c r="B251" s="47">
        <v>240</v>
      </c>
      <c r="C251" s="50" t="s">
        <v>921</v>
      </c>
      <c r="D251" s="49" t="s">
        <v>338</v>
      </c>
      <c r="E251" s="49"/>
      <c r="F251" s="49"/>
      <c r="G251" s="49"/>
      <c r="H251" s="71">
        <f t="shared" si="39"/>
        <v>3.5999999999999996</v>
      </c>
      <c r="I251" s="10">
        <v>3</v>
      </c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  <c r="BL251" s="10"/>
      <c r="BN251" s="10"/>
      <c r="BO251" s="10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  <c r="CD251" s="10"/>
      <c r="CE251" s="10"/>
      <c r="CF251" s="10"/>
      <c r="CG251" s="10"/>
      <c r="CH251" s="10"/>
      <c r="CI251" s="10"/>
      <c r="CJ251" s="10"/>
      <c r="CK251" s="10"/>
      <c r="CL251" s="10"/>
      <c r="CM251" s="10"/>
      <c r="CN251" s="10"/>
      <c r="CO251" s="10"/>
      <c r="CP251" s="10"/>
      <c r="CQ251" s="10"/>
      <c r="CR251" s="10"/>
      <c r="CS251" s="10"/>
      <c r="CT251" s="10"/>
      <c r="CU251" s="10"/>
      <c r="CV251" s="10"/>
      <c r="CW251" s="10"/>
      <c r="CX251" s="10"/>
      <c r="CY251" s="10"/>
      <c r="CZ251" s="11">
        <f t="shared" si="30"/>
        <v>0</v>
      </c>
      <c r="DA251" s="10"/>
      <c r="DB251" s="10"/>
      <c r="DC251" s="10"/>
      <c r="DD251" s="10"/>
      <c r="DE251" s="10"/>
      <c r="DF251" s="10"/>
      <c r="DG251" s="10"/>
      <c r="DH251" s="10"/>
      <c r="DI251" s="10"/>
      <c r="DJ251" s="11">
        <f t="shared" si="31"/>
        <v>0</v>
      </c>
      <c r="DK251" s="10"/>
      <c r="DL251" s="10"/>
      <c r="DM251" s="10"/>
      <c r="DN251" s="11">
        <f t="shared" si="32"/>
        <v>0</v>
      </c>
      <c r="DO251" s="10"/>
      <c r="DP251" s="10"/>
      <c r="DQ251" s="10">
        <v>1</v>
      </c>
      <c r="DR251" s="11">
        <f t="shared" si="33"/>
        <v>3.5999999999999996</v>
      </c>
      <c r="DS251" s="10">
        <v>0</v>
      </c>
      <c r="DT251" s="11">
        <f t="shared" si="34"/>
        <v>0</v>
      </c>
      <c r="DU251" s="10"/>
      <c r="DV251" s="11">
        <f t="shared" si="35"/>
        <v>0</v>
      </c>
      <c r="DW251" s="10">
        <v>0</v>
      </c>
      <c r="DX251" s="11">
        <f t="shared" si="36"/>
        <v>0</v>
      </c>
      <c r="DY251" s="10"/>
      <c r="DZ251" s="10"/>
      <c r="EA251" s="11">
        <f t="shared" si="37"/>
        <v>0</v>
      </c>
      <c r="EB251" s="10">
        <v>2</v>
      </c>
      <c r="EC251" s="11">
        <f t="shared" si="38"/>
        <v>7.1999999999999993</v>
      </c>
      <c r="ED251" s="10"/>
      <c r="EE251" s="10"/>
    </row>
    <row r="252" spans="2:135" ht="16.5">
      <c r="B252" s="47">
        <v>241</v>
      </c>
      <c r="C252" s="50" t="s">
        <v>922</v>
      </c>
      <c r="D252" s="49" t="s">
        <v>339</v>
      </c>
      <c r="E252" s="49"/>
      <c r="F252" s="49"/>
      <c r="G252" s="49"/>
      <c r="H252" s="71">
        <f t="shared" si="39"/>
        <v>7.1999999999999993</v>
      </c>
      <c r="I252" s="10">
        <v>6</v>
      </c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10"/>
      <c r="BK252" s="10"/>
      <c r="BL252" s="10"/>
      <c r="BN252" s="10"/>
      <c r="BO252" s="10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  <c r="CD252" s="10"/>
      <c r="CE252" s="10"/>
      <c r="CF252" s="10"/>
      <c r="CG252" s="10"/>
      <c r="CH252" s="10"/>
      <c r="CI252" s="10"/>
      <c r="CJ252" s="10"/>
      <c r="CK252" s="10"/>
      <c r="CL252" s="10"/>
      <c r="CM252" s="10"/>
      <c r="CN252" s="10"/>
      <c r="CO252" s="10"/>
      <c r="CP252" s="10"/>
      <c r="CQ252" s="10"/>
      <c r="CR252" s="10"/>
      <c r="CS252" s="10"/>
      <c r="CT252" s="10"/>
      <c r="CU252" s="10"/>
      <c r="CV252" s="10"/>
      <c r="CW252" s="10"/>
      <c r="CX252" s="10"/>
      <c r="CY252" s="10"/>
      <c r="CZ252" s="11">
        <f t="shared" si="30"/>
        <v>0</v>
      </c>
      <c r="DA252" s="10"/>
      <c r="DB252" s="10"/>
      <c r="DC252" s="10"/>
      <c r="DD252" s="10"/>
      <c r="DE252" s="10"/>
      <c r="DF252" s="10"/>
      <c r="DG252" s="10"/>
      <c r="DH252" s="10"/>
      <c r="DI252" s="10"/>
      <c r="DJ252" s="11">
        <f t="shared" si="31"/>
        <v>0</v>
      </c>
      <c r="DK252" s="10"/>
      <c r="DL252" s="10"/>
      <c r="DM252" s="10"/>
      <c r="DN252" s="11">
        <f t="shared" si="32"/>
        <v>0</v>
      </c>
      <c r="DO252" s="10"/>
      <c r="DP252" s="10"/>
      <c r="DQ252" s="10">
        <v>6</v>
      </c>
      <c r="DR252" s="11">
        <f t="shared" si="33"/>
        <v>43.199999999999996</v>
      </c>
      <c r="DS252" s="10">
        <v>0</v>
      </c>
      <c r="DT252" s="11">
        <f t="shared" si="34"/>
        <v>0</v>
      </c>
      <c r="DU252" s="10"/>
      <c r="DV252" s="11">
        <f t="shared" si="35"/>
        <v>0</v>
      </c>
      <c r="DW252" s="10">
        <v>0</v>
      </c>
      <c r="DX252" s="11">
        <f t="shared" si="36"/>
        <v>0</v>
      </c>
      <c r="DY252" s="10"/>
      <c r="DZ252" s="10"/>
      <c r="EA252" s="11">
        <f t="shared" si="37"/>
        <v>0</v>
      </c>
      <c r="EB252" s="10"/>
      <c r="EC252" s="11">
        <f t="shared" si="38"/>
        <v>0</v>
      </c>
      <c r="ED252" s="10"/>
      <c r="EE252" s="10"/>
    </row>
    <row r="253" spans="2:135" ht="16.5">
      <c r="B253" s="47">
        <v>242</v>
      </c>
      <c r="C253" s="50" t="s">
        <v>923</v>
      </c>
      <c r="D253" s="49" t="s">
        <v>340</v>
      </c>
      <c r="E253" s="49"/>
      <c r="F253" s="49"/>
      <c r="G253" s="49"/>
      <c r="H253" s="71">
        <f t="shared" si="39"/>
        <v>19.2</v>
      </c>
      <c r="I253" s="10">
        <v>16</v>
      </c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  <c r="BL253" s="10"/>
      <c r="BN253" s="10"/>
      <c r="BO253" s="10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  <c r="CD253" s="10"/>
      <c r="CE253" s="10"/>
      <c r="CF253" s="10"/>
      <c r="CG253" s="10"/>
      <c r="CH253" s="10"/>
      <c r="CI253" s="10"/>
      <c r="CJ253" s="10"/>
      <c r="CK253" s="10"/>
      <c r="CL253" s="10"/>
      <c r="CM253" s="10"/>
      <c r="CN253" s="10"/>
      <c r="CO253" s="10"/>
      <c r="CP253" s="10"/>
      <c r="CQ253" s="10"/>
      <c r="CR253" s="10"/>
      <c r="CS253" s="10"/>
      <c r="CT253" s="10"/>
      <c r="CU253" s="10"/>
      <c r="CV253" s="10"/>
      <c r="CW253" s="10"/>
      <c r="CX253" s="10"/>
      <c r="CY253" s="10"/>
      <c r="CZ253" s="11">
        <f t="shared" si="30"/>
        <v>0</v>
      </c>
      <c r="DA253" s="10"/>
      <c r="DB253" s="10"/>
      <c r="DC253" s="10"/>
      <c r="DD253" s="10"/>
      <c r="DE253" s="10"/>
      <c r="DF253" s="10"/>
      <c r="DG253" s="10"/>
      <c r="DH253" s="10"/>
      <c r="DI253" s="10"/>
      <c r="DJ253" s="11">
        <f t="shared" si="31"/>
        <v>0</v>
      </c>
      <c r="DK253" s="10"/>
      <c r="DL253" s="10"/>
      <c r="DM253" s="10"/>
      <c r="DN253" s="11">
        <f t="shared" si="32"/>
        <v>0</v>
      </c>
      <c r="DO253" s="10"/>
      <c r="DP253" s="10"/>
      <c r="DQ253" s="10">
        <v>16</v>
      </c>
      <c r="DR253" s="11">
        <f t="shared" si="33"/>
        <v>307.2</v>
      </c>
      <c r="DS253" s="10">
        <v>0</v>
      </c>
      <c r="DT253" s="11">
        <f t="shared" si="34"/>
        <v>0</v>
      </c>
      <c r="DU253" s="10"/>
      <c r="DV253" s="11">
        <f t="shared" si="35"/>
        <v>0</v>
      </c>
      <c r="DW253" s="10">
        <v>0</v>
      </c>
      <c r="DX253" s="11">
        <f t="shared" si="36"/>
        <v>0</v>
      </c>
      <c r="DY253" s="10"/>
      <c r="DZ253" s="10"/>
      <c r="EA253" s="11">
        <f t="shared" si="37"/>
        <v>0</v>
      </c>
      <c r="EB253" s="10"/>
      <c r="EC253" s="11">
        <f t="shared" si="38"/>
        <v>0</v>
      </c>
      <c r="ED253" s="10"/>
      <c r="EE253" s="10"/>
    </row>
    <row r="254" spans="2:135" ht="16.5">
      <c r="B254" s="47">
        <v>243</v>
      </c>
      <c r="C254" s="50" t="s">
        <v>924</v>
      </c>
      <c r="D254" s="49" t="s">
        <v>341</v>
      </c>
      <c r="E254" s="49"/>
      <c r="F254" s="49"/>
      <c r="G254" s="49"/>
      <c r="H254" s="71">
        <f t="shared" si="39"/>
        <v>6</v>
      </c>
      <c r="I254" s="10">
        <v>5</v>
      </c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  <c r="BL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  <c r="CQ254" s="10"/>
      <c r="CR254" s="10"/>
      <c r="CS254" s="10"/>
      <c r="CT254" s="10"/>
      <c r="CU254" s="10"/>
      <c r="CV254" s="10"/>
      <c r="CW254" s="10"/>
      <c r="CX254" s="10"/>
      <c r="CY254" s="10"/>
      <c r="CZ254" s="11">
        <f t="shared" si="30"/>
        <v>0</v>
      </c>
      <c r="DA254" s="10"/>
      <c r="DB254" s="10"/>
      <c r="DC254" s="10"/>
      <c r="DD254" s="10"/>
      <c r="DE254" s="10"/>
      <c r="DF254" s="10"/>
      <c r="DG254" s="10"/>
      <c r="DH254" s="10"/>
      <c r="DI254" s="10"/>
      <c r="DJ254" s="11">
        <f t="shared" si="31"/>
        <v>0</v>
      </c>
      <c r="DK254" s="10"/>
      <c r="DL254" s="10"/>
      <c r="DM254" s="10"/>
      <c r="DN254" s="11">
        <f t="shared" si="32"/>
        <v>0</v>
      </c>
      <c r="DO254" s="10"/>
      <c r="DP254" s="10"/>
      <c r="DQ254" s="10">
        <v>5</v>
      </c>
      <c r="DR254" s="11">
        <f t="shared" si="33"/>
        <v>30</v>
      </c>
      <c r="DS254" s="10">
        <v>0</v>
      </c>
      <c r="DT254" s="11">
        <f t="shared" si="34"/>
        <v>0</v>
      </c>
      <c r="DU254" s="10"/>
      <c r="DV254" s="11">
        <f t="shared" si="35"/>
        <v>0</v>
      </c>
      <c r="DW254" s="10">
        <v>0</v>
      </c>
      <c r="DX254" s="11">
        <f t="shared" si="36"/>
        <v>0</v>
      </c>
      <c r="DY254" s="10"/>
      <c r="DZ254" s="10"/>
      <c r="EA254" s="11">
        <f t="shared" si="37"/>
        <v>0</v>
      </c>
      <c r="EB254" s="10"/>
      <c r="EC254" s="11">
        <f t="shared" si="38"/>
        <v>0</v>
      </c>
      <c r="ED254" s="10"/>
      <c r="EE254" s="10"/>
    </row>
    <row r="255" spans="2:135" ht="16.5">
      <c r="B255" s="47">
        <v>244</v>
      </c>
      <c r="C255" s="50" t="s">
        <v>925</v>
      </c>
      <c r="D255" s="49" t="s">
        <v>342</v>
      </c>
      <c r="E255" s="49"/>
      <c r="F255" s="49"/>
      <c r="G255" s="49"/>
      <c r="H255" s="71">
        <f t="shared" si="39"/>
        <v>6</v>
      </c>
      <c r="I255" s="10">
        <v>5</v>
      </c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  <c r="BL255" s="10"/>
      <c r="BN255" s="10"/>
      <c r="B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  <c r="CG255" s="10"/>
      <c r="CH255" s="10"/>
      <c r="CI255" s="10"/>
      <c r="CJ255" s="10"/>
      <c r="CK255" s="10"/>
      <c r="CL255" s="10"/>
      <c r="CM255" s="10"/>
      <c r="CN255" s="10"/>
      <c r="CO255" s="10"/>
      <c r="CP255" s="10"/>
      <c r="CQ255" s="10"/>
      <c r="CR255" s="10"/>
      <c r="CS255" s="10"/>
      <c r="CT255" s="10"/>
      <c r="CU255" s="10"/>
      <c r="CV255" s="10"/>
      <c r="CW255" s="10"/>
      <c r="CX255" s="10"/>
      <c r="CY255" s="10"/>
      <c r="CZ255" s="11">
        <f t="shared" si="30"/>
        <v>0</v>
      </c>
      <c r="DA255" s="10"/>
      <c r="DB255" s="10"/>
      <c r="DC255" s="10"/>
      <c r="DD255" s="10"/>
      <c r="DE255" s="10"/>
      <c r="DF255" s="10"/>
      <c r="DG255" s="10"/>
      <c r="DH255" s="10"/>
      <c r="DI255" s="10"/>
      <c r="DJ255" s="11">
        <f t="shared" si="31"/>
        <v>0</v>
      </c>
      <c r="DK255" s="10"/>
      <c r="DL255" s="10"/>
      <c r="DM255" s="10"/>
      <c r="DN255" s="11">
        <f t="shared" si="32"/>
        <v>0</v>
      </c>
      <c r="DO255" s="10"/>
      <c r="DP255" s="10"/>
      <c r="DQ255" s="10">
        <v>5</v>
      </c>
      <c r="DR255" s="11">
        <f t="shared" si="33"/>
        <v>30</v>
      </c>
      <c r="DS255" s="10">
        <v>0</v>
      </c>
      <c r="DT255" s="11">
        <f t="shared" si="34"/>
        <v>0</v>
      </c>
      <c r="DU255" s="10"/>
      <c r="DV255" s="11">
        <f t="shared" si="35"/>
        <v>0</v>
      </c>
      <c r="DW255" s="10">
        <v>0</v>
      </c>
      <c r="DX255" s="11">
        <f t="shared" si="36"/>
        <v>0</v>
      </c>
      <c r="DY255" s="10"/>
      <c r="DZ255" s="10"/>
      <c r="EA255" s="11">
        <f t="shared" si="37"/>
        <v>0</v>
      </c>
      <c r="EB255" s="10"/>
      <c r="EC255" s="11">
        <f t="shared" si="38"/>
        <v>0</v>
      </c>
      <c r="ED255" s="10"/>
      <c r="EE255" s="10"/>
    </row>
    <row r="256" spans="2:135" ht="16.5">
      <c r="B256" s="47">
        <v>245</v>
      </c>
      <c r="C256" s="50" t="s">
        <v>926</v>
      </c>
      <c r="D256" s="49" t="s">
        <v>343</v>
      </c>
      <c r="E256" s="49"/>
      <c r="F256" s="49"/>
      <c r="G256" s="49"/>
      <c r="H256" s="71">
        <f t="shared" si="39"/>
        <v>3.5999999999999996</v>
      </c>
      <c r="I256" s="10">
        <v>3</v>
      </c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10"/>
      <c r="BK256" s="10"/>
      <c r="BL256" s="10"/>
      <c r="BN256" s="10"/>
      <c r="BO256" s="10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  <c r="CD256" s="10"/>
      <c r="CE256" s="10"/>
      <c r="CF256" s="10"/>
      <c r="CG256" s="10"/>
      <c r="CH256" s="10"/>
      <c r="CI256" s="10"/>
      <c r="CJ256" s="10"/>
      <c r="CK256" s="10"/>
      <c r="CL256" s="10"/>
      <c r="CM256" s="10"/>
      <c r="CN256" s="10"/>
      <c r="CO256" s="10"/>
      <c r="CP256" s="10"/>
      <c r="CQ256" s="10"/>
      <c r="CR256" s="10"/>
      <c r="CS256" s="10"/>
      <c r="CT256" s="10"/>
      <c r="CU256" s="10"/>
      <c r="CV256" s="10"/>
      <c r="CW256" s="10"/>
      <c r="CX256" s="10"/>
      <c r="CY256" s="10"/>
      <c r="CZ256" s="11">
        <f t="shared" si="30"/>
        <v>0</v>
      </c>
      <c r="DA256" s="10"/>
      <c r="DB256" s="10"/>
      <c r="DC256" s="10"/>
      <c r="DD256" s="10"/>
      <c r="DE256" s="10"/>
      <c r="DF256" s="10"/>
      <c r="DG256" s="10"/>
      <c r="DH256" s="10"/>
      <c r="DI256" s="10">
        <v>3</v>
      </c>
      <c r="DJ256" s="11">
        <f t="shared" si="31"/>
        <v>10.799999999999999</v>
      </c>
      <c r="DK256" s="10"/>
      <c r="DL256" s="10"/>
      <c r="DM256" s="10"/>
      <c r="DN256" s="11">
        <f t="shared" si="32"/>
        <v>0</v>
      </c>
      <c r="DO256" s="10"/>
      <c r="DP256" s="10"/>
      <c r="DQ256" s="10">
        <v>0</v>
      </c>
      <c r="DR256" s="11">
        <f t="shared" si="33"/>
        <v>0</v>
      </c>
      <c r="DS256" s="10">
        <v>0</v>
      </c>
      <c r="DT256" s="11">
        <f t="shared" si="34"/>
        <v>0</v>
      </c>
      <c r="DU256" s="10"/>
      <c r="DV256" s="11">
        <f t="shared" si="35"/>
        <v>0</v>
      </c>
      <c r="DW256" s="10">
        <v>0</v>
      </c>
      <c r="DX256" s="11">
        <f t="shared" si="36"/>
        <v>0</v>
      </c>
      <c r="DY256" s="10"/>
      <c r="DZ256" s="10"/>
      <c r="EA256" s="11">
        <f t="shared" si="37"/>
        <v>0</v>
      </c>
      <c r="EB256" s="10"/>
      <c r="EC256" s="11">
        <f t="shared" si="38"/>
        <v>0</v>
      </c>
      <c r="ED256" s="10"/>
      <c r="EE256" s="10"/>
    </row>
    <row r="257" spans="2:135" ht="16.5">
      <c r="B257" s="47">
        <v>246</v>
      </c>
      <c r="C257" s="50" t="s">
        <v>927</v>
      </c>
      <c r="D257" s="49" t="s">
        <v>344</v>
      </c>
      <c r="E257" s="49"/>
      <c r="F257" s="49"/>
      <c r="G257" s="49"/>
      <c r="H257" s="71">
        <f t="shared" si="39"/>
        <v>20.399999999999999</v>
      </c>
      <c r="I257" s="10">
        <v>17</v>
      </c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/>
      <c r="BK257" s="10"/>
      <c r="BL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0"/>
      <c r="CE257" s="10"/>
      <c r="CF257" s="10"/>
      <c r="CG257" s="10"/>
      <c r="CH257" s="10"/>
      <c r="CI257" s="10"/>
      <c r="CJ257" s="10"/>
      <c r="CK257" s="10"/>
      <c r="CL257" s="10"/>
      <c r="CM257" s="10"/>
      <c r="CN257" s="10"/>
      <c r="CO257" s="10"/>
      <c r="CP257" s="10"/>
      <c r="CQ257" s="10"/>
      <c r="CR257" s="10"/>
      <c r="CS257" s="10"/>
      <c r="CT257" s="10"/>
      <c r="CU257" s="10"/>
      <c r="CV257" s="10"/>
      <c r="CW257" s="10"/>
      <c r="CX257" s="10"/>
      <c r="CY257" s="10"/>
      <c r="CZ257" s="11">
        <f t="shared" si="30"/>
        <v>0</v>
      </c>
      <c r="DA257" s="10"/>
      <c r="DB257" s="10"/>
      <c r="DC257" s="10"/>
      <c r="DD257" s="10"/>
      <c r="DE257" s="10"/>
      <c r="DF257" s="10"/>
      <c r="DG257" s="10"/>
      <c r="DH257" s="10"/>
      <c r="DI257" s="10"/>
      <c r="DJ257" s="11">
        <f t="shared" si="31"/>
        <v>0</v>
      </c>
      <c r="DK257" s="10"/>
      <c r="DL257" s="10"/>
      <c r="DM257" s="10"/>
      <c r="DN257" s="11">
        <f t="shared" si="32"/>
        <v>0</v>
      </c>
      <c r="DO257" s="10"/>
      <c r="DP257" s="10"/>
      <c r="DQ257" s="10">
        <v>17</v>
      </c>
      <c r="DR257" s="11">
        <f t="shared" si="33"/>
        <v>346.79999999999995</v>
      </c>
      <c r="DS257" s="10">
        <v>0</v>
      </c>
      <c r="DT257" s="11">
        <f t="shared" si="34"/>
        <v>0</v>
      </c>
      <c r="DU257" s="10"/>
      <c r="DV257" s="11">
        <f t="shared" si="35"/>
        <v>0</v>
      </c>
      <c r="DW257" s="10">
        <v>0</v>
      </c>
      <c r="DX257" s="11">
        <f t="shared" si="36"/>
        <v>0</v>
      </c>
      <c r="DY257" s="10"/>
      <c r="DZ257" s="10"/>
      <c r="EA257" s="11">
        <f t="shared" si="37"/>
        <v>0</v>
      </c>
      <c r="EB257" s="10"/>
      <c r="EC257" s="11">
        <f t="shared" si="38"/>
        <v>0</v>
      </c>
      <c r="ED257" s="10"/>
      <c r="EE257" s="10"/>
    </row>
    <row r="258" spans="2:135" ht="16.5">
      <c r="B258" s="47">
        <v>247</v>
      </c>
      <c r="C258" s="50" t="s">
        <v>928</v>
      </c>
      <c r="D258" s="49" t="s">
        <v>345</v>
      </c>
      <c r="E258" s="49"/>
      <c r="F258" s="49"/>
      <c r="G258" s="49"/>
      <c r="H258" s="71">
        <f t="shared" si="39"/>
        <v>9.6</v>
      </c>
      <c r="I258" s="10">
        <v>8</v>
      </c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10"/>
      <c r="BK258" s="10"/>
      <c r="BL258" s="10"/>
      <c r="BN258" s="10"/>
      <c r="BO258" s="10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  <c r="CD258" s="10"/>
      <c r="CE258" s="10"/>
      <c r="CF258" s="10"/>
      <c r="CG258" s="10"/>
      <c r="CH258" s="10"/>
      <c r="CI258" s="10"/>
      <c r="CJ258" s="10"/>
      <c r="CK258" s="10"/>
      <c r="CL258" s="10"/>
      <c r="CM258" s="10"/>
      <c r="CN258" s="10"/>
      <c r="CO258" s="10"/>
      <c r="CP258" s="10"/>
      <c r="CQ258" s="10"/>
      <c r="CR258" s="10"/>
      <c r="CS258" s="10"/>
      <c r="CT258" s="10"/>
      <c r="CU258" s="10"/>
      <c r="CV258" s="10"/>
      <c r="CW258" s="10"/>
      <c r="CX258" s="10"/>
      <c r="CY258" s="10"/>
      <c r="CZ258" s="11">
        <f t="shared" si="30"/>
        <v>0</v>
      </c>
      <c r="DA258" s="10"/>
      <c r="DB258" s="10"/>
      <c r="DC258" s="10"/>
      <c r="DD258" s="10"/>
      <c r="DE258" s="10"/>
      <c r="DF258" s="10"/>
      <c r="DG258" s="10"/>
      <c r="DH258" s="10"/>
      <c r="DI258" s="10"/>
      <c r="DJ258" s="11">
        <f t="shared" si="31"/>
        <v>0</v>
      </c>
      <c r="DK258" s="10"/>
      <c r="DL258" s="10"/>
      <c r="DM258" s="10"/>
      <c r="DN258" s="11">
        <f t="shared" si="32"/>
        <v>0</v>
      </c>
      <c r="DO258" s="10"/>
      <c r="DP258" s="10"/>
      <c r="DQ258" s="10">
        <v>8</v>
      </c>
      <c r="DR258" s="11">
        <f t="shared" si="33"/>
        <v>76.8</v>
      </c>
      <c r="DS258" s="10">
        <v>0</v>
      </c>
      <c r="DT258" s="11">
        <f t="shared" si="34"/>
        <v>0</v>
      </c>
      <c r="DU258" s="10"/>
      <c r="DV258" s="11">
        <f t="shared" si="35"/>
        <v>0</v>
      </c>
      <c r="DW258" s="10">
        <v>0</v>
      </c>
      <c r="DX258" s="11">
        <f t="shared" si="36"/>
        <v>0</v>
      </c>
      <c r="DY258" s="10"/>
      <c r="DZ258" s="10"/>
      <c r="EA258" s="11">
        <f t="shared" si="37"/>
        <v>0</v>
      </c>
      <c r="EB258" s="10"/>
      <c r="EC258" s="11">
        <f t="shared" si="38"/>
        <v>0</v>
      </c>
      <c r="ED258" s="10"/>
      <c r="EE258" s="10"/>
    </row>
    <row r="259" spans="2:135" ht="16.5">
      <c r="B259" s="47">
        <v>248</v>
      </c>
      <c r="C259" s="50" t="s">
        <v>929</v>
      </c>
      <c r="D259" s="49" t="s">
        <v>346</v>
      </c>
      <c r="E259" s="49"/>
      <c r="F259" s="49"/>
      <c r="G259" s="49"/>
      <c r="H259" s="71">
        <f t="shared" si="39"/>
        <v>2.4</v>
      </c>
      <c r="I259" s="10">
        <v>2</v>
      </c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  <c r="BL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  <c r="CD259" s="10"/>
      <c r="CE259" s="10"/>
      <c r="CF259" s="10"/>
      <c r="CG259" s="10"/>
      <c r="CH259" s="10"/>
      <c r="CI259" s="10"/>
      <c r="CJ259" s="10"/>
      <c r="CK259" s="10"/>
      <c r="CL259" s="10"/>
      <c r="CM259" s="10"/>
      <c r="CN259" s="10"/>
      <c r="CO259" s="10"/>
      <c r="CP259" s="10"/>
      <c r="CQ259" s="10"/>
      <c r="CR259" s="10"/>
      <c r="CS259" s="10"/>
      <c r="CT259" s="10"/>
      <c r="CU259" s="10"/>
      <c r="CV259" s="10"/>
      <c r="CW259" s="10"/>
      <c r="CX259" s="10"/>
      <c r="CY259" s="10"/>
      <c r="CZ259" s="11">
        <f t="shared" si="30"/>
        <v>0</v>
      </c>
      <c r="DA259" s="10"/>
      <c r="DB259" s="10"/>
      <c r="DC259" s="10"/>
      <c r="DD259" s="10"/>
      <c r="DE259" s="10"/>
      <c r="DF259" s="10"/>
      <c r="DG259" s="10"/>
      <c r="DH259" s="10"/>
      <c r="DI259" s="10"/>
      <c r="DJ259" s="11">
        <f t="shared" si="31"/>
        <v>0</v>
      </c>
      <c r="DK259" s="10"/>
      <c r="DL259" s="10"/>
      <c r="DM259" s="10"/>
      <c r="DN259" s="11">
        <f t="shared" si="32"/>
        <v>0</v>
      </c>
      <c r="DO259" s="10"/>
      <c r="DP259" s="10"/>
      <c r="DQ259" s="10">
        <v>2</v>
      </c>
      <c r="DR259" s="11">
        <f t="shared" si="33"/>
        <v>4.8</v>
      </c>
      <c r="DS259" s="10">
        <v>0</v>
      </c>
      <c r="DT259" s="11">
        <f t="shared" si="34"/>
        <v>0</v>
      </c>
      <c r="DU259" s="10"/>
      <c r="DV259" s="11">
        <f t="shared" si="35"/>
        <v>0</v>
      </c>
      <c r="DW259" s="10">
        <v>0</v>
      </c>
      <c r="DX259" s="11">
        <f t="shared" si="36"/>
        <v>0</v>
      </c>
      <c r="DY259" s="10"/>
      <c r="DZ259" s="10"/>
      <c r="EA259" s="11">
        <f t="shared" si="37"/>
        <v>0</v>
      </c>
      <c r="EB259" s="10"/>
      <c r="EC259" s="11">
        <f t="shared" si="38"/>
        <v>0</v>
      </c>
      <c r="ED259" s="10"/>
      <c r="EE259" s="10"/>
    </row>
    <row r="260" spans="2:135" ht="16.5">
      <c r="B260" s="47">
        <v>249</v>
      </c>
      <c r="C260" s="50" t="s">
        <v>930</v>
      </c>
      <c r="D260" s="49" t="s">
        <v>347</v>
      </c>
      <c r="E260" s="49"/>
      <c r="F260" s="49"/>
      <c r="G260" s="49"/>
      <c r="H260" s="71">
        <f t="shared" si="39"/>
        <v>26.4</v>
      </c>
      <c r="I260" s="10">
        <v>22</v>
      </c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10"/>
      <c r="BK260" s="10"/>
      <c r="BL260" s="10"/>
      <c r="BN260" s="10"/>
      <c r="BO260" s="10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  <c r="CB260" s="10"/>
      <c r="CC260" s="10"/>
      <c r="CD260" s="10"/>
      <c r="CE260" s="10"/>
      <c r="CF260" s="10"/>
      <c r="CG260" s="10"/>
      <c r="CH260" s="10"/>
      <c r="CI260" s="10"/>
      <c r="CJ260" s="10"/>
      <c r="CK260" s="10"/>
      <c r="CL260" s="10"/>
      <c r="CM260" s="10"/>
      <c r="CN260" s="10"/>
      <c r="CO260" s="10"/>
      <c r="CP260" s="10"/>
      <c r="CQ260" s="10"/>
      <c r="CR260" s="10"/>
      <c r="CS260" s="10"/>
      <c r="CT260" s="10"/>
      <c r="CU260" s="10"/>
      <c r="CV260" s="10"/>
      <c r="CW260" s="10"/>
      <c r="CX260" s="10"/>
      <c r="CY260" s="10"/>
      <c r="CZ260" s="11">
        <f t="shared" si="30"/>
        <v>0</v>
      </c>
      <c r="DA260" s="10"/>
      <c r="DB260" s="10"/>
      <c r="DC260" s="10"/>
      <c r="DD260" s="10"/>
      <c r="DE260" s="10"/>
      <c r="DF260" s="10"/>
      <c r="DG260" s="10"/>
      <c r="DH260" s="10"/>
      <c r="DI260" s="10">
        <v>1</v>
      </c>
      <c r="DJ260" s="11">
        <f t="shared" si="31"/>
        <v>26.4</v>
      </c>
      <c r="DK260" s="10"/>
      <c r="DL260" s="10"/>
      <c r="DM260" s="10"/>
      <c r="DN260" s="11">
        <f t="shared" si="32"/>
        <v>0</v>
      </c>
      <c r="DO260" s="10"/>
      <c r="DP260" s="10"/>
      <c r="DQ260" s="10">
        <v>10</v>
      </c>
      <c r="DR260" s="11">
        <f t="shared" si="33"/>
        <v>264</v>
      </c>
      <c r="DS260" s="10">
        <v>0</v>
      </c>
      <c r="DT260" s="11">
        <f t="shared" si="34"/>
        <v>0</v>
      </c>
      <c r="DU260" s="10">
        <v>7</v>
      </c>
      <c r="DV260" s="11">
        <f t="shared" si="35"/>
        <v>184.79999999999998</v>
      </c>
      <c r="DW260" s="10">
        <v>4</v>
      </c>
      <c r="DX260" s="11">
        <f t="shared" si="36"/>
        <v>105.6</v>
      </c>
      <c r="DY260" s="10"/>
      <c r="DZ260" s="10"/>
      <c r="EA260" s="11">
        <f t="shared" si="37"/>
        <v>0</v>
      </c>
      <c r="EB260" s="10"/>
      <c r="EC260" s="11">
        <f t="shared" si="38"/>
        <v>0</v>
      </c>
      <c r="ED260" s="10"/>
      <c r="EE260" s="10"/>
    </row>
    <row r="261" spans="2:135" ht="16.5">
      <c r="B261" s="47">
        <v>250</v>
      </c>
      <c r="C261" s="50" t="s">
        <v>931</v>
      </c>
      <c r="D261" s="49" t="s">
        <v>348</v>
      </c>
      <c r="E261" s="49"/>
      <c r="F261" s="49"/>
      <c r="G261" s="49"/>
      <c r="H261" s="71">
        <f t="shared" si="39"/>
        <v>3.5999999999999996</v>
      </c>
      <c r="I261" s="10">
        <v>3</v>
      </c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  <c r="BL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  <c r="CD261" s="10"/>
      <c r="CE261" s="10"/>
      <c r="CF261" s="10"/>
      <c r="CG261" s="10"/>
      <c r="CH261" s="10"/>
      <c r="CI261" s="10"/>
      <c r="CJ261" s="10"/>
      <c r="CK261" s="10"/>
      <c r="CL261" s="10"/>
      <c r="CM261" s="10"/>
      <c r="CN261" s="10"/>
      <c r="CO261" s="10"/>
      <c r="CP261" s="10"/>
      <c r="CQ261" s="10"/>
      <c r="CR261" s="10"/>
      <c r="CS261" s="10"/>
      <c r="CT261" s="10"/>
      <c r="CU261" s="10"/>
      <c r="CV261" s="10"/>
      <c r="CW261" s="10"/>
      <c r="CX261" s="10"/>
      <c r="CY261" s="10"/>
      <c r="CZ261" s="11">
        <f t="shared" si="30"/>
        <v>0</v>
      </c>
      <c r="DA261" s="10"/>
      <c r="DB261" s="10"/>
      <c r="DC261" s="10"/>
      <c r="DD261" s="10"/>
      <c r="DE261" s="10"/>
      <c r="DF261" s="10"/>
      <c r="DG261" s="10"/>
      <c r="DH261" s="10"/>
      <c r="DI261" s="10"/>
      <c r="DJ261" s="11">
        <f t="shared" si="31"/>
        <v>0</v>
      </c>
      <c r="DK261" s="10"/>
      <c r="DL261" s="10"/>
      <c r="DM261" s="10"/>
      <c r="DN261" s="11">
        <f t="shared" si="32"/>
        <v>0</v>
      </c>
      <c r="DO261" s="10"/>
      <c r="DP261" s="10"/>
      <c r="DQ261" s="10">
        <v>3</v>
      </c>
      <c r="DR261" s="11">
        <f t="shared" si="33"/>
        <v>10.799999999999999</v>
      </c>
      <c r="DS261" s="10">
        <v>0</v>
      </c>
      <c r="DT261" s="11">
        <f t="shared" si="34"/>
        <v>0</v>
      </c>
      <c r="DU261" s="10"/>
      <c r="DV261" s="11">
        <f t="shared" si="35"/>
        <v>0</v>
      </c>
      <c r="DW261" s="10">
        <v>0</v>
      </c>
      <c r="DX261" s="11">
        <f t="shared" si="36"/>
        <v>0</v>
      </c>
      <c r="DY261" s="10"/>
      <c r="DZ261" s="10"/>
      <c r="EA261" s="11">
        <f t="shared" si="37"/>
        <v>0</v>
      </c>
      <c r="EB261" s="10"/>
      <c r="EC261" s="11">
        <f t="shared" si="38"/>
        <v>0</v>
      </c>
      <c r="ED261" s="10"/>
      <c r="EE261" s="10"/>
    </row>
    <row r="262" spans="2:135" ht="16.5">
      <c r="B262" s="47">
        <v>251</v>
      </c>
      <c r="C262" s="50" t="s">
        <v>932</v>
      </c>
      <c r="D262" s="49" t="s">
        <v>349</v>
      </c>
      <c r="E262" s="49"/>
      <c r="F262" s="49"/>
      <c r="G262" s="49"/>
      <c r="H262" s="71">
        <f t="shared" si="39"/>
        <v>4.8</v>
      </c>
      <c r="I262" s="10">
        <v>4</v>
      </c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  <c r="BI262" s="10"/>
      <c r="BJ262" s="10"/>
      <c r="BK262" s="10"/>
      <c r="BL262" s="10"/>
      <c r="BN262" s="10"/>
      <c r="BO262" s="10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  <c r="CB262" s="10"/>
      <c r="CC262" s="10"/>
      <c r="CD262" s="10"/>
      <c r="CE262" s="10"/>
      <c r="CF262" s="10"/>
      <c r="CG262" s="10"/>
      <c r="CH262" s="10"/>
      <c r="CI262" s="10"/>
      <c r="CJ262" s="10"/>
      <c r="CK262" s="10"/>
      <c r="CL262" s="10"/>
      <c r="CM262" s="10"/>
      <c r="CN262" s="10"/>
      <c r="CO262" s="10"/>
      <c r="CP262" s="10"/>
      <c r="CQ262" s="10"/>
      <c r="CR262" s="10"/>
      <c r="CS262" s="10"/>
      <c r="CT262" s="10"/>
      <c r="CU262" s="10"/>
      <c r="CV262" s="10"/>
      <c r="CW262" s="10"/>
      <c r="CX262" s="10"/>
      <c r="CY262" s="10"/>
      <c r="CZ262" s="11">
        <f t="shared" si="30"/>
        <v>0</v>
      </c>
      <c r="DA262" s="10"/>
      <c r="DB262" s="10"/>
      <c r="DC262" s="10"/>
      <c r="DD262" s="10"/>
      <c r="DE262" s="10"/>
      <c r="DF262" s="10"/>
      <c r="DG262" s="10"/>
      <c r="DH262" s="10"/>
      <c r="DI262" s="10"/>
      <c r="DJ262" s="11">
        <f t="shared" si="31"/>
        <v>0</v>
      </c>
      <c r="DK262" s="10"/>
      <c r="DL262" s="10"/>
      <c r="DM262" s="10"/>
      <c r="DN262" s="11">
        <f t="shared" si="32"/>
        <v>0</v>
      </c>
      <c r="DO262" s="10"/>
      <c r="DP262" s="10"/>
      <c r="DQ262" s="10">
        <v>4</v>
      </c>
      <c r="DR262" s="11">
        <f t="shared" si="33"/>
        <v>19.2</v>
      </c>
      <c r="DS262" s="10">
        <v>0</v>
      </c>
      <c r="DT262" s="11">
        <f t="shared" si="34"/>
        <v>0</v>
      </c>
      <c r="DU262" s="10"/>
      <c r="DV262" s="11">
        <f t="shared" si="35"/>
        <v>0</v>
      </c>
      <c r="DW262" s="10">
        <v>0</v>
      </c>
      <c r="DX262" s="11">
        <f t="shared" si="36"/>
        <v>0</v>
      </c>
      <c r="DY262" s="10"/>
      <c r="DZ262" s="10"/>
      <c r="EA262" s="11">
        <f t="shared" si="37"/>
        <v>0</v>
      </c>
      <c r="EB262" s="10"/>
      <c r="EC262" s="11">
        <f t="shared" si="38"/>
        <v>0</v>
      </c>
      <c r="ED262" s="10"/>
      <c r="EE262" s="10"/>
    </row>
    <row r="263" spans="2:135" ht="33">
      <c r="B263" s="47">
        <v>252</v>
      </c>
      <c r="C263" s="50" t="s">
        <v>933</v>
      </c>
      <c r="D263" s="49" t="s">
        <v>350</v>
      </c>
      <c r="E263" s="49"/>
      <c r="F263" s="49"/>
      <c r="G263" s="49"/>
      <c r="H263" s="71">
        <f t="shared" si="39"/>
        <v>1.5</v>
      </c>
      <c r="I263" s="10">
        <v>1.25</v>
      </c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/>
      <c r="BH263" s="10"/>
      <c r="BI263" s="10"/>
      <c r="BJ263" s="10"/>
      <c r="BK263" s="10"/>
      <c r="BL263" s="10"/>
      <c r="BN263" s="10"/>
      <c r="BO263" s="10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  <c r="CB263" s="10"/>
      <c r="CC263" s="10"/>
      <c r="CD263" s="10"/>
      <c r="CE263" s="10"/>
      <c r="CF263" s="10"/>
      <c r="CG263" s="10"/>
      <c r="CH263" s="10"/>
      <c r="CI263" s="10"/>
      <c r="CJ263" s="10"/>
      <c r="CK263" s="10"/>
      <c r="CL263" s="10"/>
      <c r="CM263" s="10"/>
      <c r="CN263" s="10"/>
      <c r="CO263" s="10"/>
      <c r="CP263" s="10"/>
      <c r="CQ263" s="10"/>
      <c r="CR263" s="10"/>
      <c r="CS263" s="10"/>
      <c r="CT263" s="10"/>
      <c r="CU263" s="10"/>
      <c r="CV263" s="10"/>
      <c r="CW263" s="10"/>
      <c r="CX263" s="10"/>
      <c r="CY263" s="10"/>
      <c r="CZ263" s="11">
        <f t="shared" si="30"/>
        <v>0</v>
      </c>
      <c r="DA263" s="10"/>
      <c r="DB263" s="10"/>
      <c r="DC263" s="10"/>
      <c r="DD263" s="10"/>
      <c r="DE263" s="10"/>
      <c r="DF263" s="10"/>
      <c r="DG263" s="10"/>
      <c r="DH263" s="10"/>
      <c r="DI263" s="10"/>
      <c r="DJ263" s="11">
        <f t="shared" si="31"/>
        <v>0</v>
      </c>
      <c r="DK263" s="10"/>
      <c r="DL263" s="10"/>
      <c r="DM263" s="10"/>
      <c r="DN263" s="11">
        <f t="shared" si="32"/>
        <v>0</v>
      </c>
      <c r="DO263" s="10"/>
      <c r="DP263" s="10"/>
      <c r="DQ263" s="10">
        <v>1.25</v>
      </c>
      <c r="DR263" s="11">
        <f t="shared" si="33"/>
        <v>1.875</v>
      </c>
      <c r="DS263" s="10">
        <v>0</v>
      </c>
      <c r="DT263" s="11">
        <f t="shared" si="34"/>
        <v>0</v>
      </c>
      <c r="DU263" s="10"/>
      <c r="DV263" s="11">
        <f t="shared" si="35"/>
        <v>0</v>
      </c>
      <c r="DW263" s="10">
        <v>0</v>
      </c>
      <c r="DX263" s="11">
        <f t="shared" si="36"/>
        <v>0</v>
      </c>
      <c r="DY263" s="10"/>
      <c r="DZ263" s="10"/>
      <c r="EA263" s="11">
        <f t="shared" si="37"/>
        <v>0</v>
      </c>
      <c r="EB263" s="10"/>
      <c r="EC263" s="11">
        <f t="shared" si="38"/>
        <v>0</v>
      </c>
      <c r="ED263" s="10"/>
      <c r="EE263" s="10"/>
    </row>
    <row r="264" spans="2:135" ht="16.5">
      <c r="B264" s="47">
        <v>253</v>
      </c>
      <c r="C264" s="50" t="s">
        <v>934</v>
      </c>
      <c r="D264" s="49" t="s">
        <v>351</v>
      </c>
      <c r="E264" s="49"/>
      <c r="F264" s="49"/>
      <c r="G264" s="49"/>
      <c r="H264" s="71">
        <f t="shared" si="39"/>
        <v>2.4</v>
      </c>
      <c r="I264" s="10">
        <v>2</v>
      </c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  <c r="BL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  <c r="CP264" s="10"/>
      <c r="CQ264" s="10"/>
      <c r="CR264" s="10"/>
      <c r="CS264" s="10"/>
      <c r="CT264" s="10"/>
      <c r="CU264" s="10"/>
      <c r="CV264" s="10"/>
      <c r="CW264" s="10"/>
      <c r="CX264" s="10"/>
      <c r="CY264" s="10">
        <v>2</v>
      </c>
      <c r="CZ264" s="11">
        <f t="shared" si="30"/>
        <v>4.8</v>
      </c>
      <c r="DA264" s="10"/>
      <c r="DB264" s="10"/>
      <c r="DC264" s="10"/>
      <c r="DD264" s="10"/>
      <c r="DE264" s="10"/>
      <c r="DF264" s="10"/>
      <c r="DG264" s="10"/>
      <c r="DH264" s="10"/>
      <c r="DI264" s="10"/>
      <c r="DJ264" s="11">
        <f t="shared" si="31"/>
        <v>0</v>
      </c>
      <c r="DK264" s="10"/>
      <c r="DL264" s="10"/>
      <c r="DM264" s="10"/>
      <c r="DN264" s="11">
        <f t="shared" si="32"/>
        <v>0</v>
      </c>
      <c r="DO264" s="10"/>
      <c r="DP264" s="10"/>
      <c r="DQ264" s="10">
        <v>0</v>
      </c>
      <c r="DR264" s="11">
        <f t="shared" si="33"/>
        <v>0</v>
      </c>
      <c r="DS264" s="10">
        <v>0</v>
      </c>
      <c r="DT264" s="11">
        <f t="shared" si="34"/>
        <v>0</v>
      </c>
      <c r="DU264" s="10"/>
      <c r="DV264" s="11">
        <f t="shared" si="35"/>
        <v>0</v>
      </c>
      <c r="DW264" s="10">
        <v>0</v>
      </c>
      <c r="DX264" s="11">
        <f t="shared" si="36"/>
        <v>0</v>
      </c>
      <c r="DY264" s="10"/>
      <c r="DZ264" s="10"/>
      <c r="EA264" s="11">
        <f t="shared" si="37"/>
        <v>0</v>
      </c>
      <c r="EB264" s="10"/>
      <c r="EC264" s="11">
        <f t="shared" si="38"/>
        <v>0</v>
      </c>
      <c r="ED264" s="10"/>
      <c r="EE264" s="10"/>
    </row>
    <row r="265" spans="2:135" ht="49.5">
      <c r="B265" s="47">
        <v>254</v>
      </c>
      <c r="C265" s="50" t="s">
        <v>935</v>
      </c>
      <c r="D265" s="49" t="s">
        <v>352</v>
      </c>
      <c r="E265" s="49"/>
      <c r="F265" s="49"/>
      <c r="G265" s="49"/>
      <c r="H265" s="71">
        <f t="shared" si="39"/>
        <v>1.2</v>
      </c>
      <c r="I265" s="10">
        <v>1</v>
      </c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  <c r="BB265" s="10"/>
      <c r="BC265" s="10"/>
      <c r="BD265" s="10"/>
      <c r="BE265" s="10"/>
      <c r="BF265" s="10"/>
      <c r="BG265" s="10"/>
      <c r="BH265" s="10"/>
      <c r="BI265" s="10"/>
      <c r="BJ265" s="10"/>
      <c r="BK265" s="10"/>
      <c r="BL265" s="10"/>
      <c r="BN265" s="10"/>
      <c r="BO265" s="10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  <c r="CB265" s="10"/>
      <c r="CC265" s="10"/>
      <c r="CD265" s="10"/>
      <c r="CE265" s="10"/>
      <c r="CF265" s="10"/>
      <c r="CG265" s="10"/>
      <c r="CH265" s="10"/>
      <c r="CI265" s="10"/>
      <c r="CJ265" s="10"/>
      <c r="CK265" s="10"/>
      <c r="CL265" s="10"/>
      <c r="CM265" s="10"/>
      <c r="CN265" s="10"/>
      <c r="CO265" s="10"/>
      <c r="CP265" s="10"/>
      <c r="CQ265" s="10"/>
      <c r="CR265" s="10"/>
      <c r="CS265" s="10"/>
      <c r="CT265" s="10"/>
      <c r="CU265" s="10"/>
      <c r="CV265" s="10"/>
      <c r="CW265" s="10"/>
      <c r="CX265" s="10"/>
      <c r="CY265" s="10"/>
      <c r="CZ265" s="11">
        <f t="shared" si="30"/>
        <v>0</v>
      </c>
      <c r="DA265" s="10"/>
      <c r="DB265" s="10"/>
      <c r="DC265" s="10"/>
      <c r="DD265" s="10"/>
      <c r="DE265" s="10"/>
      <c r="DF265" s="10"/>
      <c r="DG265" s="10"/>
      <c r="DH265" s="10"/>
      <c r="DI265" s="10"/>
      <c r="DJ265" s="11">
        <f t="shared" si="31"/>
        <v>0</v>
      </c>
      <c r="DK265" s="10"/>
      <c r="DL265" s="10"/>
      <c r="DM265" s="10"/>
      <c r="DN265" s="11">
        <f t="shared" si="32"/>
        <v>0</v>
      </c>
      <c r="DO265" s="10"/>
      <c r="DP265" s="10"/>
      <c r="DQ265" s="10">
        <v>1</v>
      </c>
      <c r="DR265" s="11">
        <f t="shared" si="33"/>
        <v>1.2</v>
      </c>
      <c r="DS265" s="10">
        <v>0</v>
      </c>
      <c r="DT265" s="11">
        <f t="shared" si="34"/>
        <v>0</v>
      </c>
      <c r="DU265" s="10"/>
      <c r="DV265" s="11">
        <f t="shared" si="35"/>
        <v>0</v>
      </c>
      <c r="DW265" s="10">
        <v>0</v>
      </c>
      <c r="DX265" s="11">
        <f t="shared" si="36"/>
        <v>0</v>
      </c>
      <c r="DY265" s="10"/>
      <c r="DZ265" s="10"/>
      <c r="EA265" s="11">
        <f t="shared" si="37"/>
        <v>0</v>
      </c>
      <c r="EB265" s="10"/>
      <c r="EC265" s="11">
        <f t="shared" si="38"/>
        <v>0</v>
      </c>
      <c r="ED265" s="10"/>
      <c r="EE265" s="10"/>
    </row>
    <row r="266" spans="2:135" ht="16.5">
      <c r="B266" s="47">
        <v>255</v>
      </c>
      <c r="C266" s="50" t="s">
        <v>936</v>
      </c>
      <c r="D266" s="49" t="s">
        <v>353</v>
      </c>
      <c r="E266" s="49"/>
      <c r="F266" s="49"/>
      <c r="G266" s="49"/>
      <c r="H266" s="71">
        <f t="shared" si="39"/>
        <v>2.4</v>
      </c>
      <c r="I266" s="10">
        <v>2</v>
      </c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  <c r="BI266" s="10"/>
      <c r="BJ266" s="10"/>
      <c r="BK266" s="10"/>
      <c r="BL266" s="10"/>
      <c r="BN266" s="10"/>
      <c r="BO266" s="10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  <c r="CB266" s="10"/>
      <c r="CC266" s="10"/>
      <c r="CD266" s="10"/>
      <c r="CE266" s="10"/>
      <c r="CF266" s="10"/>
      <c r="CG266" s="10"/>
      <c r="CH266" s="10"/>
      <c r="CI266" s="10"/>
      <c r="CJ266" s="10"/>
      <c r="CK266" s="10"/>
      <c r="CL266" s="10"/>
      <c r="CM266" s="10"/>
      <c r="CN266" s="10"/>
      <c r="CO266" s="10"/>
      <c r="CP266" s="10"/>
      <c r="CQ266" s="10"/>
      <c r="CR266" s="10"/>
      <c r="CS266" s="10"/>
      <c r="CT266" s="10"/>
      <c r="CU266" s="10"/>
      <c r="CV266" s="10"/>
      <c r="CW266" s="10"/>
      <c r="CX266" s="10"/>
      <c r="CY266" s="10"/>
      <c r="CZ266" s="11">
        <f t="shared" si="30"/>
        <v>0</v>
      </c>
      <c r="DA266" s="10"/>
      <c r="DB266" s="10"/>
      <c r="DC266" s="10"/>
      <c r="DD266" s="10"/>
      <c r="DE266" s="10"/>
      <c r="DF266" s="10"/>
      <c r="DG266" s="10"/>
      <c r="DH266" s="10"/>
      <c r="DI266" s="10"/>
      <c r="DJ266" s="11">
        <f t="shared" si="31"/>
        <v>0</v>
      </c>
      <c r="DK266" s="10"/>
      <c r="DL266" s="10"/>
      <c r="DM266" s="10"/>
      <c r="DN266" s="11">
        <f t="shared" si="32"/>
        <v>0</v>
      </c>
      <c r="DO266" s="10"/>
      <c r="DP266" s="10"/>
      <c r="DQ266" s="10">
        <v>2</v>
      </c>
      <c r="DR266" s="11">
        <f t="shared" si="33"/>
        <v>4.8</v>
      </c>
      <c r="DS266" s="10">
        <v>0</v>
      </c>
      <c r="DT266" s="11">
        <f t="shared" si="34"/>
        <v>0</v>
      </c>
      <c r="DU266" s="10"/>
      <c r="DV266" s="11">
        <f t="shared" si="35"/>
        <v>0</v>
      </c>
      <c r="DW266" s="10">
        <v>0</v>
      </c>
      <c r="DX266" s="11">
        <f t="shared" si="36"/>
        <v>0</v>
      </c>
      <c r="DY266" s="10"/>
      <c r="DZ266" s="10"/>
      <c r="EA266" s="11">
        <f t="shared" si="37"/>
        <v>0</v>
      </c>
      <c r="EB266" s="10"/>
      <c r="EC266" s="11">
        <f t="shared" si="38"/>
        <v>0</v>
      </c>
      <c r="ED266" s="10"/>
      <c r="EE266" s="10"/>
    </row>
    <row r="267" spans="2:135" ht="16.5">
      <c r="B267" s="47">
        <v>256</v>
      </c>
      <c r="C267" s="50" t="s">
        <v>937</v>
      </c>
      <c r="D267" s="49" t="s">
        <v>354</v>
      </c>
      <c r="E267" s="49"/>
      <c r="F267" s="49"/>
      <c r="G267" s="49"/>
      <c r="H267" s="71">
        <f t="shared" si="39"/>
        <v>28.799999999999997</v>
      </c>
      <c r="I267" s="10">
        <v>24</v>
      </c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/>
      <c r="BH267" s="10"/>
      <c r="BI267" s="10"/>
      <c r="BJ267" s="10"/>
      <c r="BK267" s="10"/>
      <c r="BL267" s="10"/>
      <c r="BN267" s="10"/>
      <c r="BO267" s="10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  <c r="CB267" s="10"/>
      <c r="CC267" s="10"/>
      <c r="CD267" s="10"/>
      <c r="CE267" s="10"/>
      <c r="CF267" s="10"/>
      <c r="CG267" s="10"/>
      <c r="CH267" s="10"/>
      <c r="CI267" s="10"/>
      <c r="CJ267" s="10"/>
      <c r="CK267" s="10"/>
      <c r="CL267" s="10"/>
      <c r="CM267" s="10"/>
      <c r="CN267" s="10"/>
      <c r="CO267" s="10"/>
      <c r="CP267" s="10"/>
      <c r="CQ267" s="10"/>
      <c r="CR267" s="10"/>
      <c r="CS267" s="10"/>
      <c r="CT267" s="10"/>
      <c r="CU267" s="10"/>
      <c r="CV267" s="10"/>
      <c r="CW267" s="10"/>
      <c r="CX267" s="10"/>
      <c r="CY267" s="10"/>
      <c r="CZ267" s="11">
        <f t="shared" si="30"/>
        <v>0</v>
      </c>
      <c r="DA267" s="10"/>
      <c r="DB267" s="10"/>
      <c r="DC267" s="10"/>
      <c r="DD267" s="10"/>
      <c r="DE267" s="10"/>
      <c r="DF267" s="10"/>
      <c r="DG267" s="10"/>
      <c r="DH267" s="10"/>
      <c r="DI267" s="10"/>
      <c r="DJ267" s="11">
        <f t="shared" si="31"/>
        <v>0</v>
      </c>
      <c r="DK267" s="10"/>
      <c r="DL267" s="10"/>
      <c r="DM267" s="10"/>
      <c r="DN267" s="11">
        <f t="shared" si="32"/>
        <v>0</v>
      </c>
      <c r="DO267" s="10"/>
      <c r="DP267" s="10"/>
      <c r="DQ267" s="10">
        <v>24</v>
      </c>
      <c r="DR267" s="11">
        <f t="shared" si="33"/>
        <v>691.19999999999993</v>
      </c>
      <c r="DS267" s="10">
        <v>0</v>
      </c>
      <c r="DT267" s="11">
        <f t="shared" si="34"/>
        <v>0</v>
      </c>
      <c r="DU267" s="10"/>
      <c r="DV267" s="11">
        <f t="shared" si="35"/>
        <v>0</v>
      </c>
      <c r="DW267" s="10">
        <v>0</v>
      </c>
      <c r="DX267" s="11">
        <f t="shared" si="36"/>
        <v>0</v>
      </c>
      <c r="DY267" s="10"/>
      <c r="DZ267" s="10"/>
      <c r="EA267" s="11">
        <f t="shared" si="37"/>
        <v>0</v>
      </c>
      <c r="EB267" s="10"/>
      <c r="EC267" s="11">
        <f t="shared" si="38"/>
        <v>0</v>
      </c>
      <c r="ED267" s="10"/>
      <c r="EE267" s="10"/>
    </row>
    <row r="268" spans="2:135" ht="16.5">
      <c r="B268" s="47">
        <v>257</v>
      </c>
      <c r="C268" s="50" t="s">
        <v>938</v>
      </c>
      <c r="D268" s="49" t="s">
        <v>355</v>
      </c>
      <c r="E268" s="49"/>
      <c r="F268" s="49"/>
      <c r="G268" s="49"/>
      <c r="H268" s="71">
        <f t="shared" si="39"/>
        <v>1.2</v>
      </c>
      <c r="I268" s="10">
        <v>1</v>
      </c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  <c r="BB268" s="10"/>
      <c r="BC268" s="10"/>
      <c r="BD268" s="10"/>
      <c r="BE268" s="10"/>
      <c r="BF268" s="10"/>
      <c r="BG268" s="10"/>
      <c r="BH268" s="10"/>
      <c r="BI268" s="10"/>
      <c r="BJ268" s="10"/>
      <c r="BK268" s="10"/>
      <c r="BL268" s="10"/>
      <c r="BN268" s="10"/>
      <c r="BO268" s="10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  <c r="CB268" s="10"/>
      <c r="CC268" s="10"/>
      <c r="CD268" s="10"/>
      <c r="CE268" s="10"/>
      <c r="CF268" s="10"/>
      <c r="CG268" s="10"/>
      <c r="CH268" s="10"/>
      <c r="CI268" s="10"/>
      <c r="CJ268" s="10"/>
      <c r="CK268" s="10"/>
      <c r="CL268" s="10"/>
      <c r="CM268" s="10"/>
      <c r="CN268" s="10"/>
      <c r="CO268" s="10"/>
      <c r="CP268" s="10"/>
      <c r="CQ268" s="10"/>
      <c r="CR268" s="10"/>
      <c r="CS268" s="10"/>
      <c r="CT268" s="10"/>
      <c r="CU268" s="10"/>
      <c r="CV268" s="10"/>
      <c r="CW268" s="10"/>
      <c r="CX268" s="10"/>
      <c r="CY268" s="10"/>
      <c r="CZ268" s="11">
        <f t="shared" si="30"/>
        <v>0</v>
      </c>
      <c r="DA268" s="10"/>
      <c r="DB268" s="10"/>
      <c r="DC268" s="10"/>
      <c r="DD268" s="10"/>
      <c r="DE268" s="10"/>
      <c r="DF268" s="10"/>
      <c r="DG268" s="10"/>
      <c r="DH268" s="10"/>
      <c r="DI268" s="10"/>
      <c r="DJ268" s="11">
        <f t="shared" si="31"/>
        <v>0</v>
      </c>
      <c r="DK268" s="10"/>
      <c r="DL268" s="10"/>
      <c r="DM268" s="10"/>
      <c r="DN268" s="11">
        <f t="shared" si="32"/>
        <v>0</v>
      </c>
      <c r="DO268" s="10"/>
      <c r="DP268" s="10"/>
      <c r="DQ268" s="10">
        <v>0</v>
      </c>
      <c r="DR268" s="11">
        <f t="shared" si="33"/>
        <v>0</v>
      </c>
      <c r="DS268" s="10">
        <v>0</v>
      </c>
      <c r="DT268" s="11">
        <f t="shared" si="34"/>
        <v>0</v>
      </c>
      <c r="DU268" s="10"/>
      <c r="DV268" s="11">
        <f t="shared" si="35"/>
        <v>0</v>
      </c>
      <c r="DW268" s="10">
        <v>1</v>
      </c>
      <c r="DX268" s="11">
        <f t="shared" si="36"/>
        <v>1.2</v>
      </c>
      <c r="DY268" s="10"/>
      <c r="DZ268" s="10"/>
      <c r="EA268" s="11">
        <f t="shared" si="37"/>
        <v>0</v>
      </c>
      <c r="EB268" s="10"/>
      <c r="EC268" s="11">
        <f t="shared" si="38"/>
        <v>0</v>
      </c>
      <c r="ED268" s="10"/>
      <c r="EE268" s="10"/>
    </row>
    <row r="269" spans="2:135" ht="16.5">
      <c r="B269" s="47">
        <v>258</v>
      </c>
      <c r="C269" s="50" t="s">
        <v>939</v>
      </c>
      <c r="D269" s="49" t="s">
        <v>356</v>
      </c>
      <c r="E269" s="49"/>
      <c r="F269" s="49"/>
      <c r="G269" s="49"/>
      <c r="H269" s="71">
        <f t="shared" si="39"/>
        <v>4.8</v>
      </c>
      <c r="I269" s="10">
        <v>4</v>
      </c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10"/>
      <c r="BK269" s="10"/>
      <c r="BL269" s="10"/>
      <c r="BN269" s="10"/>
      <c r="BO269" s="10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  <c r="CB269" s="10"/>
      <c r="CC269" s="10"/>
      <c r="CD269" s="10"/>
      <c r="CE269" s="10"/>
      <c r="CF269" s="10"/>
      <c r="CG269" s="10"/>
      <c r="CH269" s="10"/>
      <c r="CI269" s="10"/>
      <c r="CJ269" s="10"/>
      <c r="CK269" s="10"/>
      <c r="CL269" s="10"/>
      <c r="CM269" s="10"/>
      <c r="CN269" s="10"/>
      <c r="CO269" s="10"/>
      <c r="CP269" s="10"/>
      <c r="CQ269" s="10"/>
      <c r="CR269" s="10"/>
      <c r="CS269" s="10"/>
      <c r="CT269" s="10"/>
      <c r="CU269" s="10"/>
      <c r="CV269" s="10"/>
      <c r="CW269" s="10"/>
      <c r="CX269" s="10"/>
      <c r="CY269" s="10">
        <v>4</v>
      </c>
      <c r="CZ269" s="11">
        <f t="shared" ref="CZ269:CZ332" si="40">H269*CY269</f>
        <v>19.2</v>
      </c>
      <c r="DA269" s="10"/>
      <c r="DB269" s="10"/>
      <c r="DC269" s="10"/>
      <c r="DD269" s="10"/>
      <c r="DE269" s="10"/>
      <c r="DF269" s="10"/>
      <c r="DG269" s="10"/>
      <c r="DH269" s="10"/>
      <c r="DI269" s="10"/>
      <c r="DJ269" s="11">
        <f t="shared" ref="DJ269:DJ332" si="41">DI269*H269</f>
        <v>0</v>
      </c>
      <c r="DK269" s="10"/>
      <c r="DL269" s="10"/>
      <c r="DM269" s="10"/>
      <c r="DN269" s="11">
        <f t="shared" ref="DN269:DN332" si="42">DM269*H269</f>
        <v>0</v>
      </c>
      <c r="DO269" s="10"/>
      <c r="DP269" s="10"/>
      <c r="DQ269" s="10">
        <v>0</v>
      </c>
      <c r="DR269" s="11">
        <f t="shared" ref="DR269:DR332" si="43">H269*DQ269</f>
        <v>0</v>
      </c>
      <c r="DS269" s="10">
        <v>0</v>
      </c>
      <c r="DT269" s="11">
        <f t="shared" ref="DT269:DT332" si="44">DS269*H269</f>
        <v>0</v>
      </c>
      <c r="DU269" s="10"/>
      <c r="DV269" s="11">
        <f t="shared" ref="DV269:DV332" si="45">DU269*H269</f>
        <v>0</v>
      </c>
      <c r="DW269" s="10">
        <v>0</v>
      </c>
      <c r="DX269" s="11">
        <f t="shared" ref="DX269:DX332" si="46">H269*DW269</f>
        <v>0</v>
      </c>
      <c r="DY269" s="10"/>
      <c r="DZ269" s="10"/>
      <c r="EA269" s="11">
        <f t="shared" ref="EA269:EA332" si="47">H269*DZ269</f>
        <v>0</v>
      </c>
      <c r="EB269" s="10"/>
      <c r="EC269" s="11">
        <f t="shared" ref="EC269:EC332" si="48">EB269*H269</f>
        <v>0</v>
      </c>
      <c r="ED269" s="10"/>
      <c r="EE269" s="10"/>
    </row>
    <row r="270" spans="2:135" ht="16.5">
      <c r="B270" s="47">
        <v>259</v>
      </c>
      <c r="C270" s="50" t="s">
        <v>940</v>
      </c>
      <c r="D270" s="49" t="s">
        <v>357</v>
      </c>
      <c r="E270" s="49"/>
      <c r="F270" s="49"/>
      <c r="G270" s="49"/>
      <c r="H270" s="71">
        <f t="shared" ref="H270:H333" si="49">I270*1.2</f>
        <v>1.2</v>
      </c>
      <c r="I270" s="10">
        <v>1</v>
      </c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  <c r="BI270" s="10"/>
      <c r="BJ270" s="10"/>
      <c r="BK270" s="10"/>
      <c r="BL270" s="10"/>
      <c r="BN270" s="10"/>
      <c r="BO270" s="10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  <c r="CB270" s="10"/>
      <c r="CC270" s="10"/>
      <c r="CD270" s="10"/>
      <c r="CE270" s="10"/>
      <c r="CF270" s="10"/>
      <c r="CG270" s="10"/>
      <c r="CH270" s="10"/>
      <c r="CI270" s="10"/>
      <c r="CJ270" s="10"/>
      <c r="CK270" s="10"/>
      <c r="CL270" s="10"/>
      <c r="CM270" s="10"/>
      <c r="CN270" s="10"/>
      <c r="CO270" s="10"/>
      <c r="CP270" s="10"/>
      <c r="CQ270" s="10"/>
      <c r="CR270" s="10"/>
      <c r="CS270" s="10"/>
      <c r="CT270" s="10"/>
      <c r="CU270" s="10"/>
      <c r="CV270" s="10"/>
      <c r="CW270" s="10"/>
      <c r="CX270" s="10"/>
      <c r="CY270" s="10"/>
      <c r="CZ270" s="11">
        <f t="shared" si="40"/>
        <v>0</v>
      </c>
      <c r="DA270" s="10"/>
      <c r="DB270" s="10"/>
      <c r="DC270" s="10"/>
      <c r="DD270" s="10"/>
      <c r="DE270" s="10"/>
      <c r="DF270" s="10"/>
      <c r="DG270" s="10"/>
      <c r="DH270" s="10"/>
      <c r="DI270" s="10"/>
      <c r="DJ270" s="11">
        <f t="shared" si="41"/>
        <v>0</v>
      </c>
      <c r="DK270" s="10"/>
      <c r="DL270" s="10"/>
      <c r="DM270" s="10"/>
      <c r="DN270" s="11">
        <f t="shared" si="42"/>
        <v>0</v>
      </c>
      <c r="DO270" s="10"/>
      <c r="DP270" s="10"/>
      <c r="DQ270" s="10">
        <v>1</v>
      </c>
      <c r="DR270" s="11">
        <f t="shared" si="43"/>
        <v>1.2</v>
      </c>
      <c r="DS270" s="10">
        <v>0</v>
      </c>
      <c r="DT270" s="11">
        <f t="shared" si="44"/>
        <v>0</v>
      </c>
      <c r="DU270" s="10"/>
      <c r="DV270" s="11">
        <f t="shared" si="45"/>
        <v>0</v>
      </c>
      <c r="DW270" s="10">
        <v>0</v>
      </c>
      <c r="DX270" s="11">
        <f t="shared" si="46"/>
        <v>0</v>
      </c>
      <c r="DY270" s="10"/>
      <c r="DZ270" s="10"/>
      <c r="EA270" s="11">
        <f t="shared" si="47"/>
        <v>0</v>
      </c>
      <c r="EB270" s="10"/>
      <c r="EC270" s="11">
        <f t="shared" si="48"/>
        <v>0</v>
      </c>
      <c r="ED270" s="10"/>
      <c r="EE270" s="10"/>
    </row>
    <row r="271" spans="2:135" ht="16.5">
      <c r="B271" s="47">
        <v>260</v>
      </c>
      <c r="C271" s="50" t="s">
        <v>941</v>
      </c>
      <c r="D271" s="49" t="s">
        <v>358</v>
      </c>
      <c r="E271" s="49"/>
      <c r="F271" s="49"/>
      <c r="G271" s="49"/>
      <c r="H271" s="71">
        <f t="shared" si="49"/>
        <v>2.4</v>
      </c>
      <c r="I271" s="10">
        <v>2</v>
      </c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  <c r="BI271" s="10"/>
      <c r="BJ271" s="10"/>
      <c r="BK271" s="10"/>
      <c r="BL271" s="10"/>
      <c r="BN271" s="10"/>
      <c r="BO271" s="10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  <c r="CB271" s="10"/>
      <c r="CC271" s="10"/>
      <c r="CD271" s="10"/>
      <c r="CE271" s="10"/>
      <c r="CF271" s="10"/>
      <c r="CG271" s="10"/>
      <c r="CH271" s="10"/>
      <c r="CI271" s="10"/>
      <c r="CJ271" s="10"/>
      <c r="CK271" s="10"/>
      <c r="CL271" s="10"/>
      <c r="CM271" s="10"/>
      <c r="CN271" s="10"/>
      <c r="CO271" s="10"/>
      <c r="CP271" s="10"/>
      <c r="CQ271" s="10"/>
      <c r="CR271" s="10"/>
      <c r="CS271" s="10"/>
      <c r="CT271" s="10"/>
      <c r="CU271" s="10"/>
      <c r="CV271" s="10"/>
      <c r="CW271" s="10"/>
      <c r="CX271" s="10"/>
      <c r="CY271" s="10"/>
      <c r="CZ271" s="11">
        <f t="shared" si="40"/>
        <v>0</v>
      </c>
      <c r="DA271" s="10"/>
      <c r="DB271" s="10"/>
      <c r="DC271" s="10"/>
      <c r="DD271" s="10"/>
      <c r="DE271" s="10"/>
      <c r="DF271" s="10"/>
      <c r="DG271" s="10"/>
      <c r="DH271" s="10"/>
      <c r="DI271" s="10"/>
      <c r="DJ271" s="11">
        <f t="shared" si="41"/>
        <v>0</v>
      </c>
      <c r="DK271" s="10"/>
      <c r="DL271" s="10"/>
      <c r="DM271" s="10"/>
      <c r="DN271" s="11">
        <f t="shared" si="42"/>
        <v>0</v>
      </c>
      <c r="DO271" s="10"/>
      <c r="DP271" s="10"/>
      <c r="DQ271" s="10">
        <v>2</v>
      </c>
      <c r="DR271" s="11">
        <f t="shared" si="43"/>
        <v>4.8</v>
      </c>
      <c r="DS271" s="10">
        <v>0</v>
      </c>
      <c r="DT271" s="11">
        <f t="shared" si="44"/>
        <v>0</v>
      </c>
      <c r="DU271" s="10"/>
      <c r="DV271" s="11">
        <f t="shared" si="45"/>
        <v>0</v>
      </c>
      <c r="DW271" s="10">
        <v>0</v>
      </c>
      <c r="DX271" s="11">
        <f t="shared" si="46"/>
        <v>0</v>
      </c>
      <c r="DY271" s="10"/>
      <c r="DZ271" s="10"/>
      <c r="EA271" s="11">
        <f t="shared" si="47"/>
        <v>0</v>
      </c>
      <c r="EB271" s="10"/>
      <c r="EC271" s="11">
        <f t="shared" si="48"/>
        <v>0</v>
      </c>
      <c r="ED271" s="10"/>
      <c r="EE271" s="10"/>
    </row>
    <row r="272" spans="2:135" ht="33">
      <c r="B272" s="47">
        <v>261</v>
      </c>
      <c r="C272" s="50" t="s">
        <v>942</v>
      </c>
      <c r="D272" s="49" t="s">
        <v>359</v>
      </c>
      <c r="E272" s="49"/>
      <c r="F272" s="49"/>
      <c r="G272" s="49"/>
      <c r="H272" s="71">
        <f t="shared" si="49"/>
        <v>19.2</v>
      </c>
      <c r="I272" s="10">
        <v>16</v>
      </c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10"/>
      <c r="BK272" s="10"/>
      <c r="BL272" s="10"/>
      <c r="BN272" s="10"/>
      <c r="BO272" s="10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  <c r="CB272" s="10"/>
      <c r="CC272" s="10"/>
      <c r="CD272" s="10"/>
      <c r="CE272" s="10"/>
      <c r="CF272" s="10"/>
      <c r="CG272" s="10"/>
      <c r="CH272" s="10"/>
      <c r="CI272" s="10"/>
      <c r="CJ272" s="10"/>
      <c r="CK272" s="10"/>
      <c r="CL272" s="10"/>
      <c r="CM272" s="10"/>
      <c r="CN272" s="10"/>
      <c r="CO272" s="10"/>
      <c r="CP272" s="10"/>
      <c r="CQ272" s="10"/>
      <c r="CR272" s="10"/>
      <c r="CS272" s="10"/>
      <c r="CT272" s="10"/>
      <c r="CU272" s="10"/>
      <c r="CV272" s="10"/>
      <c r="CW272" s="10"/>
      <c r="CX272" s="10"/>
      <c r="CY272" s="10">
        <v>4</v>
      </c>
      <c r="CZ272" s="11">
        <f t="shared" si="40"/>
        <v>76.8</v>
      </c>
      <c r="DA272" s="10"/>
      <c r="DB272" s="10"/>
      <c r="DC272" s="10"/>
      <c r="DD272" s="10"/>
      <c r="DE272" s="10"/>
      <c r="DF272" s="10"/>
      <c r="DG272" s="10"/>
      <c r="DH272" s="10"/>
      <c r="DI272" s="10"/>
      <c r="DJ272" s="11">
        <f t="shared" si="41"/>
        <v>0</v>
      </c>
      <c r="DK272" s="10"/>
      <c r="DL272" s="10"/>
      <c r="DM272" s="10"/>
      <c r="DN272" s="11">
        <f t="shared" si="42"/>
        <v>0</v>
      </c>
      <c r="DO272" s="10"/>
      <c r="DP272" s="10"/>
      <c r="DQ272" s="10">
        <v>12</v>
      </c>
      <c r="DR272" s="11">
        <f t="shared" si="43"/>
        <v>230.39999999999998</v>
      </c>
      <c r="DS272" s="10">
        <v>0</v>
      </c>
      <c r="DT272" s="11">
        <f t="shared" si="44"/>
        <v>0</v>
      </c>
      <c r="DU272" s="10"/>
      <c r="DV272" s="11">
        <f t="shared" si="45"/>
        <v>0</v>
      </c>
      <c r="DW272" s="10">
        <v>0</v>
      </c>
      <c r="DX272" s="11">
        <f t="shared" si="46"/>
        <v>0</v>
      </c>
      <c r="DY272" s="10"/>
      <c r="DZ272" s="10"/>
      <c r="EA272" s="11">
        <f t="shared" si="47"/>
        <v>0</v>
      </c>
      <c r="EB272" s="10"/>
      <c r="EC272" s="11">
        <f t="shared" si="48"/>
        <v>0</v>
      </c>
      <c r="ED272" s="10"/>
      <c r="EE272" s="10"/>
    </row>
    <row r="273" spans="2:135" ht="49.5">
      <c r="B273" s="47">
        <v>262</v>
      </c>
      <c r="C273" s="50" t="s">
        <v>943</v>
      </c>
      <c r="D273" s="49" t="s">
        <v>360</v>
      </c>
      <c r="E273" s="49"/>
      <c r="F273" s="49"/>
      <c r="G273" s="49"/>
      <c r="H273" s="71">
        <f t="shared" si="49"/>
        <v>1.2</v>
      </c>
      <c r="I273" s="10">
        <v>1</v>
      </c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10"/>
      <c r="BF273" s="10"/>
      <c r="BG273" s="10"/>
      <c r="BH273" s="10"/>
      <c r="BI273" s="10"/>
      <c r="BJ273" s="10"/>
      <c r="BK273" s="10"/>
      <c r="BL273" s="10"/>
      <c r="BN273" s="10"/>
      <c r="BO273" s="10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  <c r="CB273" s="10"/>
      <c r="CC273" s="10"/>
      <c r="CD273" s="10"/>
      <c r="CE273" s="10"/>
      <c r="CF273" s="10"/>
      <c r="CG273" s="10"/>
      <c r="CH273" s="10"/>
      <c r="CI273" s="10"/>
      <c r="CJ273" s="10"/>
      <c r="CK273" s="10"/>
      <c r="CL273" s="10"/>
      <c r="CM273" s="10"/>
      <c r="CN273" s="10"/>
      <c r="CO273" s="10"/>
      <c r="CP273" s="10"/>
      <c r="CQ273" s="10"/>
      <c r="CR273" s="10"/>
      <c r="CS273" s="10"/>
      <c r="CT273" s="10"/>
      <c r="CU273" s="10"/>
      <c r="CV273" s="10"/>
      <c r="CW273" s="10"/>
      <c r="CX273" s="10"/>
      <c r="CY273" s="10"/>
      <c r="CZ273" s="11">
        <f t="shared" si="40"/>
        <v>0</v>
      </c>
      <c r="DA273" s="10"/>
      <c r="DB273" s="10"/>
      <c r="DC273" s="10"/>
      <c r="DD273" s="10"/>
      <c r="DE273" s="10"/>
      <c r="DF273" s="10"/>
      <c r="DG273" s="10"/>
      <c r="DH273" s="10"/>
      <c r="DI273" s="10"/>
      <c r="DJ273" s="11">
        <f t="shared" si="41"/>
        <v>0</v>
      </c>
      <c r="DK273" s="10"/>
      <c r="DL273" s="10"/>
      <c r="DM273" s="10"/>
      <c r="DN273" s="11">
        <f t="shared" si="42"/>
        <v>0</v>
      </c>
      <c r="DO273" s="10"/>
      <c r="DP273" s="10"/>
      <c r="DQ273" s="10">
        <v>1</v>
      </c>
      <c r="DR273" s="11">
        <f t="shared" si="43"/>
        <v>1.2</v>
      </c>
      <c r="DS273" s="10">
        <v>0</v>
      </c>
      <c r="DT273" s="11">
        <f t="shared" si="44"/>
        <v>0</v>
      </c>
      <c r="DU273" s="10"/>
      <c r="DV273" s="11">
        <f t="shared" si="45"/>
        <v>0</v>
      </c>
      <c r="DW273" s="10">
        <v>0</v>
      </c>
      <c r="DX273" s="11">
        <f t="shared" si="46"/>
        <v>0</v>
      </c>
      <c r="DY273" s="10"/>
      <c r="DZ273" s="10"/>
      <c r="EA273" s="11">
        <f t="shared" si="47"/>
        <v>0</v>
      </c>
      <c r="EB273" s="10"/>
      <c r="EC273" s="11">
        <f t="shared" si="48"/>
        <v>0</v>
      </c>
      <c r="ED273" s="10"/>
      <c r="EE273" s="10"/>
    </row>
    <row r="274" spans="2:135" ht="16.5">
      <c r="B274" s="47">
        <v>263</v>
      </c>
      <c r="C274" s="50" t="s">
        <v>944</v>
      </c>
      <c r="D274" s="49" t="s">
        <v>361</v>
      </c>
      <c r="E274" s="49"/>
      <c r="F274" s="49"/>
      <c r="G274" s="49"/>
      <c r="H274" s="71">
        <f t="shared" si="49"/>
        <v>3.5999999999999996</v>
      </c>
      <c r="I274" s="10">
        <v>3</v>
      </c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  <c r="BB274" s="10"/>
      <c r="BC274" s="10"/>
      <c r="BD274" s="10"/>
      <c r="BE274" s="10"/>
      <c r="BF274" s="10"/>
      <c r="BG274" s="10"/>
      <c r="BH274" s="10"/>
      <c r="BI274" s="10"/>
      <c r="BJ274" s="10"/>
      <c r="BK274" s="10"/>
      <c r="BL274" s="10"/>
      <c r="BN274" s="10"/>
      <c r="BO274" s="10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  <c r="CB274" s="10"/>
      <c r="CC274" s="10"/>
      <c r="CD274" s="10"/>
      <c r="CE274" s="10"/>
      <c r="CF274" s="10"/>
      <c r="CG274" s="10"/>
      <c r="CH274" s="10"/>
      <c r="CI274" s="10"/>
      <c r="CJ274" s="10"/>
      <c r="CK274" s="10"/>
      <c r="CL274" s="10"/>
      <c r="CM274" s="10"/>
      <c r="CN274" s="10"/>
      <c r="CO274" s="10"/>
      <c r="CP274" s="10"/>
      <c r="CQ274" s="10"/>
      <c r="CR274" s="10"/>
      <c r="CS274" s="10"/>
      <c r="CT274" s="10"/>
      <c r="CU274" s="10"/>
      <c r="CV274" s="10"/>
      <c r="CW274" s="10"/>
      <c r="CX274" s="10"/>
      <c r="CY274" s="10">
        <v>1</v>
      </c>
      <c r="CZ274" s="11">
        <f t="shared" si="40"/>
        <v>3.5999999999999996</v>
      </c>
      <c r="DA274" s="10"/>
      <c r="DB274" s="10"/>
      <c r="DC274" s="10"/>
      <c r="DD274" s="10"/>
      <c r="DE274" s="10"/>
      <c r="DF274" s="10"/>
      <c r="DG274" s="10"/>
      <c r="DH274" s="10"/>
      <c r="DI274" s="10"/>
      <c r="DJ274" s="11">
        <f t="shared" si="41"/>
        <v>0</v>
      </c>
      <c r="DK274" s="10"/>
      <c r="DL274" s="10"/>
      <c r="DM274" s="10"/>
      <c r="DN274" s="11">
        <f t="shared" si="42"/>
        <v>0</v>
      </c>
      <c r="DO274" s="10"/>
      <c r="DP274" s="10"/>
      <c r="DQ274" s="10">
        <v>2</v>
      </c>
      <c r="DR274" s="11">
        <f t="shared" si="43"/>
        <v>7.1999999999999993</v>
      </c>
      <c r="DS274" s="10">
        <v>0</v>
      </c>
      <c r="DT274" s="11">
        <f t="shared" si="44"/>
        <v>0</v>
      </c>
      <c r="DU274" s="10"/>
      <c r="DV274" s="11">
        <f t="shared" si="45"/>
        <v>0</v>
      </c>
      <c r="DW274" s="10">
        <v>0</v>
      </c>
      <c r="DX274" s="11">
        <f t="shared" si="46"/>
        <v>0</v>
      </c>
      <c r="DY274" s="10"/>
      <c r="DZ274" s="10"/>
      <c r="EA274" s="11">
        <f t="shared" si="47"/>
        <v>0</v>
      </c>
      <c r="EB274" s="10"/>
      <c r="EC274" s="11">
        <f t="shared" si="48"/>
        <v>0</v>
      </c>
      <c r="ED274" s="10"/>
      <c r="EE274" s="10"/>
    </row>
    <row r="275" spans="2:135" ht="16.5">
      <c r="B275" s="47">
        <v>264</v>
      </c>
      <c r="C275" s="50" t="s">
        <v>945</v>
      </c>
      <c r="D275" s="49" t="s">
        <v>362</v>
      </c>
      <c r="E275" s="49"/>
      <c r="F275" s="49"/>
      <c r="G275" s="49"/>
      <c r="H275" s="71">
        <f t="shared" si="49"/>
        <v>1.2</v>
      </c>
      <c r="I275" s="10">
        <v>1</v>
      </c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  <c r="BB275" s="10"/>
      <c r="BC275" s="10"/>
      <c r="BD275" s="10"/>
      <c r="BE275" s="10"/>
      <c r="BF275" s="10"/>
      <c r="BG275" s="10"/>
      <c r="BH275" s="10"/>
      <c r="BI275" s="10"/>
      <c r="BJ275" s="10"/>
      <c r="BK275" s="10"/>
      <c r="BL275" s="10"/>
      <c r="BN275" s="10"/>
      <c r="BO275" s="10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  <c r="CB275" s="10"/>
      <c r="CC275" s="10"/>
      <c r="CD275" s="10"/>
      <c r="CE275" s="10"/>
      <c r="CF275" s="10"/>
      <c r="CG275" s="10"/>
      <c r="CH275" s="10"/>
      <c r="CI275" s="10"/>
      <c r="CJ275" s="10"/>
      <c r="CK275" s="10"/>
      <c r="CL275" s="10"/>
      <c r="CM275" s="10"/>
      <c r="CN275" s="10"/>
      <c r="CO275" s="10"/>
      <c r="CP275" s="10"/>
      <c r="CQ275" s="10"/>
      <c r="CR275" s="10"/>
      <c r="CS275" s="10"/>
      <c r="CT275" s="10"/>
      <c r="CU275" s="10"/>
      <c r="CV275" s="10"/>
      <c r="CW275" s="10"/>
      <c r="CX275" s="10"/>
      <c r="CY275" s="10"/>
      <c r="CZ275" s="11">
        <f t="shared" si="40"/>
        <v>0</v>
      </c>
      <c r="DA275" s="10"/>
      <c r="DB275" s="10"/>
      <c r="DC275" s="10"/>
      <c r="DD275" s="10"/>
      <c r="DE275" s="10"/>
      <c r="DF275" s="10"/>
      <c r="DG275" s="10"/>
      <c r="DH275" s="10"/>
      <c r="DI275" s="10"/>
      <c r="DJ275" s="11">
        <f t="shared" si="41"/>
        <v>0</v>
      </c>
      <c r="DK275" s="10"/>
      <c r="DL275" s="10"/>
      <c r="DM275" s="10"/>
      <c r="DN275" s="11">
        <f t="shared" si="42"/>
        <v>0</v>
      </c>
      <c r="DO275" s="10"/>
      <c r="DP275" s="10"/>
      <c r="DQ275" s="10">
        <v>1</v>
      </c>
      <c r="DR275" s="11">
        <f t="shared" si="43"/>
        <v>1.2</v>
      </c>
      <c r="DS275" s="10">
        <v>0</v>
      </c>
      <c r="DT275" s="11">
        <f t="shared" si="44"/>
        <v>0</v>
      </c>
      <c r="DU275" s="10"/>
      <c r="DV275" s="11">
        <f t="shared" si="45"/>
        <v>0</v>
      </c>
      <c r="DW275" s="10">
        <v>0</v>
      </c>
      <c r="DX275" s="11">
        <f t="shared" si="46"/>
        <v>0</v>
      </c>
      <c r="DY275" s="10"/>
      <c r="DZ275" s="10"/>
      <c r="EA275" s="11">
        <f t="shared" si="47"/>
        <v>0</v>
      </c>
      <c r="EB275" s="10"/>
      <c r="EC275" s="11">
        <f t="shared" si="48"/>
        <v>0</v>
      </c>
      <c r="ED275" s="10"/>
      <c r="EE275" s="10"/>
    </row>
    <row r="276" spans="2:135" ht="16.5">
      <c r="B276" s="47">
        <v>265</v>
      </c>
      <c r="C276" s="50" t="s">
        <v>946</v>
      </c>
      <c r="D276" s="49" t="s">
        <v>363</v>
      </c>
      <c r="E276" s="49"/>
      <c r="F276" s="49"/>
      <c r="G276" s="49"/>
      <c r="H276" s="71">
        <f t="shared" si="49"/>
        <v>18</v>
      </c>
      <c r="I276" s="10">
        <v>15</v>
      </c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/>
      <c r="BI276" s="10"/>
      <c r="BJ276" s="10"/>
      <c r="BK276" s="10"/>
      <c r="BL276" s="10"/>
      <c r="BN276" s="10"/>
      <c r="BO276" s="10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  <c r="CB276" s="10"/>
      <c r="CC276" s="10"/>
      <c r="CD276" s="10"/>
      <c r="CE276" s="10"/>
      <c r="CF276" s="10"/>
      <c r="CG276" s="10"/>
      <c r="CH276" s="10"/>
      <c r="CI276" s="10"/>
      <c r="CJ276" s="10"/>
      <c r="CK276" s="10"/>
      <c r="CL276" s="10"/>
      <c r="CM276" s="10"/>
      <c r="CN276" s="10"/>
      <c r="CO276" s="10"/>
      <c r="CP276" s="10"/>
      <c r="CQ276" s="10"/>
      <c r="CR276" s="10"/>
      <c r="CS276" s="10"/>
      <c r="CT276" s="10"/>
      <c r="CU276" s="10"/>
      <c r="CV276" s="10"/>
      <c r="CW276" s="10"/>
      <c r="CX276" s="10"/>
      <c r="CY276" s="10"/>
      <c r="CZ276" s="11">
        <f t="shared" si="40"/>
        <v>0</v>
      </c>
      <c r="DA276" s="10"/>
      <c r="DB276" s="10"/>
      <c r="DC276" s="10"/>
      <c r="DD276" s="10"/>
      <c r="DE276" s="10"/>
      <c r="DF276" s="10"/>
      <c r="DG276" s="10"/>
      <c r="DH276" s="10"/>
      <c r="DI276" s="10"/>
      <c r="DJ276" s="11">
        <f t="shared" si="41"/>
        <v>0</v>
      </c>
      <c r="DK276" s="10"/>
      <c r="DL276" s="10"/>
      <c r="DM276" s="10"/>
      <c r="DN276" s="11">
        <f t="shared" si="42"/>
        <v>0</v>
      </c>
      <c r="DO276" s="10"/>
      <c r="DP276" s="10"/>
      <c r="DQ276" s="10">
        <v>13</v>
      </c>
      <c r="DR276" s="11">
        <f t="shared" si="43"/>
        <v>234</v>
      </c>
      <c r="DS276" s="10">
        <v>0</v>
      </c>
      <c r="DT276" s="11">
        <f t="shared" si="44"/>
        <v>0</v>
      </c>
      <c r="DU276" s="10">
        <v>2</v>
      </c>
      <c r="DV276" s="11">
        <f t="shared" si="45"/>
        <v>36</v>
      </c>
      <c r="DW276" s="10">
        <v>0</v>
      </c>
      <c r="DX276" s="11">
        <f t="shared" si="46"/>
        <v>0</v>
      </c>
      <c r="DY276" s="10"/>
      <c r="DZ276" s="10"/>
      <c r="EA276" s="11">
        <f t="shared" si="47"/>
        <v>0</v>
      </c>
      <c r="EB276" s="10"/>
      <c r="EC276" s="11">
        <f t="shared" si="48"/>
        <v>0</v>
      </c>
      <c r="ED276" s="10"/>
      <c r="EE276" s="10"/>
    </row>
    <row r="277" spans="2:135" ht="16.5">
      <c r="B277" s="47">
        <v>266</v>
      </c>
      <c r="C277" s="50" t="s">
        <v>947</v>
      </c>
      <c r="D277" s="49" t="s">
        <v>364</v>
      </c>
      <c r="E277" s="49"/>
      <c r="F277" s="49"/>
      <c r="G277" s="49"/>
      <c r="H277" s="71">
        <f t="shared" si="49"/>
        <v>4.8</v>
      </c>
      <c r="I277" s="10">
        <v>4</v>
      </c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  <c r="BB277" s="10"/>
      <c r="BC277" s="10"/>
      <c r="BD277" s="10"/>
      <c r="BE277" s="10"/>
      <c r="BF277" s="10"/>
      <c r="BG277" s="10"/>
      <c r="BH277" s="10"/>
      <c r="BI277" s="10"/>
      <c r="BJ277" s="10"/>
      <c r="BK277" s="10"/>
      <c r="BL277" s="10"/>
      <c r="BN277" s="10"/>
      <c r="BO277" s="10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  <c r="CB277" s="10"/>
      <c r="CC277" s="10"/>
      <c r="CD277" s="10"/>
      <c r="CE277" s="10"/>
      <c r="CF277" s="10"/>
      <c r="CG277" s="10"/>
      <c r="CH277" s="10"/>
      <c r="CI277" s="10"/>
      <c r="CJ277" s="10"/>
      <c r="CK277" s="10"/>
      <c r="CL277" s="10"/>
      <c r="CM277" s="10"/>
      <c r="CN277" s="10"/>
      <c r="CO277" s="10"/>
      <c r="CP277" s="10"/>
      <c r="CQ277" s="10"/>
      <c r="CR277" s="10"/>
      <c r="CS277" s="10"/>
      <c r="CT277" s="10"/>
      <c r="CU277" s="10"/>
      <c r="CV277" s="10"/>
      <c r="CW277" s="10"/>
      <c r="CX277" s="10"/>
      <c r="CY277" s="10"/>
      <c r="CZ277" s="11">
        <f t="shared" si="40"/>
        <v>0</v>
      </c>
      <c r="DA277" s="10"/>
      <c r="DB277" s="10"/>
      <c r="DC277" s="10"/>
      <c r="DD277" s="10"/>
      <c r="DE277" s="10"/>
      <c r="DF277" s="10"/>
      <c r="DG277" s="10"/>
      <c r="DH277" s="10"/>
      <c r="DI277" s="10"/>
      <c r="DJ277" s="11">
        <f t="shared" si="41"/>
        <v>0</v>
      </c>
      <c r="DK277" s="10"/>
      <c r="DL277" s="10"/>
      <c r="DM277" s="10"/>
      <c r="DN277" s="11">
        <f t="shared" si="42"/>
        <v>0</v>
      </c>
      <c r="DO277" s="10"/>
      <c r="DP277" s="10"/>
      <c r="DQ277" s="10">
        <v>0</v>
      </c>
      <c r="DR277" s="11">
        <f t="shared" si="43"/>
        <v>0</v>
      </c>
      <c r="DS277" s="10">
        <v>0</v>
      </c>
      <c r="DT277" s="11">
        <f t="shared" si="44"/>
        <v>0</v>
      </c>
      <c r="DU277" s="10"/>
      <c r="DV277" s="11">
        <f t="shared" si="45"/>
        <v>0</v>
      </c>
      <c r="DW277" s="10">
        <v>4</v>
      </c>
      <c r="DX277" s="11">
        <f t="shared" si="46"/>
        <v>19.2</v>
      </c>
      <c r="DY277" s="10"/>
      <c r="DZ277" s="10"/>
      <c r="EA277" s="11">
        <f t="shared" si="47"/>
        <v>0</v>
      </c>
      <c r="EB277" s="10"/>
      <c r="EC277" s="11">
        <f t="shared" si="48"/>
        <v>0</v>
      </c>
      <c r="ED277" s="10"/>
      <c r="EE277" s="10"/>
    </row>
    <row r="278" spans="2:135" ht="16.5">
      <c r="B278" s="47">
        <v>267</v>
      </c>
      <c r="C278" s="50" t="s">
        <v>948</v>
      </c>
      <c r="D278" s="49" t="s">
        <v>365</v>
      </c>
      <c r="E278" s="49"/>
      <c r="F278" s="49"/>
      <c r="G278" s="49"/>
      <c r="H278" s="71">
        <f t="shared" si="49"/>
        <v>16.8</v>
      </c>
      <c r="I278" s="10">
        <v>14</v>
      </c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10"/>
      <c r="BK278" s="10"/>
      <c r="BL278" s="10"/>
      <c r="BN278" s="10"/>
      <c r="BO278" s="10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  <c r="CD278" s="10"/>
      <c r="CE278" s="10"/>
      <c r="CF278" s="10"/>
      <c r="CG278" s="10"/>
      <c r="CH278" s="10"/>
      <c r="CI278" s="10"/>
      <c r="CJ278" s="10"/>
      <c r="CK278" s="10"/>
      <c r="CL278" s="10"/>
      <c r="CM278" s="10"/>
      <c r="CN278" s="10"/>
      <c r="CO278" s="10"/>
      <c r="CP278" s="10"/>
      <c r="CQ278" s="10"/>
      <c r="CR278" s="10"/>
      <c r="CS278" s="10"/>
      <c r="CT278" s="10"/>
      <c r="CU278" s="10"/>
      <c r="CV278" s="10"/>
      <c r="CW278" s="10"/>
      <c r="CX278" s="10"/>
      <c r="CY278" s="10">
        <v>7</v>
      </c>
      <c r="CZ278" s="11">
        <f t="shared" si="40"/>
        <v>117.60000000000001</v>
      </c>
      <c r="DA278" s="10"/>
      <c r="DB278" s="10"/>
      <c r="DC278" s="10"/>
      <c r="DD278" s="10"/>
      <c r="DE278" s="10"/>
      <c r="DF278" s="10"/>
      <c r="DG278" s="10"/>
      <c r="DH278" s="10"/>
      <c r="DI278" s="10">
        <v>1</v>
      </c>
      <c r="DJ278" s="11">
        <f t="shared" si="41"/>
        <v>16.8</v>
      </c>
      <c r="DK278" s="10"/>
      <c r="DL278" s="10"/>
      <c r="DM278" s="10"/>
      <c r="DN278" s="11">
        <f t="shared" si="42"/>
        <v>0</v>
      </c>
      <c r="DO278" s="10"/>
      <c r="DP278" s="10"/>
      <c r="DQ278" s="10">
        <v>0</v>
      </c>
      <c r="DR278" s="11">
        <f t="shared" si="43"/>
        <v>0</v>
      </c>
      <c r="DS278" s="10">
        <v>6</v>
      </c>
      <c r="DT278" s="11">
        <f t="shared" si="44"/>
        <v>100.80000000000001</v>
      </c>
      <c r="DU278" s="10"/>
      <c r="DV278" s="11">
        <f t="shared" si="45"/>
        <v>0</v>
      </c>
      <c r="DW278" s="10">
        <v>0</v>
      </c>
      <c r="DX278" s="11">
        <f t="shared" si="46"/>
        <v>0</v>
      </c>
      <c r="DY278" s="10"/>
      <c r="DZ278" s="10"/>
      <c r="EA278" s="11">
        <f t="shared" si="47"/>
        <v>0</v>
      </c>
      <c r="EB278" s="10"/>
      <c r="EC278" s="11">
        <f t="shared" si="48"/>
        <v>0</v>
      </c>
      <c r="ED278" s="10"/>
      <c r="EE278" s="10"/>
    </row>
    <row r="279" spans="2:135" ht="16.5">
      <c r="B279" s="47">
        <v>268</v>
      </c>
      <c r="C279" s="50" t="s">
        <v>949</v>
      </c>
      <c r="D279" s="49" t="s">
        <v>366</v>
      </c>
      <c r="E279" s="49"/>
      <c r="F279" s="49"/>
      <c r="G279" s="49"/>
      <c r="H279" s="71">
        <f t="shared" si="49"/>
        <v>2.4</v>
      </c>
      <c r="I279" s="10">
        <v>2</v>
      </c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/>
      <c r="BI279" s="10"/>
      <c r="BJ279" s="10"/>
      <c r="BK279" s="10"/>
      <c r="BL279" s="10"/>
      <c r="BN279" s="10"/>
      <c r="BO279" s="10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  <c r="CB279" s="10"/>
      <c r="CC279" s="10"/>
      <c r="CD279" s="10"/>
      <c r="CE279" s="10"/>
      <c r="CF279" s="10"/>
      <c r="CG279" s="10"/>
      <c r="CH279" s="10"/>
      <c r="CI279" s="10"/>
      <c r="CJ279" s="10"/>
      <c r="CK279" s="10"/>
      <c r="CL279" s="10"/>
      <c r="CM279" s="10"/>
      <c r="CN279" s="10"/>
      <c r="CO279" s="10"/>
      <c r="CP279" s="10"/>
      <c r="CQ279" s="10"/>
      <c r="CR279" s="10"/>
      <c r="CS279" s="10"/>
      <c r="CT279" s="10"/>
      <c r="CU279" s="10"/>
      <c r="CV279" s="10"/>
      <c r="CW279" s="10"/>
      <c r="CX279" s="10"/>
      <c r="CY279" s="10"/>
      <c r="CZ279" s="11">
        <f t="shared" si="40"/>
        <v>0</v>
      </c>
      <c r="DA279" s="10"/>
      <c r="DB279" s="10"/>
      <c r="DC279" s="10"/>
      <c r="DD279" s="10"/>
      <c r="DE279" s="10"/>
      <c r="DF279" s="10"/>
      <c r="DG279" s="10"/>
      <c r="DH279" s="10"/>
      <c r="DI279" s="10"/>
      <c r="DJ279" s="11">
        <f t="shared" si="41"/>
        <v>0</v>
      </c>
      <c r="DK279" s="10"/>
      <c r="DL279" s="10"/>
      <c r="DM279" s="10"/>
      <c r="DN279" s="11">
        <f t="shared" si="42"/>
        <v>0</v>
      </c>
      <c r="DO279" s="10"/>
      <c r="DP279" s="10"/>
      <c r="DQ279" s="10">
        <v>2</v>
      </c>
      <c r="DR279" s="11">
        <f t="shared" si="43"/>
        <v>4.8</v>
      </c>
      <c r="DS279" s="10">
        <v>0</v>
      </c>
      <c r="DT279" s="11">
        <f t="shared" si="44"/>
        <v>0</v>
      </c>
      <c r="DU279" s="10"/>
      <c r="DV279" s="11">
        <f t="shared" si="45"/>
        <v>0</v>
      </c>
      <c r="DW279" s="10">
        <v>0</v>
      </c>
      <c r="DX279" s="11">
        <f t="shared" si="46"/>
        <v>0</v>
      </c>
      <c r="DY279" s="10"/>
      <c r="DZ279" s="10"/>
      <c r="EA279" s="11">
        <f t="shared" si="47"/>
        <v>0</v>
      </c>
      <c r="EB279" s="10"/>
      <c r="EC279" s="11">
        <f t="shared" si="48"/>
        <v>0</v>
      </c>
      <c r="ED279" s="10"/>
      <c r="EE279" s="10"/>
    </row>
    <row r="280" spans="2:135" ht="16.5">
      <c r="B280" s="47">
        <v>269</v>
      </c>
      <c r="C280" s="50" t="s">
        <v>950</v>
      </c>
      <c r="D280" s="49" t="s">
        <v>367</v>
      </c>
      <c r="E280" s="49"/>
      <c r="F280" s="49"/>
      <c r="G280" s="49"/>
      <c r="H280" s="71">
        <f t="shared" si="49"/>
        <v>3.5999999999999996</v>
      </c>
      <c r="I280" s="10">
        <v>3</v>
      </c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/>
      <c r="BH280" s="10"/>
      <c r="BI280" s="10"/>
      <c r="BJ280" s="10"/>
      <c r="BK280" s="10"/>
      <c r="BL280" s="10"/>
      <c r="BN280" s="10"/>
      <c r="BO280" s="10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  <c r="CD280" s="10"/>
      <c r="CE280" s="10"/>
      <c r="CF280" s="10"/>
      <c r="CG280" s="10"/>
      <c r="CH280" s="10"/>
      <c r="CI280" s="10"/>
      <c r="CJ280" s="10"/>
      <c r="CK280" s="10"/>
      <c r="CL280" s="10"/>
      <c r="CM280" s="10"/>
      <c r="CN280" s="10"/>
      <c r="CO280" s="10"/>
      <c r="CP280" s="10"/>
      <c r="CQ280" s="10"/>
      <c r="CR280" s="10"/>
      <c r="CS280" s="10"/>
      <c r="CT280" s="10"/>
      <c r="CU280" s="10"/>
      <c r="CV280" s="10"/>
      <c r="CW280" s="10"/>
      <c r="CX280" s="10"/>
      <c r="CY280" s="10"/>
      <c r="CZ280" s="11">
        <f t="shared" si="40"/>
        <v>0</v>
      </c>
      <c r="DA280" s="10"/>
      <c r="DB280" s="10"/>
      <c r="DC280" s="10"/>
      <c r="DD280" s="10"/>
      <c r="DE280" s="10"/>
      <c r="DF280" s="10"/>
      <c r="DG280" s="10"/>
      <c r="DH280" s="10"/>
      <c r="DI280" s="10"/>
      <c r="DJ280" s="11">
        <f t="shared" si="41"/>
        <v>0</v>
      </c>
      <c r="DK280" s="10"/>
      <c r="DL280" s="10"/>
      <c r="DM280" s="10"/>
      <c r="DN280" s="11">
        <f t="shared" si="42"/>
        <v>0</v>
      </c>
      <c r="DO280" s="10"/>
      <c r="DP280" s="10"/>
      <c r="DQ280" s="10">
        <v>0</v>
      </c>
      <c r="DR280" s="11">
        <f t="shared" si="43"/>
        <v>0</v>
      </c>
      <c r="DS280" s="10">
        <v>3</v>
      </c>
      <c r="DT280" s="11">
        <f t="shared" si="44"/>
        <v>10.799999999999999</v>
      </c>
      <c r="DU280" s="10"/>
      <c r="DV280" s="11">
        <f t="shared" si="45"/>
        <v>0</v>
      </c>
      <c r="DW280" s="10">
        <v>0</v>
      </c>
      <c r="DX280" s="11">
        <f t="shared" si="46"/>
        <v>0</v>
      </c>
      <c r="DY280" s="10"/>
      <c r="DZ280" s="10"/>
      <c r="EA280" s="11">
        <f t="shared" si="47"/>
        <v>0</v>
      </c>
      <c r="EB280" s="10"/>
      <c r="EC280" s="11">
        <f t="shared" si="48"/>
        <v>0</v>
      </c>
      <c r="ED280" s="10"/>
      <c r="EE280" s="10"/>
    </row>
    <row r="281" spans="2:135" ht="16.5">
      <c r="B281" s="47">
        <v>270</v>
      </c>
      <c r="C281" s="50" t="s">
        <v>951</v>
      </c>
      <c r="D281" s="49" t="s">
        <v>368</v>
      </c>
      <c r="E281" s="49"/>
      <c r="F281" s="49"/>
      <c r="G281" s="49"/>
      <c r="H281" s="71">
        <f t="shared" si="49"/>
        <v>6</v>
      </c>
      <c r="I281" s="10">
        <v>5</v>
      </c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  <c r="BB281" s="10"/>
      <c r="BC281" s="10"/>
      <c r="BD281" s="10"/>
      <c r="BE281" s="10"/>
      <c r="BF281" s="10"/>
      <c r="BG281" s="10"/>
      <c r="BH281" s="10"/>
      <c r="BI281" s="10"/>
      <c r="BJ281" s="10"/>
      <c r="BK281" s="10"/>
      <c r="BL281" s="10"/>
      <c r="BN281" s="10"/>
      <c r="BO281" s="10"/>
      <c r="BP281" s="10"/>
      <c r="BQ281" s="10"/>
      <c r="BR281" s="10"/>
      <c r="BS281" s="10"/>
      <c r="BT281" s="10"/>
      <c r="BU281" s="10"/>
      <c r="BV281" s="10"/>
      <c r="BW281" s="10"/>
      <c r="BX281" s="10"/>
      <c r="BY281" s="10"/>
      <c r="BZ281" s="10"/>
      <c r="CA281" s="10"/>
      <c r="CB281" s="10"/>
      <c r="CC281" s="10"/>
      <c r="CD281" s="10"/>
      <c r="CE281" s="10"/>
      <c r="CF281" s="10"/>
      <c r="CG281" s="10"/>
      <c r="CH281" s="10"/>
      <c r="CI281" s="10"/>
      <c r="CJ281" s="10"/>
      <c r="CK281" s="10"/>
      <c r="CL281" s="10"/>
      <c r="CM281" s="10"/>
      <c r="CN281" s="10"/>
      <c r="CO281" s="10"/>
      <c r="CP281" s="10"/>
      <c r="CQ281" s="10"/>
      <c r="CR281" s="10"/>
      <c r="CS281" s="10"/>
      <c r="CT281" s="10"/>
      <c r="CU281" s="10"/>
      <c r="CV281" s="10"/>
      <c r="CW281" s="10"/>
      <c r="CX281" s="10"/>
      <c r="CY281" s="10">
        <v>1</v>
      </c>
      <c r="CZ281" s="11">
        <f t="shared" si="40"/>
        <v>6</v>
      </c>
      <c r="DA281" s="10"/>
      <c r="DB281" s="10"/>
      <c r="DC281" s="10"/>
      <c r="DD281" s="10"/>
      <c r="DE281" s="10"/>
      <c r="DF281" s="10"/>
      <c r="DG281" s="10"/>
      <c r="DH281" s="10"/>
      <c r="DI281" s="10">
        <v>1</v>
      </c>
      <c r="DJ281" s="11">
        <f t="shared" si="41"/>
        <v>6</v>
      </c>
      <c r="DK281" s="10"/>
      <c r="DL281" s="10"/>
      <c r="DM281" s="10"/>
      <c r="DN281" s="11">
        <f t="shared" si="42"/>
        <v>0</v>
      </c>
      <c r="DO281" s="10"/>
      <c r="DP281" s="10"/>
      <c r="DQ281" s="10">
        <v>3</v>
      </c>
      <c r="DR281" s="11">
        <f t="shared" si="43"/>
        <v>18</v>
      </c>
      <c r="DS281" s="10">
        <v>0</v>
      </c>
      <c r="DT281" s="11">
        <f t="shared" si="44"/>
        <v>0</v>
      </c>
      <c r="DU281" s="10"/>
      <c r="DV281" s="11">
        <f t="shared" si="45"/>
        <v>0</v>
      </c>
      <c r="DW281" s="10">
        <v>0</v>
      </c>
      <c r="DX281" s="11">
        <f t="shared" si="46"/>
        <v>0</v>
      </c>
      <c r="DY281" s="10"/>
      <c r="DZ281" s="10"/>
      <c r="EA281" s="11">
        <f t="shared" si="47"/>
        <v>0</v>
      </c>
      <c r="EB281" s="10"/>
      <c r="EC281" s="11">
        <f t="shared" si="48"/>
        <v>0</v>
      </c>
      <c r="ED281" s="10"/>
      <c r="EE281" s="10"/>
    </row>
    <row r="282" spans="2:135" ht="16.5">
      <c r="B282" s="47">
        <v>271</v>
      </c>
      <c r="C282" s="50" t="s">
        <v>952</v>
      </c>
      <c r="D282" s="49" t="s">
        <v>369</v>
      </c>
      <c r="E282" s="49"/>
      <c r="F282" s="49"/>
      <c r="G282" s="49"/>
      <c r="H282" s="71">
        <f t="shared" si="49"/>
        <v>1.2</v>
      </c>
      <c r="I282" s="10">
        <v>1</v>
      </c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  <c r="BB282" s="10"/>
      <c r="BC282" s="10"/>
      <c r="BD282" s="10"/>
      <c r="BE282" s="10"/>
      <c r="BF282" s="10"/>
      <c r="BG282" s="10"/>
      <c r="BH282" s="10"/>
      <c r="BI282" s="10"/>
      <c r="BJ282" s="10"/>
      <c r="BK282" s="10"/>
      <c r="BL282" s="10"/>
      <c r="BN282" s="10"/>
      <c r="BO282" s="10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  <c r="CD282" s="10"/>
      <c r="CE282" s="10"/>
      <c r="CF282" s="10"/>
      <c r="CG282" s="10"/>
      <c r="CH282" s="10"/>
      <c r="CI282" s="10"/>
      <c r="CJ282" s="10"/>
      <c r="CK282" s="10"/>
      <c r="CL282" s="10"/>
      <c r="CM282" s="10"/>
      <c r="CN282" s="10"/>
      <c r="CO282" s="10"/>
      <c r="CP282" s="10"/>
      <c r="CQ282" s="10"/>
      <c r="CR282" s="10"/>
      <c r="CS282" s="10"/>
      <c r="CT282" s="10"/>
      <c r="CU282" s="10"/>
      <c r="CV282" s="10"/>
      <c r="CW282" s="10"/>
      <c r="CX282" s="10"/>
      <c r="CY282" s="10"/>
      <c r="CZ282" s="11">
        <f t="shared" si="40"/>
        <v>0</v>
      </c>
      <c r="DA282" s="10"/>
      <c r="DB282" s="10"/>
      <c r="DC282" s="10"/>
      <c r="DD282" s="10"/>
      <c r="DE282" s="10"/>
      <c r="DF282" s="10"/>
      <c r="DG282" s="10"/>
      <c r="DH282" s="10"/>
      <c r="DI282" s="10"/>
      <c r="DJ282" s="11">
        <f t="shared" si="41"/>
        <v>0</v>
      </c>
      <c r="DK282" s="10"/>
      <c r="DL282" s="10"/>
      <c r="DM282" s="10"/>
      <c r="DN282" s="11">
        <f t="shared" si="42"/>
        <v>0</v>
      </c>
      <c r="DO282" s="10"/>
      <c r="DP282" s="10"/>
      <c r="DQ282" s="10">
        <v>1</v>
      </c>
      <c r="DR282" s="11">
        <f t="shared" si="43"/>
        <v>1.2</v>
      </c>
      <c r="DS282" s="10">
        <v>0</v>
      </c>
      <c r="DT282" s="11">
        <f t="shared" si="44"/>
        <v>0</v>
      </c>
      <c r="DU282" s="10"/>
      <c r="DV282" s="11">
        <f t="shared" si="45"/>
        <v>0</v>
      </c>
      <c r="DW282" s="10">
        <v>0</v>
      </c>
      <c r="DX282" s="11">
        <f t="shared" si="46"/>
        <v>0</v>
      </c>
      <c r="DY282" s="10"/>
      <c r="DZ282" s="10"/>
      <c r="EA282" s="11">
        <f t="shared" si="47"/>
        <v>0</v>
      </c>
      <c r="EB282" s="10"/>
      <c r="EC282" s="11">
        <f t="shared" si="48"/>
        <v>0</v>
      </c>
      <c r="ED282" s="10"/>
      <c r="EE282" s="10"/>
    </row>
    <row r="283" spans="2:135" ht="16.5">
      <c r="B283" s="47">
        <v>272</v>
      </c>
      <c r="C283" s="50" t="s">
        <v>953</v>
      </c>
      <c r="D283" s="49" t="s">
        <v>370</v>
      </c>
      <c r="E283" s="49"/>
      <c r="F283" s="49"/>
      <c r="G283" s="49"/>
      <c r="H283" s="71">
        <f t="shared" si="49"/>
        <v>4.8</v>
      </c>
      <c r="I283" s="10">
        <v>4</v>
      </c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  <c r="BI283" s="10"/>
      <c r="BJ283" s="10"/>
      <c r="BK283" s="10"/>
      <c r="BL283" s="10"/>
      <c r="BN283" s="10"/>
      <c r="BO283" s="10"/>
      <c r="BP283" s="10"/>
      <c r="BQ283" s="10"/>
      <c r="BR283" s="10"/>
      <c r="BS283" s="10"/>
      <c r="BT283" s="10"/>
      <c r="BU283" s="10"/>
      <c r="BV283" s="10"/>
      <c r="BW283" s="10"/>
      <c r="BX283" s="10"/>
      <c r="BY283" s="10"/>
      <c r="BZ283" s="10"/>
      <c r="CA283" s="10"/>
      <c r="CB283" s="10"/>
      <c r="CC283" s="10"/>
      <c r="CD283" s="10"/>
      <c r="CE283" s="10"/>
      <c r="CF283" s="10"/>
      <c r="CG283" s="10"/>
      <c r="CH283" s="10"/>
      <c r="CI283" s="10"/>
      <c r="CJ283" s="10"/>
      <c r="CK283" s="10"/>
      <c r="CL283" s="10"/>
      <c r="CM283" s="10"/>
      <c r="CN283" s="10"/>
      <c r="CO283" s="10"/>
      <c r="CP283" s="10"/>
      <c r="CQ283" s="10"/>
      <c r="CR283" s="10"/>
      <c r="CS283" s="10"/>
      <c r="CT283" s="10"/>
      <c r="CU283" s="10"/>
      <c r="CV283" s="10"/>
      <c r="CW283" s="10"/>
      <c r="CX283" s="10"/>
      <c r="CY283" s="10"/>
      <c r="CZ283" s="11">
        <f t="shared" si="40"/>
        <v>0</v>
      </c>
      <c r="DA283" s="10"/>
      <c r="DB283" s="10"/>
      <c r="DC283" s="10"/>
      <c r="DD283" s="10"/>
      <c r="DE283" s="10"/>
      <c r="DF283" s="10"/>
      <c r="DG283" s="10"/>
      <c r="DH283" s="10"/>
      <c r="DI283" s="10"/>
      <c r="DJ283" s="11">
        <f t="shared" si="41"/>
        <v>0</v>
      </c>
      <c r="DK283" s="10"/>
      <c r="DL283" s="10"/>
      <c r="DM283" s="10"/>
      <c r="DN283" s="11">
        <f t="shared" si="42"/>
        <v>0</v>
      </c>
      <c r="DO283" s="10"/>
      <c r="DP283" s="10"/>
      <c r="DQ283" s="10">
        <v>1</v>
      </c>
      <c r="DR283" s="11">
        <f t="shared" si="43"/>
        <v>4.8</v>
      </c>
      <c r="DS283" s="10">
        <v>0</v>
      </c>
      <c r="DT283" s="11">
        <f t="shared" si="44"/>
        <v>0</v>
      </c>
      <c r="DU283" s="10">
        <v>2</v>
      </c>
      <c r="DV283" s="11">
        <f t="shared" si="45"/>
        <v>9.6</v>
      </c>
      <c r="DW283" s="10">
        <v>0</v>
      </c>
      <c r="DX283" s="11">
        <f t="shared" si="46"/>
        <v>0</v>
      </c>
      <c r="DY283" s="10"/>
      <c r="DZ283" s="10">
        <v>1</v>
      </c>
      <c r="EA283" s="11">
        <f t="shared" si="47"/>
        <v>4.8</v>
      </c>
      <c r="EB283" s="10"/>
      <c r="EC283" s="11">
        <f t="shared" si="48"/>
        <v>0</v>
      </c>
      <c r="ED283" s="10"/>
      <c r="EE283" s="10"/>
    </row>
    <row r="284" spans="2:135" ht="16.5">
      <c r="B284" s="47">
        <v>273</v>
      </c>
      <c r="C284" s="50" t="s">
        <v>954</v>
      </c>
      <c r="D284" s="49" t="s">
        <v>371</v>
      </c>
      <c r="E284" s="49"/>
      <c r="F284" s="49"/>
      <c r="G284" s="49"/>
      <c r="H284" s="71">
        <f t="shared" si="49"/>
        <v>14.399999999999999</v>
      </c>
      <c r="I284" s="10">
        <v>12</v>
      </c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  <c r="BI284" s="10"/>
      <c r="BJ284" s="10"/>
      <c r="BK284" s="10"/>
      <c r="BL284" s="10"/>
      <c r="BN284" s="10"/>
      <c r="BO284" s="10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  <c r="CB284" s="10"/>
      <c r="CC284" s="10"/>
      <c r="CD284" s="10"/>
      <c r="CE284" s="10"/>
      <c r="CF284" s="10"/>
      <c r="CG284" s="10"/>
      <c r="CH284" s="10"/>
      <c r="CI284" s="10"/>
      <c r="CJ284" s="10"/>
      <c r="CK284" s="10"/>
      <c r="CL284" s="10"/>
      <c r="CM284" s="10"/>
      <c r="CN284" s="10"/>
      <c r="CO284" s="10"/>
      <c r="CP284" s="10"/>
      <c r="CQ284" s="10"/>
      <c r="CR284" s="10"/>
      <c r="CS284" s="10"/>
      <c r="CT284" s="10"/>
      <c r="CU284" s="10"/>
      <c r="CV284" s="10"/>
      <c r="CW284" s="10"/>
      <c r="CX284" s="10"/>
      <c r="CY284" s="10"/>
      <c r="CZ284" s="11">
        <f t="shared" si="40"/>
        <v>0</v>
      </c>
      <c r="DA284" s="10"/>
      <c r="DB284" s="10"/>
      <c r="DC284" s="10"/>
      <c r="DD284" s="10"/>
      <c r="DE284" s="10"/>
      <c r="DF284" s="10"/>
      <c r="DG284" s="10"/>
      <c r="DH284" s="10"/>
      <c r="DI284" s="10"/>
      <c r="DJ284" s="11">
        <f t="shared" si="41"/>
        <v>0</v>
      </c>
      <c r="DK284" s="10"/>
      <c r="DL284" s="10"/>
      <c r="DM284" s="10">
        <v>4</v>
      </c>
      <c r="DN284" s="11">
        <f t="shared" si="42"/>
        <v>57.599999999999994</v>
      </c>
      <c r="DO284" s="10"/>
      <c r="DP284" s="10"/>
      <c r="DQ284" s="10">
        <v>3</v>
      </c>
      <c r="DR284" s="11">
        <f t="shared" si="43"/>
        <v>43.199999999999996</v>
      </c>
      <c r="DS284" s="10">
        <v>0</v>
      </c>
      <c r="DT284" s="11">
        <f t="shared" si="44"/>
        <v>0</v>
      </c>
      <c r="DU284" s="10">
        <v>5</v>
      </c>
      <c r="DV284" s="11">
        <f t="shared" si="45"/>
        <v>72</v>
      </c>
      <c r="DW284" s="10">
        <v>0</v>
      </c>
      <c r="DX284" s="11">
        <f t="shared" si="46"/>
        <v>0</v>
      </c>
      <c r="DY284" s="10"/>
      <c r="DZ284" s="10"/>
      <c r="EA284" s="11">
        <f t="shared" si="47"/>
        <v>0</v>
      </c>
      <c r="EB284" s="10"/>
      <c r="EC284" s="11">
        <f t="shared" si="48"/>
        <v>0</v>
      </c>
      <c r="ED284" s="10"/>
      <c r="EE284" s="10"/>
    </row>
    <row r="285" spans="2:135" ht="16.5">
      <c r="B285" s="47">
        <v>274</v>
      </c>
      <c r="C285" s="50" t="s">
        <v>955</v>
      </c>
      <c r="D285" s="49" t="s">
        <v>372</v>
      </c>
      <c r="E285" s="49"/>
      <c r="F285" s="49"/>
      <c r="G285" s="49"/>
      <c r="H285" s="71">
        <f t="shared" si="49"/>
        <v>13.2</v>
      </c>
      <c r="I285" s="10">
        <v>11</v>
      </c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/>
      <c r="BH285" s="10"/>
      <c r="BI285" s="10"/>
      <c r="BJ285" s="10"/>
      <c r="BK285" s="10"/>
      <c r="BL285" s="10"/>
      <c r="BN285" s="10"/>
      <c r="BO285" s="10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  <c r="CD285" s="10"/>
      <c r="CE285" s="10"/>
      <c r="CF285" s="10"/>
      <c r="CG285" s="10"/>
      <c r="CH285" s="10"/>
      <c r="CI285" s="10"/>
      <c r="CJ285" s="10"/>
      <c r="CK285" s="10"/>
      <c r="CL285" s="10"/>
      <c r="CM285" s="10"/>
      <c r="CN285" s="10"/>
      <c r="CO285" s="10"/>
      <c r="CP285" s="10"/>
      <c r="CQ285" s="10"/>
      <c r="CR285" s="10"/>
      <c r="CS285" s="10"/>
      <c r="CT285" s="10"/>
      <c r="CU285" s="10"/>
      <c r="CV285" s="10"/>
      <c r="CW285" s="10"/>
      <c r="CX285" s="10"/>
      <c r="CY285" s="10"/>
      <c r="CZ285" s="11">
        <f t="shared" si="40"/>
        <v>0</v>
      </c>
      <c r="DA285" s="10"/>
      <c r="DB285" s="10"/>
      <c r="DC285" s="10"/>
      <c r="DD285" s="10"/>
      <c r="DE285" s="10"/>
      <c r="DF285" s="10"/>
      <c r="DG285" s="10"/>
      <c r="DH285" s="10"/>
      <c r="DI285" s="10"/>
      <c r="DJ285" s="11">
        <f t="shared" si="41"/>
        <v>0</v>
      </c>
      <c r="DK285" s="10"/>
      <c r="DL285" s="10"/>
      <c r="DM285" s="10"/>
      <c r="DN285" s="11">
        <f t="shared" si="42"/>
        <v>0</v>
      </c>
      <c r="DO285" s="10"/>
      <c r="DP285" s="10"/>
      <c r="DQ285" s="10">
        <v>1</v>
      </c>
      <c r="DR285" s="11">
        <f t="shared" si="43"/>
        <v>13.2</v>
      </c>
      <c r="DS285" s="10">
        <v>0</v>
      </c>
      <c r="DT285" s="11">
        <f t="shared" si="44"/>
        <v>0</v>
      </c>
      <c r="DU285" s="10"/>
      <c r="DV285" s="11">
        <f t="shared" si="45"/>
        <v>0</v>
      </c>
      <c r="DW285" s="10">
        <v>0</v>
      </c>
      <c r="DX285" s="11">
        <f t="shared" si="46"/>
        <v>0</v>
      </c>
      <c r="DY285" s="10"/>
      <c r="DZ285" s="10">
        <v>10</v>
      </c>
      <c r="EA285" s="11">
        <f t="shared" si="47"/>
        <v>132</v>
      </c>
      <c r="EB285" s="10"/>
      <c r="EC285" s="11">
        <f t="shared" si="48"/>
        <v>0</v>
      </c>
      <c r="ED285" s="10"/>
      <c r="EE285" s="10"/>
    </row>
    <row r="286" spans="2:135" ht="16.5">
      <c r="B286" s="47">
        <v>275</v>
      </c>
      <c r="C286" s="50" t="s">
        <v>956</v>
      </c>
      <c r="D286" s="49" t="s">
        <v>373</v>
      </c>
      <c r="E286" s="49"/>
      <c r="F286" s="49"/>
      <c r="G286" s="49"/>
      <c r="H286" s="71">
        <f t="shared" si="49"/>
        <v>8.4</v>
      </c>
      <c r="I286" s="10">
        <v>7</v>
      </c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  <c r="BI286" s="10"/>
      <c r="BJ286" s="10"/>
      <c r="BK286" s="10"/>
      <c r="BL286" s="10"/>
      <c r="BN286" s="10"/>
      <c r="BO286" s="10"/>
      <c r="BP286" s="10"/>
      <c r="BQ286" s="10"/>
      <c r="BR286" s="10"/>
      <c r="BS286" s="10"/>
      <c r="BT286" s="10"/>
      <c r="BU286" s="10"/>
      <c r="BV286" s="10"/>
      <c r="BW286" s="10"/>
      <c r="BX286" s="10"/>
      <c r="BY286" s="10"/>
      <c r="BZ286" s="10"/>
      <c r="CA286" s="10"/>
      <c r="CB286" s="10"/>
      <c r="CC286" s="10"/>
      <c r="CD286" s="10"/>
      <c r="CE286" s="10"/>
      <c r="CF286" s="10"/>
      <c r="CG286" s="10"/>
      <c r="CH286" s="10"/>
      <c r="CI286" s="10"/>
      <c r="CJ286" s="10"/>
      <c r="CK286" s="10"/>
      <c r="CL286" s="10"/>
      <c r="CM286" s="10"/>
      <c r="CN286" s="10"/>
      <c r="CO286" s="10"/>
      <c r="CP286" s="10"/>
      <c r="CQ286" s="10"/>
      <c r="CR286" s="10"/>
      <c r="CS286" s="10"/>
      <c r="CT286" s="10"/>
      <c r="CU286" s="10"/>
      <c r="CV286" s="10"/>
      <c r="CW286" s="10"/>
      <c r="CX286" s="10"/>
      <c r="CY286" s="10"/>
      <c r="CZ286" s="11">
        <f t="shared" si="40"/>
        <v>0</v>
      </c>
      <c r="DA286" s="10"/>
      <c r="DB286" s="10"/>
      <c r="DC286" s="10"/>
      <c r="DD286" s="10"/>
      <c r="DE286" s="10"/>
      <c r="DF286" s="10"/>
      <c r="DG286" s="10"/>
      <c r="DH286" s="10"/>
      <c r="DI286" s="10"/>
      <c r="DJ286" s="11">
        <f t="shared" si="41"/>
        <v>0</v>
      </c>
      <c r="DK286" s="10"/>
      <c r="DL286" s="10"/>
      <c r="DM286" s="10"/>
      <c r="DN286" s="11">
        <f t="shared" si="42"/>
        <v>0</v>
      </c>
      <c r="DO286" s="10"/>
      <c r="DP286" s="10"/>
      <c r="DQ286" s="10">
        <v>0</v>
      </c>
      <c r="DR286" s="11">
        <f t="shared" si="43"/>
        <v>0</v>
      </c>
      <c r="DS286" s="10">
        <v>0</v>
      </c>
      <c r="DT286" s="11">
        <f t="shared" si="44"/>
        <v>0</v>
      </c>
      <c r="DU286" s="10">
        <v>7</v>
      </c>
      <c r="DV286" s="11">
        <f t="shared" si="45"/>
        <v>58.800000000000004</v>
      </c>
      <c r="DW286" s="10">
        <v>0</v>
      </c>
      <c r="DX286" s="11">
        <f t="shared" si="46"/>
        <v>0</v>
      </c>
      <c r="DY286" s="10"/>
      <c r="DZ286" s="10"/>
      <c r="EA286" s="11">
        <f t="shared" si="47"/>
        <v>0</v>
      </c>
      <c r="EB286" s="10"/>
      <c r="EC286" s="11">
        <f t="shared" si="48"/>
        <v>0</v>
      </c>
      <c r="ED286" s="10"/>
      <c r="EE286" s="10"/>
    </row>
    <row r="287" spans="2:135" ht="16.5">
      <c r="B287" s="47">
        <v>276</v>
      </c>
      <c r="C287" s="50" t="s">
        <v>957</v>
      </c>
      <c r="D287" s="49" t="s">
        <v>374</v>
      </c>
      <c r="E287" s="49"/>
      <c r="F287" s="49"/>
      <c r="G287" s="49"/>
      <c r="H287" s="71">
        <f t="shared" si="49"/>
        <v>12</v>
      </c>
      <c r="I287" s="10">
        <v>10</v>
      </c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/>
      <c r="BH287" s="10"/>
      <c r="BI287" s="10"/>
      <c r="BJ287" s="10"/>
      <c r="BK287" s="10"/>
      <c r="BL287" s="10"/>
      <c r="BN287" s="10"/>
      <c r="BO287" s="10"/>
      <c r="BP287" s="10"/>
      <c r="BQ287" s="10"/>
      <c r="BR287" s="10"/>
      <c r="BS287" s="10"/>
      <c r="BT287" s="10"/>
      <c r="BU287" s="10"/>
      <c r="BV287" s="10"/>
      <c r="BW287" s="10"/>
      <c r="BX287" s="10"/>
      <c r="BY287" s="10"/>
      <c r="BZ287" s="10"/>
      <c r="CA287" s="10"/>
      <c r="CB287" s="10"/>
      <c r="CC287" s="10"/>
      <c r="CD287" s="10"/>
      <c r="CE287" s="10"/>
      <c r="CF287" s="10"/>
      <c r="CG287" s="10"/>
      <c r="CH287" s="10"/>
      <c r="CI287" s="10"/>
      <c r="CJ287" s="10"/>
      <c r="CK287" s="10"/>
      <c r="CL287" s="10"/>
      <c r="CM287" s="10"/>
      <c r="CN287" s="10"/>
      <c r="CO287" s="10"/>
      <c r="CP287" s="10"/>
      <c r="CQ287" s="10"/>
      <c r="CR287" s="10"/>
      <c r="CS287" s="10"/>
      <c r="CT287" s="10"/>
      <c r="CU287" s="10"/>
      <c r="CV287" s="10"/>
      <c r="CW287" s="10"/>
      <c r="CX287" s="10"/>
      <c r="CY287" s="10">
        <v>2</v>
      </c>
      <c r="CZ287" s="11">
        <f t="shared" si="40"/>
        <v>24</v>
      </c>
      <c r="DA287" s="10"/>
      <c r="DB287" s="10"/>
      <c r="DC287" s="10"/>
      <c r="DD287" s="10"/>
      <c r="DE287" s="10"/>
      <c r="DF287" s="10"/>
      <c r="DG287" s="10"/>
      <c r="DH287" s="10"/>
      <c r="DI287" s="10"/>
      <c r="DJ287" s="11">
        <f t="shared" si="41"/>
        <v>0</v>
      </c>
      <c r="DK287" s="10"/>
      <c r="DL287" s="10"/>
      <c r="DM287" s="10"/>
      <c r="DN287" s="11">
        <f t="shared" si="42"/>
        <v>0</v>
      </c>
      <c r="DO287" s="10"/>
      <c r="DP287" s="10"/>
      <c r="DQ287" s="10">
        <v>7</v>
      </c>
      <c r="DR287" s="11">
        <f t="shared" si="43"/>
        <v>84</v>
      </c>
      <c r="DS287" s="10">
        <v>0</v>
      </c>
      <c r="DT287" s="11">
        <f t="shared" si="44"/>
        <v>0</v>
      </c>
      <c r="DU287" s="10"/>
      <c r="DV287" s="11">
        <f t="shared" si="45"/>
        <v>0</v>
      </c>
      <c r="DW287" s="10">
        <v>0</v>
      </c>
      <c r="DX287" s="11">
        <f t="shared" si="46"/>
        <v>0</v>
      </c>
      <c r="DY287" s="10"/>
      <c r="DZ287" s="10">
        <v>1</v>
      </c>
      <c r="EA287" s="11">
        <f t="shared" si="47"/>
        <v>12</v>
      </c>
      <c r="EB287" s="10"/>
      <c r="EC287" s="11">
        <f t="shared" si="48"/>
        <v>0</v>
      </c>
      <c r="ED287" s="10"/>
      <c r="EE287" s="10"/>
    </row>
    <row r="288" spans="2:135" ht="16.5">
      <c r="B288" s="47">
        <v>277</v>
      </c>
      <c r="C288" s="50" t="s">
        <v>958</v>
      </c>
      <c r="D288" s="49" t="s">
        <v>375</v>
      </c>
      <c r="E288" s="49"/>
      <c r="F288" s="49"/>
      <c r="G288" s="49"/>
      <c r="H288" s="71">
        <f t="shared" si="49"/>
        <v>4.8</v>
      </c>
      <c r="I288" s="10">
        <v>4</v>
      </c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  <c r="BB288" s="10"/>
      <c r="BC288" s="10"/>
      <c r="BD288" s="10"/>
      <c r="BE288" s="10"/>
      <c r="BF288" s="10"/>
      <c r="BG288" s="10"/>
      <c r="BH288" s="10"/>
      <c r="BI288" s="10"/>
      <c r="BJ288" s="10"/>
      <c r="BK288" s="10"/>
      <c r="BL288" s="10"/>
      <c r="BN288" s="10"/>
      <c r="BO288" s="10"/>
      <c r="BP288" s="10"/>
      <c r="BQ288" s="10"/>
      <c r="BR288" s="10"/>
      <c r="BS288" s="10"/>
      <c r="BT288" s="10"/>
      <c r="BU288" s="10"/>
      <c r="BV288" s="10"/>
      <c r="BW288" s="10"/>
      <c r="BX288" s="10"/>
      <c r="BY288" s="10"/>
      <c r="BZ288" s="10"/>
      <c r="CA288" s="10"/>
      <c r="CB288" s="10"/>
      <c r="CC288" s="10"/>
      <c r="CD288" s="10"/>
      <c r="CE288" s="10"/>
      <c r="CF288" s="10"/>
      <c r="CG288" s="10"/>
      <c r="CH288" s="10"/>
      <c r="CI288" s="10"/>
      <c r="CJ288" s="10"/>
      <c r="CK288" s="10"/>
      <c r="CL288" s="10"/>
      <c r="CM288" s="10"/>
      <c r="CN288" s="10"/>
      <c r="CO288" s="10"/>
      <c r="CP288" s="10"/>
      <c r="CQ288" s="10"/>
      <c r="CR288" s="10"/>
      <c r="CS288" s="10"/>
      <c r="CT288" s="10"/>
      <c r="CU288" s="10"/>
      <c r="CV288" s="10"/>
      <c r="CW288" s="10"/>
      <c r="CX288" s="10"/>
      <c r="CY288" s="10"/>
      <c r="CZ288" s="11">
        <f t="shared" si="40"/>
        <v>0</v>
      </c>
      <c r="DA288" s="10"/>
      <c r="DB288" s="10"/>
      <c r="DC288" s="10"/>
      <c r="DD288" s="10"/>
      <c r="DE288" s="10"/>
      <c r="DF288" s="10"/>
      <c r="DG288" s="10"/>
      <c r="DH288" s="10"/>
      <c r="DI288" s="10"/>
      <c r="DJ288" s="11">
        <f t="shared" si="41"/>
        <v>0</v>
      </c>
      <c r="DK288" s="10"/>
      <c r="DL288" s="10"/>
      <c r="DM288" s="10"/>
      <c r="DN288" s="11">
        <f t="shared" si="42"/>
        <v>0</v>
      </c>
      <c r="DO288" s="10"/>
      <c r="DP288" s="10"/>
      <c r="DQ288" s="10">
        <v>0</v>
      </c>
      <c r="DR288" s="11">
        <f t="shared" si="43"/>
        <v>0</v>
      </c>
      <c r="DS288" s="10">
        <v>0</v>
      </c>
      <c r="DT288" s="11">
        <f t="shared" si="44"/>
        <v>0</v>
      </c>
      <c r="DU288" s="10"/>
      <c r="DV288" s="11">
        <f t="shared" si="45"/>
        <v>0</v>
      </c>
      <c r="DW288" s="10">
        <v>3</v>
      </c>
      <c r="DX288" s="11">
        <f t="shared" si="46"/>
        <v>14.399999999999999</v>
      </c>
      <c r="DY288" s="10"/>
      <c r="DZ288" s="10">
        <v>1</v>
      </c>
      <c r="EA288" s="11">
        <f t="shared" si="47"/>
        <v>4.8</v>
      </c>
      <c r="EB288" s="10"/>
      <c r="EC288" s="11">
        <f t="shared" si="48"/>
        <v>0</v>
      </c>
      <c r="ED288" s="10"/>
      <c r="EE288" s="10"/>
    </row>
    <row r="289" spans="2:135" ht="16.5">
      <c r="B289" s="47">
        <v>278</v>
      </c>
      <c r="C289" s="50" t="s">
        <v>959</v>
      </c>
      <c r="D289" s="49" t="s">
        <v>376</v>
      </c>
      <c r="E289" s="49"/>
      <c r="F289" s="49"/>
      <c r="G289" s="49"/>
      <c r="H289" s="71">
        <f t="shared" si="49"/>
        <v>27.599999999999998</v>
      </c>
      <c r="I289" s="10">
        <v>23</v>
      </c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10"/>
      <c r="BK289" s="10"/>
      <c r="BL289" s="10"/>
      <c r="BN289" s="10"/>
      <c r="BO289" s="10"/>
      <c r="BP289" s="10"/>
      <c r="BQ289" s="10"/>
      <c r="BR289" s="10"/>
      <c r="BS289" s="10"/>
      <c r="BT289" s="10"/>
      <c r="BU289" s="10"/>
      <c r="BV289" s="10"/>
      <c r="BW289" s="10"/>
      <c r="BX289" s="10"/>
      <c r="BY289" s="10"/>
      <c r="BZ289" s="10"/>
      <c r="CA289" s="10"/>
      <c r="CB289" s="10"/>
      <c r="CC289" s="10"/>
      <c r="CD289" s="10"/>
      <c r="CE289" s="10"/>
      <c r="CF289" s="10"/>
      <c r="CG289" s="10"/>
      <c r="CH289" s="10"/>
      <c r="CI289" s="10"/>
      <c r="CJ289" s="10"/>
      <c r="CK289" s="10"/>
      <c r="CL289" s="10"/>
      <c r="CM289" s="10"/>
      <c r="CN289" s="10"/>
      <c r="CO289" s="10"/>
      <c r="CP289" s="10"/>
      <c r="CQ289" s="10"/>
      <c r="CR289" s="10"/>
      <c r="CS289" s="10"/>
      <c r="CT289" s="10"/>
      <c r="CU289" s="10"/>
      <c r="CV289" s="10"/>
      <c r="CW289" s="10"/>
      <c r="CX289" s="10"/>
      <c r="CY289" s="10">
        <v>15</v>
      </c>
      <c r="CZ289" s="11">
        <f t="shared" si="40"/>
        <v>413.99999999999994</v>
      </c>
      <c r="DA289" s="10"/>
      <c r="DB289" s="10"/>
      <c r="DC289" s="10"/>
      <c r="DD289" s="10"/>
      <c r="DE289" s="10"/>
      <c r="DF289" s="10"/>
      <c r="DG289" s="10"/>
      <c r="DH289" s="10"/>
      <c r="DI289" s="10">
        <v>7</v>
      </c>
      <c r="DJ289" s="11">
        <f t="shared" si="41"/>
        <v>193.2</v>
      </c>
      <c r="DK289" s="10"/>
      <c r="DL289" s="10"/>
      <c r="DM289" s="10"/>
      <c r="DN289" s="11">
        <f t="shared" si="42"/>
        <v>0</v>
      </c>
      <c r="DO289" s="10"/>
      <c r="DP289" s="10"/>
      <c r="DQ289" s="10">
        <v>1</v>
      </c>
      <c r="DR289" s="11">
        <f t="shared" si="43"/>
        <v>27.599999999999998</v>
      </c>
      <c r="DS289" s="10">
        <v>0</v>
      </c>
      <c r="DT289" s="11">
        <f t="shared" si="44"/>
        <v>0</v>
      </c>
      <c r="DU289" s="10"/>
      <c r="DV289" s="11">
        <f t="shared" si="45"/>
        <v>0</v>
      </c>
      <c r="DW289" s="10">
        <v>0</v>
      </c>
      <c r="DX289" s="11">
        <f t="shared" si="46"/>
        <v>0</v>
      </c>
      <c r="DY289" s="10"/>
      <c r="DZ289" s="10"/>
      <c r="EA289" s="11">
        <f t="shared" si="47"/>
        <v>0</v>
      </c>
      <c r="EB289" s="10"/>
      <c r="EC289" s="11">
        <f t="shared" si="48"/>
        <v>0</v>
      </c>
      <c r="ED289" s="10"/>
      <c r="EE289" s="10"/>
    </row>
    <row r="290" spans="2:135" ht="16.5">
      <c r="B290" s="47">
        <v>279</v>
      </c>
      <c r="C290" s="50" t="s">
        <v>960</v>
      </c>
      <c r="D290" s="49" t="s">
        <v>377</v>
      </c>
      <c r="E290" s="49"/>
      <c r="F290" s="49"/>
      <c r="G290" s="49"/>
      <c r="H290" s="71">
        <f t="shared" si="49"/>
        <v>7.1999999999999993</v>
      </c>
      <c r="I290" s="10">
        <v>6</v>
      </c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10"/>
      <c r="BK290" s="10"/>
      <c r="BL290" s="10"/>
      <c r="BN290" s="10"/>
      <c r="BO290" s="10"/>
      <c r="BP290" s="10"/>
      <c r="BQ290" s="10"/>
      <c r="BR290" s="10"/>
      <c r="BS290" s="10"/>
      <c r="BT290" s="10"/>
      <c r="BU290" s="10"/>
      <c r="BV290" s="10"/>
      <c r="BW290" s="10"/>
      <c r="BX290" s="10"/>
      <c r="BY290" s="10"/>
      <c r="BZ290" s="10"/>
      <c r="CA290" s="10"/>
      <c r="CB290" s="10"/>
      <c r="CC290" s="10"/>
      <c r="CD290" s="10"/>
      <c r="CE290" s="10"/>
      <c r="CF290" s="10"/>
      <c r="CG290" s="10"/>
      <c r="CH290" s="10"/>
      <c r="CI290" s="10"/>
      <c r="CJ290" s="10"/>
      <c r="CK290" s="10"/>
      <c r="CL290" s="10"/>
      <c r="CM290" s="10"/>
      <c r="CN290" s="10"/>
      <c r="CO290" s="10"/>
      <c r="CP290" s="10"/>
      <c r="CQ290" s="10"/>
      <c r="CR290" s="10"/>
      <c r="CS290" s="10"/>
      <c r="CT290" s="10"/>
      <c r="CU290" s="10"/>
      <c r="CV290" s="10"/>
      <c r="CW290" s="10"/>
      <c r="CX290" s="10"/>
      <c r="CY290" s="10">
        <v>2</v>
      </c>
      <c r="CZ290" s="11">
        <f t="shared" si="40"/>
        <v>14.399999999999999</v>
      </c>
      <c r="DA290" s="10"/>
      <c r="DB290" s="10"/>
      <c r="DC290" s="10"/>
      <c r="DD290" s="10"/>
      <c r="DE290" s="10"/>
      <c r="DF290" s="10"/>
      <c r="DG290" s="10"/>
      <c r="DH290" s="10"/>
      <c r="DI290" s="10">
        <v>1</v>
      </c>
      <c r="DJ290" s="11">
        <f t="shared" si="41"/>
        <v>7.1999999999999993</v>
      </c>
      <c r="DK290" s="10"/>
      <c r="DL290" s="10"/>
      <c r="DM290" s="10"/>
      <c r="DN290" s="11">
        <f t="shared" si="42"/>
        <v>0</v>
      </c>
      <c r="DO290" s="10"/>
      <c r="DP290" s="10"/>
      <c r="DQ290" s="10">
        <v>3</v>
      </c>
      <c r="DR290" s="11">
        <f t="shared" si="43"/>
        <v>21.599999999999998</v>
      </c>
      <c r="DS290" s="10">
        <v>0</v>
      </c>
      <c r="DT290" s="11">
        <f t="shared" si="44"/>
        <v>0</v>
      </c>
      <c r="DU290" s="10"/>
      <c r="DV290" s="11">
        <f t="shared" si="45"/>
        <v>0</v>
      </c>
      <c r="DW290" s="10">
        <v>0</v>
      </c>
      <c r="DX290" s="11">
        <f t="shared" si="46"/>
        <v>0</v>
      </c>
      <c r="DY290" s="10"/>
      <c r="DZ290" s="10"/>
      <c r="EA290" s="11">
        <f t="shared" si="47"/>
        <v>0</v>
      </c>
      <c r="EB290" s="10"/>
      <c r="EC290" s="11">
        <f t="shared" si="48"/>
        <v>0</v>
      </c>
      <c r="ED290" s="10"/>
      <c r="EE290" s="10"/>
    </row>
    <row r="291" spans="2:135" ht="16.5">
      <c r="B291" s="47">
        <v>280</v>
      </c>
      <c r="C291" s="50" t="s">
        <v>961</v>
      </c>
      <c r="D291" s="49" t="s">
        <v>378</v>
      </c>
      <c r="E291" s="49"/>
      <c r="F291" s="49"/>
      <c r="G291" s="49"/>
      <c r="H291" s="71">
        <f t="shared" si="49"/>
        <v>39.6</v>
      </c>
      <c r="I291" s="10">
        <v>33</v>
      </c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10"/>
      <c r="BK291" s="10"/>
      <c r="BL291" s="10"/>
      <c r="BN291" s="10"/>
      <c r="BO291" s="10"/>
      <c r="BP291" s="10"/>
      <c r="BQ291" s="10"/>
      <c r="BR291" s="10"/>
      <c r="BS291" s="10"/>
      <c r="BT291" s="10"/>
      <c r="BU291" s="10"/>
      <c r="BV291" s="10"/>
      <c r="BW291" s="10"/>
      <c r="BX291" s="10"/>
      <c r="BY291" s="10"/>
      <c r="BZ291" s="10"/>
      <c r="CA291" s="10"/>
      <c r="CB291" s="10"/>
      <c r="CC291" s="10"/>
      <c r="CD291" s="10"/>
      <c r="CE291" s="10"/>
      <c r="CF291" s="10"/>
      <c r="CG291" s="10"/>
      <c r="CH291" s="10"/>
      <c r="CI291" s="10"/>
      <c r="CJ291" s="10"/>
      <c r="CK291" s="10"/>
      <c r="CL291" s="10"/>
      <c r="CM291" s="10"/>
      <c r="CN291" s="10"/>
      <c r="CO291" s="10"/>
      <c r="CP291" s="10"/>
      <c r="CQ291" s="10"/>
      <c r="CR291" s="10"/>
      <c r="CS291" s="10"/>
      <c r="CT291" s="10"/>
      <c r="CU291" s="10"/>
      <c r="CV291" s="10"/>
      <c r="CW291" s="10"/>
      <c r="CX291" s="10"/>
      <c r="CY291" s="10"/>
      <c r="CZ291" s="11">
        <f t="shared" si="40"/>
        <v>0</v>
      </c>
      <c r="DA291" s="10"/>
      <c r="DB291" s="10"/>
      <c r="DC291" s="10"/>
      <c r="DD291" s="10"/>
      <c r="DE291" s="10"/>
      <c r="DF291" s="10"/>
      <c r="DG291" s="10"/>
      <c r="DH291" s="10"/>
      <c r="DI291" s="10"/>
      <c r="DJ291" s="11">
        <f t="shared" si="41"/>
        <v>0</v>
      </c>
      <c r="DK291" s="10"/>
      <c r="DL291" s="10"/>
      <c r="DM291" s="10"/>
      <c r="DN291" s="11">
        <f t="shared" si="42"/>
        <v>0</v>
      </c>
      <c r="DO291" s="10"/>
      <c r="DP291" s="10"/>
      <c r="DQ291" s="10">
        <v>33</v>
      </c>
      <c r="DR291" s="11">
        <f t="shared" si="43"/>
        <v>1306.8</v>
      </c>
      <c r="DS291" s="10">
        <v>0</v>
      </c>
      <c r="DT291" s="11">
        <f t="shared" si="44"/>
        <v>0</v>
      </c>
      <c r="DU291" s="10"/>
      <c r="DV291" s="11">
        <f t="shared" si="45"/>
        <v>0</v>
      </c>
      <c r="DW291" s="10">
        <v>0</v>
      </c>
      <c r="DX291" s="11">
        <f t="shared" si="46"/>
        <v>0</v>
      </c>
      <c r="DY291" s="10"/>
      <c r="DZ291" s="10"/>
      <c r="EA291" s="11">
        <f t="shared" si="47"/>
        <v>0</v>
      </c>
      <c r="EB291" s="10"/>
      <c r="EC291" s="11">
        <f t="shared" si="48"/>
        <v>0</v>
      </c>
      <c r="ED291" s="10"/>
      <c r="EE291" s="10"/>
    </row>
    <row r="292" spans="2:135" ht="33">
      <c r="B292" s="47">
        <v>281</v>
      </c>
      <c r="C292" s="50" t="s">
        <v>962</v>
      </c>
      <c r="D292" s="49" t="s">
        <v>379</v>
      </c>
      <c r="E292" s="49"/>
      <c r="F292" s="49"/>
      <c r="G292" s="49"/>
      <c r="H292" s="71">
        <f t="shared" si="49"/>
        <v>3.5999999999999996</v>
      </c>
      <c r="I292" s="10">
        <v>3</v>
      </c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10"/>
      <c r="BK292" s="10"/>
      <c r="BL292" s="10"/>
      <c r="BN292" s="10"/>
      <c r="BO292" s="10"/>
      <c r="BP292" s="10"/>
      <c r="BQ292" s="10"/>
      <c r="BR292" s="10"/>
      <c r="BS292" s="10"/>
      <c r="BT292" s="10"/>
      <c r="BU292" s="10"/>
      <c r="BV292" s="10"/>
      <c r="BW292" s="10"/>
      <c r="BX292" s="10"/>
      <c r="BY292" s="10"/>
      <c r="BZ292" s="10"/>
      <c r="CA292" s="10"/>
      <c r="CB292" s="10"/>
      <c r="CC292" s="10"/>
      <c r="CD292" s="10"/>
      <c r="CE292" s="10"/>
      <c r="CF292" s="10"/>
      <c r="CG292" s="10"/>
      <c r="CH292" s="10"/>
      <c r="CI292" s="10"/>
      <c r="CJ292" s="10"/>
      <c r="CK292" s="10"/>
      <c r="CL292" s="10"/>
      <c r="CM292" s="10"/>
      <c r="CN292" s="10"/>
      <c r="CO292" s="10"/>
      <c r="CP292" s="10"/>
      <c r="CQ292" s="10"/>
      <c r="CR292" s="10"/>
      <c r="CS292" s="10"/>
      <c r="CT292" s="10"/>
      <c r="CU292" s="10"/>
      <c r="CV292" s="10"/>
      <c r="CW292" s="10"/>
      <c r="CX292" s="10"/>
      <c r="CY292" s="10"/>
      <c r="CZ292" s="11">
        <f t="shared" si="40"/>
        <v>0</v>
      </c>
      <c r="DA292" s="10"/>
      <c r="DB292" s="10"/>
      <c r="DC292" s="10"/>
      <c r="DD292" s="10"/>
      <c r="DE292" s="10"/>
      <c r="DF292" s="10"/>
      <c r="DG292" s="10"/>
      <c r="DH292" s="10"/>
      <c r="DI292" s="10"/>
      <c r="DJ292" s="11">
        <f t="shared" si="41"/>
        <v>0</v>
      </c>
      <c r="DK292" s="10"/>
      <c r="DL292" s="10"/>
      <c r="DM292" s="10"/>
      <c r="DN292" s="11">
        <f t="shared" si="42"/>
        <v>0</v>
      </c>
      <c r="DO292" s="10"/>
      <c r="DP292" s="10"/>
      <c r="DQ292" s="10">
        <v>3</v>
      </c>
      <c r="DR292" s="11">
        <f t="shared" si="43"/>
        <v>10.799999999999999</v>
      </c>
      <c r="DS292" s="10">
        <v>0</v>
      </c>
      <c r="DT292" s="11">
        <f t="shared" si="44"/>
        <v>0</v>
      </c>
      <c r="DU292" s="10"/>
      <c r="DV292" s="11">
        <f t="shared" si="45"/>
        <v>0</v>
      </c>
      <c r="DW292" s="10">
        <v>0</v>
      </c>
      <c r="DX292" s="11">
        <f t="shared" si="46"/>
        <v>0</v>
      </c>
      <c r="DY292" s="10"/>
      <c r="DZ292" s="10"/>
      <c r="EA292" s="11">
        <f t="shared" si="47"/>
        <v>0</v>
      </c>
      <c r="EB292" s="10"/>
      <c r="EC292" s="11">
        <f t="shared" si="48"/>
        <v>0</v>
      </c>
      <c r="ED292" s="10"/>
      <c r="EE292" s="10"/>
    </row>
    <row r="293" spans="2:135" ht="16.5">
      <c r="B293" s="47">
        <v>282</v>
      </c>
      <c r="C293" s="50" t="s">
        <v>963</v>
      </c>
      <c r="D293" s="49" t="s">
        <v>380</v>
      </c>
      <c r="E293" s="49"/>
      <c r="F293" s="49"/>
      <c r="G293" s="49"/>
      <c r="H293" s="71">
        <f t="shared" si="49"/>
        <v>10.799999999999999</v>
      </c>
      <c r="I293" s="10">
        <v>9</v>
      </c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  <c r="BL293" s="10"/>
      <c r="BN293" s="10"/>
      <c r="BO293" s="10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  <c r="CB293" s="10"/>
      <c r="CC293" s="10"/>
      <c r="CD293" s="10"/>
      <c r="CE293" s="10"/>
      <c r="CF293" s="10"/>
      <c r="CG293" s="10"/>
      <c r="CH293" s="10"/>
      <c r="CI293" s="10"/>
      <c r="CJ293" s="10"/>
      <c r="CK293" s="10"/>
      <c r="CL293" s="10"/>
      <c r="CM293" s="10"/>
      <c r="CN293" s="10"/>
      <c r="CO293" s="10"/>
      <c r="CP293" s="10"/>
      <c r="CQ293" s="10"/>
      <c r="CR293" s="10"/>
      <c r="CS293" s="10"/>
      <c r="CT293" s="10"/>
      <c r="CU293" s="10"/>
      <c r="CV293" s="10"/>
      <c r="CW293" s="10"/>
      <c r="CX293" s="10"/>
      <c r="CY293" s="10"/>
      <c r="CZ293" s="11">
        <f t="shared" si="40"/>
        <v>0</v>
      </c>
      <c r="DA293" s="10"/>
      <c r="DB293" s="10"/>
      <c r="DC293" s="10"/>
      <c r="DD293" s="10"/>
      <c r="DE293" s="10"/>
      <c r="DF293" s="10"/>
      <c r="DG293" s="10"/>
      <c r="DH293" s="10"/>
      <c r="DI293" s="10"/>
      <c r="DJ293" s="11">
        <f t="shared" si="41"/>
        <v>0</v>
      </c>
      <c r="DK293" s="10"/>
      <c r="DL293" s="10"/>
      <c r="DM293" s="10"/>
      <c r="DN293" s="11">
        <f t="shared" si="42"/>
        <v>0</v>
      </c>
      <c r="DO293" s="10"/>
      <c r="DP293" s="10"/>
      <c r="DQ293" s="10">
        <v>8</v>
      </c>
      <c r="DR293" s="11">
        <f t="shared" si="43"/>
        <v>86.399999999999991</v>
      </c>
      <c r="DS293" s="10">
        <v>0</v>
      </c>
      <c r="DT293" s="11">
        <f t="shared" si="44"/>
        <v>0</v>
      </c>
      <c r="DU293" s="10">
        <v>1</v>
      </c>
      <c r="DV293" s="11">
        <f t="shared" si="45"/>
        <v>10.799999999999999</v>
      </c>
      <c r="DW293" s="10">
        <v>0</v>
      </c>
      <c r="DX293" s="11">
        <f t="shared" si="46"/>
        <v>0</v>
      </c>
      <c r="DY293" s="10"/>
      <c r="DZ293" s="10"/>
      <c r="EA293" s="11">
        <f t="shared" si="47"/>
        <v>0</v>
      </c>
      <c r="EB293" s="10"/>
      <c r="EC293" s="11">
        <f t="shared" si="48"/>
        <v>0</v>
      </c>
      <c r="ED293" s="10"/>
      <c r="EE293" s="10"/>
    </row>
    <row r="294" spans="2:135" ht="16.5">
      <c r="B294" s="47">
        <v>283</v>
      </c>
      <c r="C294" s="50" t="s">
        <v>964</v>
      </c>
      <c r="D294" s="49" t="s">
        <v>381</v>
      </c>
      <c r="E294" s="49"/>
      <c r="F294" s="49"/>
      <c r="G294" s="49"/>
      <c r="H294" s="71">
        <f t="shared" si="49"/>
        <v>22.8</v>
      </c>
      <c r="I294" s="10">
        <v>19</v>
      </c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  <c r="BI294" s="10"/>
      <c r="BJ294" s="10"/>
      <c r="BK294" s="10"/>
      <c r="BL294" s="10"/>
      <c r="BN294" s="10"/>
      <c r="BO294" s="10"/>
      <c r="BP294" s="10"/>
      <c r="BQ294" s="10"/>
      <c r="BR294" s="10"/>
      <c r="BS294" s="10"/>
      <c r="BT294" s="10"/>
      <c r="BU294" s="10"/>
      <c r="BV294" s="10"/>
      <c r="BW294" s="10"/>
      <c r="BX294" s="10"/>
      <c r="BY294" s="10"/>
      <c r="BZ294" s="10"/>
      <c r="CA294" s="10"/>
      <c r="CB294" s="10"/>
      <c r="CC294" s="10"/>
      <c r="CD294" s="10"/>
      <c r="CE294" s="10"/>
      <c r="CF294" s="10"/>
      <c r="CG294" s="10"/>
      <c r="CH294" s="10"/>
      <c r="CI294" s="10"/>
      <c r="CJ294" s="10"/>
      <c r="CK294" s="10"/>
      <c r="CL294" s="10"/>
      <c r="CM294" s="10"/>
      <c r="CN294" s="10"/>
      <c r="CO294" s="10"/>
      <c r="CP294" s="10"/>
      <c r="CQ294" s="10"/>
      <c r="CR294" s="10"/>
      <c r="CS294" s="10"/>
      <c r="CT294" s="10"/>
      <c r="CU294" s="10"/>
      <c r="CV294" s="10"/>
      <c r="CW294" s="10"/>
      <c r="CX294" s="10"/>
      <c r="CY294" s="10"/>
      <c r="CZ294" s="11">
        <f t="shared" si="40"/>
        <v>0</v>
      </c>
      <c r="DA294" s="10"/>
      <c r="DB294" s="10"/>
      <c r="DC294" s="10"/>
      <c r="DD294" s="10"/>
      <c r="DE294" s="10"/>
      <c r="DF294" s="10"/>
      <c r="DG294" s="10"/>
      <c r="DH294" s="10"/>
      <c r="DI294" s="10"/>
      <c r="DJ294" s="11">
        <f t="shared" si="41"/>
        <v>0</v>
      </c>
      <c r="DK294" s="10"/>
      <c r="DL294" s="10"/>
      <c r="DM294" s="10"/>
      <c r="DN294" s="11">
        <f t="shared" si="42"/>
        <v>0</v>
      </c>
      <c r="DO294" s="10"/>
      <c r="DP294" s="10"/>
      <c r="DQ294" s="10">
        <v>14</v>
      </c>
      <c r="DR294" s="11">
        <f t="shared" si="43"/>
        <v>319.2</v>
      </c>
      <c r="DS294" s="10">
        <v>0</v>
      </c>
      <c r="DT294" s="11">
        <f t="shared" si="44"/>
        <v>0</v>
      </c>
      <c r="DU294" s="10">
        <v>1</v>
      </c>
      <c r="DV294" s="11">
        <f t="shared" si="45"/>
        <v>22.8</v>
      </c>
      <c r="DW294" s="10">
        <v>4</v>
      </c>
      <c r="DX294" s="11">
        <f t="shared" si="46"/>
        <v>91.2</v>
      </c>
      <c r="DY294" s="10"/>
      <c r="DZ294" s="10"/>
      <c r="EA294" s="11">
        <f t="shared" si="47"/>
        <v>0</v>
      </c>
      <c r="EB294" s="10"/>
      <c r="EC294" s="11">
        <f t="shared" si="48"/>
        <v>0</v>
      </c>
      <c r="ED294" s="10"/>
      <c r="EE294" s="10"/>
    </row>
    <row r="295" spans="2:135" ht="16.5">
      <c r="B295" s="47">
        <v>284</v>
      </c>
      <c r="C295" s="50" t="s">
        <v>965</v>
      </c>
      <c r="D295" s="49" t="s">
        <v>382</v>
      </c>
      <c r="E295" s="49"/>
      <c r="F295" s="49"/>
      <c r="G295" s="49"/>
      <c r="H295" s="71">
        <f t="shared" si="49"/>
        <v>10.799999999999999</v>
      </c>
      <c r="I295" s="10">
        <v>9</v>
      </c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  <c r="BB295" s="10"/>
      <c r="BC295" s="10"/>
      <c r="BD295" s="10"/>
      <c r="BE295" s="10"/>
      <c r="BF295" s="10"/>
      <c r="BG295" s="10"/>
      <c r="BH295" s="10"/>
      <c r="BI295" s="10"/>
      <c r="BJ295" s="10"/>
      <c r="BK295" s="10"/>
      <c r="BL295" s="10"/>
      <c r="BN295" s="10"/>
      <c r="BO295" s="10"/>
      <c r="BP295" s="10"/>
      <c r="BQ295" s="10"/>
      <c r="BR295" s="10"/>
      <c r="BS295" s="10"/>
      <c r="BT295" s="10"/>
      <c r="BU295" s="10"/>
      <c r="BV295" s="10"/>
      <c r="BW295" s="10"/>
      <c r="BX295" s="10"/>
      <c r="BY295" s="10"/>
      <c r="BZ295" s="10"/>
      <c r="CA295" s="10"/>
      <c r="CB295" s="10"/>
      <c r="CC295" s="10"/>
      <c r="CD295" s="10"/>
      <c r="CE295" s="10"/>
      <c r="CF295" s="10"/>
      <c r="CG295" s="10"/>
      <c r="CH295" s="10"/>
      <c r="CI295" s="10"/>
      <c r="CJ295" s="10"/>
      <c r="CK295" s="10"/>
      <c r="CL295" s="10"/>
      <c r="CM295" s="10"/>
      <c r="CN295" s="10"/>
      <c r="CO295" s="10"/>
      <c r="CP295" s="10"/>
      <c r="CQ295" s="10"/>
      <c r="CR295" s="10"/>
      <c r="CS295" s="10"/>
      <c r="CT295" s="10"/>
      <c r="CU295" s="10"/>
      <c r="CV295" s="10"/>
      <c r="CW295" s="10"/>
      <c r="CX295" s="10"/>
      <c r="CY295" s="10"/>
      <c r="CZ295" s="11">
        <f t="shared" si="40"/>
        <v>0</v>
      </c>
      <c r="DA295" s="10"/>
      <c r="DB295" s="10"/>
      <c r="DC295" s="10"/>
      <c r="DD295" s="10"/>
      <c r="DE295" s="10"/>
      <c r="DF295" s="10"/>
      <c r="DG295" s="10"/>
      <c r="DH295" s="10"/>
      <c r="DI295" s="10"/>
      <c r="DJ295" s="11">
        <f t="shared" si="41"/>
        <v>0</v>
      </c>
      <c r="DK295" s="10"/>
      <c r="DL295" s="10"/>
      <c r="DM295" s="10"/>
      <c r="DN295" s="11">
        <f t="shared" si="42"/>
        <v>0</v>
      </c>
      <c r="DO295" s="10"/>
      <c r="DP295" s="10"/>
      <c r="DQ295" s="10">
        <v>9</v>
      </c>
      <c r="DR295" s="11">
        <f t="shared" si="43"/>
        <v>97.199999999999989</v>
      </c>
      <c r="DS295" s="10">
        <v>0</v>
      </c>
      <c r="DT295" s="11">
        <f t="shared" si="44"/>
        <v>0</v>
      </c>
      <c r="DU295" s="10"/>
      <c r="DV295" s="11">
        <f t="shared" si="45"/>
        <v>0</v>
      </c>
      <c r="DW295" s="10">
        <v>0</v>
      </c>
      <c r="DX295" s="11">
        <f t="shared" si="46"/>
        <v>0</v>
      </c>
      <c r="DY295" s="10"/>
      <c r="DZ295" s="10"/>
      <c r="EA295" s="11">
        <f t="shared" si="47"/>
        <v>0</v>
      </c>
      <c r="EB295" s="10"/>
      <c r="EC295" s="11">
        <f t="shared" si="48"/>
        <v>0</v>
      </c>
      <c r="ED295" s="10"/>
      <c r="EE295" s="10"/>
    </row>
    <row r="296" spans="2:135" ht="16.5">
      <c r="B296" s="47">
        <v>285</v>
      </c>
      <c r="C296" s="50" t="s">
        <v>966</v>
      </c>
      <c r="D296" s="49" t="s">
        <v>383</v>
      </c>
      <c r="E296" s="49"/>
      <c r="F296" s="49"/>
      <c r="G296" s="49"/>
      <c r="H296" s="71">
        <f t="shared" si="49"/>
        <v>1.2</v>
      </c>
      <c r="I296" s="10">
        <v>1</v>
      </c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  <c r="BB296" s="10"/>
      <c r="BC296" s="10"/>
      <c r="BD296" s="10"/>
      <c r="BE296" s="10"/>
      <c r="BF296" s="10"/>
      <c r="BG296" s="10"/>
      <c r="BH296" s="10"/>
      <c r="BI296" s="10"/>
      <c r="BJ296" s="10"/>
      <c r="BK296" s="10"/>
      <c r="BL296" s="10"/>
      <c r="BN296" s="10"/>
      <c r="BO296" s="10"/>
      <c r="BP296" s="10"/>
      <c r="BQ296" s="10"/>
      <c r="BR296" s="10"/>
      <c r="BS296" s="10"/>
      <c r="BT296" s="10"/>
      <c r="BU296" s="10"/>
      <c r="BV296" s="10"/>
      <c r="BW296" s="10"/>
      <c r="BX296" s="10"/>
      <c r="BY296" s="10"/>
      <c r="BZ296" s="10"/>
      <c r="CA296" s="10"/>
      <c r="CB296" s="10"/>
      <c r="CC296" s="10"/>
      <c r="CD296" s="10"/>
      <c r="CE296" s="10"/>
      <c r="CF296" s="10"/>
      <c r="CG296" s="10"/>
      <c r="CH296" s="10"/>
      <c r="CI296" s="10"/>
      <c r="CJ296" s="10"/>
      <c r="CK296" s="10"/>
      <c r="CL296" s="10"/>
      <c r="CM296" s="10"/>
      <c r="CN296" s="10"/>
      <c r="CO296" s="10"/>
      <c r="CP296" s="10"/>
      <c r="CQ296" s="10"/>
      <c r="CR296" s="10"/>
      <c r="CS296" s="10"/>
      <c r="CT296" s="10"/>
      <c r="CU296" s="10"/>
      <c r="CV296" s="10"/>
      <c r="CW296" s="10"/>
      <c r="CX296" s="10"/>
      <c r="CY296" s="10"/>
      <c r="CZ296" s="11">
        <f t="shared" si="40"/>
        <v>0</v>
      </c>
      <c r="DA296" s="10"/>
      <c r="DB296" s="10"/>
      <c r="DC296" s="10"/>
      <c r="DD296" s="10"/>
      <c r="DE296" s="10"/>
      <c r="DF296" s="10"/>
      <c r="DG296" s="10"/>
      <c r="DH296" s="10"/>
      <c r="DI296" s="10"/>
      <c r="DJ296" s="11">
        <f t="shared" si="41"/>
        <v>0</v>
      </c>
      <c r="DK296" s="10"/>
      <c r="DL296" s="10"/>
      <c r="DM296" s="10"/>
      <c r="DN296" s="11">
        <f t="shared" si="42"/>
        <v>0</v>
      </c>
      <c r="DO296" s="10"/>
      <c r="DP296" s="10"/>
      <c r="DQ296" s="10">
        <v>1</v>
      </c>
      <c r="DR296" s="11">
        <f t="shared" si="43"/>
        <v>1.2</v>
      </c>
      <c r="DS296" s="10">
        <v>0</v>
      </c>
      <c r="DT296" s="11">
        <f t="shared" si="44"/>
        <v>0</v>
      </c>
      <c r="DU296" s="10"/>
      <c r="DV296" s="11">
        <f t="shared" si="45"/>
        <v>0</v>
      </c>
      <c r="DW296" s="10">
        <v>0</v>
      </c>
      <c r="DX296" s="11">
        <f t="shared" si="46"/>
        <v>0</v>
      </c>
      <c r="DY296" s="10"/>
      <c r="DZ296" s="10"/>
      <c r="EA296" s="11">
        <f t="shared" si="47"/>
        <v>0</v>
      </c>
      <c r="EB296" s="10"/>
      <c r="EC296" s="11">
        <f t="shared" si="48"/>
        <v>0</v>
      </c>
      <c r="ED296" s="10"/>
      <c r="EE296" s="10"/>
    </row>
    <row r="297" spans="2:135" ht="16.5">
      <c r="B297" s="47">
        <v>286</v>
      </c>
      <c r="C297" s="50" t="s">
        <v>967</v>
      </c>
      <c r="D297" s="49" t="s">
        <v>384</v>
      </c>
      <c r="E297" s="49"/>
      <c r="F297" s="49"/>
      <c r="G297" s="49"/>
      <c r="H297" s="71">
        <f t="shared" si="49"/>
        <v>3.5999999999999996</v>
      </c>
      <c r="I297" s="10">
        <v>3</v>
      </c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/>
      <c r="BG297" s="10"/>
      <c r="BH297" s="10"/>
      <c r="BI297" s="10"/>
      <c r="BJ297" s="10"/>
      <c r="BK297" s="10"/>
      <c r="BL297" s="10"/>
      <c r="BN297" s="10"/>
      <c r="BO297" s="10"/>
      <c r="BP297" s="10"/>
      <c r="BQ297" s="10"/>
      <c r="BR297" s="10"/>
      <c r="BS297" s="10"/>
      <c r="BT297" s="10"/>
      <c r="BU297" s="10"/>
      <c r="BV297" s="10"/>
      <c r="BW297" s="10"/>
      <c r="BX297" s="10"/>
      <c r="BY297" s="10"/>
      <c r="BZ297" s="10"/>
      <c r="CA297" s="10"/>
      <c r="CB297" s="10"/>
      <c r="CC297" s="10"/>
      <c r="CD297" s="10"/>
      <c r="CE297" s="10"/>
      <c r="CF297" s="10"/>
      <c r="CG297" s="10"/>
      <c r="CH297" s="10"/>
      <c r="CI297" s="10"/>
      <c r="CJ297" s="10"/>
      <c r="CK297" s="10"/>
      <c r="CL297" s="10"/>
      <c r="CM297" s="10"/>
      <c r="CN297" s="10"/>
      <c r="CO297" s="10"/>
      <c r="CP297" s="10"/>
      <c r="CQ297" s="10"/>
      <c r="CR297" s="10"/>
      <c r="CS297" s="10"/>
      <c r="CT297" s="10"/>
      <c r="CU297" s="10"/>
      <c r="CV297" s="10"/>
      <c r="CW297" s="10"/>
      <c r="CX297" s="10"/>
      <c r="CY297" s="10"/>
      <c r="CZ297" s="11">
        <f t="shared" si="40"/>
        <v>0</v>
      </c>
      <c r="DA297" s="10"/>
      <c r="DB297" s="10"/>
      <c r="DC297" s="10"/>
      <c r="DD297" s="10"/>
      <c r="DE297" s="10"/>
      <c r="DF297" s="10"/>
      <c r="DG297" s="10"/>
      <c r="DH297" s="10"/>
      <c r="DI297" s="10"/>
      <c r="DJ297" s="11">
        <f t="shared" si="41"/>
        <v>0</v>
      </c>
      <c r="DK297" s="10"/>
      <c r="DL297" s="10"/>
      <c r="DM297" s="10"/>
      <c r="DN297" s="11">
        <f t="shared" si="42"/>
        <v>0</v>
      </c>
      <c r="DO297" s="10"/>
      <c r="DP297" s="10"/>
      <c r="DQ297" s="10">
        <v>0</v>
      </c>
      <c r="DR297" s="11">
        <f t="shared" si="43"/>
        <v>0</v>
      </c>
      <c r="DS297" s="10">
        <v>3</v>
      </c>
      <c r="DT297" s="11">
        <f t="shared" si="44"/>
        <v>10.799999999999999</v>
      </c>
      <c r="DU297" s="10"/>
      <c r="DV297" s="11">
        <f t="shared" si="45"/>
        <v>0</v>
      </c>
      <c r="DW297" s="10">
        <v>0</v>
      </c>
      <c r="DX297" s="11">
        <f t="shared" si="46"/>
        <v>0</v>
      </c>
      <c r="DY297" s="10"/>
      <c r="DZ297" s="10"/>
      <c r="EA297" s="11">
        <f t="shared" si="47"/>
        <v>0</v>
      </c>
      <c r="EB297" s="10"/>
      <c r="EC297" s="11">
        <f t="shared" si="48"/>
        <v>0</v>
      </c>
      <c r="ED297" s="10"/>
      <c r="EE297" s="10"/>
    </row>
    <row r="298" spans="2:135" ht="16.5">
      <c r="B298" s="47">
        <v>287</v>
      </c>
      <c r="C298" s="50" t="s">
        <v>968</v>
      </c>
      <c r="D298" s="49" t="s">
        <v>385</v>
      </c>
      <c r="E298" s="49"/>
      <c r="F298" s="49"/>
      <c r="G298" s="49"/>
      <c r="H298" s="71">
        <f t="shared" si="49"/>
        <v>1.2</v>
      </c>
      <c r="I298" s="10">
        <v>1</v>
      </c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  <c r="BB298" s="10"/>
      <c r="BC298" s="10"/>
      <c r="BD298" s="10"/>
      <c r="BE298" s="10"/>
      <c r="BF298" s="10"/>
      <c r="BG298" s="10"/>
      <c r="BH298" s="10"/>
      <c r="BI298" s="10"/>
      <c r="BJ298" s="10"/>
      <c r="BK298" s="10"/>
      <c r="BL298" s="10"/>
      <c r="BN298" s="10"/>
      <c r="BO298" s="10"/>
      <c r="BP298" s="10"/>
      <c r="BQ298" s="10"/>
      <c r="BR298" s="10"/>
      <c r="BS298" s="10"/>
      <c r="BT298" s="10"/>
      <c r="BU298" s="10"/>
      <c r="BV298" s="10"/>
      <c r="BW298" s="10"/>
      <c r="BX298" s="10"/>
      <c r="BY298" s="10"/>
      <c r="BZ298" s="10"/>
      <c r="CA298" s="10"/>
      <c r="CB298" s="10"/>
      <c r="CC298" s="10"/>
      <c r="CD298" s="10"/>
      <c r="CE298" s="10"/>
      <c r="CF298" s="10"/>
      <c r="CG298" s="10"/>
      <c r="CH298" s="10"/>
      <c r="CI298" s="10"/>
      <c r="CJ298" s="10"/>
      <c r="CK298" s="10"/>
      <c r="CL298" s="10"/>
      <c r="CM298" s="10"/>
      <c r="CN298" s="10"/>
      <c r="CO298" s="10"/>
      <c r="CP298" s="10"/>
      <c r="CQ298" s="10"/>
      <c r="CR298" s="10"/>
      <c r="CS298" s="10"/>
      <c r="CT298" s="10"/>
      <c r="CU298" s="10"/>
      <c r="CV298" s="10"/>
      <c r="CW298" s="10"/>
      <c r="CX298" s="10"/>
      <c r="CY298" s="10"/>
      <c r="CZ298" s="11">
        <f t="shared" si="40"/>
        <v>0</v>
      </c>
      <c r="DA298" s="10"/>
      <c r="DB298" s="10"/>
      <c r="DC298" s="10"/>
      <c r="DD298" s="10"/>
      <c r="DE298" s="10"/>
      <c r="DF298" s="10"/>
      <c r="DG298" s="10"/>
      <c r="DH298" s="10"/>
      <c r="DI298" s="10"/>
      <c r="DJ298" s="11">
        <f t="shared" si="41"/>
        <v>0</v>
      </c>
      <c r="DK298" s="10"/>
      <c r="DL298" s="10"/>
      <c r="DM298" s="10"/>
      <c r="DN298" s="11">
        <f t="shared" si="42"/>
        <v>0</v>
      </c>
      <c r="DO298" s="10"/>
      <c r="DP298" s="10"/>
      <c r="DQ298" s="10">
        <v>0</v>
      </c>
      <c r="DR298" s="11">
        <f t="shared" si="43"/>
        <v>0</v>
      </c>
      <c r="DS298" s="10">
        <v>0</v>
      </c>
      <c r="DT298" s="11">
        <f t="shared" si="44"/>
        <v>0</v>
      </c>
      <c r="DU298" s="10"/>
      <c r="DV298" s="11">
        <f t="shared" si="45"/>
        <v>0</v>
      </c>
      <c r="DW298" s="10">
        <v>1</v>
      </c>
      <c r="DX298" s="11">
        <f t="shared" si="46"/>
        <v>1.2</v>
      </c>
      <c r="DY298" s="10"/>
      <c r="DZ298" s="10"/>
      <c r="EA298" s="11">
        <f t="shared" si="47"/>
        <v>0</v>
      </c>
      <c r="EB298" s="10"/>
      <c r="EC298" s="11">
        <f t="shared" si="48"/>
        <v>0</v>
      </c>
      <c r="ED298" s="10"/>
      <c r="EE298" s="10"/>
    </row>
    <row r="299" spans="2:135" ht="16.5">
      <c r="B299" s="47">
        <v>288</v>
      </c>
      <c r="C299" s="50" t="s">
        <v>969</v>
      </c>
      <c r="D299" s="49" t="s">
        <v>386</v>
      </c>
      <c r="E299" s="49"/>
      <c r="F299" s="49"/>
      <c r="G299" s="49"/>
      <c r="H299" s="71">
        <f t="shared" si="49"/>
        <v>1.2</v>
      </c>
      <c r="I299" s="10">
        <v>1</v>
      </c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10"/>
      <c r="BK299" s="10"/>
      <c r="BL299" s="10"/>
      <c r="BN299" s="10"/>
      <c r="BO299" s="10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  <c r="CB299" s="10"/>
      <c r="CC299" s="10"/>
      <c r="CD299" s="10"/>
      <c r="CE299" s="10"/>
      <c r="CF299" s="10"/>
      <c r="CG299" s="10"/>
      <c r="CH299" s="10"/>
      <c r="CI299" s="10"/>
      <c r="CJ299" s="10"/>
      <c r="CK299" s="10"/>
      <c r="CL299" s="10"/>
      <c r="CM299" s="10"/>
      <c r="CN299" s="10"/>
      <c r="CO299" s="10"/>
      <c r="CP299" s="10"/>
      <c r="CQ299" s="10"/>
      <c r="CR299" s="10"/>
      <c r="CS299" s="10"/>
      <c r="CT299" s="10"/>
      <c r="CU299" s="10"/>
      <c r="CV299" s="10"/>
      <c r="CW299" s="10"/>
      <c r="CX299" s="10"/>
      <c r="CY299" s="10"/>
      <c r="CZ299" s="11">
        <f t="shared" si="40"/>
        <v>0</v>
      </c>
      <c r="DA299" s="10"/>
      <c r="DB299" s="10"/>
      <c r="DC299" s="10"/>
      <c r="DD299" s="10"/>
      <c r="DE299" s="10"/>
      <c r="DF299" s="10"/>
      <c r="DG299" s="10"/>
      <c r="DH299" s="10"/>
      <c r="DI299" s="10"/>
      <c r="DJ299" s="11">
        <f t="shared" si="41"/>
        <v>0</v>
      </c>
      <c r="DK299" s="10"/>
      <c r="DL299" s="10"/>
      <c r="DM299" s="10"/>
      <c r="DN299" s="11">
        <f t="shared" si="42"/>
        <v>0</v>
      </c>
      <c r="DO299" s="10"/>
      <c r="DP299" s="10"/>
      <c r="DQ299" s="10">
        <v>0</v>
      </c>
      <c r="DR299" s="11">
        <f t="shared" si="43"/>
        <v>0</v>
      </c>
      <c r="DS299" s="10">
        <v>0</v>
      </c>
      <c r="DT299" s="11">
        <f t="shared" si="44"/>
        <v>0</v>
      </c>
      <c r="DU299" s="10"/>
      <c r="DV299" s="11">
        <f t="shared" si="45"/>
        <v>0</v>
      </c>
      <c r="DW299" s="10">
        <v>1</v>
      </c>
      <c r="DX299" s="11">
        <f t="shared" si="46"/>
        <v>1.2</v>
      </c>
      <c r="DY299" s="10"/>
      <c r="DZ299" s="10"/>
      <c r="EA299" s="11">
        <f t="shared" si="47"/>
        <v>0</v>
      </c>
      <c r="EB299" s="10"/>
      <c r="EC299" s="11">
        <f t="shared" si="48"/>
        <v>0</v>
      </c>
      <c r="ED299" s="10"/>
      <c r="EE299" s="10"/>
    </row>
    <row r="300" spans="2:135" ht="16.5">
      <c r="B300" s="47">
        <v>289</v>
      </c>
      <c r="C300" s="50" t="s">
        <v>970</v>
      </c>
      <c r="D300" s="49" t="s">
        <v>387</v>
      </c>
      <c r="E300" s="49"/>
      <c r="F300" s="49"/>
      <c r="G300" s="49"/>
      <c r="H300" s="71">
        <f t="shared" si="49"/>
        <v>19.2</v>
      </c>
      <c r="I300" s="10">
        <v>16</v>
      </c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  <c r="BI300" s="10"/>
      <c r="BJ300" s="10"/>
      <c r="BK300" s="10"/>
      <c r="BL300" s="10"/>
      <c r="BN300" s="10"/>
      <c r="BO300" s="10"/>
      <c r="BP300" s="10"/>
      <c r="BQ300" s="10"/>
      <c r="BR300" s="10"/>
      <c r="BS300" s="10"/>
      <c r="BT300" s="10"/>
      <c r="BU300" s="10"/>
      <c r="BV300" s="10"/>
      <c r="BW300" s="10"/>
      <c r="BX300" s="10"/>
      <c r="BY300" s="10"/>
      <c r="BZ300" s="10"/>
      <c r="CA300" s="10"/>
      <c r="CB300" s="10"/>
      <c r="CC300" s="10"/>
      <c r="CD300" s="10"/>
      <c r="CE300" s="10"/>
      <c r="CF300" s="10"/>
      <c r="CG300" s="10"/>
      <c r="CH300" s="10"/>
      <c r="CI300" s="10"/>
      <c r="CJ300" s="10"/>
      <c r="CK300" s="10"/>
      <c r="CL300" s="10"/>
      <c r="CM300" s="10"/>
      <c r="CN300" s="10"/>
      <c r="CO300" s="10"/>
      <c r="CP300" s="10"/>
      <c r="CQ300" s="10"/>
      <c r="CR300" s="10"/>
      <c r="CS300" s="10"/>
      <c r="CT300" s="10"/>
      <c r="CU300" s="10"/>
      <c r="CV300" s="10"/>
      <c r="CW300" s="10"/>
      <c r="CX300" s="10"/>
      <c r="CY300" s="10">
        <v>1</v>
      </c>
      <c r="CZ300" s="11">
        <f t="shared" si="40"/>
        <v>19.2</v>
      </c>
      <c r="DA300" s="10"/>
      <c r="DB300" s="10"/>
      <c r="DC300" s="10"/>
      <c r="DD300" s="10"/>
      <c r="DE300" s="10"/>
      <c r="DF300" s="10"/>
      <c r="DG300" s="10"/>
      <c r="DH300" s="10"/>
      <c r="DI300" s="10">
        <v>1</v>
      </c>
      <c r="DJ300" s="11">
        <f t="shared" si="41"/>
        <v>19.2</v>
      </c>
      <c r="DK300" s="10"/>
      <c r="DL300" s="10"/>
      <c r="DM300" s="10"/>
      <c r="DN300" s="11">
        <f t="shared" si="42"/>
        <v>0</v>
      </c>
      <c r="DO300" s="10"/>
      <c r="DP300" s="10"/>
      <c r="DQ300" s="10">
        <v>10</v>
      </c>
      <c r="DR300" s="11">
        <f t="shared" si="43"/>
        <v>192</v>
      </c>
      <c r="DS300" s="10">
        <v>0</v>
      </c>
      <c r="DT300" s="11">
        <f t="shared" si="44"/>
        <v>0</v>
      </c>
      <c r="DU300" s="10"/>
      <c r="DV300" s="11">
        <f t="shared" si="45"/>
        <v>0</v>
      </c>
      <c r="DW300" s="10">
        <v>0</v>
      </c>
      <c r="DX300" s="11">
        <f t="shared" si="46"/>
        <v>0</v>
      </c>
      <c r="DY300" s="10"/>
      <c r="DZ300" s="10">
        <v>4</v>
      </c>
      <c r="EA300" s="11">
        <f t="shared" si="47"/>
        <v>76.8</v>
      </c>
      <c r="EB300" s="10"/>
      <c r="EC300" s="11">
        <f t="shared" si="48"/>
        <v>0</v>
      </c>
      <c r="ED300" s="10"/>
      <c r="EE300" s="10"/>
    </row>
    <row r="301" spans="2:135" ht="16.5">
      <c r="B301" s="47">
        <v>290</v>
      </c>
      <c r="C301" s="50" t="s">
        <v>971</v>
      </c>
      <c r="D301" s="49" t="s">
        <v>388</v>
      </c>
      <c r="E301" s="49"/>
      <c r="F301" s="49"/>
      <c r="G301" s="49"/>
      <c r="H301" s="71">
        <f t="shared" si="49"/>
        <v>2.4</v>
      </c>
      <c r="I301" s="10">
        <v>2</v>
      </c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10"/>
      <c r="BK301" s="10"/>
      <c r="BL301" s="10"/>
      <c r="BN301" s="10"/>
      <c r="BO301" s="10"/>
      <c r="BP301" s="10"/>
      <c r="BQ301" s="10"/>
      <c r="BR301" s="10"/>
      <c r="BS301" s="10"/>
      <c r="BT301" s="10"/>
      <c r="BU301" s="10"/>
      <c r="BV301" s="10"/>
      <c r="BW301" s="10"/>
      <c r="BX301" s="10"/>
      <c r="BY301" s="10"/>
      <c r="BZ301" s="10"/>
      <c r="CA301" s="10"/>
      <c r="CB301" s="10"/>
      <c r="CC301" s="10"/>
      <c r="CD301" s="10"/>
      <c r="CE301" s="10"/>
      <c r="CF301" s="10"/>
      <c r="CG301" s="10"/>
      <c r="CH301" s="10"/>
      <c r="CI301" s="10"/>
      <c r="CJ301" s="10"/>
      <c r="CK301" s="10"/>
      <c r="CL301" s="10"/>
      <c r="CM301" s="10"/>
      <c r="CN301" s="10"/>
      <c r="CO301" s="10"/>
      <c r="CP301" s="10"/>
      <c r="CQ301" s="10"/>
      <c r="CR301" s="10"/>
      <c r="CS301" s="10"/>
      <c r="CT301" s="10"/>
      <c r="CU301" s="10"/>
      <c r="CV301" s="10"/>
      <c r="CW301" s="10"/>
      <c r="CX301" s="10"/>
      <c r="CY301" s="10"/>
      <c r="CZ301" s="11">
        <f t="shared" si="40"/>
        <v>0</v>
      </c>
      <c r="DA301" s="10"/>
      <c r="DB301" s="10"/>
      <c r="DC301" s="10"/>
      <c r="DD301" s="10"/>
      <c r="DE301" s="10"/>
      <c r="DF301" s="10"/>
      <c r="DG301" s="10"/>
      <c r="DH301" s="10"/>
      <c r="DI301" s="10"/>
      <c r="DJ301" s="11">
        <f t="shared" si="41"/>
        <v>0</v>
      </c>
      <c r="DK301" s="10"/>
      <c r="DL301" s="10"/>
      <c r="DM301" s="10"/>
      <c r="DN301" s="11">
        <f t="shared" si="42"/>
        <v>0</v>
      </c>
      <c r="DO301" s="10"/>
      <c r="DP301" s="10"/>
      <c r="DQ301" s="10">
        <v>2</v>
      </c>
      <c r="DR301" s="11">
        <f t="shared" si="43"/>
        <v>4.8</v>
      </c>
      <c r="DS301" s="10">
        <v>0</v>
      </c>
      <c r="DT301" s="11">
        <f t="shared" si="44"/>
        <v>0</v>
      </c>
      <c r="DU301" s="10"/>
      <c r="DV301" s="11">
        <f t="shared" si="45"/>
        <v>0</v>
      </c>
      <c r="DW301" s="10">
        <v>0</v>
      </c>
      <c r="DX301" s="11">
        <f t="shared" si="46"/>
        <v>0</v>
      </c>
      <c r="DY301" s="10"/>
      <c r="DZ301" s="10"/>
      <c r="EA301" s="11">
        <f t="shared" si="47"/>
        <v>0</v>
      </c>
      <c r="EB301" s="10"/>
      <c r="EC301" s="11">
        <f t="shared" si="48"/>
        <v>0</v>
      </c>
      <c r="ED301" s="10"/>
      <c r="EE301" s="10"/>
    </row>
    <row r="302" spans="2:135" ht="16.5">
      <c r="B302" s="47">
        <v>291</v>
      </c>
      <c r="C302" s="50" t="s">
        <v>972</v>
      </c>
      <c r="D302" s="49" t="s">
        <v>389</v>
      </c>
      <c r="E302" s="49"/>
      <c r="F302" s="49"/>
      <c r="G302" s="49"/>
      <c r="H302" s="71">
        <f t="shared" si="49"/>
        <v>21.599999999999998</v>
      </c>
      <c r="I302" s="10">
        <v>18</v>
      </c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/>
      <c r="BH302" s="10"/>
      <c r="BI302" s="10"/>
      <c r="BJ302" s="10"/>
      <c r="BK302" s="10"/>
      <c r="BL302" s="10"/>
      <c r="BN302" s="10"/>
      <c r="BO302" s="10"/>
      <c r="BP302" s="10"/>
      <c r="BQ302" s="10"/>
      <c r="BR302" s="10"/>
      <c r="BS302" s="10"/>
      <c r="BT302" s="10"/>
      <c r="BU302" s="10"/>
      <c r="BV302" s="10"/>
      <c r="BW302" s="10"/>
      <c r="BX302" s="10"/>
      <c r="BY302" s="10"/>
      <c r="BZ302" s="10"/>
      <c r="CA302" s="10"/>
      <c r="CB302" s="10"/>
      <c r="CC302" s="10"/>
      <c r="CD302" s="10"/>
      <c r="CE302" s="10"/>
      <c r="CF302" s="10"/>
      <c r="CG302" s="10"/>
      <c r="CH302" s="10"/>
      <c r="CI302" s="10"/>
      <c r="CJ302" s="10"/>
      <c r="CK302" s="10"/>
      <c r="CL302" s="10"/>
      <c r="CM302" s="10"/>
      <c r="CN302" s="10"/>
      <c r="CO302" s="10"/>
      <c r="CP302" s="10"/>
      <c r="CQ302" s="10"/>
      <c r="CR302" s="10"/>
      <c r="CS302" s="10"/>
      <c r="CT302" s="10"/>
      <c r="CU302" s="10"/>
      <c r="CV302" s="10"/>
      <c r="CW302" s="10"/>
      <c r="CX302" s="10"/>
      <c r="CY302" s="10">
        <v>4</v>
      </c>
      <c r="CZ302" s="11">
        <f t="shared" si="40"/>
        <v>86.399999999999991</v>
      </c>
      <c r="DA302" s="10"/>
      <c r="DB302" s="10"/>
      <c r="DC302" s="10"/>
      <c r="DD302" s="10"/>
      <c r="DE302" s="10"/>
      <c r="DF302" s="10"/>
      <c r="DG302" s="10"/>
      <c r="DH302" s="10"/>
      <c r="DI302" s="10"/>
      <c r="DJ302" s="11">
        <f t="shared" si="41"/>
        <v>0</v>
      </c>
      <c r="DK302" s="10"/>
      <c r="DL302" s="10"/>
      <c r="DM302" s="10">
        <v>6</v>
      </c>
      <c r="DN302" s="11">
        <f t="shared" si="42"/>
        <v>129.6</v>
      </c>
      <c r="DO302" s="10"/>
      <c r="DP302" s="10"/>
      <c r="DQ302" s="10">
        <v>8</v>
      </c>
      <c r="DR302" s="11">
        <f t="shared" si="43"/>
        <v>172.79999999999998</v>
      </c>
      <c r="DS302" s="10">
        <v>0</v>
      </c>
      <c r="DT302" s="11">
        <f t="shared" si="44"/>
        <v>0</v>
      </c>
      <c r="DU302" s="10"/>
      <c r="DV302" s="11">
        <f t="shared" si="45"/>
        <v>0</v>
      </c>
      <c r="DW302" s="10">
        <v>0</v>
      </c>
      <c r="DX302" s="11">
        <f t="shared" si="46"/>
        <v>0</v>
      </c>
      <c r="DY302" s="10"/>
      <c r="DZ302" s="10"/>
      <c r="EA302" s="11">
        <f t="shared" si="47"/>
        <v>0</v>
      </c>
      <c r="EB302" s="10"/>
      <c r="EC302" s="11">
        <f t="shared" si="48"/>
        <v>0</v>
      </c>
      <c r="ED302" s="10"/>
      <c r="EE302" s="10"/>
    </row>
    <row r="303" spans="2:135" ht="16.5">
      <c r="B303" s="47">
        <v>292</v>
      </c>
      <c r="C303" s="50" t="s">
        <v>973</v>
      </c>
      <c r="D303" s="49" t="s">
        <v>390</v>
      </c>
      <c r="E303" s="49"/>
      <c r="F303" s="49"/>
      <c r="G303" s="49"/>
      <c r="H303" s="71">
        <f t="shared" si="49"/>
        <v>1.2</v>
      </c>
      <c r="I303" s="10">
        <v>1</v>
      </c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  <c r="BB303" s="10"/>
      <c r="BC303" s="10"/>
      <c r="BD303" s="10"/>
      <c r="BE303" s="10"/>
      <c r="BF303" s="10"/>
      <c r="BG303" s="10"/>
      <c r="BH303" s="10"/>
      <c r="BI303" s="10"/>
      <c r="BJ303" s="10"/>
      <c r="BK303" s="10"/>
      <c r="BL303" s="10"/>
      <c r="BN303" s="10"/>
      <c r="BO303" s="10"/>
      <c r="BP303" s="10"/>
      <c r="BQ303" s="10"/>
      <c r="BR303" s="10"/>
      <c r="BS303" s="10"/>
      <c r="BT303" s="10"/>
      <c r="BU303" s="10"/>
      <c r="BV303" s="10"/>
      <c r="BW303" s="10"/>
      <c r="BX303" s="10"/>
      <c r="BY303" s="10"/>
      <c r="BZ303" s="10"/>
      <c r="CA303" s="10"/>
      <c r="CB303" s="10"/>
      <c r="CC303" s="10"/>
      <c r="CD303" s="10"/>
      <c r="CE303" s="10"/>
      <c r="CF303" s="10"/>
      <c r="CG303" s="10"/>
      <c r="CH303" s="10"/>
      <c r="CI303" s="10"/>
      <c r="CJ303" s="10"/>
      <c r="CK303" s="10"/>
      <c r="CL303" s="10"/>
      <c r="CM303" s="10"/>
      <c r="CN303" s="10"/>
      <c r="CO303" s="10"/>
      <c r="CP303" s="10"/>
      <c r="CQ303" s="10"/>
      <c r="CR303" s="10"/>
      <c r="CS303" s="10"/>
      <c r="CT303" s="10"/>
      <c r="CU303" s="10"/>
      <c r="CV303" s="10"/>
      <c r="CW303" s="10"/>
      <c r="CX303" s="10"/>
      <c r="CY303" s="10"/>
      <c r="CZ303" s="11">
        <f t="shared" si="40"/>
        <v>0</v>
      </c>
      <c r="DA303" s="10"/>
      <c r="DB303" s="10"/>
      <c r="DC303" s="10"/>
      <c r="DD303" s="10"/>
      <c r="DE303" s="10"/>
      <c r="DF303" s="10"/>
      <c r="DG303" s="10"/>
      <c r="DH303" s="10"/>
      <c r="DI303" s="10"/>
      <c r="DJ303" s="11">
        <f t="shared" si="41"/>
        <v>0</v>
      </c>
      <c r="DK303" s="10"/>
      <c r="DL303" s="10"/>
      <c r="DM303" s="10"/>
      <c r="DN303" s="11">
        <f t="shared" si="42"/>
        <v>0</v>
      </c>
      <c r="DO303" s="10"/>
      <c r="DP303" s="10"/>
      <c r="DQ303" s="10">
        <v>0</v>
      </c>
      <c r="DR303" s="11">
        <f t="shared" si="43"/>
        <v>0</v>
      </c>
      <c r="DS303" s="10">
        <v>1</v>
      </c>
      <c r="DT303" s="11">
        <f t="shared" si="44"/>
        <v>1.2</v>
      </c>
      <c r="DU303" s="10"/>
      <c r="DV303" s="11">
        <f t="shared" si="45"/>
        <v>0</v>
      </c>
      <c r="DW303" s="10">
        <v>0</v>
      </c>
      <c r="DX303" s="11">
        <f t="shared" si="46"/>
        <v>0</v>
      </c>
      <c r="DY303" s="10"/>
      <c r="DZ303" s="10"/>
      <c r="EA303" s="11">
        <f t="shared" si="47"/>
        <v>0</v>
      </c>
      <c r="EB303" s="10"/>
      <c r="EC303" s="11">
        <f t="shared" si="48"/>
        <v>0</v>
      </c>
      <c r="ED303" s="10"/>
      <c r="EE303" s="10"/>
    </row>
    <row r="304" spans="2:135" ht="16.5">
      <c r="B304" s="47">
        <v>293</v>
      </c>
      <c r="C304" s="50" t="s">
        <v>974</v>
      </c>
      <c r="D304" s="49" t="s">
        <v>391</v>
      </c>
      <c r="E304" s="49"/>
      <c r="F304" s="49"/>
      <c r="G304" s="49"/>
      <c r="H304" s="71">
        <f t="shared" si="49"/>
        <v>19.2</v>
      </c>
      <c r="I304" s="10">
        <v>16</v>
      </c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10"/>
      <c r="BK304" s="10"/>
      <c r="BL304" s="10"/>
      <c r="BN304" s="10"/>
      <c r="BO304" s="10"/>
      <c r="BP304" s="10"/>
      <c r="BQ304" s="10"/>
      <c r="BR304" s="10"/>
      <c r="BS304" s="10"/>
      <c r="BT304" s="10"/>
      <c r="BU304" s="10"/>
      <c r="BV304" s="10"/>
      <c r="BW304" s="10"/>
      <c r="BX304" s="10"/>
      <c r="BY304" s="10"/>
      <c r="BZ304" s="10"/>
      <c r="CA304" s="10"/>
      <c r="CB304" s="10"/>
      <c r="CC304" s="10"/>
      <c r="CD304" s="10"/>
      <c r="CE304" s="10"/>
      <c r="CF304" s="10"/>
      <c r="CG304" s="10"/>
      <c r="CH304" s="10"/>
      <c r="CI304" s="10"/>
      <c r="CJ304" s="10"/>
      <c r="CK304" s="10"/>
      <c r="CL304" s="10"/>
      <c r="CM304" s="10"/>
      <c r="CN304" s="10"/>
      <c r="CO304" s="10"/>
      <c r="CP304" s="10"/>
      <c r="CQ304" s="10"/>
      <c r="CR304" s="10"/>
      <c r="CS304" s="10"/>
      <c r="CT304" s="10"/>
      <c r="CU304" s="10"/>
      <c r="CV304" s="10"/>
      <c r="CW304" s="10"/>
      <c r="CX304" s="10"/>
      <c r="CY304" s="10">
        <v>6</v>
      </c>
      <c r="CZ304" s="11">
        <f t="shared" si="40"/>
        <v>115.19999999999999</v>
      </c>
      <c r="DA304" s="10"/>
      <c r="DB304" s="10"/>
      <c r="DC304" s="10"/>
      <c r="DD304" s="10"/>
      <c r="DE304" s="10"/>
      <c r="DF304" s="10"/>
      <c r="DG304" s="10"/>
      <c r="DH304" s="10"/>
      <c r="DI304" s="10">
        <v>5</v>
      </c>
      <c r="DJ304" s="11">
        <f t="shared" si="41"/>
        <v>96</v>
      </c>
      <c r="DK304" s="10"/>
      <c r="DL304" s="10"/>
      <c r="DM304" s="10"/>
      <c r="DN304" s="11">
        <f t="shared" si="42"/>
        <v>0</v>
      </c>
      <c r="DO304" s="10"/>
      <c r="DP304" s="10"/>
      <c r="DQ304" s="10">
        <v>5</v>
      </c>
      <c r="DR304" s="11">
        <f t="shared" si="43"/>
        <v>96</v>
      </c>
      <c r="DS304" s="10">
        <v>0</v>
      </c>
      <c r="DT304" s="11">
        <f t="shared" si="44"/>
        <v>0</v>
      </c>
      <c r="DU304" s="10"/>
      <c r="DV304" s="11">
        <f t="shared" si="45"/>
        <v>0</v>
      </c>
      <c r="DW304" s="10">
        <v>0</v>
      </c>
      <c r="DX304" s="11">
        <f t="shared" si="46"/>
        <v>0</v>
      </c>
      <c r="DY304" s="10"/>
      <c r="DZ304" s="10"/>
      <c r="EA304" s="11">
        <f t="shared" si="47"/>
        <v>0</v>
      </c>
      <c r="EB304" s="10"/>
      <c r="EC304" s="11">
        <f t="shared" si="48"/>
        <v>0</v>
      </c>
      <c r="ED304" s="10"/>
      <c r="EE304" s="10"/>
    </row>
    <row r="305" spans="2:135" ht="16.5">
      <c r="B305" s="47">
        <v>294</v>
      </c>
      <c r="C305" s="50" t="s">
        <v>975</v>
      </c>
      <c r="D305" s="49" t="s">
        <v>392</v>
      </c>
      <c r="E305" s="49"/>
      <c r="F305" s="49"/>
      <c r="G305" s="49"/>
      <c r="H305" s="71">
        <f t="shared" si="49"/>
        <v>13.2</v>
      </c>
      <c r="I305" s="10">
        <v>11</v>
      </c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  <c r="BI305" s="10"/>
      <c r="BJ305" s="10"/>
      <c r="BK305" s="10"/>
      <c r="BL305" s="10"/>
      <c r="BN305" s="10"/>
      <c r="BO305" s="10"/>
      <c r="BP305" s="10"/>
      <c r="BQ305" s="10"/>
      <c r="BR305" s="10"/>
      <c r="BS305" s="10"/>
      <c r="BT305" s="10"/>
      <c r="BU305" s="10"/>
      <c r="BV305" s="10"/>
      <c r="BW305" s="10"/>
      <c r="BX305" s="10"/>
      <c r="BY305" s="10"/>
      <c r="BZ305" s="10"/>
      <c r="CA305" s="10"/>
      <c r="CB305" s="10"/>
      <c r="CC305" s="10"/>
      <c r="CD305" s="10"/>
      <c r="CE305" s="10"/>
      <c r="CF305" s="10"/>
      <c r="CG305" s="10"/>
      <c r="CH305" s="10"/>
      <c r="CI305" s="10"/>
      <c r="CJ305" s="10"/>
      <c r="CK305" s="10"/>
      <c r="CL305" s="10"/>
      <c r="CM305" s="10"/>
      <c r="CN305" s="10"/>
      <c r="CO305" s="10"/>
      <c r="CP305" s="10"/>
      <c r="CQ305" s="10"/>
      <c r="CR305" s="10"/>
      <c r="CS305" s="10"/>
      <c r="CT305" s="10"/>
      <c r="CU305" s="10"/>
      <c r="CV305" s="10"/>
      <c r="CW305" s="10"/>
      <c r="CX305" s="10"/>
      <c r="CY305" s="10"/>
      <c r="CZ305" s="11">
        <f t="shared" si="40"/>
        <v>0</v>
      </c>
      <c r="DA305" s="10"/>
      <c r="DB305" s="10"/>
      <c r="DC305" s="10"/>
      <c r="DD305" s="10"/>
      <c r="DE305" s="10"/>
      <c r="DF305" s="10"/>
      <c r="DG305" s="10"/>
      <c r="DH305" s="10"/>
      <c r="DI305" s="10"/>
      <c r="DJ305" s="11">
        <f t="shared" si="41"/>
        <v>0</v>
      </c>
      <c r="DK305" s="10"/>
      <c r="DL305" s="10"/>
      <c r="DM305" s="10"/>
      <c r="DN305" s="11">
        <f t="shared" si="42"/>
        <v>0</v>
      </c>
      <c r="DO305" s="10"/>
      <c r="DP305" s="10"/>
      <c r="DQ305" s="10">
        <v>11</v>
      </c>
      <c r="DR305" s="11">
        <f t="shared" si="43"/>
        <v>145.19999999999999</v>
      </c>
      <c r="DS305" s="10">
        <v>0</v>
      </c>
      <c r="DT305" s="11">
        <f t="shared" si="44"/>
        <v>0</v>
      </c>
      <c r="DU305" s="10"/>
      <c r="DV305" s="11">
        <f t="shared" si="45"/>
        <v>0</v>
      </c>
      <c r="DW305" s="10">
        <v>0</v>
      </c>
      <c r="DX305" s="11">
        <f t="shared" si="46"/>
        <v>0</v>
      </c>
      <c r="DY305" s="10"/>
      <c r="DZ305" s="10"/>
      <c r="EA305" s="11">
        <f t="shared" si="47"/>
        <v>0</v>
      </c>
      <c r="EB305" s="10"/>
      <c r="EC305" s="11">
        <f t="shared" si="48"/>
        <v>0</v>
      </c>
      <c r="ED305" s="10"/>
      <c r="EE305" s="10"/>
    </row>
    <row r="306" spans="2:135" ht="16.5">
      <c r="B306" s="47">
        <v>295</v>
      </c>
      <c r="C306" s="50" t="s">
        <v>976</v>
      </c>
      <c r="D306" s="49" t="s">
        <v>393</v>
      </c>
      <c r="E306" s="49"/>
      <c r="F306" s="49"/>
      <c r="G306" s="49"/>
      <c r="H306" s="71">
        <f t="shared" si="49"/>
        <v>1.2</v>
      </c>
      <c r="I306" s="10">
        <v>1</v>
      </c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  <c r="BB306" s="10"/>
      <c r="BC306" s="10"/>
      <c r="BD306" s="10"/>
      <c r="BE306" s="10"/>
      <c r="BF306" s="10"/>
      <c r="BG306" s="10"/>
      <c r="BH306" s="10"/>
      <c r="BI306" s="10"/>
      <c r="BJ306" s="10"/>
      <c r="BK306" s="10"/>
      <c r="BL306" s="10"/>
      <c r="BN306" s="10"/>
      <c r="BO306" s="10"/>
      <c r="BP306" s="10"/>
      <c r="BQ306" s="10"/>
      <c r="BR306" s="10"/>
      <c r="BS306" s="10"/>
      <c r="BT306" s="10"/>
      <c r="BU306" s="10"/>
      <c r="BV306" s="10"/>
      <c r="BW306" s="10"/>
      <c r="BX306" s="10"/>
      <c r="BY306" s="10"/>
      <c r="BZ306" s="10"/>
      <c r="CA306" s="10"/>
      <c r="CB306" s="10"/>
      <c r="CC306" s="10"/>
      <c r="CD306" s="10"/>
      <c r="CE306" s="10"/>
      <c r="CF306" s="10"/>
      <c r="CG306" s="10"/>
      <c r="CH306" s="10"/>
      <c r="CI306" s="10"/>
      <c r="CJ306" s="10"/>
      <c r="CK306" s="10"/>
      <c r="CL306" s="10"/>
      <c r="CM306" s="10"/>
      <c r="CN306" s="10"/>
      <c r="CO306" s="10"/>
      <c r="CP306" s="10"/>
      <c r="CQ306" s="10"/>
      <c r="CR306" s="10"/>
      <c r="CS306" s="10"/>
      <c r="CT306" s="10"/>
      <c r="CU306" s="10"/>
      <c r="CV306" s="10"/>
      <c r="CW306" s="10"/>
      <c r="CX306" s="10"/>
      <c r="CY306" s="10">
        <v>1</v>
      </c>
      <c r="CZ306" s="11">
        <f t="shared" si="40"/>
        <v>1.2</v>
      </c>
      <c r="DA306" s="10"/>
      <c r="DB306" s="10"/>
      <c r="DC306" s="10"/>
      <c r="DD306" s="10"/>
      <c r="DE306" s="10"/>
      <c r="DF306" s="10"/>
      <c r="DG306" s="10"/>
      <c r="DH306" s="10"/>
      <c r="DI306" s="10"/>
      <c r="DJ306" s="11">
        <f t="shared" si="41"/>
        <v>0</v>
      </c>
      <c r="DK306" s="10"/>
      <c r="DL306" s="10"/>
      <c r="DM306" s="10"/>
      <c r="DN306" s="11">
        <f t="shared" si="42"/>
        <v>0</v>
      </c>
      <c r="DO306" s="10"/>
      <c r="DP306" s="10"/>
      <c r="DQ306" s="10">
        <v>0</v>
      </c>
      <c r="DR306" s="11">
        <f t="shared" si="43"/>
        <v>0</v>
      </c>
      <c r="DS306" s="10">
        <v>0</v>
      </c>
      <c r="DT306" s="11">
        <f t="shared" si="44"/>
        <v>0</v>
      </c>
      <c r="DU306" s="10"/>
      <c r="DV306" s="11">
        <f t="shared" si="45"/>
        <v>0</v>
      </c>
      <c r="DW306" s="10">
        <v>0</v>
      </c>
      <c r="DX306" s="11">
        <f t="shared" si="46"/>
        <v>0</v>
      </c>
      <c r="DY306" s="10"/>
      <c r="DZ306" s="10"/>
      <c r="EA306" s="11">
        <f t="shared" si="47"/>
        <v>0</v>
      </c>
      <c r="EB306" s="10"/>
      <c r="EC306" s="11">
        <f t="shared" si="48"/>
        <v>0</v>
      </c>
      <c r="ED306" s="10"/>
      <c r="EE306" s="10"/>
    </row>
    <row r="307" spans="2:135" ht="16.5">
      <c r="B307" s="47">
        <v>296</v>
      </c>
      <c r="C307" s="50" t="s">
        <v>977</v>
      </c>
      <c r="D307" s="49" t="s">
        <v>394</v>
      </c>
      <c r="E307" s="49"/>
      <c r="F307" s="49"/>
      <c r="G307" s="49"/>
      <c r="H307" s="71">
        <f t="shared" si="49"/>
        <v>2.4</v>
      </c>
      <c r="I307" s="10">
        <v>2</v>
      </c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/>
      <c r="BC307" s="10"/>
      <c r="BD307" s="10"/>
      <c r="BE307" s="10"/>
      <c r="BF307" s="10"/>
      <c r="BG307" s="10"/>
      <c r="BH307" s="10"/>
      <c r="BI307" s="10"/>
      <c r="BJ307" s="10"/>
      <c r="BK307" s="10"/>
      <c r="BL307" s="10"/>
      <c r="BN307" s="10"/>
      <c r="BO307" s="10"/>
      <c r="BP307" s="10"/>
      <c r="BQ307" s="10"/>
      <c r="BR307" s="10"/>
      <c r="BS307" s="10"/>
      <c r="BT307" s="10"/>
      <c r="BU307" s="10"/>
      <c r="BV307" s="10"/>
      <c r="BW307" s="10"/>
      <c r="BX307" s="10"/>
      <c r="BY307" s="10"/>
      <c r="BZ307" s="10"/>
      <c r="CA307" s="10"/>
      <c r="CB307" s="10"/>
      <c r="CC307" s="10"/>
      <c r="CD307" s="10"/>
      <c r="CE307" s="10"/>
      <c r="CF307" s="10"/>
      <c r="CG307" s="10"/>
      <c r="CH307" s="10"/>
      <c r="CI307" s="10"/>
      <c r="CJ307" s="10"/>
      <c r="CK307" s="10"/>
      <c r="CL307" s="10"/>
      <c r="CM307" s="10"/>
      <c r="CN307" s="10"/>
      <c r="CO307" s="10"/>
      <c r="CP307" s="10"/>
      <c r="CQ307" s="10"/>
      <c r="CR307" s="10"/>
      <c r="CS307" s="10"/>
      <c r="CT307" s="10"/>
      <c r="CU307" s="10"/>
      <c r="CV307" s="10"/>
      <c r="CW307" s="10"/>
      <c r="CX307" s="10"/>
      <c r="CY307" s="10"/>
      <c r="CZ307" s="11">
        <f t="shared" si="40"/>
        <v>0</v>
      </c>
      <c r="DA307" s="10"/>
      <c r="DB307" s="10"/>
      <c r="DC307" s="10"/>
      <c r="DD307" s="10"/>
      <c r="DE307" s="10"/>
      <c r="DF307" s="10"/>
      <c r="DG307" s="10"/>
      <c r="DH307" s="10"/>
      <c r="DI307" s="10"/>
      <c r="DJ307" s="11">
        <f t="shared" si="41"/>
        <v>0</v>
      </c>
      <c r="DK307" s="10"/>
      <c r="DL307" s="10"/>
      <c r="DM307" s="10"/>
      <c r="DN307" s="11">
        <f t="shared" si="42"/>
        <v>0</v>
      </c>
      <c r="DO307" s="10"/>
      <c r="DP307" s="10"/>
      <c r="DQ307" s="10">
        <v>0</v>
      </c>
      <c r="DR307" s="11">
        <f t="shared" si="43"/>
        <v>0</v>
      </c>
      <c r="DS307" s="10">
        <v>0</v>
      </c>
      <c r="DT307" s="11">
        <f t="shared" si="44"/>
        <v>0</v>
      </c>
      <c r="DU307" s="10">
        <v>2</v>
      </c>
      <c r="DV307" s="11">
        <f t="shared" si="45"/>
        <v>4.8</v>
      </c>
      <c r="DW307" s="10">
        <v>0</v>
      </c>
      <c r="DX307" s="11">
        <f t="shared" si="46"/>
        <v>0</v>
      </c>
      <c r="DY307" s="10"/>
      <c r="DZ307" s="10"/>
      <c r="EA307" s="11">
        <f t="shared" si="47"/>
        <v>0</v>
      </c>
      <c r="EB307" s="10"/>
      <c r="EC307" s="11">
        <f t="shared" si="48"/>
        <v>0</v>
      </c>
      <c r="ED307" s="10"/>
      <c r="EE307" s="10"/>
    </row>
    <row r="308" spans="2:135" ht="16.5">
      <c r="B308" s="47">
        <v>297</v>
      </c>
      <c r="C308" s="50" t="s">
        <v>978</v>
      </c>
      <c r="D308" s="49" t="s">
        <v>395</v>
      </c>
      <c r="E308" s="49"/>
      <c r="F308" s="49"/>
      <c r="G308" s="49"/>
      <c r="H308" s="71">
        <f t="shared" si="49"/>
        <v>9.6</v>
      </c>
      <c r="I308" s="10">
        <v>8</v>
      </c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  <c r="BI308" s="10"/>
      <c r="BJ308" s="10"/>
      <c r="BK308" s="10"/>
      <c r="BL308" s="10"/>
      <c r="BN308" s="10"/>
      <c r="BO308" s="10"/>
      <c r="BP308" s="10"/>
      <c r="BQ308" s="10"/>
      <c r="BR308" s="10"/>
      <c r="BS308" s="10"/>
      <c r="BT308" s="10"/>
      <c r="BU308" s="10"/>
      <c r="BV308" s="10"/>
      <c r="BW308" s="10"/>
      <c r="BX308" s="10"/>
      <c r="BY308" s="10"/>
      <c r="BZ308" s="10"/>
      <c r="CA308" s="10"/>
      <c r="CB308" s="10"/>
      <c r="CC308" s="10"/>
      <c r="CD308" s="10"/>
      <c r="CE308" s="10"/>
      <c r="CF308" s="10"/>
      <c r="CG308" s="10"/>
      <c r="CH308" s="10"/>
      <c r="CI308" s="10"/>
      <c r="CJ308" s="10"/>
      <c r="CK308" s="10"/>
      <c r="CL308" s="10"/>
      <c r="CM308" s="10"/>
      <c r="CN308" s="10"/>
      <c r="CO308" s="10"/>
      <c r="CP308" s="10"/>
      <c r="CQ308" s="10"/>
      <c r="CR308" s="10"/>
      <c r="CS308" s="10"/>
      <c r="CT308" s="10"/>
      <c r="CU308" s="10"/>
      <c r="CV308" s="10"/>
      <c r="CW308" s="10"/>
      <c r="CX308" s="10"/>
      <c r="CY308" s="10"/>
      <c r="CZ308" s="11">
        <f t="shared" si="40"/>
        <v>0</v>
      </c>
      <c r="DA308" s="10"/>
      <c r="DB308" s="10"/>
      <c r="DC308" s="10"/>
      <c r="DD308" s="10"/>
      <c r="DE308" s="10"/>
      <c r="DF308" s="10"/>
      <c r="DG308" s="10"/>
      <c r="DH308" s="10"/>
      <c r="DI308" s="10">
        <v>1</v>
      </c>
      <c r="DJ308" s="11">
        <f t="shared" si="41"/>
        <v>9.6</v>
      </c>
      <c r="DK308" s="10"/>
      <c r="DL308" s="10"/>
      <c r="DM308" s="10"/>
      <c r="DN308" s="11">
        <f t="shared" si="42"/>
        <v>0</v>
      </c>
      <c r="DO308" s="10"/>
      <c r="DP308" s="10"/>
      <c r="DQ308" s="10">
        <v>7</v>
      </c>
      <c r="DR308" s="11">
        <f t="shared" si="43"/>
        <v>67.2</v>
      </c>
      <c r="DS308" s="10">
        <v>0</v>
      </c>
      <c r="DT308" s="11">
        <f t="shared" si="44"/>
        <v>0</v>
      </c>
      <c r="DU308" s="10"/>
      <c r="DV308" s="11">
        <f t="shared" si="45"/>
        <v>0</v>
      </c>
      <c r="DW308" s="10">
        <v>0</v>
      </c>
      <c r="DX308" s="11">
        <f t="shared" si="46"/>
        <v>0</v>
      </c>
      <c r="DY308" s="10"/>
      <c r="DZ308" s="10"/>
      <c r="EA308" s="11">
        <f t="shared" si="47"/>
        <v>0</v>
      </c>
      <c r="EB308" s="10"/>
      <c r="EC308" s="11">
        <f t="shared" si="48"/>
        <v>0</v>
      </c>
      <c r="ED308" s="10"/>
      <c r="EE308" s="10"/>
    </row>
    <row r="309" spans="2:135" ht="16.5">
      <c r="B309" s="47">
        <v>298</v>
      </c>
      <c r="C309" s="50" t="s">
        <v>979</v>
      </c>
      <c r="D309" s="49" t="s">
        <v>396</v>
      </c>
      <c r="E309" s="49"/>
      <c r="F309" s="49"/>
      <c r="G309" s="49"/>
      <c r="H309" s="71">
        <f t="shared" si="49"/>
        <v>4.8</v>
      </c>
      <c r="I309" s="10">
        <v>4</v>
      </c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10"/>
      <c r="BK309" s="10"/>
      <c r="BL309" s="10"/>
      <c r="BN309" s="10"/>
      <c r="BO309" s="10"/>
      <c r="BP309" s="10"/>
      <c r="BQ309" s="10"/>
      <c r="BR309" s="10"/>
      <c r="BS309" s="10"/>
      <c r="BT309" s="10"/>
      <c r="BU309" s="10"/>
      <c r="BV309" s="10"/>
      <c r="BW309" s="10"/>
      <c r="BX309" s="10"/>
      <c r="BY309" s="10"/>
      <c r="BZ309" s="10"/>
      <c r="CA309" s="10"/>
      <c r="CB309" s="10"/>
      <c r="CC309" s="10"/>
      <c r="CD309" s="10"/>
      <c r="CE309" s="10"/>
      <c r="CF309" s="10"/>
      <c r="CG309" s="10"/>
      <c r="CH309" s="10"/>
      <c r="CI309" s="10"/>
      <c r="CJ309" s="10"/>
      <c r="CK309" s="10"/>
      <c r="CL309" s="10"/>
      <c r="CM309" s="10"/>
      <c r="CN309" s="10"/>
      <c r="CO309" s="10"/>
      <c r="CP309" s="10"/>
      <c r="CQ309" s="10"/>
      <c r="CR309" s="10"/>
      <c r="CS309" s="10"/>
      <c r="CT309" s="10"/>
      <c r="CU309" s="10"/>
      <c r="CV309" s="10"/>
      <c r="CW309" s="10"/>
      <c r="CX309" s="10"/>
      <c r="CY309" s="10"/>
      <c r="CZ309" s="11">
        <f t="shared" si="40"/>
        <v>0</v>
      </c>
      <c r="DA309" s="10"/>
      <c r="DB309" s="10"/>
      <c r="DC309" s="10"/>
      <c r="DD309" s="10"/>
      <c r="DE309" s="10"/>
      <c r="DF309" s="10"/>
      <c r="DG309" s="10"/>
      <c r="DH309" s="10"/>
      <c r="DI309" s="10"/>
      <c r="DJ309" s="11">
        <f t="shared" si="41"/>
        <v>0</v>
      </c>
      <c r="DK309" s="10"/>
      <c r="DL309" s="10"/>
      <c r="DM309" s="10"/>
      <c r="DN309" s="11">
        <f t="shared" si="42"/>
        <v>0</v>
      </c>
      <c r="DO309" s="10"/>
      <c r="DP309" s="10"/>
      <c r="DQ309" s="10">
        <v>2</v>
      </c>
      <c r="DR309" s="11">
        <f t="shared" si="43"/>
        <v>9.6</v>
      </c>
      <c r="DS309" s="10">
        <v>0</v>
      </c>
      <c r="DT309" s="11">
        <f t="shared" si="44"/>
        <v>0</v>
      </c>
      <c r="DU309" s="10">
        <v>2</v>
      </c>
      <c r="DV309" s="11">
        <f t="shared" si="45"/>
        <v>9.6</v>
      </c>
      <c r="DW309" s="10">
        <v>0</v>
      </c>
      <c r="DX309" s="11">
        <f t="shared" si="46"/>
        <v>0</v>
      </c>
      <c r="DY309" s="10"/>
      <c r="DZ309" s="10"/>
      <c r="EA309" s="11">
        <f t="shared" si="47"/>
        <v>0</v>
      </c>
      <c r="EB309" s="10"/>
      <c r="EC309" s="11">
        <f t="shared" si="48"/>
        <v>0</v>
      </c>
      <c r="ED309" s="10"/>
      <c r="EE309" s="10"/>
    </row>
    <row r="310" spans="2:135" ht="16.5">
      <c r="B310" s="47">
        <v>299</v>
      </c>
      <c r="C310" s="50" t="s">
        <v>980</v>
      </c>
      <c r="D310" s="49" t="s">
        <v>397</v>
      </c>
      <c r="E310" s="49"/>
      <c r="F310" s="49"/>
      <c r="G310" s="49"/>
      <c r="H310" s="71">
        <f t="shared" si="49"/>
        <v>9.6</v>
      </c>
      <c r="I310" s="10">
        <v>8</v>
      </c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/>
      <c r="BC310" s="10"/>
      <c r="BD310" s="10"/>
      <c r="BE310" s="10"/>
      <c r="BF310" s="10"/>
      <c r="BG310" s="10"/>
      <c r="BH310" s="10"/>
      <c r="BI310" s="10"/>
      <c r="BJ310" s="10"/>
      <c r="BK310" s="10"/>
      <c r="BL310" s="10"/>
      <c r="BN310" s="10"/>
      <c r="BO310" s="10"/>
      <c r="BP310" s="10"/>
      <c r="BQ310" s="10"/>
      <c r="BR310" s="10"/>
      <c r="BS310" s="10"/>
      <c r="BT310" s="10"/>
      <c r="BU310" s="10"/>
      <c r="BV310" s="10"/>
      <c r="BW310" s="10"/>
      <c r="BX310" s="10"/>
      <c r="BY310" s="10"/>
      <c r="BZ310" s="10"/>
      <c r="CA310" s="10"/>
      <c r="CB310" s="10"/>
      <c r="CC310" s="10"/>
      <c r="CD310" s="10"/>
      <c r="CE310" s="10"/>
      <c r="CF310" s="10"/>
      <c r="CG310" s="10"/>
      <c r="CH310" s="10"/>
      <c r="CI310" s="10"/>
      <c r="CJ310" s="10"/>
      <c r="CK310" s="10"/>
      <c r="CL310" s="10"/>
      <c r="CM310" s="10"/>
      <c r="CN310" s="10"/>
      <c r="CO310" s="10"/>
      <c r="CP310" s="10"/>
      <c r="CQ310" s="10"/>
      <c r="CR310" s="10"/>
      <c r="CS310" s="10"/>
      <c r="CT310" s="10"/>
      <c r="CU310" s="10"/>
      <c r="CV310" s="10"/>
      <c r="CW310" s="10"/>
      <c r="CX310" s="10"/>
      <c r="CY310" s="10">
        <v>6</v>
      </c>
      <c r="CZ310" s="11">
        <f t="shared" si="40"/>
        <v>57.599999999999994</v>
      </c>
      <c r="DA310" s="10"/>
      <c r="DB310" s="10"/>
      <c r="DC310" s="10"/>
      <c r="DD310" s="10"/>
      <c r="DE310" s="10"/>
      <c r="DF310" s="10"/>
      <c r="DG310" s="10"/>
      <c r="DH310" s="10"/>
      <c r="DI310" s="10"/>
      <c r="DJ310" s="11">
        <f t="shared" si="41"/>
        <v>0</v>
      </c>
      <c r="DK310" s="10"/>
      <c r="DL310" s="10"/>
      <c r="DM310" s="10"/>
      <c r="DN310" s="11">
        <f t="shared" si="42"/>
        <v>0</v>
      </c>
      <c r="DO310" s="10"/>
      <c r="DP310" s="10"/>
      <c r="DQ310" s="10">
        <v>0</v>
      </c>
      <c r="DR310" s="11">
        <f t="shared" si="43"/>
        <v>0</v>
      </c>
      <c r="DS310" s="10">
        <v>0</v>
      </c>
      <c r="DT310" s="11">
        <f t="shared" si="44"/>
        <v>0</v>
      </c>
      <c r="DU310" s="10">
        <v>2</v>
      </c>
      <c r="DV310" s="11">
        <f t="shared" si="45"/>
        <v>19.2</v>
      </c>
      <c r="DW310" s="10">
        <v>0</v>
      </c>
      <c r="DX310" s="11">
        <f t="shared" si="46"/>
        <v>0</v>
      </c>
      <c r="DY310" s="10"/>
      <c r="DZ310" s="10"/>
      <c r="EA310" s="11">
        <f t="shared" si="47"/>
        <v>0</v>
      </c>
      <c r="EB310" s="10"/>
      <c r="EC310" s="11">
        <f t="shared" si="48"/>
        <v>0</v>
      </c>
      <c r="ED310" s="10"/>
      <c r="EE310" s="10"/>
    </row>
    <row r="311" spans="2:135" ht="16.5">
      <c r="B311" s="47">
        <v>300</v>
      </c>
      <c r="C311" s="50" t="s">
        <v>981</v>
      </c>
      <c r="D311" s="49" t="s">
        <v>398</v>
      </c>
      <c r="E311" s="49"/>
      <c r="F311" s="49"/>
      <c r="G311" s="49"/>
      <c r="H311" s="71">
        <f t="shared" si="49"/>
        <v>4.8</v>
      </c>
      <c r="I311" s="10">
        <v>4</v>
      </c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/>
      <c r="BC311" s="10"/>
      <c r="BD311" s="10"/>
      <c r="BE311" s="10"/>
      <c r="BF311" s="10"/>
      <c r="BG311" s="10"/>
      <c r="BH311" s="10"/>
      <c r="BI311" s="10"/>
      <c r="BJ311" s="10"/>
      <c r="BK311" s="10"/>
      <c r="BL311" s="10"/>
      <c r="BN311" s="10"/>
      <c r="BO311" s="10"/>
      <c r="BP311" s="10"/>
      <c r="BQ311" s="10"/>
      <c r="BR311" s="10"/>
      <c r="BS311" s="10"/>
      <c r="BT311" s="10"/>
      <c r="BU311" s="10"/>
      <c r="BV311" s="10"/>
      <c r="BW311" s="10"/>
      <c r="BX311" s="10"/>
      <c r="BY311" s="10"/>
      <c r="BZ311" s="10"/>
      <c r="CA311" s="10"/>
      <c r="CB311" s="10"/>
      <c r="CC311" s="10"/>
      <c r="CD311" s="10"/>
      <c r="CE311" s="10"/>
      <c r="CF311" s="10"/>
      <c r="CG311" s="10"/>
      <c r="CH311" s="10"/>
      <c r="CI311" s="10"/>
      <c r="CJ311" s="10"/>
      <c r="CK311" s="10"/>
      <c r="CL311" s="10"/>
      <c r="CM311" s="10"/>
      <c r="CN311" s="10"/>
      <c r="CO311" s="10"/>
      <c r="CP311" s="10"/>
      <c r="CQ311" s="10"/>
      <c r="CR311" s="10"/>
      <c r="CS311" s="10"/>
      <c r="CT311" s="10"/>
      <c r="CU311" s="10"/>
      <c r="CV311" s="10"/>
      <c r="CW311" s="10"/>
      <c r="CX311" s="10"/>
      <c r="CY311" s="10"/>
      <c r="CZ311" s="11">
        <f t="shared" si="40"/>
        <v>0</v>
      </c>
      <c r="DA311" s="10"/>
      <c r="DB311" s="10"/>
      <c r="DC311" s="10"/>
      <c r="DD311" s="10"/>
      <c r="DE311" s="10"/>
      <c r="DF311" s="10"/>
      <c r="DG311" s="10"/>
      <c r="DH311" s="10"/>
      <c r="DI311" s="10"/>
      <c r="DJ311" s="11">
        <f t="shared" si="41"/>
        <v>0</v>
      </c>
      <c r="DK311" s="10"/>
      <c r="DL311" s="10"/>
      <c r="DM311" s="10"/>
      <c r="DN311" s="11">
        <f t="shared" si="42"/>
        <v>0</v>
      </c>
      <c r="DO311" s="10"/>
      <c r="DP311" s="10"/>
      <c r="DQ311" s="10">
        <v>4</v>
      </c>
      <c r="DR311" s="11">
        <f t="shared" si="43"/>
        <v>19.2</v>
      </c>
      <c r="DS311" s="10">
        <v>0</v>
      </c>
      <c r="DT311" s="11">
        <f t="shared" si="44"/>
        <v>0</v>
      </c>
      <c r="DU311" s="10"/>
      <c r="DV311" s="11">
        <f t="shared" si="45"/>
        <v>0</v>
      </c>
      <c r="DW311" s="10">
        <v>0</v>
      </c>
      <c r="DX311" s="11">
        <f t="shared" si="46"/>
        <v>0</v>
      </c>
      <c r="DY311" s="10"/>
      <c r="DZ311" s="10"/>
      <c r="EA311" s="11">
        <f t="shared" si="47"/>
        <v>0</v>
      </c>
      <c r="EB311" s="10"/>
      <c r="EC311" s="11">
        <f t="shared" si="48"/>
        <v>0</v>
      </c>
      <c r="ED311" s="10"/>
      <c r="EE311" s="10"/>
    </row>
    <row r="312" spans="2:135" ht="16.5">
      <c r="B312" s="47">
        <v>301</v>
      </c>
      <c r="C312" s="50" t="s">
        <v>982</v>
      </c>
      <c r="D312" s="49" t="s">
        <v>399</v>
      </c>
      <c r="E312" s="49"/>
      <c r="F312" s="49"/>
      <c r="G312" s="49"/>
      <c r="H312" s="71">
        <f t="shared" si="49"/>
        <v>1.2</v>
      </c>
      <c r="I312" s="10">
        <v>1</v>
      </c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  <c r="BB312" s="10"/>
      <c r="BC312" s="10"/>
      <c r="BD312" s="10"/>
      <c r="BE312" s="10"/>
      <c r="BF312" s="10"/>
      <c r="BG312" s="10"/>
      <c r="BH312" s="10"/>
      <c r="BI312" s="10"/>
      <c r="BJ312" s="10"/>
      <c r="BK312" s="10"/>
      <c r="BL312" s="10"/>
      <c r="BN312" s="10"/>
      <c r="BO312" s="10"/>
      <c r="BP312" s="10"/>
      <c r="BQ312" s="10"/>
      <c r="BR312" s="10"/>
      <c r="BS312" s="10"/>
      <c r="BT312" s="10"/>
      <c r="BU312" s="10"/>
      <c r="BV312" s="10"/>
      <c r="BW312" s="10"/>
      <c r="BX312" s="10"/>
      <c r="BY312" s="10"/>
      <c r="BZ312" s="10"/>
      <c r="CA312" s="10"/>
      <c r="CB312" s="10"/>
      <c r="CC312" s="10"/>
      <c r="CD312" s="10"/>
      <c r="CE312" s="10"/>
      <c r="CF312" s="10"/>
      <c r="CG312" s="10"/>
      <c r="CH312" s="10"/>
      <c r="CI312" s="10"/>
      <c r="CJ312" s="10"/>
      <c r="CK312" s="10"/>
      <c r="CL312" s="10"/>
      <c r="CM312" s="10"/>
      <c r="CN312" s="10"/>
      <c r="CO312" s="10"/>
      <c r="CP312" s="10"/>
      <c r="CQ312" s="10"/>
      <c r="CR312" s="10"/>
      <c r="CS312" s="10"/>
      <c r="CT312" s="10"/>
      <c r="CU312" s="10"/>
      <c r="CV312" s="10"/>
      <c r="CW312" s="10"/>
      <c r="CX312" s="10"/>
      <c r="CY312" s="10"/>
      <c r="CZ312" s="11">
        <f t="shared" si="40"/>
        <v>0</v>
      </c>
      <c r="DA312" s="10"/>
      <c r="DB312" s="10"/>
      <c r="DC312" s="10"/>
      <c r="DD312" s="10"/>
      <c r="DE312" s="10"/>
      <c r="DF312" s="10"/>
      <c r="DG312" s="10"/>
      <c r="DH312" s="10"/>
      <c r="DI312" s="10"/>
      <c r="DJ312" s="11">
        <f t="shared" si="41"/>
        <v>0</v>
      </c>
      <c r="DK312" s="10"/>
      <c r="DL312" s="10"/>
      <c r="DM312" s="10"/>
      <c r="DN312" s="11">
        <f t="shared" si="42"/>
        <v>0</v>
      </c>
      <c r="DO312" s="10"/>
      <c r="DP312" s="10"/>
      <c r="DQ312" s="10">
        <v>1</v>
      </c>
      <c r="DR312" s="11">
        <f t="shared" si="43"/>
        <v>1.2</v>
      </c>
      <c r="DS312" s="10">
        <v>0</v>
      </c>
      <c r="DT312" s="11">
        <f t="shared" si="44"/>
        <v>0</v>
      </c>
      <c r="DU312" s="10"/>
      <c r="DV312" s="11">
        <f t="shared" si="45"/>
        <v>0</v>
      </c>
      <c r="DW312" s="10">
        <v>0</v>
      </c>
      <c r="DX312" s="11">
        <f t="shared" si="46"/>
        <v>0</v>
      </c>
      <c r="DY312" s="10"/>
      <c r="DZ312" s="10"/>
      <c r="EA312" s="11">
        <f t="shared" si="47"/>
        <v>0</v>
      </c>
      <c r="EB312" s="10"/>
      <c r="EC312" s="11">
        <f t="shared" si="48"/>
        <v>0</v>
      </c>
      <c r="ED312" s="10"/>
      <c r="EE312" s="10"/>
    </row>
    <row r="313" spans="2:135" ht="16.5">
      <c r="B313" s="47">
        <v>302</v>
      </c>
      <c r="C313" s="50" t="s">
        <v>983</v>
      </c>
      <c r="D313" s="49" t="s">
        <v>400</v>
      </c>
      <c r="E313" s="49"/>
      <c r="F313" s="49"/>
      <c r="G313" s="49"/>
      <c r="H313" s="71">
        <f t="shared" si="49"/>
        <v>14.399999999999999</v>
      </c>
      <c r="I313" s="10">
        <v>12</v>
      </c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  <c r="BC313" s="10"/>
      <c r="BD313" s="10"/>
      <c r="BE313" s="10"/>
      <c r="BF313" s="10"/>
      <c r="BG313" s="10"/>
      <c r="BH313" s="10"/>
      <c r="BI313" s="10"/>
      <c r="BJ313" s="10"/>
      <c r="BK313" s="10"/>
      <c r="BL313" s="10"/>
      <c r="BN313" s="10"/>
      <c r="BO313" s="10"/>
      <c r="BP313" s="10"/>
      <c r="BQ313" s="10"/>
      <c r="BR313" s="10"/>
      <c r="BS313" s="10"/>
      <c r="BT313" s="10"/>
      <c r="BU313" s="10"/>
      <c r="BV313" s="10"/>
      <c r="BW313" s="10"/>
      <c r="BX313" s="10"/>
      <c r="BY313" s="10"/>
      <c r="BZ313" s="10"/>
      <c r="CA313" s="10"/>
      <c r="CB313" s="10"/>
      <c r="CC313" s="10"/>
      <c r="CD313" s="10"/>
      <c r="CE313" s="10"/>
      <c r="CF313" s="10"/>
      <c r="CG313" s="10"/>
      <c r="CH313" s="10"/>
      <c r="CI313" s="10"/>
      <c r="CJ313" s="10"/>
      <c r="CK313" s="10"/>
      <c r="CL313" s="10"/>
      <c r="CM313" s="10"/>
      <c r="CN313" s="10"/>
      <c r="CO313" s="10"/>
      <c r="CP313" s="10"/>
      <c r="CQ313" s="10"/>
      <c r="CR313" s="10"/>
      <c r="CS313" s="10"/>
      <c r="CT313" s="10"/>
      <c r="CU313" s="10"/>
      <c r="CV313" s="10"/>
      <c r="CW313" s="10"/>
      <c r="CX313" s="10"/>
      <c r="CY313" s="10"/>
      <c r="CZ313" s="11">
        <f t="shared" si="40"/>
        <v>0</v>
      </c>
      <c r="DA313" s="10"/>
      <c r="DB313" s="10"/>
      <c r="DC313" s="10"/>
      <c r="DD313" s="10"/>
      <c r="DE313" s="10"/>
      <c r="DF313" s="10"/>
      <c r="DG313" s="10"/>
      <c r="DH313" s="10"/>
      <c r="DI313" s="10"/>
      <c r="DJ313" s="11">
        <f t="shared" si="41"/>
        <v>0</v>
      </c>
      <c r="DK313" s="10"/>
      <c r="DL313" s="10"/>
      <c r="DM313" s="10"/>
      <c r="DN313" s="11">
        <f t="shared" si="42"/>
        <v>0</v>
      </c>
      <c r="DO313" s="10"/>
      <c r="DP313" s="10"/>
      <c r="DQ313" s="10">
        <v>8</v>
      </c>
      <c r="DR313" s="11">
        <f t="shared" si="43"/>
        <v>115.19999999999999</v>
      </c>
      <c r="DS313" s="10">
        <v>0</v>
      </c>
      <c r="DT313" s="11">
        <f t="shared" si="44"/>
        <v>0</v>
      </c>
      <c r="DU313" s="10">
        <v>1</v>
      </c>
      <c r="DV313" s="11">
        <f t="shared" si="45"/>
        <v>14.399999999999999</v>
      </c>
      <c r="DW313" s="10">
        <v>2</v>
      </c>
      <c r="DX313" s="11">
        <f t="shared" si="46"/>
        <v>28.799999999999997</v>
      </c>
      <c r="DY313" s="10"/>
      <c r="DZ313" s="10">
        <v>1</v>
      </c>
      <c r="EA313" s="11">
        <f t="shared" si="47"/>
        <v>14.399999999999999</v>
      </c>
      <c r="EB313" s="10"/>
      <c r="EC313" s="11">
        <f t="shared" si="48"/>
        <v>0</v>
      </c>
      <c r="ED313" s="10"/>
      <c r="EE313" s="10"/>
    </row>
    <row r="314" spans="2:135" ht="16.5">
      <c r="B314" s="47">
        <v>303</v>
      </c>
      <c r="C314" s="50" t="s">
        <v>984</v>
      </c>
      <c r="D314" s="49" t="s">
        <v>401</v>
      </c>
      <c r="E314" s="49"/>
      <c r="F314" s="49"/>
      <c r="G314" s="49"/>
      <c r="H314" s="71">
        <f t="shared" si="49"/>
        <v>19.2</v>
      </c>
      <c r="I314" s="10">
        <v>16</v>
      </c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10"/>
      <c r="BK314" s="10"/>
      <c r="BL314" s="10"/>
      <c r="BN314" s="10"/>
      <c r="BO314" s="10"/>
      <c r="BP314" s="10"/>
      <c r="BQ314" s="10"/>
      <c r="BR314" s="10"/>
      <c r="BS314" s="10"/>
      <c r="BT314" s="10"/>
      <c r="BU314" s="10"/>
      <c r="BV314" s="10"/>
      <c r="BW314" s="10"/>
      <c r="BX314" s="10"/>
      <c r="BY314" s="10"/>
      <c r="BZ314" s="10"/>
      <c r="CA314" s="10"/>
      <c r="CB314" s="10"/>
      <c r="CC314" s="10"/>
      <c r="CD314" s="10"/>
      <c r="CE314" s="10"/>
      <c r="CF314" s="10"/>
      <c r="CG314" s="10"/>
      <c r="CH314" s="10"/>
      <c r="CI314" s="10"/>
      <c r="CJ314" s="10"/>
      <c r="CK314" s="10"/>
      <c r="CL314" s="10"/>
      <c r="CM314" s="10"/>
      <c r="CN314" s="10"/>
      <c r="CO314" s="10"/>
      <c r="CP314" s="10"/>
      <c r="CQ314" s="10"/>
      <c r="CR314" s="10"/>
      <c r="CS314" s="10"/>
      <c r="CT314" s="10"/>
      <c r="CU314" s="10"/>
      <c r="CV314" s="10"/>
      <c r="CW314" s="10"/>
      <c r="CX314" s="10"/>
      <c r="CY314" s="10"/>
      <c r="CZ314" s="11">
        <f t="shared" si="40"/>
        <v>0</v>
      </c>
      <c r="DA314" s="10"/>
      <c r="DB314" s="10"/>
      <c r="DC314" s="10"/>
      <c r="DD314" s="10"/>
      <c r="DE314" s="10"/>
      <c r="DF314" s="10"/>
      <c r="DG314" s="10"/>
      <c r="DH314" s="10"/>
      <c r="DI314" s="10"/>
      <c r="DJ314" s="11">
        <f t="shared" si="41"/>
        <v>0</v>
      </c>
      <c r="DK314" s="10"/>
      <c r="DL314" s="10"/>
      <c r="DM314" s="10"/>
      <c r="DN314" s="11">
        <f t="shared" si="42"/>
        <v>0</v>
      </c>
      <c r="DO314" s="10"/>
      <c r="DP314" s="10"/>
      <c r="DQ314" s="10">
        <v>3</v>
      </c>
      <c r="DR314" s="11">
        <f t="shared" si="43"/>
        <v>57.599999999999994</v>
      </c>
      <c r="DS314" s="10">
        <v>13</v>
      </c>
      <c r="DT314" s="11">
        <f t="shared" si="44"/>
        <v>249.6</v>
      </c>
      <c r="DU314" s="10"/>
      <c r="DV314" s="11">
        <f t="shared" si="45"/>
        <v>0</v>
      </c>
      <c r="DW314" s="10">
        <v>0</v>
      </c>
      <c r="DX314" s="11">
        <f t="shared" si="46"/>
        <v>0</v>
      </c>
      <c r="DY314" s="10"/>
      <c r="DZ314" s="10"/>
      <c r="EA314" s="11">
        <f t="shared" si="47"/>
        <v>0</v>
      </c>
      <c r="EB314" s="10"/>
      <c r="EC314" s="11">
        <f t="shared" si="48"/>
        <v>0</v>
      </c>
      <c r="ED314" s="10"/>
      <c r="EE314" s="10"/>
    </row>
    <row r="315" spans="2:135" ht="33">
      <c r="B315" s="47">
        <v>304</v>
      </c>
      <c r="C315" s="50" t="s">
        <v>985</v>
      </c>
      <c r="D315" s="49" t="s">
        <v>402</v>
      </c>
      <c r="E315" s="49"/>
      <c r="F315" s="49"/>
      <c r="G315" s="49"/>
      <c r="H315" s="71">
        <f t="shared" si="49"/>
        <v>13.2</v>
      </c>
      <c r="I315" s="10">
        <v>11</v>
      </c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10"/>
      <c r="BK315" s="10"/>
      <c r="BL315" s="10"/>
      <c r="BN315" s="10"/>
      <c r="BO315" s="10"/>
      <c r="BP315" s="10"/>
      <c r="BQ315" s="10"/>
      <c r="BR315" s="10"/>
      <c r="BS315" s="10"/>
      <c r="BT315" s="10"/>
      <c r="BU315" s="10"/>
      <c r="BV315" s="10"/>
      <c r="BW315" s="10"/>
      <c r="BX315" s="10"/>
      <c r="BY315" s="10"/>
      <c r="BZ315" s="10"/>
      <c r="CA315" s="10"/>
      <c r="CB315" s="10"/>
      <c r="CC315" s="10"/>
      <c r="CD315" s="10"/>
      <c r="CE315" s="10"/>
      <c r="CF315" s="10"/>
      <c r="CG315" s="10"/>
      <c r="CH315" s="10"/>
      <c r="CI315" s="10"/>
      <c r="CJ315" s="10"/>
      <c r="CK315" s="10"/>
      <c r="CL315" s="10"/>
      <c r="CM315" s="10"/>
      <c r="CN315" s="10"/>
      <c r="CO315" s="10"/>
      <c r="CP315" s="10"/>
      <c r="CQ315" s="10"/>
      <c r="CR315" s="10"/>
      <c r="CS315" s="10"/>
      <c r="CT315" s="10"/>
      <c r="CU315" s="10"/>
      <c r="CV315" s="10"/>
      <c r="CW315" s="10"/>
      <c r="CX315" s="10"/>
      <c r="CY315" s="10"/>
      <c r="CZ315" s="11">
        <f t="shared" si="40"/>
        <v>0</v>
      </c>
      <c r="DA315" s="10"/>
      <c r="DB315" s="10"/>
      <c r="DC315" s="10"/>
      <c r="DD315" s="10"/>
      <c r="DE315" s="10"/>
      <c r="DF315" s="10"/>
      <c r="DG315" s="10"/>
      <c r="DH315" s="10"/>
      <c r="DI315" s="10"/>
      <c r="DJ315" s="11">
        <f t="shared" si="41"/>
        <v>0</v>
      </c>
      <c r="DK315" s="10"/>
      <c r="DL315" s="10"/>
      <c r="DM315" s="10"/>
      <c r="DN315" s="11">
        <f t="shared" si="42"/>
        <v>0</v>
      </c>
      <c r="DO315" s="10"/>
      <c r="DP315" s="10"/>
      <c r="DQ315" s="10">
        <v>11</v>
      </c>
      <c r="DR315" s="11">
        <f t="shared" si="43"/>
        <v>145.19999999999999</v>
      </c>
      <c r="DS315" s="10">
        <v>0</v>
      </c>
      <c r="DT315" s="11">
        <f t="shared" si="44"/>
        <v>0</v>
      </c>
      <c r="DU315" s="10"/>
      <c r="DV315" s="11">
        <f t="shared" si="45"/>
        <v>0</v>
      </c>
      <c r="DW315" s="10">
        <v>0</v>
      </c>
      <c r="DX315" s="11">
        <f t="shared" si="46"/>
        <v>0</v>
      </c>
      <c r="DY315" s="10"/>
      <c r="DZ315" s="10"/>
      <c r="EA315" s="11">
        <f t="shared" si="47"/>
        <v>0</v>
      </c>
      <c r="EB315" s="10"/>
      <c r="EC315" s="11">
        <f t="shared" si="48"/>
        <v>0</v>
      </c>
      <c r="ED315" s="10"/>
      <c r="EE315" s="10"/>
    </row>
    <row r="316" spans="2:135" ht="16.5">
      <c r="B316" s="47">
        <v>305</v>
      </c>
      <c r="C316" s="50" t="s">
        <v>986</v>
      </c>
      <c r="D316" s="49" t="s">
        <v>403</v>
      </c>
      <c r="E316" s="49"/>
      <c r="F316" s="49"/>
      <c r="G316" s="49"/>
      <c r="H316" s="71">
        <f t="shared" si="49"/>
        <v>6</v>
      </c>
      <c r="I316" s="10">
        <v>5</v>
      </c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10"/>
      <c r="BK316" s="10"/>
      <c r="BL316" s="10"/>
      <c r="BN316" s="10"/>
      <c r="BO316" s="10"/>
      <c r="BP316" s="10"/>
      <c r="BQ316" s="10"/>
      <c r="BR316" s="10"/>
      <c r="BS316" s="10"/>
      <c r="BT316" s="10"/>
      <c r="BU316" s="10"/>
      <c r="BV316" s="10"/>
      <c r="BW316" s="10"/>
      <c r="BX316" s="10"/>
      <c r="BY316" s="10"/>
      <c r="BZ316" s="10"/>
      <c r="CA316" s="10"/>
      <c r="CB316" s="10"/>
      <c r="CC316" s="10"/>
      <c r="CD316" s="10"/>
      <c r="CE316" s="10"/>
      <c r="CF316" s="10"/>
      <c r="CG316" s="10"/>
      <c r="CH316" s="10"/>
      <c r="CI316" s="10"/>
      <c r="CJ316" s="10"/>
      <c r="CK316" s="10"/>
      <c r="CL316" s="10"/>
      <c r="CM316" s="10"/>
      <c r="CN316" s="10"/>
      <c r="CO316" s="10"/>
      <c r="CP316" s="10"/>
      <c r="CQ316" s="10"/>
      <c r="CR316" s="10"/>
      <c r="CS316" s="10"/>
      <c r="CT316" s="10"/>
      <c r="CU316" s="10"/>
      <c r="CV316" s="10"/>
      <c r="CW316" s="10"/>
      <c r="CX316" s="10"/>
      <c r="CY316" s="10"/>
      <c r="CZ316" s="11">
        <f t="shared" si="40"/>
        <v>0</v>
      </c>
      <c r="DA316" s="10"/>
      <c r="DB316" s="10"/>
      <c r="DC316" s="10"/>
      <c r="DD316" s="10"/>
      <c r="DE316" s="10"/>
      <c r="DF316" s="10"/>
      <c r="DG316" s="10"/>
      <c r="DH316" s="10"/>
      <c r="DI316" s="10"/>
      <c r="DJ316" s="11">
        <f t="shared" si="41"/>
        <v>0</v>
      </c>
      <c r="DK316" s="10"/>
      <c r="DL316" s="10"/>
      <c r="DM316" s="10"/>
      <c r="DN316" s="11">
        <f t="shared" si="42"/>
        <v>0</v>
      </c>
      <c r="DO316" s="10"/>
      <c r="DP316" s="10"/>
      <c r="DQ316" s="10">
        <v>0</v>
      </c>
      <c r="DR316" s="11">
        <f t="shared" si="43"/>
        <v>0</v>
      </c>
      <c r="DS316" s="10">
        <v>0</v>
      </c>
      <c r="DT316" s="11">
        <f t="shared" si="44"/>
        <v>0</v>
      </c>
      <c r="DU316" s="10"/>
      <c r="DV316" s="11">
        <f t="shared" si="45"/>
        <v>0</v>
      </c>
      <c r="DW316" s="10">
        <v>5</v>
      </c>
      <c r="DX316" s="11">
        <f t="shared" si="46"/>
        <v>30</v>
      </c>
      <c r="DY316" s="10"/>
      <c r="DZ316" s="10"/>
      <c r="EA316" s="11">
        <f t="shared" si="47"/>
        <v>0</v>
      </c>
      <c r="EB316" s="10"/>
      <c r="EC316" s="11">
        <f t="shared" si="48"/>
        <v>0</v>
      </c>
      <c r="ED316" s="10"/>
      <c r="EE316" s="10"/>
    </row>
    <row r="317" spans="2:135" ht="16.5">
      <c r="B317" s="47">
        <v>306</v>
      </c>
      <c r="C317" s="50" t="s">
        <v>987</v>
      </c>
      <c r="D317" s="49" t="s">
        <v>404</v>
      </c>
      <c r="E317" s="49"/>
      <c r="F317" s="49"/>
      <c r="G317" s="49"/>
      <c r="H317" s="71">
        <f t="shared" si="49"/>
        <v>3.5999999999999996</v>
      </c>
      <c r="I317" s="10">
        <v>3</v>
      </c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10"/>
      <c r="BK317" s="10"/>
      <c r="BL317" s="10"/>
      <c r="BN317" s="10"/>
      <c r="BO317" s="10"/>
      <c r="BP317" s="10"/>
      <c r="BQ317" s="10"/>
      <c r="BR317" s="10"/>
      <c r="BS317" s="10"/>
      <c r="BT317" s="10"/>
      <c r="BU317" s="10"/>
      <c r="BV317" s="10"/>
      <c r="BW317" s="10"/>
      <c r="BX317" s="10"/>
      <c r="BY317" s="10"/>
      <c r="BZ317" s="10"/>
      <c r="CA317" s="10"/>
      <c r="CB317" s="10"/>
      <c r="CC317" s="10"/>
      <c r="CD317" s="10"/>
      <c r="CE317" s="10"/>
      <c r="CF317" s="10"/>
      <c r="CG317" s="10"/>
      <c r="CH317" s="10"/>
      <c r="CI317" s="10"/>
      <c r="CJ317" s="10"/>
      <c r="CK317" s="10"/>
      <c r="CL317" s="10"/>
      <c r="CM317" s="10"/>
      <c r="CN317" s="10"/>
      <c r="CO317" s="10"/>
      <c r="CP317" s="10"/>
      <c r="CQ317" s="10"/>
      <c r="CR317" s="10"/>
      <c r="CS317" s="10"/>
      <c r="CT317" s="10"/>
      <c r="CU317" s="10"/>
      <c r="CV317" s="10"/>
      <c r="CW317" s="10"/>
      <c r="CX317" s="10"/>
      <c r="CY317" s="10">
        <v>3</v>
      </c>
      <c r="CZ317" s="11">
        <f t="shared" si="40"/>
        <v>10.799999999999999</v>
      </c>
      <c r="DA317" s="10"/>
      <c r="DB317" s="10"/>
      <c r="DC317" s="10"/>
      <c r="DD317" s="10"/>
      <c r="DE317" s="10"/>
      <c r="DF317" s="10"/>
      <c r="DG317" s="10"/>
      <c r="DH317" s="10"/>
      <c r="DI317" s="10"/>
      <c r="DJ317" s="11">
        <f t="shared" si="41"/>
        <v>0</v>
      </c>
      <c r="DK317" s="10"/>
      <c r="DL317" s="10"/>
      <c r="DM317" s="10"/>
      <c r="DN317" s="11">
        <f t="shared" si="42"/>
        <v>0</v>
      </c>
      <c r="DO317" s="10"/>
      <c r="DP317" s="10"/>
      <c r="DQ317" s="10">
        <v>0</v>
      </c>
      <c r="DR317" s="11">
        <f t="shared" si="43"/>
        <v>0</v>
      </c>
      <c r="DS317" s="10">
        <v>0</v>
      </c>
      <c r="DT317" s="11">
        <f t="shared" si="44"/>
        <v>0</v>
      </c>
      <c r="DU317" s="10"/>
      <c r="DV317" s="11">
        <f t="shared" si="45"/>
        <v>0</v>
      </c>
      <c r="DW317" s="10">
        <v>0</v>
      </c>
      <c r="DX317" s="11">
        <f t="shared" si="46"/>
        <v>0</v>
      </c>
      <c r="DY317" s="10"/>
      <c r="DZ317" s="10"/>
      <c r="EA317" s="11">
        <f t="shared" si="47"/>
        <v>0</v>
      </c>
      <c r="EB317" s="10"/>
      <c r="EC317" s="11">
        <f t="shared" si="48"/>
        <v>0</v>
      </c>
      <c r="ED317" s="10"/>
      <c r="EE317" s="10"/>
    </row>
    <row r="318" spans="2:135" ht="16.5">
      <c r="B318" s="47">
        <v>307</v>
      </c>
      <c r="C318" s="50" t="s">
        <v>988</v>
      </c>
      <c r="D318" s="49" t="s">
        <v>405</v>
      </c>
      <c r="E318" s="49"/>
      <c r="F318" s="49"/>
      <c r="G318" s="49"/>
      <c r="H318" s="71">
        <f t="shared" si="49"/>
        <v>2.4</v>
      </c>
      <c r="I318" s="10">
        <v>2</v>
      </c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10"/>
      <c r="BK318" s="10"/>
      <c r="BL318" s="10"/>
      <c r="BN318" s="10"/>
      <c r="BO318" s="10"/>
      <c r="BP318" s="10"/>
      <c r="BQ318" s="10"/>
      <c r="BR318" s="10"/>
      <c r="BS318" s="10"/>
      <c r="BT318" s="10"/>
      <c r="BU318" s="10"/>
      <c r="BV318" s="10"/>
      <c r="BW318" s="10"/>
      <c r="BX318" s="10"/>
      <c r="BY318" s="10"/>
      <c r="BZ318" s="10"/>
      <c r="CA318" s="10"/>
      <c r="CB318" s="10"/>
      <c r="CC318" s="10"/>
      <c r="CD318" s="10"/>
      <c r="CE318" s="10"/>
      <c r="CF318" s="10"/>
      <c r="CG318" s="10"/>
      <c r="CH318" s="10"/>
      <c r="CI318" s="10"/>
      <c r="CJ318" s="10"/>
      <c r="CK318" s="10"/>
      <c r="CL318" s="10"/>
      <c r="CM318" s="10"/>
      <c r="CN318" s="10"/>
      <c r="CO318" s="10"/>
      <c r="CP318" s="10"/>
      <c r="CQ318" s="10"/>
      <c r="CR318" s="10"/>
      <c r="CS318" s="10"/>
      <c r="CT318" s="10"/>
      <c r="CU318" s="10"/>
      <c r="CV318" s="10"/>
      <c r="CW318" s="10"/>
      <c r="CX318" s="10"/>
      <c r="CY318" s="10">
        <v>1</v>
      </c>
      <c r="CZ318" s="11">
        <f t="shared" si="40"/>
        <v>2.4</v>
      </c>
      <c r="DA318" s="10"/>
      <c r="DB318" s="10"/>
      <c r="DC318" s="10"/>
      <c r="DD318" s="10"/>
      <c r="DE318" s="10"/>
      <c r="DF318" s="10"/>
      <c r="DG318" s="10"/>
      <c r="DH318" s="10"/>
      <c r="DI318" s="10"/>
      <c r="DJ318" s="11">
        <f t="shared" si="41"/>
        <v>0</v>
      </c>
      <c r="DK318" s="10"/>
      <c r="DL318" s="10"/>
      <c r="DM318" s="10"/>
      <c r="DN318" s="11">
        <f t="shared" si="42"/>
        <v>0</v>
      </c>
      <c r="DO318" s="10"/>
      <c r="DP318" s="10"/>
      <c r="DQ318" s="10">
        <v>1</v>
      </c>
      <c r="DR318" s="11">
        <f t="shared" si="43"/>
        <v>2.4</v>
      </c>
      <c r="DS318" s="10">
        <v>0</v>
      </c>
      <c r="DT318" s="11">
        <f t="shared" si="44"/>
        <v>0</v>
      </c>
      <c r="DU318" s="10"/>
      <c r="DV318" s="11">
        <f t="shared" si="45"/>
        <v>0</v>
      </c>
      <c r="DW318" s="10">
        <v>0</v>
      </c>
      <c r="DX318" s="11">
        <f t="shared" si="46"/>
        <v>0</v>
      </c>
      <c r="DY318" s="10"/>
      <c r="DZ318" s="10"/>
      <c r="EA318" s="11">
        <f t="shared" si="47"/>
        <v>0</v>
      </c>
      <c r="EB318" s="10"/>
      <c r="EC318" s="11">
        <f t="shared" si="48"/>
        <v>0</v>
      </c>
      <c r="ED318" s="10"/>
      <c r="EE318" s="10"/>
    </row>
    <row r="319" spans="2:135" ht="16.5">
      <c r="B319" s="47">
        <v>308</v>
      </c>
      <c r="C319" s="50" t="s">
        <v>989</v>
      </c>
      <c r="D319" s="49" t="s">
        <v>406</v>
      </c>
      <c r="E319" s="49"/>
      <c r="F319" s="49"/>
      <c r="G319" s="49"/>
      <c r="H319" s="71">
        <f t="shared" si="49"/>
        <v>1.2</v>
      </c>
      <c r="I319" s="10">
        <v>1</v>
      </c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10"/>
      <c r="BK319" s="10"/>
      <c r="BL319" s="10"/>
      <c r="BN319" s="10"/>
      <c r="BO319" s="10"/>
      <c r="BP319" s="10"/>
      <c r="BQ319" s="10"/>
      <c r="BR319" s="10"/>
      <c r="BS319" s="10"/>
      <c r="BT319" s="10"/>
      <c r="BU319" s="10"/>
      <c r="BV319" s="10"/>
      <c r="BW319" s="10"/>
      <c r="BX319" s="10"/>
      <c r="BY319" s="10"/>
      <c r="BZ319" s="10"/>
      <c r="CA319" s="10"/>
      <c r="CB319" s="10"/>
      <c r="CC319" s="10"/>
      <c r="CD319" s="10"/>
      <c r="CE319" s="10"/>
      <c r="CF319" s="10"/>
      <c r="CG319" s="10"/>
      <c r="CH319" s="10"/>
      <c r="CI319" s="10"/>
      <c r="CJ319" s="10"/>
      <c r="CK319" s="10"/>
      <c r="CL319" s="10"/>
      <c r="CM319" s="10"/>
      <c r="CN319" s="10"/>
      <c r="CO319" s="10"/>
      <c r="CP319" s="10"/>
      <c r="CQ319" s="10"/>
      <c r="CR319" s="10"/>
      <c r="CS319" s="10"/>
      <c r="CT319" s="10"/>
      <c r="CU319" s="10"/>
      <c r="CV319" s="10"/>
      <c r="CW319" s="10"/>
      <c r="CX319" s="10"/>
      <c r="CY319" s="10">
        <v>1</v>
      </c>
      <c r="CZ319" s="11">
        <f t="shared" si="40"/>
        <v>1.2</v>
      </c>
      <c r="DA319" s="10"/>
      <c r="DB319" s="10"/>
      <c r="DC319" s="10"/>
      <c r="DD319" s="10"/>
      <c r="DE319" s="10"/>
      <c r="DF319" s="10"/>
      <c r="DG319" s="10"/>
      <c r="DH319" s="10"/>
      <c r="DI319" s="10"/>
      <c r="DJ319" s="11">
        <f t="shared" si="41"/>
        <v>0</v>
      </c>
      <c r="DK319" s="10"/>
      <c r="DL319" s="10"/>
      <c r="DM319" s="10"/>
      <c r="DN319" s="11">
        <f t="shared" si="42"/>
        <v>0</v>
      </c>
      <c r="DO319" s="10"/>
      <c r="DP319" s="10"/>
      <c r="DQ319" s="10">
        <v>0</v>
      </c>
      <c r="DR319" s="11">
        <f t="shared" si="43"/>
        <v>0</v>
      </c>
      <c r="DS319" s="10">
        <v>0</v>
      </c>
      <c r="DT319" s="11">
        <f t="shared" si="44"/>
        <v>0</v>
      </c>
      <c r="DU319" s="10"/>
      <c r="DV319" s="11">
        <f t="shared" si="45"/>
        <v>0</v>
      </c>
      <c r="DW319" s="10">
        <v>0</v>
      </c>
      <c r="DX319" s="11">
        <f t="shared" si="46"/>
        <v>0</v>
      </c>
      <c r="DY319" s="10"/>
      <c r="DZ319" s="10"/>
      <c r="EA319" s="11">
        <f t="shared" si="47"/>
        <v>0</v>
      </c>
      <c r="EB319" s="10"/>
      <c r="EC319" s="11">
        <f t="shared" si="48"/>
        <v>0</v>
      </c>
      <c r="ED319" s="10"/>
      <c r="EE319" s="10"/>
    </row>
    <row r="320" spans="2:135" ht="16.5">
      <c r="B320" s="47">
        <v>309</v>
      </c>
      <c r="C320" s="50" t="s">
        <v>990</v>
      </c>
      <c r="D320" s="49" t="s">
        <v>407</v>
      </c>
      <c r="E320" s="49"/>
      <c r="F320" s="49"/>
      <c r="G320" s="49"/>
      <c r="H320" s="71">
        <f t="shared" si="49"/>
        <v>9.6</v>
      </c>
      <c r="I320" s="10">
        <v>8</v>
      </c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10"/>
      <c r="BK320" s="10"/>
      <c r="BL320" s="10"/>
      <c r="BN320" s="10"/>
      <c r="BO320" s="10"/>
      <c r="BP320" s="10"/>
      <c r="BQ320" s="10"/>
      <c r="BR320" s="10"/>
      <c r="BS320" s="10"/>
      <c r="BT320" s="10"/>
      <c r="BU320" s="10"/>
      <c r="BV320" s="10"/>
      <c r="BW320" s="10"/>
      <c r="BX320" s="10"/>
      <c r="BY320" s="10"/>
      <c r="BZ320" s="10"/>
      <c r="CA320" s="10"/>
      <c r="CB320" s="10"/>
      <c r="CC320" s="10"/>
      <c r="CD320" s="10"/>
      <c r="CE320" s="10"/>
      <c r="CF320" s="10"/>
      <c r="CG320" s="10"/>
      <c r="CH320" s="10"/>
      <c r="CI320" s="10"/>
      <c r="CJ320" s="10"/>
      <c r="CK320" s="10"/>
      <c r="CL320" s="10"/>
      <c r="CM320" s="10"/>
      <c r="CN320" s="10"/>
      <c r="CO320" s="10"/>
      <c r="CP320" s="10"/>
      <c r="CQ320" s="10"/>
      <c r="CR320" s="10"/>
      <c r="CS320" s="10"/>
      <c r="CT320" s="10"/>
      <c r="CU320" s="10"/>
      <c r="CV320" s="10"/>
      <c r="CW320" s="10"/>
      <c r="CX320" s="10"/>
      <c r="CY320" s="10"/>
      <c r="CZ320" s="11">
        <f t="shared" si="40"/>
        <v>0</v>
      </c>
      <c r="DA320" s="10"/>
      <c r="DB320" s="10"/>
      <c r="DC320" s="10"/>
      <c r="DD320" s="10"/>
      <c r="DE320" s="10"/>
      <c r="DF320" s="10"/>
      <c r="DG320" s="10"/>
      <c r="DH320" s="10"/>
      <c r="DI320" s="10"/>
      <c r="DJ320" s="11">
        <f t="shared" si="41"/>
        <v>0</v>
      </c>
      <c r="DK320" s="10"/>
      <c r="DL320" s="10"/>
      <c r="DM320" s="10"/>
      <c r="DN320" s="11">
        <f t="shared" si="42"/>
        <v>0</v>
      </c>
      <c r="DO320" s="10"/>
      <c r="DP320" s="10"/>
      <c r="DQ320" s="10">
        <v>8</v>
      </c>
      <c r="DR320" s="11">
        <f t="shared" si="43"/>
        <v>76.8</v>
      </c>
      <c r="DS320" s="10">
        <v>0</v>
      </c>
      <c r="DT320" s="11">
        <f t="shared" si="44"/>
        <v>0</v>
      </c>
      <c r="DU320" s="10"/>
      <c r="DV320" s="11">
        <f t="shared" si="45"/>
        <v>0</v>
      </c>
      <c r="DW320" s="10">
        <v>0</v>
      </c>
      <c r="DX320" s="11">
        <f t="shared" si="46"/>
        <v>0</v>
      </c>
      <c r="DY320" s="10"/>
      <c r="DZ320" s="10"/>
      <c r="EA320" s="11">
        <f t="shared" si="47"/>
        <v>0</v>
      </c>
      <c r="EB320" s="10"/>
      <c r="EC320" s="11">
        <f t="shared" si="48"/>
        <v>0</v>
      </c>
      <c r="ED320" s="10"/>
      <c r="EE320" s="10"/>
    </row>
    <row r="321" spans="2:135" ht="16.5">
      <c r="B321" s="47">
        <v>310</v>
      </c>
      <c r="C321" s="50" t="s">
        <v>991</v>
      </c>
      <c r="D321" s="49" t="s">
        <v>408</v>
      </c>
      <c r="E321" s="49"/>
      <c r="F321" s="49"/>
      <c r="G321" s="49"/>
      <c r="H321" s="71">
        <f t="shared" si="49"/>
        <v>16.8</v>
      </c>
      <c r="I321" s="10">
        <v>14</v>
      </c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10"/>
      <c r="BK321" s="10"/>
      <c r="BL321" s="10"/>
      <c r="BN321" s="10"/>
      <c r="BO321" s="10"/>
      <c r="BP321" s="10"/>
      <c r="BQ321" s="10"/>
      <c r="BR321" s="10"/>
      <c r="BS321" s="10"/>
      <c r="BT321" s="10"/>
      <c r="BU321" s="10"/>
      <c r="BV321" s="10"/>
      <c r="BW321" s="10"/>
      <c r="BX321" s="10"/>
      <c r="BY321" s="10"/>
      <c r="BZ321" s="10"/>
      <c r="CA321" s="10"/>
      <c r="CB321" s="10"/>
      <c r="CC321" s="10"/>
      <c r="CD321" s="10"/>
      <c r="CE321" s="10"/>
      <c r="CF321" s="10"/>
      <c r="CG321" s="10"/>
      <c r="CH321" s="10"/>
      <c r="CI321" s="10"/>
      <c r="CJ321" s="10"/>
      <c r="CK321" s="10"/>
      <c r="CL321" s="10"/>
      <c r="CM321" s="10"/>
      <c r="CN321" s="10"/>
      <c r="CO321" s="10"/>
      <c r="CP321" s="10"/>
      <c r="CQ321" s="10"/>
      <c r="CR321" s="10"/>
      <c r="CS321" s="10"/>
      <c r="CT321" s="10"/>
      <c r="CU321" s="10"/>
      <c r="CV321" s="10"/>
      <c r="CW321" s="10"/>
      <c r="CX321" s="10"/>
      <c r="CY321" s="10"/>
      <c r="CZ321" s="11">
        <f t="shared" si="40"/>
        <v>0</v>
      </c>
      <c r="DA321" s="10"/>
      <c r="DB321" s="10"/>
      <c r="DC321" s="10"/>
      <c r="DD321" s="10"/>
      <c r="DE321" s="10"/>
      <c r="DF321" s="10"/>
      <c r="DG321" s="10"/>
      <c r="DH321" s="10"/>
      <c r="DI321" s="10"/>
      <c r="DJ321" s="11">
        <f t="shared" si="41"/>
        <v>0</v>
      </c>
      <c r="DK321" s="10"/>
      <c r="DL321" s="10"/>
      <c r="DM321" s="10"/>
      <c r="DN321" s="11">
        <f t="shared" si="42"/>
        <v>0</v>
      </c>
      <c r="DO321" s="10"/>
      <c r="DP321" s="10"/>
      <c r="DQ321" s="10">
        <v>0</v>
      </c>
      <c r="DR321" s="11">
        <f t="shared" si="43"/>
        <v>0</v>
      </c>
      <c r="DS321" s="10">
        <v>0</v>
      </c>
      <c r="DT321" s="11">
        <f t="shared" si="44"/>
        <v>0</v>
      </c>
      <c r="DU321" s="10"/>
      <c r="DV321" s="11">
        <f t="shared" si="45"/>
        <v>0</v>
      </c>
      <c r="DW321" s="10">
        <v>0</v>
      </c>
      <c r="DX321" s="11">
        <f t="shared" si="46"/>
        <v>0</v>
      </c>
      <c r="DY321" s="10"/>
      <c r="DZ321" s="10"/>
      <c r="EA321" s="11">
        <f t="shared" si="47"/>
        <v>0</v>
      </c>
      <c r="EB321" s="10">
        <v>14</v>
      </c>
      <c r="EC321" s="11">
        <f t="shared" si="48"/>
        <v>235.20000000000002</v>
      </c>
      <c r="ED321" s="10"/>
      <c r="EE321" s="10"/>
    </row>
    <row r="322" spans="2:135" ht="49.5">
      <c r="B322" s="47">
        <v>311</v>
      </c>
      <c r="C322" s="50" t="s">
        <v>992</v>
      </c>
      <c r="D322" s="49" t="s">
        <v>409</v>
      </c>
      <c r="E322" s="49"/>
      <c r="F322" s="49"/>
      <c r="G322" s="49"/>
      <c r="H322" s="71">
        <f t="shared" si="49"/>
        <v>1.2</v>
      </c>
      <c r="I322" s="10">
        <v>1</v>
      </c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10"/>
      <c r="BK322" s="10"/>
      <c r="BL322" s="10"/>
      <c r="BN322" s="10"/>
      <c r="BO322" s="10"/>
      <c r="BP322" s="10"/>
      <c r="BQ322" s="10"/>
      <c r="BR322" s="10"/>
      <c r="BS322" s="10"/>
      <c r="BT322" s="10"/>
      <c r="BU322" s="10"/>
      <c r="BV322" s="10"/>
      <c r="BW322" s="10"/>
      <c r="BX322" s="10"/>
      <c r="BY322" s="10"/>
      <c r="BZ322" s="10"/>
      <c r="CA322" s="10"/>
      <c r="CB322" s="10"/>
      <c r="CC322" s="10"/>
      <c r="CD322" s="10"/>
      <c r="CE322" s="10"/>
      <c r="CF322" s="10"/>
      <c r="CG322" s="10"/>
      <c r="CH322" s="10"/>
      <c r="CI322" s="10"/>
      <c r="CJ322" s="10"/>
      <c r="CK322" s="10"/>
      <c r="CL322" s="10"/>
      <c r="CM322" s="10"/>
      <c r="CN322" s="10"/>
      <c r="CO322" s="10"/>
      <c r="CP322" s="10"/>
      <c r="CQ322" s="10"/>
      <c r="CR322" s="10"/>
      <c r="CS322" s="10"/>
      <c r="CT322" s="10"/>
      <c r="CU322" s="10"/>
      <c r="CV322" s="10"/>
      <c r="CW322" s="10"/>
      <c r="CX322" s="10"/>
      <c r="CY322" s="10"/>
      <c r="CZ322" s="11">
        <f t="shared" si="40"/>
        <v>0</v>
      </c>
      <c r="DA322" s="10"/>
      <c r="DB322" s="10"/>
      <c r="DC322" s="10"/>
      <c r="DD322" s="10"/>
      <c r="DE322" s="10"/>
      <c r="DF322" s="10"/>
      <c r="DG322" s="10"/>
      <c r="DH322" s="10"/>
      <c r="DI322" s="10"/>
      <c r="DJ322" s="11">
        <f t="shared" si="41"/>
        <v>0</v>
      </c>
      <c r="DK322" s="10"/>
      <c r="DL322" s="10"/>
      <c r="DM322" s="10"/>
      <c r="DN322" s="11">
        <f t="shared" si="42"/>
        <v>0</v>
      </c>
      <c r="DO322" s="10"/>
      <c r="DP322" s="10"/>
      <c r="DQ322" s="10">
        <v>1</v>
      </c>
      <c r="DR322" s="11">
        <f t="shared" si="43"/>
        <v>1.2</v>
      </c>
      <c r="DS322" s="10">
        <v>0</v>
      </c>
      <c r="DT322" s="11">
        <f t="shared" si="44"/>
        <v>0</v>
      </c>
      <c r="DU322" s="10"/>
      <c r="DV322" s="11">
        <f t="shared" si="45"/>
        <v>0</v>
      </c>
      <c r="DW322" s="10">
        <v>0</v>
      </c>
      <c r="DX322" s="11">
        <f t="shared" si="46"/>
        <v>0</v>
      </c>
      <c r="DY322" s="10"/>
      <c r="DZ322" s="10"/>
      <c r="EA322" s="11">
        <f t="shared" si="47"/>
        <v>0</v>
      </c>
      <c r="EB322" s="10"/>
      <c r="EC322" s="11">
        <f t="shared" si="48"/>
        <v>0</v>
      </c>
      <c r="ED322" s="10"/>
      <c r="EE322" s="10"/>
    </row>
    <row r="323" spans="2:135" ht="16.5">
      <c r="B323" s="47">
        <v>312</v>
      </c>
      <c r="C323" s="50" t="s">
        <v>993</v>
      </c>
      <c r="D323" s="49" t="s">
        <v>410</v>
      </c>
      <c r="E323" s="49"/>
      <c r="F323" s="49"/>
      <c r="G323" s="49"/>
      <c r="H323" s="71">
        <f t="shared" si="49"/>
        <v>7.1999999999999993</v>
      </c>
      <c r="I323" s="10">
        <v>6</v>
      </c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10"/>
      <c r="BK323" s="10"/>
      <c r="BL323" s="10"/>
      <c r="BN323" s="10"/>
      <c r="BO323" s="10"/>
      <c r="BP323" s="10"/>
      <c r="BQ323" s="10"/>
      <c r="BR323" s="10"/>
      <c r="BS323" s="10"/>
      <c r="BT323" s="10"/>
      <c r="BU323" s="10"/>
      <c r="BV323" s="10"/>
      <c r="BW323" s="10"/>
      <c r="BX323" s="10"/>
      <c r="BY323" s="10"/>
      <c r="BZ323" s="10"/>
      <c r="CA323" s="10"/>
      <c r="CB323" s="10"/>
      <c r="CC323" s="10"/>
      <c r="CD323" s="10"/>
      <c r="CE323" s="10"/>
      <c r="CF323" s="10"/>
      <c r="CG323" s="10"/>
      <c r="CH323" s="10"/>
      <c r="CI323" s="10"/>
      <c r="CJ323" s="10"/>
      <c r="CK323" s="10"/>
      <c r="CL323" s="10"/>
      <c r="CM323" s="10"/>
      <c r="CN323" s="10"/>
      <c r="CO323" s="10"/>
      <c r="CP323" s="10"/>
      <c r="CQ323" s="10"/>
      <c r="CR323" s="10"/>
      <c r="CS323" s="10"/>
      <c r="CT323" s="10"/>
      <c r="CU323" s="10"/>
      <c r="CV323" s="10"/>
      <c r="CW323" s="10"/>
      <c r="CX323" s="10"/>
      <c r="CY323" s="10"/>
      <c r="CZ323" s="11">
        <f t="shared" si="40"/>
        <v>0</v>
      </c>
      <c r="DA323" s="10"/>
      <c r="DB323" s="10"/>
      <c r="DC323" s="10"/>
      <c r="DD323" s="10"/>
      <c r="DE323" s="10"/>
      <c r="DF323" s="10"/>
      <c r="DG323" s="10"/>
      <c r="DH323" s="10"/>
      <c r="DI323" s="10"/>
      <c r="DJ323" s="11">
        <f t="shared" si="41"/>
        <v>0</v>
      </c>
      <c r="DK323" s="10"/>
      <c r="DL323" s="10"/>
      <c r="DM323" s="10"/>
      <c r="DN323" s="11">
        <f t="shared" si="42"/>
        <v>0</v>
      </c>
      <c r="DO323" s="10"/>
      <c r="DP323" s="10"/>
      <c r="DQ323" s="10">
        <v>6</v>
      </c>
      <c r="DR323" s="11">
        <f t="shared" si="43"/>
        <v>43.199999999999996</v>
      </c>
      <c r="DS323" s="10">
        <v>0</v>
      </c>
      <c r="DT323" s="11">
        <f t="shared" si="44"/>
        <v>0</v>
      </c>
      <c r="DU323" s="10"/>
      <c r="DV323" s="11">
        <f t="shared" si="45"/>
        <v>0</v>
      </c>
      <c r="DW323" s="10">
        <v>0</v>
      </c>
      <c r="DX323" s="11">
        <f t="shared" si="46"/>
        <v>0</v>
      </c>
      <c r="DY323" s="10"/>
      <c r="DZ323" s="10"/>
      <c r="EA323" s="11">
        <f t="shared" si="47"/>
        <v>0</v>
      </c>
      <c r="EB323" s="10"/>
      <c r="EC323" s="11">
        <f t="shared" si="48"/>
        <v>0</v>
      </c>
      <c r="ED323" s="10"/>
      <c r="EE323" s="10"/>
    </row>
    <row r="324" spans="2:135" ht="16.5">
      <c r="B324" s="47">
        <v>313</v>
      </c>
      <c r="C324" s="50" t="s">
        <v>994</v>
      </c>
      <c r="D324" s="49" t="s">
        <v>411</v>
      </c>
      <c r="E324" s="49"/>
      <c r="F324" s="49"/>
      <c r="G324" s="49"/>
      <c r="H324" s="71">
        <f t="shared" si="49"/>
        <v>3.5999999999999996</v>
      </c>
      <c r="I324" s="10">
        <v>3</v>
      </c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10"/>
      <c r="BK324" s="10"/>
      <c r="BL324" s="10"/>
      <c r="BN324" s="10"/>
      <c r="BO324" s="10"/>
      <c r="BP324" s="10"/>
      <c r="BQ324" s="10"/>
      <c r="BR324" s="10"/>
      <c r="BS324" s="10"/>
      <c r="BT324" s="10"/>
      <c r="BU324" s="10"/>
      <c r="BV324" s="10"/>
      <c r="BW324" s="10"/>
      <c r="BX324" s="10"/>
      <c r="BY324" s="10"/>
      <c r="BZ324" s="10"/>
      <c r="CA324" s="10"/>
      <c r="CB324" s="10"/>
      <c r="CC324" s="10"/>
      <c r="CD324" s="10"/>
      <c r="CE324" s="10"/>
      <c r="CF324" s="10"/>
      <c r="CG324" s="10"/>
      <c r="CH324" s="10"/>
      <c r="CI324" s="10"/>
      <c r="CJ324" s="10"/>
      <c r="CK324" s="10"/>
      <c r="CL324" s="10"/>
      <c r="CM324" s="10"/>
      <c r="CN324" s="10"/>
      <c r="CO324" s="10"/>
      <c r="CP324" s="10"/>
      <c r="CQ324" s="10"/>
      <c r="CR324" s="10"/>
      <c r="CS324" s="10"/>
      <c r="CT324" s="10"/>
      <c r="CU324" s="10"/>
      <c r="CV324" s="10"/>
      <c r="CW324" s="10"/>
      <c r="CX324" s="10"/>
      <c r="CY324" s="10"/>
      <c r="CZ324" s="11">
        <f t="shared" si="40"/>
        <v>0</v>
      </c>
      <c r="DA324" s="10"/>
      <c r="DB324" s="10"/>
      <c r="DC324" s="10"/>
      <c r="DD324" s="10"/>
      <c r="DE324" s="10"/>
      <c r="DF324" s="10"/>
      <c r="DG324" s="10"/>
      <c r="DH324" s="10"/>
      <c r="DI324" s="10"/>
      <c r="DJ324" s="11">
        <f t="shared" si="41"/>
        <v>0</v>
      </c>
      <c r="DK324" s="10"/>
      <c r="DL324" s="10"/>
      <c r="DM324" s="10"/>
      <c r="DN324" s="11">
        <f t="shared" si="42"/>
        <v>0</v>
      </c>
      <c r="DO324" s="10"/>
      <c r="DP324" s="10"/>
      <c r="DQ324" s="10">
        <v>3</v>
      </c>
      <c r="DR324" s="11">
        <f t="shared" si="43"/>
        <v>10.799999999999999</v>
      </c>
      <c r="DS324" s="10">
        <v>0</v>
      </c>
      <c r="DT324" s="11">
        <f t="shared" si="44"/>
        <v>0</v>
      </c>
      <c r="DU324" s="10"/>
      <c r="DV324" s="11">
        <f t="shared" si="45"/>
        <v>0</v>
      </c>
      <c r="DW324" s="10">
        <v>0</v>
      </c>
      <c r="DX324" s="11">
        <f t="shared" si="46"/>
        <v>0</v>
      </c>
      <c r="DY324" s="10"/>
      <c r="DZ324" s="10"/>
      <c r="EA324" s="11">
        <f t="shared" si="47"/>
        <v>0</v>
      </c>
      <c r="EB324" s="10"/>
      <c r="EC324" s="11">
        <f t="shared" si="48"/>
        <v>0</v>
      </c>
      <c r="ED324" s="10"/>
      <c r="EE324" s="10"/>
    </row>
    <row r="325" spans="2:135" ht="16.5">
      <c r="B325" s="47">
        <v>314</v>
      </c>
      <c r="C325" s="50" t="s">
        <v>995</v>
      </c>
      <c r="D325" s="49" t="s">
        <v>412</v>
      </c>
      <c r="E325" s="49"/>
      <c r="F325" s="49"/>
      <c r="G325" s="49"/>
      <c r="H325" s="71">
        <f t="shared" si="49"/>
        <v>1.2</v>
      </c>
      <c r="I325" s="10">
        <v>1</v>
      </c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10"/>
      <c r="BK325" s="10"/>
      <c r="BL325" s="10"/>
      <c r="BN325" s="10"/>
      <c r="BO325" s="10"/>
      <c r="BP325" s="10"/>
      <c r="BQ325" s="10"/>
      <c r="BR325" s="10"/>
      <c r="BS325" s="10"/>
      <c r="BT325" s="10"/>
      <c r="BU325" s="10"/>
      <c r="BV325" s="10"/>
      <c r="BW325" s="10"/>
      <c r="BX325" s="10"/>
      <c r="BY325" s="10"/>
      <c r="BZ325" s="10"/>
      <c r="CA325" s="10"/>
      <c r="CB325" s="10"/>
      <c r="CC325" s="10"/>
      <c r="CD325" s="10"/>
      <c r="CE325" s="10"/>
      <c r="CF325" s="10"/>
      <c r="CG325" s="10"/>
      <c r="CH325" s="10"/>
      <c r="CI325" s="10"/>
      <c r="CJ325" s="10"/>
      <c r="CK325" s="10"/>
      <c r="CL325" s="10"/>
      <c r="CM325" s="10"/>
      <c r="CN325" s="10"/>
      <c r="CO325" s="10"/>
      <c r="CP325" s="10"/>
      <c r="CQ325" s="10"/>
      <c r="CR325" s="10"/>
      <c r="CS325" s="10"/>
      <c r="CT325" s="10"/>
      <c r="CU325" s="10"/>
      <c r="CV325" s="10"/>
      <c r="CW325" s="10"/>
      <c r="CX325" s="10"/>
      <c r="CY325" s="10"/>
      <c r="CZ325" s="11">
        <f t="shared" si="40"/>
        <v>0</v>
      </c>
      <c r="DA325" s="10"/>
      <c r="DB325" s="10"/>
      <c r="DC325" s="10"/>
      <c r="DD325" s="10"/>
      <c r="DE325" s="10"/>
      <c r="DF325" s="10"/>
      <c r="DG325" s="10"/>
      <c r="DH325" s="10"/>
      <c r="DI325" s="10"/>
      <c r="DJ325" s="11">
        <f t="shared" si="41"/>
        <v>0</v>
      </c>
      <c r="DK325" s="10"/>
      <c r="DL325" s="10"/>
      <c r="DM325" s="10"/>
      <c r="DN325" s="11">
        <f t="shared" si="42"/>
        <v>0</v>
      </c>
      <c r="DO325" s="10"/>
      <c r="DP325" s="10"/>
      <c r="DQ325" s="10">
        <v>1</v>
      </c>
      <c r="DR325" s="11">
        <f t="shared" si="43"/>
        <v>1.2</v>
      </c>
      <c r="DS325" s="10">
        <v>0</v>
      </c>
      <c r="DT325" s="11">
        <f t="shared" si="44"/>
        <v>0</v>
      </c>
      <c r="DU325" s="10"/>
      <c r="DV325" s="11">
        <f t="shared" si="45"/>
        <v>0</v>
      </c>
      <c r="DW325" s="10">
        <v>0</v>
      </c>
      <c r="DX325" s="11">
        <f t="shared" si="46"/>
        <v>0</v>
      </c>
      <c r="DY325" s="10"/>
      <c r="DZ325" s="10"/>
      <c r="EA325" s="11">
        <f t="shared" si="47"/>
        <v>0</v>
      </c>
      <c r="EB325" s="10"/>
      <c r="EC325" s="11">
        <f t="shared" si="48"/>
        <v>0</v>
      </c>
      <c r="ED325" s="10"/>
      <c r="EE325" s="10"/>
    </row>
    <row r="326" spans="2:135" ht="16.5">
      <c r="B326" s="47">
        <v>315</v>
      </c>
      <c r="C326" s="50" t="s">
        <v>996</v>
      </c>
      <c r="D326" s="49" t="s">
        <v>413</v>
      </c>
      <c r="E326" s="49"/>
      <c r="F326" s="49"/>
      <c r="G326" s="49"/>
      <c r="H326" s="71">
        <f t="shared" si="49"/>
        <v>20.399999999999999</v>
      </c>
      <c r="I326" s="10">
        <v>17</v>
      </c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10"/>
      <c r="BK326" s="10"/>
      <c r="BL326" s="10"/>
      <c r="BN326" s="10"/>
      <c r="BO326" s="10"/>
      <c r="BP326" s="10"/>
      <c r="BQ326" s="10"/>
      <c r="BR326" s="10"/>
      <c r="BS326" s="10"/>
      <c r="BT326" s="10"/>
      <c r="BU326" s="10"/>
      <c r="BV326" s="10"/>
      <c r="BW326" s="10"/>
      <c r="BX326" s="10"/>
      <c r="BY326" s="10"/>
      <c r="BZ326" s="10"/>
      <c r="CA326" s="10"/>
      <c r="CB326" s="10"/>
      <c r="CC326" s="10"/>
      <c r="CD326" s="10"/>
      <c r="CE326" s="10"/>
      <c r="CF326" s="10"/>
      <c r="CG326" s="10"/>
      <c r="CH326" s="10"/>
      <c r="CI326" s="10"/>
      <c r="CJ326" s="10"/>
      <c r="CK326" s="10"/>
      <c r="CL326" s="10"/>
      <c r="CM326" s="10"/>
      <c r="CN326" s="10"/>
      <c r="CO326" s="10"/>
      <c r="CP326" s="10"/>
      <c r="CQ326" s="10"/>
      <c r="CR326" s="10"/>
      <c r="CS326" s="10"/>
      <c r="CT326" s="10"/>
      <c r="CU326" s="10"/>
      <c r="CV326" s="10"/>
      <c r="CW326" s="10"/>
      <c r="CX326" s="10"/>
      <c r="CY326" s="10"/>
      <c r="CZ326" s="11">
        <f t="shared" si="40"/>
        <v>0</v>
      </c>
      <c r="DA326" s="10"/>
      <c r="DB326" s="10"/>
      <c r="DC326" s="10"/>
      <c r="DD326" s="10"/>
      <c r="DE326" s="10"/>
      <c r="DF326" s="10"/>
      <c r="DG326" s="10"/>
      <c r="DH326" s="10"/>
      <c r="DI326" s="10"/>
      <c r="DJ326" s="11">
        <f t="shared" si="41"/>
        <v>0</v>
      </c>
      <c r="DK326" s="10"/>
      <c r="DL326" s="10"/>
      <c r="DM326" s="10"/>
      <c r="DN326" s="11">
        <f t="shared" si="42"/>
        <v>0</v>
      </c>
      <c r="DO326" s="10"/>
      <c r="DP326" s="10"/>
      <c r="DQ326" s="10">
        <v>17</v>
      </c>
      <c r="DR326" s="11">
        <f t="shared" si="43"/>
        <v>346.79999999999995</v>
      </c>
      <c r="DS326" s="10">
        <v>0</v>
      </c>
      <c r="DT326" s="11">
        <f t="shared" si="44"/>
        <v>0</v>
      </c>
      <c r="DU326" s="10"/>
      <c r="DV326" s="11">
        <f t="shared" si="45"/>
        <v>0</v>
      </c>
      <c r="DW326" s="10">
        <v>0</v>
      </c>
      <c r="DX326" s="11">
        <f t="shared" si="46"/>
        <v>0</v>
      </c>
      <c r="DY326" s="10"/>
      <c r="DZ326" s="10"/>
      <c r="EA326" s="11">
        <f t="shared" si="47"/>
        <v>0</v>
      </c>
      <c r="EB326" s="10"/>
      <c r="EC326" s="11">
        <f t="shared" si="48"/>
        <v>0</v>
      </c>
      <c r="ED326" s="10"/>
      <c r="EE326" s="10"/>
    </row>
    <row r="327" spans="2:135" ht="16.5">
      <c r="B327" s="47">
        <v>316</v>
      </c>
      <c r="C327" s="50" t="s">
        <v>997</v>
      </c>
      <c r="D327" s="49" t="s">
        <v>414</v>
      </c>
      <c r="E327" s="49"/>
      <c r="F327" s="49"/>
      <c r="G327" s="49"/>
      <c r="H327" s="71">
        <f t="shared" si="49"/>
        <v>13.2</v>
      </c>
      <c r="I327" s="10">
        <v>11</v>
      </c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10"/>
      <c r="BK327" s="10"/>
      <c r="BL327" s="10"/>
      <c r="BN327" s="10"/>
      <c r="BO327" s="10"/>
      <c r="BP327" s="10"/>
      <c r="BQ327" s="10"/>
      <c r="BR327" s="10"/>
      <c r="BS327" s="10"/>
      <c r="BT327" s="10"/>
      <c r="BU327" s="10"/>
      <c r="BV327" s="10"/>
      <c r="BW327" s="10"/>
      <c r="BX327" s="10"/>
      <c r="BY327" s="10"/>
      <c r="BZ327" s="10"/>
      <c r="CA327" s="10"/>
      <c r="CB327" s="10"/>
      <c r="CC327" s="10"/>
      <c r="CD327" s="10"/>
      <c r="CE327" s="10"/>
      <c r="CF327" s="10"/>
      <c r="CG327" s="10"/>
      <c r="CH327" s="10"/>
      <c r="CI327" s="10"/>
      <c r="CJ327" s="10"/>
      <c r="CK327" s="10"/>
      <c r="CL327" s="10"/>
      <c r="CM327" s="10"/>
      <c r="CN327" s="10"/>
      <c r="CO327" s="10"/>
      <c r="CP327" s="10"/>
      <c r="CQ327" s="10"/>
      <c r="CR327" s="10"/>
      <c r="CS327" s="10"/>
      <c r="CT327" s="10"/>
      <c r="CU327" s="10"/>
      <c r="CV327" s="10"/>
      <c r="CW327" s="10"/>
      <c r="CX327" s="10"/>
      <c r="CY327" s="10"/>
      <c r="CZ327" s="11">
        <f t="shared" si="40"/>
        <v>0</v>
      </c>
      <c r="DA327" s="10"/>
      <c r="DB327" s="10"/>
      <c r="DC327" s="10"/>
      <c r="DD327" s="10"/>
      <c r="DE327" s="10"/>
      <c r="DF327" s="10"/>
      <c r="DG327" s="10"/>
      <c r="DH327" s="10"/>
      <c r="DI327" s="10"/>
      <c r="DJ327" s="11">
        <f t="shared" si="41"/>
        <v>0</v>
      </c>
      <c r="DK327" s="10"/>
      <c r="DL327" s="10"/>
      <c r="DM327" s="10"/>
      <c r="DN327" s="11">
        <f t="shared" si="42"/>
        <v>0</v>
      </c>
      <c r="DO327" s="10"/>
      <c r="DP327" s="10"/>
      <c r="DQ327" s="10">
        <v>11</v>
      </c>
      <c r="DR327" s="11">
        <f t="shared" si="43"/>
        <v>145.19999999999999</v>
      </c>
      <c r="DS327" s="10">
        <v>0</v>
      </c>
      <c r="DT327" s="11">
        <f t="shared" si="44"/>
        <v>0</v>
      </c>
      <c r="DU327" s="10"/>
      <c r="DV327" s="11">
        <f t="shared" si="45"/>
        <v>0</v>
      </c>
      <c r="DW327" s="10">
        <v>0</v>
      </c>
      <c r="DX327" s="11">
        <f t="shared" si="46"/>
        <v>0</v>
      </c>
      <c r="DY327" s="10"/>
      <c r="DZ327" s="10"/>
      <c r="EA327" s="11">
        <f t="shared" si="47"/>
        <v>0</v>
      </c>
      <c r="EB327" s="10"/>
      <c r="EC327" s="11">
        <f t="shared" si="48"/>
        <v>0</v>
      </c>
      <c r="ED327" s="10"/>
      <c r="EE327" s="10"/>
    </row>
    <row r="328" spans="2:135" ht="16.5">
      <c r="B328" s="47">
        <v>317</v>
      </c>
      <c r="C328" s="50" t="s">
        <v>998</v>
      </c>
      <c r="D328" s="49" t="s">
        <v>415</v>
      </c>
      <c r="E328" s="49"/>
      <c r="F328" s="49"/>
      <c r="G328" s="49"/>
      <c r="H328" s="71">
        <f t="shared" si="49"/>
        <v>19.2</v>
      </c>
      <c r="I328" s="10">
        <v>16</v>
      </c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10"/>
      <c r="BK328" s="10"/>
      <c r="BL328" s="10"/>
      <c r="BN328" s="10"/>
      <c r="BO328" s="10"/>
      <c r="BP328" s="10"/>
      <c r="BQ328" s="10"/>
      <c r="BR328" s="10"/>
      <c r="BS328" s="10"/>
      <c r="BT328" s="10"/>
      <c r="BU328" s="10"/>
      <c r="BV328" s="10"/>
      <c r="BW328" s="10"/>
      <c r="BX328" s="10"/>
      <c r="BY328" s="10"/>
      <c r="BZ328" s="10"/>
      <c r="CA328" s="10"/>
      <c r="CB328" s="10"/>
      <c r="CC328" s="10"/>
      <c r="CD328" s="10"/>
      <c r="CE328" s="10"/>
      <c r="CF328" s="10"/>
      <c r="CG328" s="10"/>
      <c r="CH328" s="10"/>
      <c r="CI328" s="10"/>
      <c r="CJ328" s="10"/>
      <c r="CK328" s="10"/>
      <c r="CL328" s="10"/>
      <c r="CM328" s="10"/>
      <c r="CN328" s="10"/>
      <c r="CO328" s="10"/>
      <c r="CP328" s="10"/>
      <c r="CQ328" s="10"/>
      <c r="CR328" s="10"/>
      <c r="CS328" s="10"/>
      <c r="CT328" s="10"/>
      <c r="CU328" s="10"/>
      <c r="CV328" s="10"/>
      <c r="CW328" s="10"/>
      <c r="CX328" s="10"/>
      <c r="CY328" s="10">
        <v>6</v>
      </c>
      <c r="CZ328" s="11">
        <f t="shared" si="40"/>
        <v>115.19999999999999</v>
      </c>
      <c r="DA328" s="10"/>
      <c r="DB328" s="10"/>
      <c r="DC328" s="10"/>
      <c r="DD328" s="10"/>
      <c r="DE328" s="10"/>
      <c r="DF328" s="10"/>
      <c r="DG328" s="10"/>
      <c r="DH328" s="10"/>
      <c r="DI328" s="10"/>
      <c r="DJ328" s="11">
        <f t="shared" si="41"/>
        <v>0</v>
      </c>
      <c r="DK328" s="10"/>
      <c r="DL328" s="10"/>
      <c r="DM328" s="10"/>
      <c r="DN328" s="11">
        <f t="shared" si="42"/>
        <v>0</v>
      </c>
      <c r="DO328" s="10"/>
      <c r="DP328" s="10"/>
      <c r="DQ328" s="10">
        <v>10</v>
      </c>
      <c r="DR328" s="11">
        <f t="shared" si="43"/>
        <v>192</v>
      </c>
      <c r="DS328" s="10">
        <v>0</v>
      </c>
      <c r="DT328" s="11">
        <f t="shared" si="44"/>
        <v>0</v>
      </c>
      <c r="DU328" s="10"/>
      <c r="DV328" s="11">
        <f t="shared" si="45"/>
        <v>0</v>
      </c>
      <c r="DW328" s="10">
        <v>0</v>
      </c>
      <c r="DX328" s="11">
        <f t="shared" si="46"/>
        <v>0</v>
      </c>
      <c r="DY328" s="10"/>
      <c r="DZ328" s="10"/>
      <c r="EA328" s="11">
        <f t="shared" si="47"/>
        <v>0</v>
      </c>
      <c r="EB328" s="10"/>
      <c r="EC328" s="11">
        <f t="shared" si="48"/>
        <v>0</v>
      </c>
      <c r="ED328" s="10"/>
      <c r="EE328" s="10"/>
    </row>
    <row r="329" spans="2:135" ht="16.5">
      <c r="B329" s="47">
        <v>318</v>
      </c>
      <c r="C329" s="50" t="s">
        <v>999</v>
      </c>
      <c r="D329" s="49" t="s">
        <v>416</v>
      </c>
      <c r="E329" s="49"/>
      <c r="F329" s="49"/>
      <c r="G329" s="49"/>
      <c r="H329" s="71">
        <f t="shared" si="49"/>
        <v>4.8</v>
      </c>
      <c r="I329" s="10">
        <v>4</v>
      </c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10"/>
      <c r="BK329" s="10"/>
      <c r="BL329" s="10"/>
      <c r="BN329" s="10"/>
      <c r="BO329" s="10"/>
      <c r="BP329" s="10"/>
      <c r="BQ329" s="10"/>
      <c r="BR329" s="10"/>
      <c r="BS329" s="10"/>
      <c r="BT329" s="10"/>
      <c r="BU329" s="10"/>
      <c r="BV329" s="10"/>
      <c r="BW329" s="10"/>
      <c r="BX329" s="10"/>
      <c r="BY329" s="10"/>
      <c r="BZ329" s="10"/>
      <c r="CA329" s="10"/>
      <c r="CB329" s="10"/>
      <c r="CC329" s="10"/>
      <c r="CD329" s="10"/>
      <c r="CE329" s="10"/>
      <c r="CF329" s="10"/>
      <c r="CG329" s="10"/>
      <c r="CH329" s="10"/>
      <c r="CI329" s="10"/>
      <c r="CJ329" s="10"/>
      <c r="CK329" s="10"/>
      <c r="CL329" s="10"/>
      <c r="CM329" s="10"/>
      <c r="CN329" s="10"/>
      <c r="CO329" s="10"/>
      <c r="CP329" s="10"/>
      <c r="CQ329" s="10"/>
      <c r="CR329" s="10"/>
      <c r="CS329" s="10"/>
      <c r="CT329" s="10"/>
      <c r="CU329" s="10"/>
      <c r="CV329" s="10"/>
      <c r="CW329" s="10"/>
      <c r="CX329" s="10"/>
      <c r="CY329" s="10"/>
      <c r="CZ329" s="11">
        <f t="shared" si="40"/>
        <v>0</v>
      </c>
      <c r="DA329" s="10"/>
      <c r="DB329" s="10"/>
      <c r="DC329" s="10"/>
      <c r="DD329" s="10"/>
      <c r="DE329" s="10"/>
      <c r="DF329" s="10"/>
      <c r="DG329" s="10"/>
      <c r="DH329" s="10"/>
      <c r="DI329" s="10"/>
      <c r="DJ329" s="11">
        <f t="shared" si="41"/>
        <v>0</v>
      </c>
      <c r="DK329" s="10"/>
      <c r="DL329" s="10"/>
      <c r="DM329" s="10"/>
      <c r="DN329" s="11">
        <f t="shared" si="42"/>
        <v>0</v>
      </c>
      <c r="DO329" s="10"/>
      <c r="DP329" s="10"/>
      <c r="DQ329" s="10">
        <v>0</v>
      </c>
      <c r="DR329" s="11">
        <f t="shared" si="43"/>
        <v>0</v>
      </c>
      <c r="DS329" s="10">
        <v>4</v>
      </c>
      <c r="DT329" s="11">
        <f t="shared" si="44"/>
        <v>19.2</v>
      </c>
      <c r="DU329" s="10"/>
      <c r="DV329" s="11">
        <f t="shared" si="45"/>
        <v>0</v>
      </c>
      <c r="DW329" s="10">
        <v>0</v>
      </c>
      <c r="DX329" s="11">
        <f t="shared" si="46"/>
        <v>0</v>
      </c>
      <c r="DY329" s="10"/>
      <c r="DZ329" s="10"/>
      <c r="EA329" s="11">
        <f t="shared" si="47"/>
        <v>0</v>
      </c>
      <c r="EB329" s="10"/>
      <c r="EC329" s="11">
        <f t="shared" si="48"/>
        <v>0</v>
      </c>
      <c r="ED329" s="10"/>
      <c r="EE329" s="10"/>
    </row>
    <row r="330" spans="2:135" ht="16.5">
      <c r="B330" s="47">
        <v>319</v>
      </c>
      <c r="C330" s="50" t="s">
        <v>1000</v>
      </c>
      <c r="D330" s="49" t="s">
        <v>417</v>
      </c>
      <c r="E330" s="49"/>
      <c r="F330" s="49"/>
      <c r="G330" s="49"/>
      <c r="H330" s="71">
        <f t="shared" si="49"/>
        <v>8.4</v>
      </c>
      <c r="I330" s="10">
        <v>7</v>
      </c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10"/>
      <c r="BK330" s="10"/>
      <c r="BL330" s="10"/>
      <c r="BN330" s="10"/>
      <c r="BO330" s="10"/>
      <c r="BP330" s="10"/>
      <c r="BQ330" s="10"/>
      <c r="BR330" s="10"/>
      <c r="BS330" s="10"/>
      <c r="BT330" s="10"/>
      <c r="BU330" s="10"/>
      <c r="BV330" s="10"/>
      <c r="BW330" s="10"/>
      <c r="BX330" s="10"/>
      <c r="BY330" s="10"/>
      <c r="BZ330" s="10"/>
      <c r="CA330" s="10"/>
      <c r="CB330" s="10"/>
      <c r="CC330" s="10"/>
      <c r="CD330" s="10"/>
      <c r="CE330" s="10"/>
      <c r="CF330" s="10"/>
      <c r="CG330" s="10"/>
      <c r="CH330" s="10"/>
      <c r="CI330" s="10"/>
      <c r="CJ330" s="10"/>
      <c r="CK330" s="10"/>
      <c r="CL330" s="10"/>
      <c r="CM330" s="10"/>
      <c r="CN330" s="10"/>
      <c r="CO330" s="10"/>
      <c r="CP330" s="10"/>
      <c r="CQ330" s="10"/>
      <c r="CR330" s="10"/>
      <c r="CS330" s="10"/>
      <c r="CT330" s="10"/>
      <c r="CU330" s="10"/>
      <c r="CV330" s="10"/>
      <c r="CW330" s="10"/>
      <c r="CX330" s="10"/>
      <c r="CY330" s="10"/>
      <c r="CZ330" s="11">
        <f t="shared" si="40"/>
        <v>0</v>
      </c>
      <c r="DA330" s="10"/>
      <c r="DB330" s="10"/>
      <c r="DC330" s="10"/>
      <c r="DD330" s="10"/>
      <c r="DE330" s="10"/>
      <c r="DF330" s="10"/>
      <c r="DG330" s="10"/>
      <c r="DH330" s="10"/>
      <c r="DI330" s="10">
        <v>1</v>
      </c>
      <c r="DJ330" s="11">
        <f t="shared" si="41"/>
        <v>8.4</v>
      </c>
      <c r="DK330" s="10"/>
      <c r="DL330" s="10"/>
      <c r="DM330" s="10"/>
      <c r="DN330" s="11">
        <f t="shared" si="42"/>
        <v>0</v>
      </c>
      <c r="DO330" s="10"/>
      <c r="DP330" s="10"/>
      <c r="DQ330" s="10">
        <v>1</v>
      </c>
      <c r="DR330" s="11">
        <f t="shared" si="43"/>
        <v>8.4</v>
      </c>
      <c r="DS330" s="10">
        <v>0</v>
      </c>
      <c r="DT330" s="11">
        <f t="shared" si="44"/>
        <v>0</v>
      </c>
      <c r="DU330" s="10">
        <v>5</v>
      </c>
      <c r="DV330" s="11">
        <f t="shared" si="45"/>
        <v>42</v>
      </c>
      <c r="DW330" s="10">
        <v>0</v>
      </c>
      <c r="DX330" s="11">
        <f t="shared" si="46"/>
        <v>0</v>
      </c>
      <c r="DY330" s="10"/>
      <c r="DZ330" s="10"/>
      <c r="EA330" s="11">
        <f t="shared" si="47"/>
        <v>0</v>
      </c>
      <c r="EB330" s="10"/>
      <c r="EC330" s="11">
        <f t="shared" si="48"/>
        <v>0</v>
      </c>
      <c r="ED330" s="10"/>
      <c r="EE330" s="10"/>
    </row>
    <row r="331" spans="2:135" ht="16.5">
      <c r="B331" s="47">
        <v>320</v>
      </c>
      <c r="C331" s="50" t="s">
        <v>1001</v>
      </c>
      <c r="D331" s="49" t="s">
        <v>418</v>
      </c>
      <c r="E331" s="49"/>
      <c r="F331" s="49"/>
      <c r="G331" s="49"/>
      <c r="H331" s="71">
        <f t="shared" si="49"/>
        <v>13.2</v>
      </c>
      <c r="I331" s="10">
        <v>11</v>
      </c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10"/>
      <c r="BK331" s="10"/>
      <c r="BL331" s="10"/>
      <c r="BN331" s="10"/>
      <c r="BO331" s="10"/>
      <c r="BP331" s="10"/>
      <c r="BQ331" s="10"/>
      <c r="BR331" s="10"/>
      <c r="BS331" s="10"/>
      <c r="BT331" s="10"/>
      <c r="BU331" s="10"/>
      <c r="BV331" s="10"/>
      <c r="BW331" s="10"/>
      <c r="BX331" s="10"/>
      <c r="BY331" s="10"/>
      <c r="BZ331" s="10"/>
      <c r="CA331" s="10"/>
      <c r="CB331" s="10"/>
      <c r="CC331" s="10"/>
      <c r="CD331" s="10"/>
      <c r="CE331" s="10"/>
      <c r="CF331" s="10"/>
      <c r="CG331" s="10"/>
      <c r="CH331" s="10"/>
      <c r="CI331" s="10"/>
      <c r="CJ331" s="10"/>
      <c r="CK331" s="10"/>
      <c r="CL331" s="10"/>
      <c r="CM331" s="10"/>
      <c r="CN331" s="10"/>
      <c r="CO331" s="10"/>
      <c r="CP331" s="10"/>
      <c r="CQ331" s="10"/>
      <c r="CR331" s="10"/>
      <c r="CS331" s="10"/>
      <c r="CT331" s="10"/>
      <c r="CU331" s="10"/>
      <c r="CV331" s="10"/>
      <c r="CW331" s="10"/>
      <c r="CX331" s="10"/>
      <c r="CY331" s="10"/>
      <c r="CZ331" s="11">
        <f t="shared" si="40"/>
        <v>0</v>
      </c>
      <c r="DA331" s="10"/>
      <c r="DB331" s="10"/>
      <c r="DC331" s="10"/>
      <c r="DD331" s="10"/>
      <c r="DE331" s="10"/>
      <c r="DF331" s="10"/>
      <c r="DG331" s="10"/>
      <c r="DH331" s="10"/>
      <c r="DI331" s="10"/>
      <c r="DJ331" s="11">
        <f t="shared" si="41"/>
        <v>0</v>
      </c>
      <c r="DK331" s="10"/>
      <c r="DL331" s="10"/>
      <c r="DM331" s="10"/>
      <c r="DN331" s="11">
        <f t="shared" si="42"/>
        <v>0</v>
      </c>
      <c r="DO331" s="10"/>
      <c r="DP331" s="10"/>
      <c r="DQ331" s="10">
        <v>0</v>
      </c>
      <c r="DR331" s="11">
        <f t="shared" si="43"/>
        <v>0</v>
      </c>
      <c r="DS331" s="10">
        <v>11</v>
      </c>
      <c r="DT331" s="11">
        <f t="shared" si="44"/>
        <v>145.19999999999999</v>
      </c>
      <c r="DU331" s="10"/>
      <c r="DV331" s="11">
        <f t="shared" si="45"/>
        <v>0</v>
      </c>
      <c r="DW331" s="10">
        <v>0</v>
      </c>
      <c r="DX331" s="11">
        <f t="shared" si="46"/>
        <v>0</v>
      </c>
      <c r="DY331" s="10"/>
      <c r="DZ331" s="10"/>
      <c r="EA331" s="11">
        <f t="shared" si="47"/>
        <v>0</v>
      </c>
      <c r="EB331" s="10"/>
      <c r="EC331" s="11">
        <f t="shared" si="48"/>
        <v>0</v>
      </c>
      <c r="ED331" s="10"/>
      <c r="EE331" s="10"/>
    </row>
    <row r="332" spans="2:135" ht="16.5">
      <c r="B332" s="47">
        <v>321</v>
      </c>
      <c r="C332" s="50" t="s">
        <v>1002</v>
      </c>
      <c r="D332" s="49" t="s">
        <v>419</v>
      </c>
      <c r="E332" s="49"/>
      <c r="F332" s="49"/>
      <c r="G332" s="49"/>
      <c r="H332" s="71">
        <f t="shared" si="49"/>
        <v>7.1999999999999993</v>
      </c>
      <c r="I332" s="10">
        <v>6</v>
      </c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10"/>
      <c r="BK332" s="10"/>
      <c r="BL332" s="10"/>
      <c r="BN332" s="10"/>
      <c r="BO332" s="10"/>
      <c r="BP332" s="10"/>
      <c r="BQ332" s="10"/>
      <c r="BR332" s="10"/>
      <c r="BS332" s="10"/>
      <c r="BT332" s="10"/>
      <c r="BU332" s="10"/>
      <c r="BV332" s="10"/>
      <c r="BW332" s="10"/>
      <c r="BX332" s="10"/>
      <c r="BY332" s="10"/>
      <c r="BZ332" s="10"/>
      <c r="CA332" s="10"/>
      <c r="CB332" s="10"/>
      <c r="CC332" s="10"/>
      <c r="CD332" s="10"/>
      <c r="CE332" s="10"/>
      <c r="CF332" s="10"/>
      <c r="CG332" s="10"/>
      <c r="CH332" s="10"/>
      <c r="CI332" s="10"/>
      <c r="CJ332" s="10"/>
      <c r="CK332" s="10"/>
      <c r="CL332" s="10"/>
      <c r="CM332" s="10"/>
      <c r="CN332" s="10"/>
      <c r="CO332" s="10"/>
      <c r="CP332" s="10"/>
      <c r="CQ332" s="10"/>
      <c r="CR332" s="10"/>
      <c r="CS332" s="10"/>
      <c r="CT332" s="10"/>
      <c r="CU332" s="10"/>
      <c r="CV332" s="10"/>
      <c r="CW332" s="10"/>
      <c r="CX332" s="10"/>
      <c r="CY332" s="10"/>
      <c r="CZ332" s="11">
        <f t="shared" si="40"/>
        <v>0</v>
      </c>
      <c r="DA332" s="10"/>
      <c r="DB332" s="10"/>
      <c r="DC332" s="10"/>
      <c r="DD332" s="10"/>
      <c r="DE332" s="10"/>
      <c r="DF332" s="10"/>
      <c r="DG332" s="10"/>
      <c r="DH332" s="10"/>
      <c r="DI332" s="10"/>
      <c r="DJ332" s="11">
        <f t="shared" si="41"/>
        <v>0</v>
      </c>
      <c r="DK332" s="10"/>
      <c r="DL332" s="10"/>
      <c r="DM332" s="10"/>
      <c r="DN332" s="11">
        <f t="shared" si="42"/>
        <v>0</v>
      </c>
      <c r="DO332" s="10"/>
      <c r="DP332" s="10"/>
      <c r="DQ332" s="10">
        <v>6</v>
      </c>
      <c r="DR332" s="11">
        <f t="shared" si="43"/>
        <v>43.199999999999996</v>
      </c>
      <c r="DS332" s="10">
        <v>0</v>
      </c>
      <c r="DT332" s="11">
        <f t="shared" si="44"/>
        <v>0</v>
      </c>
      <c r="DU332" s="10"/>
      <c r="DV332" s="11">
        <f t="shared" si="45"/>
        <v>0</v>
      </c>
      <c r="DW332" s="10">
        <v>0</v>
      </c>
      <c r="DX332" s="11">
        <f t="shared" si="46"/>
        <v>0</v>
      </c>
      <c r="DY332" s="10"/>
      <c r="DZ332" s="10"/>
      <c r="EA332" s="11">
        <f t="shared" si="47"/>
        <v>0</v>
      </c>
      <c r="EB332" s="10"/>
      <c r="EC332" s="11">
        <f t="shared" si="48"/>
        <v>0</v>
      </c>
      <c r="ED332" s="10"/>
      <c r="EE332" s="10"/>
    </row>
    <row r="333" spans="2:135" ht="16.5">
      <c r="B333" s="47">
        <v>322</v>
      </c>
      <c r="C333" s="50" t="s">
        <v>1003</v>
      </c>
      <c r="D333" s="49" t="s">
        <v>420</v>
      </c>
      <c r="E333" s="49"/>
      <c r="F333" s="49"/>
      <c r="G333" s="49"/>
      <c r="H333" s="71">
        <f t="shared" si="49"/>
        <v>18</v>
      </c>
      <c r="I333" s="10">
        <v>15</v>
      </c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10"/>
      <c r="BK333" s="10"/>
      <c r="BL333" s="10"/>
      <c r="BN333" s="10"/>
      <c r="BO333" s="10"/>
      <c r="BP333" s="10"/>
      <c r="BQ333" s="10"/>
      <c r="BR333" s="10"/>
      <c r="BS333" s="10"/>
      <c r="BT333" s="10"/>
      <c r="BU333" s="10"/>
      <c r="BV333" s="10"/>
      <c r="BW333" s="10"/>
      <c r="BX333" s="10"/>
      <c r="BY333" s="10"/>
      <c r="BZ333" s="10"/>
      <c r="CA333" s="10"/>
      <c r="CB333" s="10"/>
      <c r="CC333" s="10"/>
      <c r="CD333" s="10"/>
      <c r="CE333" s="10"/>
      <c r="CF333" s="10"/>
      <c r="CG333" s="10"/>
      <c r="CH333" s="10"/>
      <c r="CI333" s="10"/>
      <c r="CJ333" s="10"/>
      <c r="CK333" s="10"/>
      <c r="CL333" s="10"/>
      <c r="CM333" s="10"/>
      <c r="CN333" s="10"/>
      <c r="CO333" s="10"/>
      <c r="CP333" s="10"/>
      <c r="CQ333" s="10"/>
      <c r="CR333" s="10"/>
      <c r="CS333" s="10"/>
      <c r="CT333" s="10"/>
      <c r="CU333" s="10"/>
      <c r="CV333" s="10"/>
      <c r="CW333" s="10"/>
      <c r="CX333" s="10"/>
      <c r="CY333" s="10"/>
      <c r="CZ333" s="11">
        <f t="shared" ref="CZ333:CZ366" si="50">H333*CY333</f>
        <v>0</v>
      </c>
      <c r="DA333" s="10"/>
      <c r="DB333" s="10"/>
      <c r="DC333" s="10"/>
      <c r="DD333" s="10"/>
      <c r="DE333" s="10"/>
      <c r="DF333" s="10"/>
      <c r="DG333" s="10"/>
      <c r="DH333" s="10"/>
      <c r="DI333" s="10"/>
      <c r="DJ333" s="11">
        <f t="shared" ref="DJ333:DJ366" si="51">DI333*H333</f>
        <v>0</v>
      </c>
      <c r="DK333" s="10"/>
      <c r="DL333" s="10"/>
      <c r="DM333" s="10"/>
      <c r="DN333" s="11">
        <f t="shared" ref="DN333:DN366" si="52">DM333*H333</f>
        <v>0</v>
      </c>
      <c r="DO333" s="10"/>
      <c r="DP333" s="10"/>
      <c r="DQ333" s="10">
        <v>4</v>
      </c>
      <c r="DR333" s="11">
        <f t="shared" ref="DR333:DR366" si="53">H333*DQ333</f>
        <v>72</v>
      </c>
      <c r="DS333" s="10">
        <v>8</v>
      </c>
      <c r="DT333" s="11">
        <f t="shared" ref="DT333:DT366" si="54">DS333*H333</f>
        <v>144</v>
      </c>
      <c r="DU333" s="10"/>
      <c r="DV333" s="11">
        <f t="shared" ref="DV333:DV366" si="55">DU333*H333</f>
        <v>0</v>
      </c>
      <c r="DW333" s="10">
        <v>3</v>
      </c>
      <c r="DX333" s="11">
        <f t="shared" ref="DX333:DX366" si="56">H333*DW333</f>
        <v>54</v>
      </c>
      <c r="DY333" s="10"/>
      <c r="DZ333" s="10"/>
      <c r="EA333" s="11">
        <f t="shared" ref="EA333:EA366" si="57">H333*DZ333</f>
        <v>0</v>
      </c>
      <c r="EB333" s="10"/>
      <c r="EC333" s="11">
        <f t="shared" ref="EC333:EC366" si="58">EB333*H333</f>
        <v>0</v>
      </c>
      <c r="ED333" s="10"/>
      <c r="EE333" s="10"/>
    </row>
    <row r="334" spans="2:135" ht="16.5">
      <c r="B334" s="47">
        <v>323</v>
      </c>
      <c r="C334" s="50" t="s">
        <v>1004</v>
      </c>
      <c r="D334" s="49" t="s">
        <v>421</v>
      </c>
      <c r="E334" s="49"/>
      <c r="F334" s="49"/>
      <c r="G334" s="49"/>
      <c r="H334" s="71">
        <f t="shared" ref="H334:H366" si="59">I334*1.2</f>
        <v>1.2</v>
      </c>
      <c r="I334" s="10">
        <v>1</v>
      </c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10"/>
      <c r="BK334" s="10"/>
      <c r="BL334" s="10"/>
      <c r="BN334" s="10"/>
      <c r="BO334" s="10"/>
      <c r="BP334" s="10"/>
      <c r="BQ334" s="10"/>
      <c r="BR334" s="10"/>
      <c r="BS334" s="10"/>
      <c r="BT334" s="10"/>
      <c r="BU334" s="10"/>
      <c r="BV334" s="10"/>
      <c r="BW334" s="10"/>
      <c r="BX334" s="10"/>
      <c r="BY334" s="10"/>
      <c r="BZ334" s="10"/>
      <c r="CA334" s="10"/>
      <c r="CB334" s="10"/>
      <c r="CC334" s="10"/>
      <c r="CD334" s="10"/>
      <c r="CE334" s="10"/>
      <c r="CF334" s="10"/>
      <c r="CG334" s="10"/>
      <c r="CH334" s="10"/>
      <c r="CI334" s="10"/>
      <c r="CJ334" s="10"/>
      <c r="CK334" s="10"/>
      <c r="CL334" s="10"/>
      <c r="CM334" s="10"/>
      <c r="CN334" s="10"/>
      <c r="CO334" s="10"/>
      <c r="CP334" s="10"/>
      <c r="CQ334" s="10"/>
      <c r="CR334" s="10"/>
      <c r="CS334" s="10"/>
      <c r="CT334" s="10"/>
      <c r="CU334" s="10"/>
      <c r="CV334" s="10"/>
      <c r="CW334" s="10"/>
      <c r="CX334" s="10"/>
      <c r="CY334" s="10"/>
      <c r="CZ334" s="11">
        <f t="shared" si="50"/>
        <v>0</v>
      </c>
      <c r="DA334" s="10"/>
      <c r="DB334" s="10"/>
      <c r="DC334" s="10"/>
      <c r="DD334" s="10"/>
      <c r="DE334" s="10"/>
      <c r="DF334" s="10"/>
      <c r="DG334" s="10"/>
      <c r="DH334" s="10"/>
      <c r="DI334" s="10"/>
      <c r="DJ334" s="11">
        <f t="shared" si="51"/>
        <v>0</v>
      </c>
      <c r="DK334" s="10"/>
      <c r="DL334" s="10"/>
      <c r="DM334" s="10"/>
      <c r="DN334" s="11">
        <f t="shared" si="52"/>
        <v>0</v>
      </c>
      <c r="DO334" s="10"/>
      <c r="DP334" s="10"/>
      <c r="DQ334" s="10">
        <v>1</v>
      </c>
      <c r="DR334" s="11">
        <f t="shared" si="53"/>
        <v>1.2</v>
      </c>
      <c r="DS334" s="10">
        <v>0</v>
      </c>
      <c r="DT334" s="11">
        <f t="shared" si="54"/>
        <v>0</v>
      </c>
      <c r="DU334" s="10"/>
      <c r="DV334" s="11">
        <f t="shared" si="55"/>
        <v>0</v>
      </c>
      <c r="DW334" s="10">
        <v>0</v>
      </c>
      <c r="DX334" s="11">
        <f t="shared" si="56"/>
        <v>0</v>
      </c>
      <c r="DY334" s="10"/>
      <c r="DZ334" s="10"/>
      <c r="EA334" s="11">
        <f t="shared" si="57"/>
        <v>0</v>
      </c>
      <c r="EB334" s="10"/>
      <c r="EC334" s="11">
        <f t="shared" si="58"/>
        <v>0</v>
      </c>
      <c r="ED334" s="10"/>
      <c r="EE334" s="10"/>
    </row>
    <row r="335" spans="2:135" ht="16.5">
      <c r="B335" s="47">
        <v>324</v>
      </c>
      <c r="C335" s="50" t="s">
        <v>1005</v>
      </c>
      <c r="D335" s="49" t="s">
        <v>422</v>
      </c>
      <c r="E335" s="49"/>
      <c r="F335" s="49"/>
      <c r="G335" s="49"/>
      <c r="H335" s="71">
        <f t="shared" si="59"/>
        <v>3.5999999999999996</v>
      </c>
      <c r="I335" s="10">
        <v>3</v>
      </c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10"/>
      <c r="BK335" s="10"/>
      <c r="BL335" s="10"/>
      <c r="BN335" s="10"/>
      <c r="BO335" s="10"/>
      <c r="BP335" s="10"/>
      <c r="BQ335" s="10"/>
      <c r="BR335" s="10"/>
      <c r="BS335" s="10"/>
      <c r="BT335" s="10"/>
      <c r="BU335" s="10"/>
      <c r="BV335" s="10"/>
      <c r="BW335" s="10"/>
      <c r="BX335" s="10"/>
      <c r="BY335" s="10"/>
      <c r="BZ335" s="10"/>
      <c r="CA335" s="10"/>
      <c r="CB335" s="10"/>
      <c r="CC335" s="10"/>
      <c r="CD335" s="10"/>
      <c r="CE335" s="10"/>
      <c r="CF335" s="10"/>
      <c r="CG335" s="10"/>
      <c r="CH335" s="10"/>
      <c r="CI335" s="10"/>
      <c r="CJ335" s="10"/>
      <c r="CK335" s="10"/>
      <c r="CL335" s="10"/>
      <c r="CM335" s="10"/>
      <c r="CN335" s="10"/>
      <c r="CO335" s="10"/>
      <c r="CP335" s="10"/>
      <c r="CQ335" s="10"/>
      <c r="CR335" s="10"/>
      <c r="CS335" s="10"/>
      <c r="CT335" s="10"/>
      <c r="CU335" s="10"/>
      <c r="CV335" s="10"/>
      <c r="CW335" s="10"/>
      <c r="CX335" s="10"/>
      <c r="CY335" s="10">
        <v>1</v>
      </c>
      <c r="CZ335" s="11">
        <f t="shared" si="50"/>
        <v>3.5999999999999996</v>
      </c>
      <c r="DA335" s="10"/>
      <c r="DB335" s="10"/>
      <c r="DC335" s="10"/>
      <c r="DD335" s="10"/>
      <c r="DE335" s="10"/>
      <c r="DF335" s="10"/>
      <c r="DG335" s="10"/>
      <c r="DH335" s="10"/>
      <c r="DI335" s="10"/>
      <c r="DJ335" s="11">
        <f t="shared" si="51"/>
        <v>0</v>
      </c>
      <c r="DK335" s="10"/>
      <c r="DL335" s="10"/>
      <c r="DM335" s="10"/>
      <c r="DN335" s="11">
        <f t="shared" si="52"/>
        <v>0</v>
      </c>
      <c r="DO335" s="10"/>
      <c r="DP335" s="10"/>
      <c r="DQ335" s="10">
        <v>2</v>
      </c>
      <c r="DR335" s="11">
        <f t="shared" si="53"/>
        <v>7.1999999999999993</v>
      </c>
      <c r="DS335" s="10">
        <v>0</v>
      </c>
      <c r="DT335" s="11">
        <f t="shared" si="54"/>
        <v>0</v>
      </c>
      <c r="DU335" s="10"/>
      <c r="DV335" s="11">
        <f t="shared" si="55"/>
        <v>0</v>
      </c>
      <c r="DW335" s="10">
        <v>0</v>
      </c>
      <c r="DX335" s="11">
        <f t="shared" si="56"/>
        <v>0</v>
      </c>
      <c r="DY335" s="10"/>
      <c r="DZ335" s="10"/>
      <c r="EA335" s="11">
        <f t="shared" si="57"/>
        <v>0</v>
      </c>
      <c r="EB335" s="10"/>
      <c r="EC335" s="11">
        <f t="shared" si="58"/>
        <v>0</v>
      </c>
      <c r="ED335" s="10"/>
      <c r="EE335" s="10"/>
    </row>
    <row r="336" spans="2:135" ht="16.5">
      <c r="B336" s="47">
        <v>325</v>
      </c>
      <c r="C336" s="50" t="s">
        <v>1006</v>
      </c>
      <c r="D336" s="49" t="s">
        <v>423</v>
      </c>
      <c r="E336" s="49"/>
      <c r="F336" s="49"/>
      <c r="G336" s="49"/>
      <c r="H336" s="71">
        <f t="shared" si="59"/>
        <v>8.4</v>
      </c>
      <c r="I336" s="10">
        <v>7</v>
      </c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10"/>
      <c r="BK336" s="10"/>
      <c r="BL336" s="10"/>
      <c r="BN336" s="10"/>
      <c r="BO336" s="10"/>
      <c r="BP336" s="10"/>
      <c r="BQ336" s="10"/>
      <c r="BR336" s="10"/>
      <c r="BS336" s="10"/>
      <c r="BT336" s="10"/>
      <c r="BU336" s="10"/>
      <c r="BV336" s="10"/>
      <c r="BW336" s="10"/>
      <c r="BX336" s="10"/>
      <c r="BY336" s="10"/>
      <c r="BZ336" s="10"/>
      <c r="CA336" s="10"/>
      <c r="CB336" s="10"/>
      <c r="CC336" s="10"/>
      <c r="CD336" s="10"/>
      <c r="CE336" s="10"/>
      <c r="CF336" s="10"/>
      <c r="CG336" s="10"/>
      <c r="CH336" s="10"/>
      <c r="CI336" s="10"/>
      <c r="CJ336" s="10"/>
      <c r="CK336" s="10"/>
      <c r="CL336" s="10"/>
      <c r="CM336" s="10"/>
      <c r="CN336" s="10"/>
      <c r="CO336" s="10"/>
      <c r="CP336" s="10"/>
      <c r="CQ336" s="10"/>
      <c r="CR336" s="10"/>
      <c r="CS336" s="10"/>
      <c r="CT336" s="10"/>
      <c r="CU336" s="10"/>
      <c r="CV336" s="10"/>
      <c r="CW336" s="10"/>
      <c r="CX336" s="10"/>
      <c r="CY336" s="10"/>
      <c r="CZ336" s="11">
        <f t="shared" si="50"/>
        <v>0</v>
      </c>
      <c r="DA336" s="10"/>
      <c r="DB336" s="10"/>
      <c r="DC336" s="10"/>
      <c r="DD336" s="10"/>
      <c r="DE336" s="10"/>
      <c r="DF336" s="10"/>
      <c r="DG336" s="10"/>
      <c r="DH336" s="10"/>
      <c r="DI336" s="10"/>
      <c r="DJ336" s="11">
        <f t="shared" si="51"/>
        <v>0</v>
      </c>
      <c r="DK336" s="10"/>
      <c r="DL336" s="10"/>
      <c r="DM336" s="10"/>
      <c r="DN336" s="11">
        <f t="shared" si="52"/>
        <v>0</v>
      </c>
      <c r="DO336" s="10"/>
      <c r="DP336" s="10"/>
      <c r="DQ336" s="10">
        <v>1</v>
      </c>
      <c r="DR336" s="11">
        <f t="shared" si="53"/>
        <v>8.4</v>
      </c>
      <c r="DS336" s="10">
        <v>0</v>
      </c>
      <c r="DT336" s="11">
        <f t="shared" si="54"/>
        <v>0</v>
      </c>
      <c r="DU336" s="10">
        <v>2</v>
      </c>
      <c r="DV336" s="11">
        <f t="shared" si="55"/>
        <v>16.8</v>
      </c>
      <c r="DW336" s="10">
        <v>4</v>
      </c>
      <c r="DX336" s="11">
        <f t="shared" si="56"/>
        <v>33.6</v>
      </c>
      <c r="DY336" s="10"/>
      <c r="DZ336" s="10"/>
      <c r="EA336" s="11">
        <f t="shared" si="57"/>
        <v>0</v>
      </c>
      <c r="EB336" s="10"/>
      <c r="EC336" s="11">
        <f t="shared" si="58"/>
        <v>0</v>
      </c>
      <c r="ED336" s="10"/>
      <c r="EE336" s="10"/>
    </row>
    <row r="337" spans="2:135" ht="16.5">
      <c r="B337" s="47">
        <v>326</v>
      </c>
      <c r="C337" s="50" t="s">
        <v>1007</v>
      </c>
      <c r="D337" s="49" t="s">
        <v>424</v>
      </c>
      <c r="E337" s="49"/>
      <c r="F337" s="49"/>
      <c r="G337" s="49"/>
      <c r="H337" s="71">
        <f t="shared" si="59"/>
        <v>13.2</v>
      </c>
      <c r="I337" s="10">
        <v>11</v>
      </c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10"/>
      <c r="BK337" s="10"/>
      <c r="BL337" s="10"/>
      <c r="BN337" s="10"/>
      <c r="BO337" s="10"/>
      <c r="BP337" s="10"/>
      <c r="BQ337" s="10"/>
      <c r="BR337" s="10"/>
      <c r="BS337" s="10"/>
      <c r="BT337" s="10"/>
      <c r="BU337" s="10"/>
      <c r="BV337" s="10"/>
      <c r="BW337" s="10"/>
      <c r="BX337" s="10"/>
      <c r="BY337" s="10"/>
      <c r="BZ337" s="10"/>
      <c r="CA337" s="10"/>
      <c r="CB337" s="10"/>
      <c r="CC337" s="10"/>
      <c r="CD337" s="10"/>
      <c r="CE337" s="10"/>
      <c r="CF337" s="10"/>
      <c r="CG337" s="10"/>
      <c r="CH337" s="10"/>
      <c r="CI337" s="10"/>
      <c r="CJ337" s="10"/>
      <c r="CK337" s="10"/>
      <c r="CL337" s="10"/>
      <c r="CM337" s="10"/>
      <c r="CN337" s="10"/>
      <c r="CO337" s="10"/>
      <c r="CP337" s="10"/>
      <c r="CQ337" s="10"/>
      <c r="CR337" s="10"/>
      <c r="CS337" s="10"/>
      <c r="CT337" s="10"/>
      <c r="CU337" s="10"/>
      <c r="CV337" s="10"/>
      <c r="CW337" s="10"/>
      <c r="CX337" s="10"/>
      <c r="CY337" s="10">
        <v>1</v>
      </c>
      <c r="CZ337" s="11">
        <f t="shared" si="50"/>
        <v>13.2</v>
      </c>
      <c r="DA337" s="10"/>
      <c r="DB337" s="10"/>
      <c r="DC337" s="10"/>
      <c r="DD337" s="10"/>
      <c r="DE337" s="10"/>
      <c r="DF337" s="10"/>
      <c r="DG337" s="10"/>
      <c r="DH337" s="10"/>
      <c r="DI337" s="10"/>
      <c r="DJ337" s="11">
        <f t="shared" si="51"/>
        <v>0</v>
      </c>
      <c r="DK337" s="10"/>
      <c r="DL337" s="10"/>
      <c r="DM337" s="10"/>
      <c r="DN337" s="11">
        <f t="shared" si="52"/>
        <v>0</v>
      </c>
      <c r="DO337" s="10"/>
      <c r="DP337" s="10"/>
      <c r="DQ337" s="10">
        <v>8</v>
      </c>
      <c r="DR337" s="11">
        <f t="shared" si="53"/>
        <v>105.6</v>
      </c>
      <c r="DS337" s="10">
        <v>0</v>
      </c>
      <c r="DT337" s="11">
        <f t="shared" si="54"/>
        <v>0</v>
      </c>
      <c r="DU337" s="10"/>
      <c r="DV337" s="11">
        <f t="shared" si="55"/>
        <v>0</v>
      </c>
      <c r="DW337" s="10">
        <v>2</v>
      </c>
      <c r="DX337" s="11">
        <f t="shared" si="56"/>
        <v>26.4</v>
      </c>
      <c r="DY337" s="10"/>
      <c r="DZ337" s="10"/>
      <c r="EA337" s="11">
        <f t="shared" si="57"/>
        <v>0</v>
      </c>
      <c r="EB337" s="10"/>
      <c r="EC337" s="11">
        <f t="shared" si="58"/>
        <v>0</v>
      </c>
      <c r="ED337" s="10"/>
      <c r="EE337" s="10"/>
    </row>
    <row r="338" spans="2:135" ht="16.5">
      <c r="B338" s="47">
        <v>327</v>
      </c>
      <c r="C338" s="50" t="s">
        <v>1008</v>
      </c>
      <c r="D338" s="49" t="s">
        <v>425</v>
      </c>
      <c r="E338" s="49"/>
      <c r="F338" s="49"/>
      <c r="G338" s="49"/>
      <c r="H338" s="71">
        <f t="shared" si="59"/>
        <v>73.2</v>
      </c>
      <c r="I338" s="10">
        <v>61</v>
      </c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10"/>
      <c r="BK338" s="10"/>
      <c r="BL338" s="10"/>
      <c r="BN338" s="10"/>
      <c r="BO338" s="10"/>
      <c r="BP338" s="10"/>
      <c r="BQ338" s="10"/>
      <c r="BR338" s="10"/>
      <c r="BS338" s="10"/>
      <c r="BT338" s="10"/>
      <c r="BU338" s="10"/>
      <c r="BV338" s="10"/>
      <c r="BW338" s="10"/>
      <c r="BX338" s="10"/>
      <c r="BY338" s="10"/>
      <c r="BZ338" s="10"/>
      <c r="CA338" s="10"/>
      <c r="CB338" s="10"/>
      <c r="CC338" s="10"/>
      <c r="CD338" s="10"/>
      <c r="CE338" s="10"/>
      <c r="CF338" s="10"/>
      <c r="CG338" s="10"/>
      <c r="CH338" s="10"/>
      <c r="CI338" s="10"/>
      <c r="CJ338" s="10"/>
      <c r="CK338" s="10"/>
      <c r="CL338" s="10"/>
      <c r="CM338" s="10"/>
      <c r="CN338" s="10"/>
      <c r="CO338" s="10"/>
      <c r="CP338" s="10"/>
      <c r="CQ338" s="10"/>
      <c r="CR338" s="10"/>
      <c r="CS338" s="10"/>
      <c r="CT338" s="10"/>
      <c r="CU338" s="10"/>
      <c r="CV338" s="10"/>
      <c r="CW338" s="10"/>
      <c r="CX338" s="10"/>
      <c r="CY338" s="10"/>
      <c r="CZ338" s="11">
        <f t="shared" si="50"/>
        <v>0</v>
      </c>
      <c r="DA338" s="10"/>
      <c r="DB338" s="10"/>
      <c r="DC338" s="10"/>
      <c r="DD338" s="10"/>
      <c r="DE338" s="10"/>
      <c r="DF338" s="10"/>
      <c r="DG338" s="10"/>
      <c r="DH338" s="10"/>
      <c r="DI338" s="10">
        <v>3</v>
      </c>
      <c r="DJ338" s="11">
        <f t="shared" si="51"/>
        <v>219.60000000000002</v>
      </c>
      <c r="DK338" s="10"/>
      <c r="DL338" s="10"/>
      <c r="DM338" s="10"/>
      <c r="DN338" s="11">
        <f t="shared" si="52"/>
        <v>0</v>
      </c>
      <c r="DO338" s="10"/>
      <c r="DP338" s="10"/>
      <c r="DQ338" s="10">
        <v>31</v>
      </c>
      <c r="DR338" s="11">
        <f t="shared" si="53"/>
        <v>2269.2000000000003</v>
      </c>
      <c r="DS338" s="10">
        <v>8</v>
      </c>
      <c r="DT338" s="11">
        <f t="shared" si="54"/>
        <v>585.6</v>
      </c>
      <c r="DU338" s="10">
        <v>19</v>
      </c>
      <c r="DV338" s="11">
        <f t="shared" si="55"/>
        <v>1390.8</v>
      </c>
      <c r="DW338" s="10">
        <v>0</v>
      </c>
      <c r="DX338" s="11">
        <f t="shared" si="56"/>
        <v>0</v>
      </c>
      <c r="DY338" s="10"/>
      <c r="DZ338" s="10"/>
      <c r="EA338" s="11">
        <f t="shared" si="57"/>
        <v>0</v>
      </c>
      <c r="EB338" s="10"/>
      <c r="EC338" s="11">
        <f t="shared" si="58"/>
        <v>0</v>
      </c>
      <c r="ED338" s="10"/>
      <c r="EE338" s="10"/>
    </row>
    <row r="339" spans="2:135" ht="16.5">
      <c r="B339" s="47">
        <v>328</v>
      </c>
      <c r="C339" s="50" t="s">
        <v>1009</v>
      </c>
      <c r="D339" s="49" t="s">
        <v>426</v>
      </c>
      <c r="E339" s="49"/>
      <c r="F339" s="49"/>
      <c r="G339" s="49"/>
      <c r="H339" s="71">
        <f t="shared" si="59"/>
        <v>13.2</v>
      </c>
      <c r="I339" s="10">
        <v>11</v>
      </c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10"/>
      <c r="BK339" s="10"/>
      <c r="BL339" s="10"/>
      <c r="BN339" s="10"/>
      <c r="BO339" s="10"/>
      <c r="BP339" s="10"/>
      <c r="BQ339" s="10"/>
      <c r="BR339" s="10"/>
      <c r="BS339" s="10"/>
      <c r="BT339" s="10"/>
      <c r="BU339" s="10"/>
      <c r="BV339" s="10"/>
      <c r="BW339" s="10"/>
      <c r="BX339" s="10"/>
      <c r="BY339" s="10"/>
      <c r="BZ339" s="10"/>
      <c r="CA339" s="10"/>
      <c r="CB339" s="10"/>
      <c r="CC339" s="10"/>
      <c r="CD339" s="10"/>
      <c r="CE339" s="10"/>
      <c r="CF339" s="10"/>
      <c r="CG339" s="10"/>
      <c r="CH339" s="10"/>
      <c r="CI339" s="10"/>
      <c r="CJ339" s="10"/>
      <c r="CK339" s="10"/>
      <c r="CL339" s="10"/>
      <c r="CM339" s="10"/>
      <c r="CN339" s="10"/>
      <c r="CO339" s="10"/>
      <c r="CP339" s="10"/>
      <c r="CQ339" s="10"/>
      <c r="CR339" s="10"/>
      <c r="CS339" s="10"/>
      <c r="CT339" s="10"/>
      <c r="CU339" s="10"/>
      <c r="CV339" s="10"/>
      <c r="CW339" s="10"/>
      <c r="CX339" s="10"/>
      <c r="CY339" s="10"/>
      <c r="CZ339" s="11">
        <f t="shared" si="50"/>
        <v>0</v>
      </c>
      <c r="DA339" s="10"/>
      <c r="DB339" s="10"/>
      <c r="DC339" s="10"/>
      <c r="DD339" s="10"/>
      <c r="DE339" s="10"/>
      <c r="DF339" s="10"/>
      <c r="DG339" s="10"/>
      <c r="DH339" s="10"/>
      <c r="DI339" s="10"/>
      <c r="DJ339" s="11">
        <f t="shared" si="51"/>
        <v>0</v>
      </c>
      <c r="DK339" s="10"/>
      <c r="DL339" s="10"/>
      <c r="DM339" s="10"/>
      <c r="DN339" s="11">
        <f t="shared" si="52"/>
        <v>0</v>
      </c>
      <c r="DO339" s="10"/>
      <c r="DP339" s="10"/>
      <c r="DQ339" s="10">
        <v>11</v>
      </c>
      <c r="DR339" s="11">
        <f t="shared" si="53"/>
        <v>145.19999999999999</v>
      </c>
      <c r="DS339" s="10">
        <v>0</v>
      </c>
      <c r="DT339" s="11">
        <f t="shared" si="54"/>
        <v>0</v>
      </c>
      <c r="DU339" s="10"/>
      <c r="DV339" s="11">
        <f t="shared" si="55"/>
        <v>0</v>
      </c>
      <c r="DW339" s="10">
        <v>0</v>
      </c>
      <c r="DX339" s="11">
        <f t="shared" si="56"/>
        <v>0</v>
      </c>
      <c r="DY339" s="10"/>
      <c r="DZ339" s="10"/>
      <c r="EA339" s="11">
        <f t="shared" si="57"/>
        <v>0</v>
      </c>
      <c r="EB339" s="10"/>
      <c r="EC339" s="11">
        <f t="shared" si="58"/>
        <v>0</v>
      </c>
      <c r="ED339" s="10"/>
      <c r="EE339" s="10"/>
    </row>
    <row r="340" spans="2:135" ht="16.5">
      <c r="B340" s="47">
        <v>329</v>
      </c>
      <c r="C340" s="50" t="s">
        <v>1010</v>
      </c>
      <c r="D340" s="49" t="s">
        <v>427</v>
      </c>
      <c r="E340" s="49"/>
      <c r="F340" s="49"/>
      <c r="G340" s="49"/>
      <c r="H340" s="71">
        <f t="shared" si="59"/>
        <v>8.4</v>
      </c>
      <c r="I340" s="10">
        <v>7</v>
      </c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10"/>
      <c r="BK340" s="10"/>
      <c r="BL340" s="10"/>
      <c r="BN340" s="10"/>
      <c r="BO340" s="10"/>
      <c r="BP340" s="10"/>
      <c r="BQ340" s="10"/>
      <c r="BR340" s="10"/>
      <c r="BS340" s="10"/>
      <c r="BT340" s="10"/>
      <c r="BU340" s="10"/>
      <c r="BV340" s="10"/>
      <c r="BW340" s="10"/>
      <c r="BX340" s="10"/>
      <c r="BY340" s="10"/>
      <c r="BZ340" s="10"/>
      <c r="CA340" s="10"/>
      <c r="CB340" s="10"/>
      <c r="CC340" s="10"/>
      <c r="CD340" s="10"/>
      <c r="CE340" s="10"/>
      <c r="CF340" s="10"/>
      <c r="CG340" s="10"/>
      <c r="CH340" s="10"/>
      <c r="CI340" s="10"/>
      <c r="CJ340" s="10"/>
      <c r="CK340" s="10"/>
      <c r="CL340" s="10"/>
      <c r="CM340" s="10"/>
      <c r="CN340" s="10"/>
      <c r="CO340" s="10"/>
      <c r="CP340" s="10"/>
      <c r="CQ340" s="10"/>
      <c r="CR340" s="10"/>
      <c r="CS340" s="10"/>
      <c r="CT340" s="10"/>
      <c r="CU340" s="10"/>
      <c r="CV340" s="10"/>
      <c r="CW340" s="10"/>
      <c r="CX340" s="10"/>
      <c r="CY340" s="10">
        <v>1</v>
      </c>
      <c r="CZ340" s="11">
        <f t="shared" si="50"/>
        <v>8.4</v>
      </c>
      <c r="DA340" s="10"/>
      <c r="DB340" s="10"/>
      <c r="DC340" s="10"/>
      <c r="DD340" s="10"/>
      <c r="DE340" s="10"/>
      <c r="DF340" s="10"/>
      <c r="DG340" s="10"/>
      <c r="DH340" s="10"/>
      <c r="DI340" s="10"/>
      <c r="DJ340" s="11">
        <f t="shared" si="51"/>
        <v>0</v>
      </c>
      <c r="DK340" s="10"/>
      <c r="DL340" s="10"/>
      <c r="DM340" s="10"/>
      <c r="DN340" s="11">
        <f t="shared" si="52"/>
        <v>0</v>
      </c>
      <c r="DO340" s="10"/>
      <c r="DP340" s="10"/>
      <c r="DQ340" s="10">
        <v>5</v>
      </c>
      <c r="DR340" s="11">
        <f t="shared" si="53"/>
        <v>42</v>
      </c>
      <c r="DS340" s="10">
        <v>0</v>
      </c>
      <c r="DT340" s="11">
        <f t="shared" si="54"/>
        <v>0</v>
      </c>
      <c r="DU340" s="10">
        <v>1</v>
      </c>
      <c r="DV340" s="11">
        <f t="shared" si="55"/>
        <v>8.4</v>
      </c>
      <c r="DW340" s="10">
        <v>0</v>
      </c>
      <c r="DX340" s="11">
        <f t="shared" si="56"/>
        <v>0</v>
      </c>
      <c r="DY340" s="10"/>
      <c r="DZ340" s="10"/>
      <c r="EA340" s="11">
        <f t="shared" si="57"/>
        <v>0</v>
      </c>
      <c r="EB340" s="10"/>
      <c r="EC340" s="11">
        <f t="shared" si="58"/>
        <v>0</v>
      </c>
      <c r="ED340" s="10"/>
      <c r="EE340" s="10"/>
    </row>
    <row r="341" spans="2:135" ht="16.5">
      <c r="B341" s="47">
        <v>330</v>
      </c>
      <c r="C341" s="50" t="s">
        <v>1011</v>
      </c>
      <c r="D341" s="49" t="s">
        <v>428</v>
      </c>
      <c r="E341" s="49"/>
      <c r="F341" s="49"/>
      <c r="G341" s="49"/>
      <c r="H341" s="71">
        <f t="shared" si="59"/>
        <v>1.2</v>
      </c>
      <c r="I341" s="10">
        <v>1</v>
      </c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10"/>
      <c r="BK341" s="10"/>
      <c r="BL341" s="10"/>
      <c r="BN341" s="10"/>
      <c r="BO341" s="10"/>
      <c r="BP341" s="10"/>
      <c r="BQ341" s="10"/>
      <c r="BR341" s="10"/>
      <c r="BS341" s="10"/>
      <c r="BT341" s="10"/>
      <c r="BU341" s="10"/>
      <c r="BV341" s="10"/>
      <c r="BW341" s="10"/>
      <c r="BX341" s="10"/>
      <c r="BY341" s="10"/>
      <c r="BZ341" s="10"/>
      <c r="CA341" s="10"/>
      <c r="CB341" s="10"/>
      <c r="CC341" s="10"/>
      <c r="CD341" s="10"/>
      <c r="CE341" s="10"/>
      <c r="CF341" s="10"/>
      <c r="CG341" s="10"/>
      <c r="CH341" s="10"/>
      <c r="CI341" s="10"/>
      <c r="CJ341" s="10"/>
      <c r="CK341" s="10"/>
      <c r="CL341" s="10"/>
      <c r="CM341" s="10"/>
      <c r="CN341" s="10"/>
      <c r="CO341" s="10"/>
      <c r="CP341" s="10"/>
      <c r="CQ341" s="10"/>
      <c r="CR341" s="10"/>
      <c r="CS341" s="10"/>
      <c r="CT341" s="10"/>
      <c r="CU341" s="10"/>
      <c r="CV341" s="10"/>
      <c r="CW341" s="10"/>
      <c r="CX341" s="10"/>
      <c r="CY341" s="10"/>
      <c r="CZ341" s="11">
        <f t="shared" si="50"/>
        <v>0</v>
      </c>
      <c r="DA341" s="10"/>
      <c r="DB341" s="10"/>
      <c r="DC341" s="10"/>
      <c r="DD341" s="10"/>
      <c r="DE341" s="10"/>
      <c r="DF341" s="10"/>
      <c r="DG341" s="10"/>
      <c r="DH341" s="10"/>
      <c r="DI341" s="10"/>
      <c r="DJ341" s="11">
        <f t="shared" si="51"/>
        <v>0</v>
      </c>
      <c r="DK341" s="10"/>
      <c r="DL341" s="10"/>
      <c r="DM341" s="10"/>
      <c r="DN341" s="11">
        <f t="shared" si="52"/>
        <v>0</v>
      </c>
      <c r="DO341" s="10"/>
      <c r="DP341" s="10"/>
      <c r="DQ341" s="10">
        <v>0</v>
      </c>
      <c r="DR341" s="11">
        <f t="shared" si="53"/>
        <v>0</v>
      </c>
      <c r="DS341" s="10">
        <v>0</v>
      </c>
      <c r="DT341" s="11">
        <f t="shared" si="54"/>
        <v>0</v>
      </c>
      <c r="DU341" s="10">
        <v>1</v>
      </c>
      <c r="DV341" s="11">
        <f t="shared" si="55"/>
        <v>1.2</v>
      </c>
      <c r="DW341" s="10">
        <v>0</v>
      </c>
      <c r="DX341" s="11">
        <f t="shared" si="56"/>
        <v>0</v>
      </c>
      <c r="DY341" s="10"/>
      <c r="DZ341" s="10"/>
      <c r="EA341" s="11">
        <f t="shared" si="57"/>
        <v>0</v>
      </c>
      <c r="EB341" s="10"/>
      <c r="EC341" s="11">
        <f t="shared" si="58"/>
        <v>0</v>
      </c>
      <c r="ED341" s="10"/>
      <c r="EE341" s="10"/>
    </row>
    <row r="342" spans="2:135" ht="16.5">
      <c r="B342" s="47">
        <v>331</v>
      </c>
      <c r="C342" s="50" t="s">
        <v>1012</v>
      </c>
      <c r="D342" s="49" t="s">
        <v>429</v>
      </c>
      <c r="E342" s="49"/>
      <c r="F342" s="49"/>
      <c r="G342" s="49"/>
      <c r="H342" s="71">
        <f t="shared" si="59"/>
        <v>1.2</v>
      </c>
      <c r="I342" s="10">
        <v>1</v>
      </c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10"/>
      <c r="BK342" s="10"/>
      <c r="BL342" s="10"/>
      <c r="BN342" s="10"/>
      <c r="BO342" s="10"/>
      <c r="BP342" s="10"/>
      <c r="BQ342" s="10"/>
      <c r="BR342" s="10"/>
      <c r="BS342" s="10"/>
      <c r="BT342" s="10"/>
      <c r="BU342" s="10"/>
      <c r="BV342" s="10"/>
      <c r="BW342" s="10"/>
      <c r="BX342" s="10"/>
      <c r="BY342" s="10"/>
      <c r="BZ342" s="10"/>
      <c r="CA342" s="10"/>
      <c r="CB342" s="10"/>
      <c r="CC342" s="10"/>
      <c r="CD342" s="10"/>
      <c r="CE342" s="10"/>
      <c r="CF342" s="10"/>
      <c r="CG342" s="10"/>
      <c r="CH342" s="10"/>
      <c r="CI342" s="10"/>
      <c r="CJ342" s="10"/>
      <c r="CK342" s="10"/>
      <c r="CL342" s="10"/>
      <c r="CM342" s="10"/>
      <c r="CN342" s="10"/>
      <c r="CO342" s="10"/>
      <c r="CP342" s="10"/>
      <c r="CQ342" s="10"/>
      <c r="CR342" s="10"/>
      <c r="CS342" s="10"/>
      <c r="CT342" s="10"/>
      <c r="CU342" s="10"/>
      <c r="CV342" s="10"/>
      <c r="CW342" s="10"/>
      <c r="CX342" s="10"/>
      <c r="CY342" s="10">
        <v>1</v>
      </c>
      <c r="CZ342" s="11">
        <f t="shared" si="50"/>
        <v>1.2</v>
      </c>
      <c r="DA342" s="10"/>
      <c r="DB342" s="10"/>
      <c r="DC342" s="10"/>
      <c r="DD342" s="10"/>
      <c r="DE342" s="10"/>
      <c r="DF342" s="10"/>
      <c r="DG342" s="10"/>
      <c r="DH342" s="10"/>
      <c r="DI342" s="10"/>
      <c r="DJ342" s="11">
        <f t="shared" si="51"/>
        <v>0</v>
      </c>
      <c r="DK342" s="10"/>
      <c r="DL342" s="10"/>
      <c r="DM342" s="10"/>
      <c r="DN342" s="11">
        <f t="shared" si="52"/>
        <v>0</v>
      </c>
      <c r="DO342" s="10"/>
      <c r="DP342" s="10"/>
      <c r="DQ342" s="10">
        <v>0</v>
      </c>
      <c r="DR342" s="11">
        <f t="shared" si="53"/>
        <v>0</v>
      </c>
      <c r="DS342" s="10">
        <v>0</v>
      </c>
      <c r="DT342" s="11">
        <f t="shared" si="54"/>
        <v>0</v>
      </c>
      <c r="DU342" s="10"/>
      <c r="DV342" s="11">
        <f t="shared" si="55"/>
        <v>0</v>
      </c>
      <c r="DW342" s="10">
        <v>0</v>
      </c>
      <c r="DX342" s="11">
        <f t="shared" si="56"/>
        <v>0</v>
      </c>
      <c r="DY342" s="10"/>
      <c r="DZ342" s="10"/>
      <c r="EA342" s="11">
        <f t="shared" si="57"/>
        <v>0</v>
      </c>
      <c r="EB342" s="10"/>
      <c r="EC342" s="11">
        <f t="shared" si="58"/>
        <v>0</v>
      </c>
      <c r="ED342" s="10"/>
      <c r="EE342" s="10"/>
    </row>
    <row r="343" spans="2:135" ht="16.5">
      <c r="B343" s="47">
        <v>332</v>
      </c>
      <c r="C343" s="50" t="s">
        <v>1013</v>
      </c>
      <c r="D343" s="49" t="s">
        <v>430</v>
      </c>
      <c r="E343" s="49"/>
      <c r="F343" s="49"/>
      <c r="G343" s="49"/>
      <c r="H343" s="71">
        <f t="shared" si="59"/>
        <v>15.6</v>
      </c>
      <c r="I343" s="10">
        <v>13</v>
      </c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10"/>
      <c r="BK343" s="10"/>
      <c r="BL343" s="10"/>
      <c r="BN343" s="10"/>
      <c r="BO343" s="10"/>
      <c r="BP343" s="10"/>
      <c r="BQ343" s="10"/>
      <c r="BR343" s="10"/>
      <c r="BS343" s="10"/>
      <c r="BT343" s="10"/>
      <c r="BU343" s="10"/>
      <c r="BV343" s="10"/>
      <c r="BW343" s="10"/>
      <c r="BX343" s="10"/>
      <c r="BY343" s="10"/>
      <c r="BZ343" s="10"/>
      <c r="CA343" s="10"/>
      <c r="CB343" s="10"/>
      <c r="CC343" s="10"/>
      <c r="CD343" s="10"/>
      <c r="CE343" s="10"/>
      <c r="CF343" s="10"/>
      <c r="CG343" s="10"/>
      <c r="CH343" s="10"/>
      <c r="CI343" s="10"/>
      <c r="CJ343" s="10"/>
      <c r="CK343" s="10"/>
      <c r="CL343" s="10"/>
      <c r="CM343" s="10"/>
      <c r="CN343" s="10"/>
      <c r="CO343" s="10"/>
      <c r="CP343" s="10"/>
      <c r="CQ343" s="10"/>
      <c r="CR343" s="10"/>
      <c r="CS343" s="10"/>
      <c r="CT343" s="10"/>
      <c r="CU343" s="10"/>
      <c r="CV343" s="10"/>
      <c r="CW343" s="10"/>
      <c r="CX343" s="10"/>
      <c r="CY343" s="10"/>
      <c r="CZ343" s="11">
        <f t="shared" si="50"/>
        <v>0</v>
      </c>
      <c r="DA343" s="10"/>
      <c r="DB343" s="10"/>
      <c r="DC343" s="10"/>
      <c r="DD343" s="10"/>
      <c r="DE343" s="10"/>
      <c r="DF343" s="10"/>
      <c r="DG343" s="10"/>
      <c r="DH343" s="10"/>
      <c r="DI343" s="10"/>
      <c r="DJ343" s="11">
        <f t="shared" si="51"/>
        <v>0</v>
      </c>
      <c r="DK343" s="10"/>
      <c r="DL343" s="10"/>
      <c r="DM343" s="10"/>
      <c r="DN343" s="11">
        <f t="shared" si="52"/>
        <v>0</v>
      </c>
      <c r="DO343" s="10"/>
      <c r="DP343" s="10"/>
      <c r="DQ343" s="10">
        <v>13</v>
      </c>
      <c r="DR343" s="11">
        <f t="shared" si="53"/>
        <v>202.79999999999998</v>
      </c>
      <c r="DS343" s="10">
        <v>0</v>
      </c>
      <c r="DT343" s="11">
        <f t="shared" si="54"/>
        <v>0</v>
      </c>
      <c r="DU343" s="10"/>
      <c r="DV343" s="11">
        <f t="shared" si="55"/>
        <v>0</v>
      </c>
      <c r="DW343" s="10">
        <v>0</v>
      </c>
      <c r="DX343" s="11">
        <f t="shared" si="56"/>
        <v>0</v>
      </c>
      <c r="DY343" s="10"/>
      <c r="DZ343" s="10"/>
      <c r="EA343" s="11">
        <f t="shared" si="57"/>
        <v>0</v>
      </c>
      <c r="EB343" s="10"/>
      <c r="EC343" s="11">
        <f t="shared" si="58"/>
        <v>0</v>
      </c>
      <c r="ED343" s="10"/>
      <c r="EE343" s="10"/>
    </row>
    <row r="344" spans="2:135" ht="16.5">
      <c r="B344" s="47">
        <v>333</v>
      </c>
      <c r="C344" s="50" t="s">
        <v>1014</v>
      </c>
      <c r="D344" s="49" t="s">
        <v>431</v>
      </c>
      <c r="E344" s="49"/>
      <c r="F344" s="49"/>
      <c r="G344" s="49"/>
      <c r="H344" s="71">
        <f t="shared" si="59"/>
        <v>66</v>
      </c>
      <c r="I344" s="10">
        <v>55</v>
      </c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10"/>
      <c r="BK344" s="10"/>
      <c r="BL344" s="10"/>
      <c r="BN344" s="10"/>
      <c r="BO344" s="10"/>
      <c r="BP344" s="10"/>
      <c r="BQ344" s="10"/>
      <c r="BR344" s="10"/>
      <c r="BS344" s="10"/>
      <c r="BT344" s="10"/>
      <c r="BU344" s="10"/>
      <c r="BV344" s="10"/>
      <c r="BW344" s="10"/>
      <c r="BX344" s="10"/>
      <c r="BY344" s="10"/>
      <c r="BZ344" s="10"/>
      <c r="CA344" s="10"/>
      <c r="CB344" s="10"/>
      <c r="CC344" s="10"/>
      <c r="CD344" s="10"/>
      <c r="CE344" s="10"/>
      <c r="CF344" s="10"/>
      <c r="CG344" s="10"/>
      <c r="CH344" s="10"/>
      <c r="CI344" s="10"/>
      <c r="CJ344" s="10"/>
      <c r="CK344" s="10"/>
      <c r="CL344" s="10"/>
      <c r="CM344" s="10"/>
      <c r="CN344" s="10"/>
      <c r="CO344" s="10"/>
      <c r="CP344" s="10"/>
      <c r="CQ344" s="10"/>
      <c r="CR344" s="10"/>
      <c r="CS344" s="10"/>
      <c r="CT344" s="10"/>
      <c r="CU344" s="10"/>
      <c r="CV344" s="10"/>
      <c r="CW344" s="10"/>
      <c r="CX344" s="10"/>
      <c r="CY344" s="10"/>
      <c r="CZ344" s="11">
        <f t="shared" si="50"/>
        <v>0</v>
      </c>
      <c r="DA344" s="10"/>
      <c r="DB344" s="10"/>
      <c r="DC344" s="10"/>
      <c r="DD344" s="10"/>
      <c r="DE344" s="10"/>
      <c r="DF344" s="10"/>
      <c r="DG344" s="10"/>
      <c r="DH344" s="10"/>
      <c r="DI344" s="10"/>
      <c r="DJ344" s="11">
        <f t="shared" si="51"/>
        <v>0</v>
      </c>
      <c r="DK344" s="10"/>
      <c r="DL344" s="10"/>
      <c r="DM344" s="10"/>
      <c r="DN344" s="11">
        <f t="shared" si="52"/>
        <v>0</v>
      </c>
      <c r="DO344" s="10"/>
      <c r="DP344" s="10"/>
      <c r="DQ344" s="10">
        <v>55</v>
      </c>
      <c r="DR344" s="11">
        <f t="shared" si="53"/>
        <v>3630</v>
      </c>
      <c r="DS344" s="10">
        <v>0</v>
      </c>
      <c r="DT344" s="11">
        <f t="shared" si="54"/>
        <v>0</v>
      </c>
      <c r="DU344" s="10"/>
      <c r="DV344" s="11">
        <f t="shared" si="55"/>
        <v>0</v>
      </c>
      <c r="DW344" s="10">
        <v>0</v>
      </c>
      <c r="DX344" s="11">
        <f t="shared" si="56"/>
        <v>0</v>
      </c>
      <c r="DY344" s="10"/>
      <c r="DZ344" s="10"/>
      <c r="EA344" s="11">
        <f t="shared" si="57"/>
        <v>0</v>
      </c>
      <c r="EB344" s="10"/>
      <c r="EC344" s="11">
        <f t="shared" si="58"/>
        <v>0</v>
      </c>
      <c r="ED344" s="10"/>
      <c r="EE344" s="10"/>
    </row>
    <row r="345" spans="2:135" ht="16.5">
      <c r="B345" s="47">
        <v>334</v>
      </c>
      <c r="C345" s="50" t="s">
        <v>1015</v>
      </c>
      <c r="D345" s="49" t="s">
        <v>432</v>
      </c>
      <c r="E345" s="49"/>
      <c r="F345" s="49"/>
      <c r="G345" s="49"/>
      <c r="H345" s="71">
        <f t="shared" si="59"/>
        <v>16.8</v>
      </c>
      <c r="I345" s="10">
        <v>14</v>
      </c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10"/>
      <c r="BK345" s="10"/>
      <c r="BL345" s="10"/>
      <c r="BN345" s="10"/>
      <c r="BO345" s="10"/>
      <c r="BP345" s="10"/>
      <c r="BQ345" s="10"/>
      <c r="BR345" s="10"/>
      <c r="BS345" s="10"/>
      <c r="BT345" s="10"/>
      <c r="BU345" s="10"/>
      <c r="BV345" s="10"/>
      <c r="BW345" s="10"/>
      <c r="BX345" s="10"/>
      <c r="BY345" s="10"/>
      <c r="BZ345" s="10"/>
      <c r="CA345" s="10"/>
      <c r="CB345" s="10"/>
      <c r="CC345" s="10"/>
      <c r="CD345" s="10"/>
      <c r="CE345" s="10"/>
      <c r="CF345" s="10"/>
      <c r="CG345" s="10"/>
      <c r="CH345" s="10"/>
      <c r="CI345" s="10"/>
      <c r="CJ345" s="10"/>
      <c r="CK345" s="10"/>
      <c r="CL345" s="10"/>
      <c r="CM345" s="10"/>
      <c r="CN345" s="10"/>
      <c r="CO345" s="10"/>
      <c r="CP345" s="10"/>
      <c r="CQ345" s="10"/>
      <c r="CR345" s="10"/>
      <c r="CS345" s="10"/>
      <c r="CT345" s="10"/>
      <c r="CU345" s="10"/>
      <c r="CV345" s="10"/>
      <c r="CW345" s="10"/>
      <c r="CX345" s="10"/>
      <c r="CY345" s="10"/>
      <c r="CZ345" s="11">
        <f t="shared" si="50"/>
        <v>0</v>
      </c>
      <c r="DA345" s="10"/>
      <c r="DB345" s="10"/>
      <c r="DC345" s="10"/>
      <c r="DD345" s="10"/>
      <c r="DE345" s="10"/>
      <c r="DF345" s="10"/>
      <c r="DG345" s="10"/>
      <c r="DH345" s="10"/>
      <c r="DI345" s="10"/>
      <c r="DJ345" s="11">
        <f t="shared" si="51"/>
        <v>0</v>
      </c>
      <c r="DK345" s="10"/>
      <c r="DL345" s="10"/>
      <c r="DM345" s="10"/>
      <c r="DN345" s="11">
        <f t="shared" si="52"/>
        <v>0</v>
      </c>
      <c r="DO345" s="10"/>
      <c r="DP345" s="10"/>
      <c r="DQ345" s="10">
        <v>13</v>
      </c>
      <c r="DR345" s="11">
        <f t="shared" si="53"/>
        <v>218.4</v>
      </c>
      <c r="DS345" s="10">
        <v>0</v>
      </c>
      <c r="DT345" s="11">
        <f t="shared" si="54"/>
        <v>0</v>
      </c>
      <c r="DU345" s="10">
        <v>1</v>
      </c>
      <c r="DV345" s="11">
        <f t="shared" si="55"/>
        <v>16.8</v>
      </c>
      <c r="DW345" s="10">
        <v>0</v>
      </c>
      <c r="DX345" s="11">
        <f t="shared" si="56"/>
        <v>0</v>
      </c>
      <c r="DY345" s="10"/>
      <c r="DZ345" s="10"/>
      <c r="EA345" s="11">
        <f t="shared" si="57"/>
        <v>0</v>
      </c>
      <c r="EB345" s="10"/>
      <c r="EC345" s="11">
        <f t="shared" si="58"/>
        <v>0</v>
      </c>
      <c r="ED345" s="10"/>
      <c r="EE345" s="10"/>
    </row>
    <row r="346" spans="2:135" ht="16.5">
      <c r="B346" s="47">
        <v>335</v>
      </c>
      <c r="C346" s="50" t="s">
        <v>1016</v>
      </c>
      <c r="D346" s="49" t="s">
        <v>433</v>
      </c>
      <c r="E346" s="49"/>
      <c r="F346" s="49"/>
      <c r="G346" s="49"/>
      <c r="H346" s="71">
        <f t="shared" si="59"/>
        <v>6</v>
      </c>
      <c r="I346" s="10">
        <v>5</v>
      </c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10"/>
      <c r="BK346" s="10"/>
      <c r="BL346" s="10"/>
      <c r="BN346" s="10"/>
      <c r="BO346" s="10"/>
      <c r="BP346" s="10"/>
      <c r="BQ346" s="10"/>
      <c r="BR346" s="10"/>
      <c r="BS346" s="10"/>
      <c r="BT346" s="10"/>
      <c r="BU346" s="10"/>
      <c r="BV346" s="10"/>
      <c r="BW346" s="10"/>
      <c r="BX346" s="10"/>
      <c r="BY346" s="10"/>
      <c r="BZ346" s="10"/>
      <c r="CA346" s="10"/>
      <c r="CB346" s="10"/>
      <c r="CC346" s="10"/>
      <c r="CD346" s="10"/>
      <c r="CE346" s="10"/>
      <c r="CF346" s="10"/>
      <c r="CG346" s="10"/>
      <c r="CH346" s="10"/>
      <c r="CI346" s="10"/>
      <c r="CJ346" s="10"/>
      <c r="CK346" s="10"/>
      <c r="CL346" s="10"/>
      <c r="CM346" s="10"/>
      <c r="CN346" s="10"/>
      <c r="CO346" s="10"/>
      <c r="CP346" s="10"/>
      <c r="CQ346" s="10"/>
      <c r="CR346" s="10"/>
      <c r="CS346" s="10"/>
      <c r="CT346" s="10"/>
      <c r="CU346" s="10"/>
      <c r="CV346" s="10"/>
      <c r="CW346" s="10"/>
      <c r="CX346" s="10"/>
      <c r="CY346" s="10"/>
      <c r="CZ346" s="11">
        <f t="shared" si="50"/>
        <v>0</v>
      </c>
      <c r="DA346" s="10"/>
      <c r="DB346" s="10"/>
      <c r="DC346" s="10"/>
      <c r="DD346" s="10"/>
      <c r="DE346" s="10"/>
      <c r="DF346" s="10"/>
      <c r="DG346" s="10"/>
      <c r="DH346" s="10"/>
      <c r="DI346" s="10"/>
      <c r="DJ346" s="11">
        <f t="shared" si="51"/>
        <v>0</v>
      </c>
      <c r="DK346" s="10"/>
      <c r="DL346" s="10"/>
      <c r="DM346" s="10"/>
      <c r="DN346" s="11">
        <f t="shared" si="52"/>
        <v>0</v>
      </c>
      <c r="DO346" s="10"/>
      <c r="DP346" s="10"/>
      <c r="DQ346" s="10">
        <v>1</v>
      </c>
      <c r="DR346" s="11">
        <f t="shared" si="53"/>
        <v>6</v>
      </c>
      <c r="DS346" s="10">
        <v>0</v>
      </c>
      <c r="DT346" s="11">
        <f t="shared" si="54"/>
        <v>0</v>
      </c>
      <c r="DU346" s="10"/>
      <c r="DV346" s="11">
        <f t="shared" si="55"/>
        <v>0</v>
      </c>
      <c r="DW346" s="10">
        <v>0</v>
      </c>
      <c r="DX346" s="11">
        <f t="shared" si="56"/>
        <v>0</v>
      </c>
      <c r="DY346" s="10"/>
      <c r="DZ346" s="10">
        <v>4</v>
      </c>
      <c r="EA346" s="11">
        <f t="shared" si="57"/>
        <v>24</v>
      </c>
      <c r="EB346" s="10"/>
      <c r="EC346" s="11">
        <f t="shared" si="58"/>
        <v>0</v>
      </c>
      <c r="ED346" s="10"/>
      <c r="EE346" s="10"/>
    </row>
    <row r="347" spans="2:135" ht="33">
      <c r="B347" s="47">
        <v>336</v>
      </c>
      <c r="C347" s="50" t="s">
        <v>1017</v>
      </c>
      <c r="D347" s="49" t="s">
        <v>434</v>
      </c>
      <c r="E347" s="49"/>
      <c r="F347" s="49"/>
      <c r="G347" s="49"/>
      <c r="H347" s="71">
        <f t="shared" si="59"/>
        <v>1.2</v>
      </c>
      <c r="I347" s="10">
        <v>1</v>
      </c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10"/>
      <c r="BK347" s="10"/>
      <c r="BL347" s="10"/>
      <c r="BN347" s="10"/>
      <c r="BO347" s="10"/>
      <c r="BP347" s="10"/>
      <c r="BQ347" s="10"/>
      <c r="BR347" s="10"/>
      <c r="BS347" s="10"/>
      <c r="BT347" s="10"/>
      <c r="BU347" s="10"/>
      <c r="BV347" s="10"/>
      <c r="BW347" s="10"/>
      <c r="BX347" s="10"/>
      <c r="BY347" s="10"/>
      <c r="BZ347" s="10"/>
      <c r="CA347" s="10"/>
      <c r="CB347" s="10"/>
      <c r="CC347" s="10"/>
      <c r="CD347" s="10"/>
      <c r="CE347" s="10"/>
      <c r="CF347" s="10"/>
      <c r="CG347" s="10"/>
      <c r="CH347" s="10"/>
      <c r="CI347" s="10"/>
      <c r="CJ347" s="10"/>
      <c r="CK347" s="10"/>
      <c r="CL347" s="10"/>
      <c r="CM347" s="10"/>
      <c r="CN347" s="10"/>
      <c r="CO347" s="10"/>
      <c r="CP347" s="10"/>
      <c r="CQ347" s="10"/>
      <c r="CR347" s="10"/>
      <c r="CS347" s="10"/>
      <c r="CT347" s="10"/>
      <c r="CU347" s="10"/>
      <c r="CV347" s="10"/>
      <c r="CW347" s="10"/>
      <c r="CX347" s="10"/>
      <c r="CY347" s="10"/>
      <c r="CZ347" s="11">
        <f t="shared" si="50"/>
        <v>0</v>
      </c>
      <c r="DA347" s="10"/>
      <c r="DB347" s="10"/>
      <c r="DC347" s="10"/>
      <c r="DD347" s="10"/>
      <c r="DE347" s="10"/>
      <c r="DF347" s="10"/>
      <c r="DG347" s="10"/>
      <c r="DH347" s="10"/>
      <c r="DI347" s="10"/>
      <c r="DJ347" s="11">
        <f t="shared" si="51"/>
        <v>0</v>
      </c>
      <c r="DK347" s="10"/>
      <c r="DL347" s="10"/>
      <c r="DM347" s="10"/>
      <c r="DN347" s="11">
        <f t="shared" si="52"/>
        <v>0</v>
      </c>
      <c r="DO347" s="10"/>
      <c r="DP347" s="10"/>
      <c r="DQ347" s="10">
        <v>1</v>
      </c>
      <c r="DR347" s="11">
        <f t="shared" si="53"/>
        <v>1.2</v>
      </c>
      <c r="DS347" s="10">
        <v>0</v>
      </c>
      <c r="DT347" s="11">
        <f t="shared" si="54"/>
        <v>0</v>
      </c>
      <c r="DU347" s="10"/>
      <c r="DV347" s="11">
        <f t="shared" si="55"/>
        <v>0</v>
      </c>
      <c r="DW347" s="10">
        <v>0</v>
      </c>
      <c r="DX347" s="11">
        <f t="shared" si="56"/>
        <v>0</v>
      </c>
      <c r="DY347" s="10"/>
      <c r="DZ347" s="10"/>
      <c r="EA347" s="11">
        <f t="shared" si="57"/>
        <v>0</v>
      </c>
      <c r="EB347" s="10"/>
      <c r="EC347" s="11">
        <f t="shared" si="58"/>
        <v>0</v>
      </c>
      <c r="ED347" s="10"/>
      <c r="EE347" s="10"/>
    </row>
    <row r="348" spans="2:135" ht="16.5">
      <c r="B348" s="47">
        <v>337</v>
      </c>
      <c r="C348" s="50" t="s">
        <v>1018</v>
      </c>
      <c r="D348" s="49" t="s">
        <v>435</v>
      </c>
      <c r="E348" s="49"/>
      <c r="F348" s="49"/>
      <c r="G348" s="49"/>
      <c r="H348" s="71">
        <f t="shared" si="59"/>
        <v>4.8</v>
      </c>
      <c r="I348" s="10">
        <v>4</v>
      </c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  <c r="BL348" s="10"/>
      <c r="BN348" s="10"/>
      <c r="B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  <c r="CD348" s="10"/>
      <c r="CE348" s="10"/>
      <c r="CF348" s="10"/>
      <c r="CG348" s="10"/>
      <c r="CH348" s="10"/>
      <c r="CI348" s="10"/>
      <c r="CJ348" s="10"/>
      <c r="CK348" s="10"/>
      <c r="CL348" s="10"/>
      <c r="CM348" s="10"/>
      <c r="CN348" s="10"/>
      <c r="CO348" s="10"/>
      <c r="CP348" s="10"/>
      <c r="CQ348" s="10"/>
      <c r="CR348" s="10"/>
      <c r="CS348" s="10"/>
      <c r="CT348" s="10"/>
      <c r="CU348" s="10"/>
      <c r="CV348" s="10"/>
      <c r="CW348" s="10"/>
      <c r="CX348" s="10"/>
      <c r="CY348" s="10"/>
      <c r="CZ348" s="11">
        <f t="shared" si="50"/>
        <v>0</v>
      </c>
      <c r="DA348" s="10"/>
      <c r="DB348" s="10"/>
      <c r="DC348" s="10"/>
      <c r="DD348" s="10"/>
      <c r="DE348" s="10"/>
      <c r="DF348" s="10"/>
      <c r="DG348" s="10"/>
      <c r="DH348" s="10"/>
      <c r="DI348" s="10"/>
      <c r="DJ348" s="11">
        <f t="shared" si="51"/>
        <v>0</v>
      </c>
      <c r="DK348" s="10"/>
      <c r="DL348" s="10"/>
      <c r="DM348" s="10"/>
      <c r="DN348" s="11">
        <f t="shared" si="52"/>
        <v>0</v>
      </c>
      <c r="DO348" s="10"/>
      <c r="DP348" s="10"/>
      <c r="DQ348" s="10">
        <v>4</v>
      </c>
      <c r="DR348" s="11">
        <f t="shared" si="53"/>
        <v>19.2</v>
      </c>
      <c r="DS348" s="10">
        <v>0</v>
      </c>
      <c r="DT348" s="11">
        <f t="shared" si="54"/>
        <v>0</v>
      </c>
      <c r="DU348" s="10"/>
      <c r="DV348" s="11">
        <f t="shared" si="55"/>
        <v>0</v>
      </c>
      <c r="DW348" s="10">
        <v>0</v>
      </c>
      <c r="DX348" s="11">
        <f t="shared" si="56"/>
        <v>0</v>
      </c>
      <c r="DY348" s="10"/>
      <c r="DZ348" s="10"/>
      <c r="EA348" s="11">
        <f t="shared" si="57"/>
        <v>0</v>
      </c>
      <c r="EB348" s="10"/>
      <c r="EC348" s="11">
        <f t="shared" si="58"/>
        <v>0</v>
      </c>
      <c r="ED348" s="10"/>
      <c r="EE348" s="10"/>
    </row>
    <row r="349" spans="2:135" ht="16.5">
      <c r="B349" s="47">
        <v>338</v>
      </c>
      <c r="C349" s="50" t="s">
        <v>1019</v>
      </c>
      <c r="D349" s="49" t="s">
        <v>436</v>
      </c>
      <c r="E349" s="49"/>
      <c r="F349" s="49"/>
      <c r="G349" s="49"/>
      <c r="H349" s="71">
        <f t="shared" si="59"/>
        <v>1.2</v>
      </c>
      <c r="I349" s="10">
        <v>1</v>
      </c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10"/>
      <c r="BK349" s="10"/>
      <c r="BL349" s="10"/>
      <c r="BN349" s="10"/>
      <c r="BO349" s="10"/>
      <c r="BP349" s="10"/>
      <c r="BQ349" s="10"/>
      <c r="BR349" s="10"/>
      <c r="BS349" s="10"/>
      <c r="BT349" s="10"/>
      <c r="BU349" s="10"/>
      <c r="BV349" s="10"/>
      <c r="BW349" s="10"/>
      <c r="BX349" s="10"/>
      <c r="BY349" s="10"/>
      <c r="BZ349" s="10"/>
      <c r="CA349" s="10"/>
      <c r="CB349" s="10"/>
      <c r="CC349" s="10"/>
      <c r="CD349" s="10"/>
      <c r="CE349" s="10"/>
      <c r="CF349" s="10"/>
      <c r="CG349" s="10"/>
      <c r="CH349" s="10"/>
      <c r="CI349" s="10"/>
      <c r="CJ349" s="10"/>
      <c r="CK349" s="10"/>
      <c r="CL349" s="10"/>
      <c r="CM349" s="10"/>
      <c r="CN349" s="10"/>
      <c r="CO349" s="10"/>
      <c r="CP349" s="10"/>
      <c r="CQ349" s="10"/>
      <c r="CR349" s="10"/>
      <c r="CS349" s="10"/>
      <c r="CT349" s="10"/>
      <c r="CU349" s="10"/>
      <c r="CV349" s="10"/>
      <c r="CW349" s="10"/>
      <c r="CX349" s="10"/>
      <c r="CY349" s="10"/>
      <c r="CZ349" s="11">
        <f t="shared" si="50"/>
        <v>0</v>
      </c>
      <c r="DA349" s="10"/>
      <c r="DB349" s="10"/>
      <c r="DC349" s="10"/>
      <c r="DD349" s="10"/>
      <c r="DE349" s="10"/>
      <c r="DF349" s="10"/>
      <c r="DG349" s="10"/>
      <c r="DH349" s="10"/>
      <c r="DI349" s="10"/>
      <c r="DJ349" s="11">
        <f t="shared" si="51"/>
        <v>0</v>
      </c>
      <c r="DK349" s="10"/>
      <c r="DL349" s="10"/>
      <c r="DM349" s="10"/>
      <c r="DN349" s="11">
        <f t="shared" si="52"/>
        <v>0</v>
      </c>
      <c r="DO349" s="10"/>
      <c r="DP349" s="10"/>
      <c r="DQ349" s="10">
        <v>0</v>
      </c>
      <c r="DR349" s="11">
        <f t="shared" si="53"/>
        <v>0</v>
      </c>
      <c r="DS349" s="10">
        <v>0</v>
      </c>
      <c r="DT349" s="11">
        <f t="shared" si="54"/>
        <v>0</v>
      </c>
      <c r="DU349" s="10">
        <v>1</v>
      </c>
      <c r="DV349" s="11">
        <f t="shared" si="55"/>
        <v>1.2</v>
      </c>
      <c r="DW349" s="10">
        <v>0</v>
      </c>
      <c r="DX349" s="11">
        <f t="shared" si="56"/>
        <v>0</v>
      </c>
      <c r="DY349" s="10"/>
      <c r="DZ349" s="10"/>
      <c r="EA349" s="11">
        <f t="shared" si="57"/>
        <v>0</v>
      </c>
      <c r="EB349" s="10"/>
      <c r="EC349" s="11">
        <f t="shared" si="58"/>
        <v>0</v>
      </c>
      <c r="ED349" s="10"/>
      <c r="EE349" s="10"/>
    </row>
    <row r="350" spans="2:135" ht="16.5">
      <c r="B350" s="47">
        <v>339</v>
      </c>
      <c r="C350" s="50" t="s">
        <v>1020</v>
      </c>
      <c r="D350" s="49" t="s">
        <v>437</v>
      </c>
      <c r="E350" s="49"/>
      <c r="F350" s="49"/>
      <c r="G350" s="49"/>
      <c r="H350" s="71">
        <f t="shared" si="59"/>
        <v>2.4</v>
      </c>
      <c r="I350" s="10">
        <v>2</v>
      </c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10"/>
      <c r="BK350" s="10"/>
      <c r="BL350" s="10"/>
      <c r="BN350" s="10"/>
      <c r="BO350" s="10"/>
      <c r="BP350" s="10"/>
      <c r="BQ350" s="10"/>
      <c r="BR350" s="10"/>
      <c r="BS350" s="10"/>
      <c r="BT350" s="10"/>
      <c r="BU350" s="10"/>
      <c r="BV350" s="10"/>
      <c r="BW350" s="10"/>
      <c r="BX350" s="10"/>
      <c r="BY350" s="10"/>
      <c r="BZ350" s="10"/>
      <c r="CA350" s="10"/>
      <c r="CB350" s="10"/>
      <c r="CC350" s="10"/>
      <c r="CD350" s="10"/>
      <c r="CE350" s="10"/>
      <c r="CF350" s="10"/>
      <c r="CG350" s="10"/>
      <c r="CH350" s="10"/>
      <c r="CI350" s="10"/>
      <c r="CJ350" s="10"/>
      <c r="CK350" s="10"/>
      <c r="CL350" s="10"/>
      <c r="CM350" s="10"/>
      <c r="CN350" s="10"/>
      <c r="CO350" s="10"/>
      <c r="CP350" s="10"/>
      <c r="CQ350" s="10"/>
      <c r="CR350" s="10"/>
      <c r="CS350" s="10"/>
      <c r="CT350" s="10"/>
      <c r="CU350" s="10"/>
      <c r="CV350" s="10"/>
      <c r="CW350" s="10"/>
      <c r="CX350" s="10"/>
      <c r="CY350" s="10"/>
      <c r="CZ350" s="11">
        <f t="shared" si="50"/>
        <v>0</v>
      </c>
      <c r="DA350" s="10"/>
      <c r="DB350" s="10"/>
      <c r="DC350" s="10"/>
      <c r="DD350" s="10"/>
      <c r="DE350" s="10"/>
      <c r="DF350" s="10"/>
      <c r="DG350" s="10"/>
      <c r="DH350" s="10"/>
      <c r="DI350" s="10"/>
      <c r="DJ350" s="11">
        <f t="shared" si="51"/>
        <v>0</v>
      </c>
      <c r="DK350" s="10"/>
      <c r="DL350" s="10"/>
      <c r="DM350" s="10"/>
      <c r="DN350" s="11">
        <f t="shared" si="52"/>
        <v>0</v>
      </c>
      <c r="DO350" s="10"/>
      <c r="DP350" s="10"/>
      <c r="DQ350" s="10">
        <v>0</v>
      </c>
      <c r="DR350" s="11">
        <f t="shared" si="53"/>
        <v>0</v>
      </c>
      <c r="DS350" s="10">
        <v>0</v>
      </c>
      <c r="DT350" s="11">
        <f t="shared" si="54"/>
        <v>0</v>
      </c>
      <c r="DU350" s="10">
        <v>2</v>
      </c>
      <c r="DV350" s="11">
        <f t="shared" si="55"/>
        <v>4.8</v>
      </c>
      <c r="DW350" s="10">
        <v>0</v>
      </c>
      <c r="DX350" s="11">
        <f t="shared" si="56"/>
        <v>0</v>
      </c>
      <c r="DY350" s="10"/>
      <c r="DZ350" s="10"/>
      <c r="EA350" s="11">
        <f t="shared" si="57"/>
        <v>0</v>
      </c>
      <c r="EB350" s="10"/>
      <c r="EC350" s="11">
        <f t="shared" si="58"/>
        <v>0</v>
      </c>
      <c r="ED350" s="10"/>
      <c r="EE350" s="10"/>
    </row>
    <row r="351" spans="2:135" ht="16.5">
      <c r="B351" s="47">
        <v>340</v>
      </c>
      <c r="C351" s="50" t="s">
        <v>1021</v>
      </c>
      <c r="D351" s="49" t="s">
        <v>438</v>
      </c>
      <c r="E351" s="49"/>
      <c r="F351" s="49"/>
      <c r="G351" s="49"/>
      <c r="H351" s="71">
        <f t="shared" si="59"/>
        <v>37.199999999999996</v>
      </c>
      <c r="I351" s="10">
        <v>31</v>
      </c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10"/>
      <c r="BK351" s="10"/>
      <c r="BL351" s="10"/>
      <c r="BN351" s="10"/>
      <c r="BO351" s="10"/>
      <c r="BP351" s="10"/>
      <c r="BQ351" s="10"/>
      <c r="BR351" s="10"/>
      <c r="BS351" s="10"/>
      <c r="BT351" s="10"/>
      <c r="BU351" s="10"/>
      <c r="BV351" s="10"/>
      <c r="BW351" s="10"/>
      <c r="BX351" s="10"/>
      <c r="BY351" s="10"/>
      <c r="BZ351" s="10"/>
      <c r="CA351" s="10"/>
      <c r="CB351" s="10"/>
      <c r="CC351" s="10"/>
      <c r="CD351" s="10"/>
      <c r="CE351" s="10"/>
      <c r="CF351" s="10"/>
      <c r="CG351" s="10"/>
      <c r="CH351" s="10"/>
      <c r="CI351" s="10"/>
      <c r="CJ351" s="10"/>
      <c r="CK351" s="10"/>
      <c r="CL351" s="10"/>
      <c r="CM351" s="10"/>
      <c r="CN351" s="10"/>
      <c r="CO351" s="10"/>
      <c r="CP351" s="10"/>
      <c r="CQ351" s="10"/>
      <c r="CR351" s="10"/>
      <c r="CS351" s="10"/>
      <c r="CT351" s="10"/>
      <c r="CU351" s="10"/>
      <c r="CV351" s="10"/>
      <c r="CW351" s="10"/>
      <c r="CX351" s="10"/>
      <c r="CY351" s="10">
        <v>29</v>
      </c>
      <c r="CZ351" s="11">
        <f t="shared" si="50"/>
        <v>1078.8</v>
      </c>
      <c r="DA351" s="10"/>
      <c r="DB351" s="10"/>
      <c r="DC351" s="10"/>
      <c r="DD351" s="10"/>
      <c r="DE351" s="10"/>
      <c r="DF351" s="10"/>
      <c r="DG351" s="10"/>
      <c r="DH351" s="10"/>
      <c r="DI351" s="10"/>
      <c r="DJ351" s="11">
        <f t="shared" si="51"/>
        <v>0</v>
      </c>
      <c r="DK351" s="10"/>
      <c r="DL351" s="10"/>
      <c r="DM351" s="10">
        <v>2</v>
      </c>
      <c r="DN351" s="11">
        <f t="shared" si="52"/>
        <v>74.399999999999991</v>
      </c>
      <c r="DO351" s="10"/>
      <c r="DP351" s="10"/>
      <c r="DQ351" s="10">
        <v>0</v>
      </c>
      <c r="DR351" s="11">
        <f t="shared" si="53"/>
        <v>0</v>
      </c>
      <c r="DS351" s="10">
        <v>0</v>
      </c>
      <c r="DT351" s="11">
        <f t="shared" si="54"/>
        <v>0</v>
      </c>
      <c r="DU351" s="10"/>
      <c r="DV351" s="11">
        <f t="shared" si="55"/>
        <v>0</v>
      </c>
      <c r="DW351" s="10">
        <v>0</v>
      </c>
      <c r="DX351" s="11">
        <f t="shared" si="56"/>
        <v>0</v>
      </c>
      <c r="DY351" s="10"/>
      <c r="DZ351" s="10"/>
      <c r="EA351" s="11">
        <f t="shared" si="57"/>
        <v>0</v>
      </c>
      <c r="EB351" s="10"/>
      <c r="EC351" s="11">
        <f t="shared" si="58"/>
        <v>0</v>
      </c>
      <c r="ED351" s="10"/>
      <c r="EE351" s="10"/>
    </row>
    <row r="352" spans="2:135" ht="33">
      <c r="B352" s="47">
        <v>341</v>
      </c>
      <c r="C352" s="50" t="s">
        <v>1022</v>
      </c>
      <c r="D352" s="49" t="s">
        <v>439</v>
      </c>
      <c r="E352" s="49"/>
      <c r="F352" s="49"/>
      <c r="G352" s="49"/>
      <c r="H352" s="71">
        <f t="shared" si="59"/>
        <v>2.4</v>
      </c>
      <c r="I352" s="10">
        <v>2</v>
      </c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10"/>
      <c r="BK352" s="10"/>
      <c r="BL352" s="10"/>
      <c r="BN352" s="10"/>
      <c r="BO352" s="10"/>
      <c r="BP352" s="10"/>
      <c r="BQ352" s="10"/>
      <c r="BR352" s="10"/>
      <c r="BS352" s="10"/>
      <c r="BT352" s="10"/>
      <c r="BU352" s="10"/>
      <c r="BV352" s="10"/>
      <c r="BW352" s="10"/>
      <c r="BX352" s="10"/>
      <c r="BY352" s="10"/>
      <c r="BZ352" s="10"/>
      <c r="CA352" s="10"/>
      <c r="CB352" s="10"/>
      <c r="CC352" s="10"/>
      <c r="CD352" s="10"/>
      <c r="CE352" s="10"/>
      <c r="CF352" s="10"/>
      <c r="CG352" s="10"/>
      <c r="CH352" s="10"/>
      <c r="CI352" s="10"/>
      <c r="CJ352" s="10"/>
      <c r="CK352" s="10"/>
      <c r="CL352" s="10"/>
      <c r="CM352" s="10"/>
      <c r="CN352" s="10"/>
      <c r="CO352" s="10"/>
      <c r="CP352" s="10"/>
      <c r="CQ352" s="10"/>
      <c r="CR352" s="10"/>
      <c r="CS352" s="10"/>
      <c r="CT352" s="10"/>
      <c r="CU352" s="10"/>
      <c r="CV352" s="10"/>
      <c r="CW352" s="10"/>
      <c r="CX352" s="10"/>
      <c r="CY352" s="10"/>
      <c r="CZ352" s="11">
        <f t="shared" si="50"/>
        <v>0</v>
      </c>
      <c r="DA352" s="10"/>
      <c r="DB352" s="10"/>
      <c r="DC352" s="10"/>
      <c r="DD352" s="10"/>
      <c r="DE352" s="10"/>
      <c r="DF352" s="10"/>
      <c r="DG352" s="10"/>
      <c r="DH352" s="10"/>
      <c r="DI352" s="10"/>
      <c r="DJ352" s="11">
        <f t="shared" si="51"/>
        <v>0</v>
      </c>
      <c r="DK352" s="10"/>
      <c r="DL352" s="10"/>
      <c r="DM352" s="10"/>
      <c r="DN352" s="11">
        <f t="shared" si="52"/>
        <v>0</v>
      </c>
      <c r="DO352" s="10"/>
      <c r="DP352" s="10"/>
      <c r="DQ352" s="10">
        <v>2</v>
      </c>
      <c r="DR352" s="11">
        <f t="shared" si="53"/>
        <v>4.8</v>
      </c>
      <c r="DS352" s="10">
        <v>0</v>
      </c>
      <c r="DT352" s="11">
        <f t="shared" si="54"/>
        <v>0</v>
      </c>
      <c r="DU352" s="10"/>
      <c r="DV352" s="11">
        <f t="shared" si="55"/>
        <v>0</v>
      </c>
      <c r="DW352" s="10">
        <v>0</v>
      </c>
      <c r="DX352" s="11">
        <f t="shared" si="56"/>
        <v>0</v>
      </c>
      <c r="DY352" s="10"/>
      <c r="DZ352" s="10"/>
      <c r="EA352" s="11">
        <f t="shared" si="57"/>
        <v>0</v>
      </c>
      <c r="EB352" s="10"/>
      <c r="EC352" s="11">
        <f t="shared" si="58"/>
        <v>0</v>
      </c>
      <c r="ED352" s="10"/>
      <c r="EE352" s="10"/>
    </row>
    <row r="353" spans="2:135" ht="16.5">
      <c r="B353" s="47">
        <v>342</v>
      </c>
      <c r="C353" s="50" t="s">
        <v>1023</v>
      </c>
      <c r="D353" s="49" t="s">
        <v>440</v>
      </c>
      <c r="E353" s="49"/>
      <c r="F353" s="49"/>
      <c r="G353" s="49"/>
      <c r="H353" s="71">
        <f t="shared" si="59"/>
        <v>1.2</v>
      </c>
      <c r="I353" s="10">
        <v>1</v>
      </c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10"/>
      <c r="BK353" s="10"/>
      <c r="BL353" s="10"/>
      <c r="BN353" s="10"/>
      <c r="BO353" s="10"/>
      <c r="BP353" s="10"/>
      <c r="BQ353" s="10"/>
      <c r="BR353" s="10"/>
      <c r="BS353" s="10"/>
      <c r="BT353" s="10"/>
      <c r="BU353" s="10"/>
      <c r="BV353" s="10"/>
      <c r="BW353" s="10"/>
      <c r="BX353" s="10"/>
      <c r="BY353" s="10"/>
      <c r="BZ353" s="10"/>
      <c r="CA353" s="10"/>
      <c r="CB353" s="10"/>
      <c r="CC353" s="10"/>
      <c r="CD353" s="10"/>
      <c r="CE353" s="10"/>
      <c r="CF353" s="10"/>
      <c r="CG353" s="10"/>
      <c r="CH353" s="10"/>
      <c r="CI353" s="10"/>
      <c r="CJ353" s="10"/>
      <c r="CK353" s="10"/>
      <c r="CL353" s="10"/>
      <c r="CM353" s="10"/>
      <c r="CN353" s="10"/>
      <c r="CO353" s="10"/>
      <c r="CP353" s="10"/>
      <c r="CQ353" s="10"/>
      <c r="CR353" s="10"/>
      <c r="CS353" s="10"/>
      <c r="CT353" s="10"/>
      <c r="CU353" s="10"/>
      <c r="CV353" s="10"/>
      <c r="CW353" s="10"/>
      <c r="CX353" s="10"/>
      <c r="CY353" s="10"/>
      <c r="CZ353" s="11">
        <f t="shared" si="50"/>
        <v>0</v>
      </c>
      <c r="DA353" s="10"/>
      <c r="DB353" s="10"/>
      <c r="DC353" s="10"/>
      <c r="DD353" s="10"/>
      <c r="DE353" s="10"/>
      <c r="DF353" s="10"/>
      <c r="DG353" s="10"/>
      <c r="DH353" s="10"/>
      <c r="DI353" s="10"/>
      <c r="DJ353" s="11">
        <f t="shared" si="51"/>
        <v>0</v>
      </c>
      <c r="DK353" s="10"/>
      <c r="DL353" s="10"/>
      <c r="DM353" s="10"/>
      <c r="DN353" s="11">
        <f t="shared" si="52"/>
        <v>0</v>
      </c>
      <c r="DO353" s="10"/>
      <c r="DP353" s="10"/>
      <c r="DQ353" s="10">
        <v>1</v>
      </c>
      <c r="DR353" s="11">
        <f t="shared" si="53"/>
        <v>1.2</v>
      </c>
      <c r="DS353" s="10">
        <v>0</v>
      </c>
      <c r="DT353" s="11">
        <f t="shared" si="54"/>
        <v>0</v>
      </c>
      <c r="DU353" s="10"/>
      <c r="DV353" s="11">
        <f t="shared" si="55"/>
        <v>0</v>
      </c>
      <c r="DW353" s="10">
        <v>0</v>
      </c>
      <c r="DX353" s="11">
        <f t="shared" si="56"/>
        <v>0</v>
      </c>
      <c r="DY353" s="10"/>
      <c r="DZ353" s="10"/>
      <c r="EA353" s="11">
        <f t="shared" si="57"/>
        <v>0</v>
      </c>
      <c r="EB353" s="10"/>
      <c r="EC353" s="11">
        <f t="shared" si="58"/>
        <v>0</v>
      </c>
      <c r="ED353" s="10"/>
      <c r="EE353" s="10"/>
    </row>
    <row r="354" spans="2:135" ht="16.5">
      <c r="B354" s="47">
        <v>343</v>
      </c>
      <c r="C354" s="50" t="s">
        <v>1024</v>
      </c>
      <c r="D354" s="49" t="s">
        <v>441</v>
      </c>
      <c r="E354" s="49"/>
      <c r="F354" s="49"/>
      <c r="G354" s="49"/>
      <c r="H354" s="71">
        <f t="shared" si="59"/>
        <v>34.799999999999997</v>
      </c>
      <c r="I354" s="10">
        <v>29</v>
      </c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10"/>
      <c r="BK354" s="10"/>
      <c r="BL354" s="10"/>
      <c r="BN354" s="10"/>
      <c r="BO354" s="10"/>
      <c r="BP354" s="10"/>
      <c r="BQ354" s="10"/>
      <c r="BR354" s="10"/>
      <c r="BS354" s="10"/>
      <c r="BT354" s="10"/>
      <c r="BU354" s="10"/>
      <c r="BV354" s="10"/>
      <c r="BW354" s="10"/>
      <c r="BX354" s="10"/>
      <c r="BY354" s="10"/>
      <c r="BZ354" s="10"/>
      <c r="CA354" s="10"/>
      <c r="CB354" s="10"/>
      <c r="CC354" s="10"/>
      <c r="CD354" s="10"/>
      <c r="CE354" s="10"/>
      <c r="CF354" s="10"/>
      <c r="CG354" s="10"/>
      <c r="CH354" s="10"/>
      <c r="CI354" s="10"/>
      <c r="CJ354" s="10"/>
      <c r="CK354" s="10"/>
      <c r="CL354" s="10"/>
      <c r="CM354" s="10"/>
      <c r="CN354" s="10"/>
      <c r="CO354" s="10"/>
      <c r="CP354" s="10"/>
      <c r="CQ354" s="10"/>
      <c r="CR354" s="10"/>
      <c r="CS354" s="10"/>
      <c r="CT354" s="10"/>
      <c r="CU354" s="10"/>
      <c r="CV354" s="10"/>
      <c r="CW354" s="10"/>
      <c r="CX354" s="10"/>
      <c r="CY354" s="10">
        <v>1</v>
      </c>
      <c r="CZ354" s="11">
        <f t="shared" si="50"/>
        <v>34.799999999999997</v>
      </c>
      <c r="DA354" s="10"/>
      <c r="DB354" s="10"/>
      <c r="DC354" s="10"/>
      <c r="DD354" s="10"/>
      <c r="DE354" s="10"/>
      <c r="DF354" s="10"/>
      <c r="DG354" s="10"/>
      <c r="DH354" s="10"/>
      <c r="DI354" s="10"/>
      <c r="DJ354" s="11">
        <f t="shared" si="51"/>
        <v>0</v>
      </c>
      <c r="DK354" s="10"/>
      <c r="DL354" s="10"/>
      <c r="DM354" s="10">
        <v>1</v>
      </c>
      <c r="DN354" s="11">
        <f t="shared" si="52"/>
        <v>34.799999999999997</v>
      </c>
      <c r="DO354" s="10"/>
      <c r="DP354" s="10"/>
      <c r="DQ354" s="10">
        <v>27</v>
      </c>
      <c r="DR354" s="11">
        <f t="shared" si="53"/>
        <v>939.59999999999991</v>
      </c>
      <c r="DS354" s="10">
        <v>0</v>
      </c>
      <c r="DT354" s="11">
        <f t="shared" si="54"/>
        <v>0</v>
      </c>
      <c r="DU354" s="10"/>
      <c r="DV354" s="11">
        <f t="shared" si="55"/>
        <v>0</v>
      </c>
      <c r="DW354" s="10">
        <v>0</v>
      </c>
      <c r="DX354" s="11">
        <f t="shared" si="56"/>
        <v>0</v>
      </c>
      <c r="DY354" s="10"/>
      <c r="DZ354" s="10"/>
      <c r="EA354" s="11">
        <f t="shared" si="57"/>
        <v>0</v>
      </c>
      <c r="EB354" s="10"/>
      <c r="EC354" s="11">
        <f t="shared" si="58"/>
        <v>0</v>
      </c>
      <c r="ED354" s="10"/>
      <c r="EE354" s="10"/>
    </row>
    <row r="355" spans="2:135" ht="16.5">
      <c r="B355" s="47">
        <v>344</v>
      </c>
      <c r="C355" s="50" t="s">
        <v>1025</v>
      </c>
      <c r="D355" s="49" t="s">
        <v>442</v>
      </c>
      <c r="E355" s="49"/>
      <c r="F355" s="49"/>
      <c r="G355" s="49"/>
      <c r="H355" s="71">
        <f t="shared" si="59"/>
        <v>10.799999999999999</v>
      </c>
      <c r="I355" s="10">
        <v>9</v>
      </c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10"/>
      <c r="BK355" s="10"/>
      <c r="BL355" s="10"/>
      <c r="BN355" s="10"/>
      <c r="BO355" s="10"/>
      <c r="BP355" s="10"/>
      <c r="BQ355" s="10"/>
      <c r="BR355" s="10"/>
      <c r="BS355" s="10"/>
      <c r="BT355" s="10"/>
      <c r="BU355" s="10"/>
      <c r="BV355" s="10"/>
      <c r="BW355" s="10"/>
      <c r="BX355" s="10"/>
      <c r="BY355" s="10"/>
      <c r="BZ355" s="10"/>
      <c r="CA355" s="10"/>
      <c r="CB355" s="10"/>
      <c r="CC355" s="10"/>
      <c r="CD355" s="10"/>
      <c r="CE355" s="10"/>
      <c r="CF355" s="10"/>
      <c r="CG355" s="10"/>
      <c r="CH355" s="10"/>
      <c r="CI355" s="10"/>
      <c r="CJ355" s="10"/>
      <c r="CK355" s="10"/>
      <c r="CL355" s="10"/>
      <c r="CM355" s="10"/>
      <c r="CN355" s="10"/>
      <c r="CO355" s="10"/>
      <c r="CP355" s="10"/>
      <c r="CQ355" s="10"/>
      <c r="CR355" s="10"/>
      <c r="CS355" s="10"/>
      <c r="CT355" s="10"/>
      <c r="CU355" s="10"/>
      <c r="CV355" s="10"/>
      <c r="CW355" s="10"/>
      <c r="CX355" s="10"/>
      <c r="CY355" s="10"/>
      <c r="CZ355" s="11">
        <f t="shared" si="50"/>
        <v>0</v>
      </c>
      <c r="DA355" s="10"/>
      <c r="DB355" s="10"/>
      <c r="DC355" s="10"/>
      <c r="DD355" s="10"/>
      <c r="DE355" s="10"/>
      <c r="DF355" s="10"/>
      <c r="DG355" s="10"/>
      <c r="DH355" s="10"/>
      <c r="DI355" s="10"/>
      <c r="DJ355" s="11">
        <f t="shared" si="51"/>
        <v>0</v>
      </c>
      <c r="DK355" s="10"/>
      <c r="DL355" s="10"/>
      <c r="DM355" s="10"/>
      <c r="DN355" s="11">
        <f t="shared" si="52"/>
        <v>0</v>
      </c>
      <c r="DO355" s="10"/>
      <c r="DP355" s="10"/>
      <c r="DQ355" s="10">
        <v>9</v>
      </c>
      <c r="DR355" s="11">
        <f t="shared" si="53"/>
        <v>97.199999999999989</v>
      </c>
      <c r="DS355" s="10">
        <v>0</v>
      </c>
      <c r="DT355" s="11">
        <f t="shared" si="54"/>
        <v>0</v>
      </c>
      <c r="DU355" s="10"/>
      <c r="DV355" s="11">
        <f t="shared" si="55"/>
        <v>0</v>
      </c>
      <c r="DW355" s="10">
        <v>0</v>
      </c>
      <c r="DX355" s="11">
        <f t="shared" si="56"/>
        <v>0</v>
      </c>
      <c r="DY355" s="10"/>
      <c r="DZ355" s="10"/>
      <c r="EA355" s="11">
        <f t="shared" si="57"/>
        <v>0</v>
      </c>
      <c r="EB355" s="10"/>
      <c r="EC355" s="11">
        <f t="shared" si="58"/>
        <v>0</v>
      </c>
      <c r="ED355" s="10"/>
      <c r="EE355" s="10"/>
    </row>
    <row r="356" spans="2:135" ht="16.5">
      <c r="B356" s="47">
        <v>345</v>
      </c>
      <c r="C356" s="50" t="s">
        <v>1026</v>
      </c>
      <c r="D356" s="49" t="s">
        <v>443</v>
      </c>
      <c r="E356" s="49"/>
      <c r="F356" s="49"/>
      <c r="G356" s="49"/>
      <c r="H356" s="71">
        <f t="shared" si="59"/>
        <v>7.1999999999999993</v>
      </c>
      <c r="I356" s="10">
        <v>6</v>
      </c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10"/>
      <c r="BK356" s="10"/>
      <c r="BL356" s="10"/>
      <c r="BN356" s="10"/>
      <c r="BO356" s="10"/>
      <c r="BP356" s="10"/>
      <c r="BQ356" s="10"/>
      <c r="BR356" s="10"/>
      <c r="BS356" s="10"/>
      <c r="BT356" s="10"/>
      <c r="BU356" s="10"/>
      <c r="BV356" s="10"/>
      <c r="BW356" s="10"/>
      <c r="BX356" s="10"/>
      <c r="BY356" s="10"/>
      <c r="BZ356" s="10"/>
      <c r="CA356" s="10"/>
      <c r="CB356" s="10"/>
      <c r="CC356" s="10"/>
      <c r="CD356" s="10"/>
      <c r="CE356" s="10"/>
      <c r="CF356" s="10"/>
      <c r="CG356" s="10"/>
      <c r="CH356" s="10"/>
      <c r="CI356" s="10"/>
      <c r="CJ356" s="10"/>
      <c r="CK356" s="10"/>
      <c r="CL356" s="10"/>
      <c r="CM356" s="10"/>
      <c r="CN356" s="10"/>
      <c r="CO356" s="10"/>
      <c r="CP356" s="10"/>
      <c r="CQ356" s="10"/>
      <c r="CR356" s="10"/>
      <c r="CS356" s="10"/>
      <c r="CT356" s="10"/>
      <c r="CU356" s="10"/>
      <c r="CV356" s="10"/>
      <c r="CW356" s="10"/>
      <c r="CX356" s="10"/>
      <c r="CY356" s="10">
        <v>4</v>
      </c>
      <c r="CZ356" s="11">
        <f t="shared" si="50"/>
        <v>28.799999999999997</v>
      </c>
      <c r="DA356" s="10"/>
      <c r="DB356" s="10"/>
      <c r="DC356" s="10"/>
      <c r="DD356" s="10"/>
      <c r="DE356" s="10"/>
      <c r="DF356" s="10"/>
      <c r="DG356" s="10"/>
      <c r="DH356" s="10"/>
      <c r="DI356" s="10"/>
      <c r="DJ356" s="11">
        <f t="shared" si="51"/>
        <v>0</v>
      </c>
      <c r="DK356" s="10"/>
      <c r="DL356" s="10"/>
      <c r="DM356" s="10"/>
      <c r="DN356" s="11">
        <f t="shared" si="52"/>
        <v>0</v>
      </c>
      <c r="DO356" s="10"/>
      <c r="DP356" s="10"/>
      <c r="DQ356" s="10">
        <v>2</v>
      </c>
      <c r="DR356" s="11">
        <f t="shared" si="53"/>
        <v>14.399999999999999</v>
      </c>
      <c r="DS356" s="10">
        <v>0</v>
      </c>
      <c r="DT356" s="11">
        <f t="shared" si="54"/>
        <v>0</v>
      </c>
      <c r="DU356" s="10"/>
      <c r="DV356" s="11">
        <f t="shared" si="55"/>
        <v>0</v>
      </c>
      <c r="DW356" s="10">
        <v>0</v>
      </c>
      <c r="DX356" s="11">
        <f t="shared" si="56"/>
        <v>0</v>
      </c>
      <c r="DY356" s="10"/>
      <c r="DZ356" s="10"/>
      <c r="EA356" s="11">
        <f t="shared" si="57"/>
        <v>0</v>
      </c>
      <c r="EB356" s="10"/>
      <c r="EC356" s="11">
        <f t="shared" si="58"/>
        <v>0</v>
      </c>
      <c r="ED356" s="10"/>
      <c r="EE356" s="10"/>
    </row>
    <row r="357" spans="2:135" ht="16.5">
      <c r="B357" s="47">
        <v>346</v>
      </c>
      <c r="C357" s="50" t="s">
        <v>1027</v>
      </c>
      <c r="D357" s="49" t="s">
        <v>444</v>
      </c>
      <c r="E357" s="49"/>
      <c r="F357" s="49"/>
      <c r="G357" s="49"/>
      <c r="H357" s="71">
        <f t="shared" si="59"/>
        <v>9.6</v>
      </c>
      <c r="I357" s="10">
        <v>8</v>
      </c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10"/>
      <c r="BK357" s="10"/>
      <c r="BL357" s="10"/>
      <c r="BN357" s="10"/>
      <c r="BO357" s="10"/>
      <c r="BP357" s="10"/>
      <c r="BQ357" s="10"/>
      <c r="BR357" s="10"/>
      <c r="BS357" s="10"/>
      <c r="BT357" s="10"/>
      <c r="BU357" s="10"/>
      <c r="BV357" s="10"/>
      <c r="BW357" s="10"/>
      <c r="BX357" s="10"/>
      <c r="BY357" s="10"/>
      <c r="BZ357" s="10"/>
      <c r="CA357" s="10"/>
      <c r="CB357" s="10"/>
      <c r="CC357" s="10"/>
      <c r="CD357" s="10"/>
      <c r="CE357" s="10"/>
      <c r="CF357" s="10"/>
      <c r="CG357" s="10"/>
      <c r="CH357" s="10"/>
      <c r="CI357" s="10"/>
      <c r="CJ357" s="10"/>
      <c r="CK357" s="10"/>
      <c r="CL357" s="10"/>
      <c r="CM357" s="10"/>
      <c r="CN357" s="10"/>
      <c r="CO357" s="10"/>
      <c r="CP357" s="10"/>
      <c r="CQ357" s="10"/>
      <c r="CR357" s="10"/>
      <c r="CS357" s="10"/>
      <c r="CT357" s="10"/>
      <c r="CU357" s="10"/>
      <c r="CV357" s="10"/>
      <c r="CW357" s="10"/>
      <c r="CX357" s="10"/>
      <c r="CY357" s="10"/>
      <c r="CZ357" s="11">
        <f t="shared" si="50"/>
        <v>0</v>
      </c>
      <c r="DA357" s="10"/>
      <c r="DB357" s="10"/>
      <c r="DC357" s="10"/>
      <c r="DD357" s="10"/>
      <c r="DE357" s="10"/>
      <c r="DF357" s="10"/>
      <c r="DG357" s="10"/>
      <c r="DH357" s="10"/>
      <c r="DI357" s="10"/>
      <c r="DJ357" s="11">
        <f t="shared" si="51"/>
        <v>0</v>
      </c>
      <c r="DK357" s="10"/>
      <c r="DL357" s="10"/>
      <c r="DM357" s="10"/>
      <c r="DN357" s="11">
        <f t="shared" si="52"/>
        <v>0</v>
      </c>
      <c r="DO357" s="10"/>
      <c r="DP357" s="10"/>
      <c r="DQ357" s="10">
        <v>8</v>
      </c>
      <c r="DR357" s="11">
        <f t="shared" si="53"/>
        <v>76.8</v>
      </c>
      <c r="DS357" s="10">
        <v>0</v>
      </c>
      <c r="DT357" s="11">
        <f t="shared" si="54"/>
        <v>0</v>
      </c>
      <c r="DU357" s="10"/>
      <c r="DV357" s="11">
        <f t="shared" si="55"/>
        <v>0</v>
      </c>
      <c r="DW357" s="10">
        <v>0</v>
      </c>
      <c r="DX357" s="11">
        <f t="shared" si="56"/>
        <v>0</v>
      </c>
      <c r="DY357" s="10"/>
      <c r="DZ357" s="10"/>
      <c r="EA357" s="11">
        <f t="shared" si="57"/>
        <v>0</v>
      </c>
      <c r="EB357" s="10"/>
      <c r="EC357" s="11">
        <f t="shared" si="58"/>
        <v>0</v>
      </c>
      <c r="ED357" s="10"/>
      <c r="EE357" s="10"/>
    </row>
    <row r="358" spans="2:135" ht="16.5">
      <c r="B358" s="47">
        <v>347</v>
      </c>
      <c r="C358" s="50" t="s">
        <v>1028</v>
      </c>
      <c r="D358" s="49" t="s">
        <v>445</v>
      </c>
      <c r="E358" s="49"/>
      <c r="F358" s="49"/>
      <c r="G358" s="49"/>
      <c r="H358" s="71">
        <f t="shared" si="59"/>
        <v>6</v>
      </c>
      <c r="I358" s="10">
        <v>5</v>
      </c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10"/>
      <c r="BK358" s="10"/>
      <c r="BL358" s="10"/>
      <c r="BN358" s="10"/>
      <c r="BO358" s="10"/>
      <c r="BP358" s="10"/>
      <c r="BQ358" s="10"/>
      <c r="BR358" s="10"/>
      <c r="BS358" s="10"/>
      <c r="BT358" s="10"/>
      <c r="BU358" s="10"/>
      <c r="BV358" s="10"/>
      <c r="BW358" s="10"/>
      <c r="BX358" s="10"/>
      <c r="BY358" s="10"/>
      <c r="BZ358" s="10"/>
      <c r="CA358" s="10"/>
      <c r="CB358" s="10"/>
      <c r="CC358" s="10"/>
      <c r="CD358" s="10"/>
      <c r="CE358" s="10"/>
      <c r="CF358" s="10"/>
      <c r="CG358" s="10"/>
      <c r="CH358" s="10"/>
      <c r="CI358" s="10"/>
      <c r="CJ358" s="10"/>
      <c r="CK358" s="10"/>
      <c r="CL358" s="10"/>
      <c r="CM358" s="10"/>
      <c r="CN358" s="10"/>
      <c r="CO358" s="10"/>
      <c r="CP358" s="10"/>
      <c r="CQ358" s="10"/>
      <c r="CR358" s="10"/>
      <c r="CS358" s="10"/>
      <c r="CT358" s="10"/>
      <c r="CU358" s="10"/>
      <c r="CV358" s="10"/>
      <c r="CW358" s="10"/>
      <c r="CX358" s="10"/>
      <c r="CY358" s="10"/>
      <c r="CZ358" s="11">
        <f t="shared" si="50"/>
        <v>0</v>
      </c>
      <c r="DA358" s="10"/>
      <c r="DB358" s="10"/>
      <c r="DC358" s="10"/>
      <c r="DD358" s="10"/>
      <c r="DE358" s="10"/>
      <c r="DF358" s="10"/>
      <c r="DG358" s="10"/>
      <c r="DH358" s="10"/>
      <c r="DI358" s="10"/>
      <c r="DJ358" s="11">
        <f t="shared" si="51"/>
        <v>0</v>
      </c>
      <c r="DK358" s="10"/>
      <c r="DL358" s="10"/>
      <c r="DM358" s="10"/>
      <c r="DN358" s="11">
        <f t="shared" si="52"/>
        <v>0</v>
      </c>
      <c r="DO358" s="10"/>
      <c r="DP358" s="10"/>
      <c r="DQ358" s="10">
        <v>0</v>
      </c>
      <c r="DR358" s="11">
        <f t="shared" si="53"/>
        <v>0</v>
      </c>
      <c r="DS358" s="10">
        <v>0</v>
      </c>
      <c r="DT358" s="11">
        <f t="shared" si="54"/>
        <v>0</v>
      </c>
      <c r="DU358" s="10">
        <v>5</v>
      </c>
      <c r="DV358" s="11">
        <f t="shared" si="55"/>
        <v>30</v>
      </c>
      <c r="DW358" s="10">
        <v>0</v>
      </c>
      <c r="DX358" s="11">
        <f t="shared" si="56"/>
        <v>0</v>
      </c>
      <c r="DY358" s="10"/>
      <c r="DZ358" s="10"/>
      <c r="EA358" s="11">
        <f t="shared" si="57"/>
        <v>0</v>
      </c>
      <c r="EB358" s="10"/>
      <c r="EC358" s="11">
        <f t="shared" si="58"/>
        <v>0</v>
      </c>
      <c r="ED358" s="10"/>
      <c r="EE358" s="10"/>
    </row>
    <row r="359" spans="2:135" ht="16.5">
      <c r="B359" s="47">
        <v>348</v>
      </c>
      <c r="C359" s="50" t="s">
        <v>1029</v>
      </c>
      <c r="D359" s="49" t="s">
        <v>446</v>
      </c>
      <c r="E359" s="49"/>
      <c r="F359" s="49"/>
      <c r="G359" s="49"/>
      <c r="H359" s="71">
        <f t="shared" si="59"/>
        <v>13.2</v>
      </c>
      <c r="I359" s="10">
        <v>11</v>
      </c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10"/>
      <c r="BK359" s="10"/>
      <c r="BL359" s="10"/>
      <c r="BN359" s="10"/>
      <c r="BO359" s="10"/>
      <c r="BP359" s="10"/>
      <c r="BQ359" s="10"/>
      <c r="BR359" s="10"/>
      <c r="BS359" s="10"/>
      <c r="BT359" s="10"/>
      <c r="BU359" s="10"/>
      <c r="BV359" s="10"/>
      <c r="BW359" s="10"/>
      <c r="BX359" s="10"/>
      <c r="BY359" s="10"/>
      <c r="BZ359" s="10"/>
      <c r="CA359" s="10"/>
      <c r="CB359" s="10"/>
      <c r="CC359" s="10"/>
      <c r="CD359" s="10"/>
      <c r="CE359" s="10"/>
      <c r="CF359" s="10"/>
      <c r="CG359" s="10"/>
      <c r="CH359" s="10"/>
      <c r="CI359" s="10"/>
      <c r="CJ359" s="10"/>
      <c r="CK359" s="10"/>
      <c r="CL359" s="10"/>
      <c r="CM359" s="10"/>
      <c r="CN359" s="10"/>
      <c r="CO359" s="10"/>
      <c r="CP359" s="10"/>
      <c r="CQ359" s="10"/>
      <c r="CR359" s="10"/>
      <c r="CS359" s="10"/>
      <c r="CT359" s="10"/>
      <c r="CU359" s="10"/>
      <c r="CV359" s="10"/>
      <c r="CW359" s="10"/>
      <c r="CX359" s="10"/>
      <c r="CY359" s="10"/>
      <c r="CZ359" s="11">
        <f t="shared" si="50"/>
        <v>0</v>
      </c>
      <c r="DA359" s="10"/>
      <c r="DB359" s="10"/>
      <c r="DC359" s="10"/>
      <c r="DD359" s="10"/>
      <c r="DE359" s="10"/>
      <c r="DF359" s="10"/>
      <c r="DG359" s="10"/>
      <c r="DH359" s="10"/>
      <c r="DI359" s="10"/>
      <c r="DJ359" s="11">
        <f t="shared" si="51"/>
        <v>0</v>
      </c>
      <c r="DK359" s="10"/>
      <c r="DL359" s="10"/>
      <c r="DM359" s="10"/>
      <c r="DN359" s="11">
        <f t="shared" si="52"/>
        <v>0</v>
      </c>
      <c r="DO359" s="10"/>
      <c r="DP359" s="10"/>
      <c r="DQ359" s="10">
        <v>11</v>
      </c>
      <c r="DR359" s="11">
        <f t="shared" si="53"/>
        <v>145.19999999999999</v>
      </c>
      <c r="DS359" s="10">
        <v>0</v>
      </c>
      <c r="DT359" s="11">
        <f t="shared" si="54"/>
        <v>0</v>
      </c>
      <c r="DU359" s="10"/>
      <c r="DV359" s="11">
        <f t="shared" si="55"/>
        <v>0</v>
      </c>
      <c r="DW359" s="10">
        <v>0</v>
      </c>
      <c r="DX359" s="11">
        <f t="shared" si="56"/>
        <v>0</v>
      </c>
      <c r="DY359" s="10"/>
      <c r="DZ359" s="10"/>
      <c r="EA359" s="11">
        <f t="shared" si="57"/>
        <v>0</v>
      </c>
      <c r="EB359" s="10"/>
      <c r="EC359" s="11">
        <f t="shared" si="58"/>
        <v>0</v>
      </c>
      <c r="ED359" s="10"/>
      <c r="EE359" s="10"/>
    </row>
    <row r="360" spans="2:135" ht="16.5">
      <c r="B360" s="47">
        <v>349</v>
      </c>
      <c r="C360" s="50" t="s">
        <v>1030</v>
      </c>
      <c r="D360" s="49" t="s">
        <v>447</v>
      </c>
      <c r="E360" s="49"/>
      <c r="F360" s="49"/>
      <c r="G360" s="49"/>
      <c r="H360" s="71">
        <f t="shared" si="59"/>
        <v>16.8</v>
      </c>
      <c r="I360" s="10">
        <v>14</v>
      </c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10"/>
      <c r="BK360" s="10"/>
      <c r="BL360" s="10"/>
      <c r="BN360" s="10"/>
      <c r="BO360" s="10"/>
      <c r="BP360" s="10"/>
      <c r="BQ360" s="10"/>
      <c r="BR360" s="10"/>
      <c r="BS360" s="10"/>
      <c r="BT360" s="10"/>
      <c r="BU360" s="10"/>
      <c r="BV360" s="10"/>
      <c r="BW360" s="10"/>
      <c r="BX360" s="10"/>
      <c r="BY360" s="10"/>
      <c r="BZ360" s="10"/>
      <c r="CA360" s="10"/>
      <c r="CB360" s="10"/>
      <c r="CC360" s="10"/>
      <c r="CD360" s="10"/>
      <c r="CE360" s="10"/>
      <c r="CF360" s="10"/>
      <c r="CG360" s="10"/>
      <c r="CH360" s="10"/>
      <c r="CI360" s="10"/>
      <c r="CJ360" s="10"/>
      <c r="CK360" s="10"/>
      <c r="CL360" s="10"/>
      <c r="CM360" s="10"/>
      <c r="CN360" s="10"/>
      <c r="CO360" s="10"/>
      <c r="CP360" s="10"/>
      <c r="CQ360" s="10"/>
      <c r="CR360" s="10"/>
      <c r="CS360" s="10"/>
      <c r="CT360" s="10"/>
      <c r="CU360" s="10"/>
      <c r="CV360" s="10"/>
      <c r="CW360" s="10"/>
      <c r="CX360" s="10"/>
      <c r="CY360" s="10">
        <v>2</v>
      </c>
      <c r="CZ360" s="11">
        <f t="shared" si="50"/>
        <v>33.6</v>
      </c>
      <c r="DA360" s="10"/>
      <c r="DB360" s="10"/>
      <c r="DC360" s="10"/>
      <c r="DD360" s="10"/>
      <c r="DE360" s="10"/>
      <c r="DF360" s="10"/>
      <c r="DG360" s="10"/>
      <c r="DH360" s="10"/>
      <c r="DI360" s="10">
        <v>2</v>
      </c>
      <c r="DJ360" s="11">
        <f t="shared" si="51"/>
        <v>33.6</v>
      </c>
      <c r="DK360" s="10"/>
      <c r="DL360" s="10"/>
      <c r="DM360" s="10"/>
      <c r="DN360" s="11">
        <f t="shared" si="52"/>
        <v>0</v>
      </c>
      <c r="DO360" s="10"/>
      <c r="DP360" s="10"/>
      <c r="DQ360" s="10">
        <v>10</v>
      </c>
      <c r="DR360" s="11">
        <f t="shared" si="53"/>
        <v>168</v>
      </c>
      <c r="DS360" s="10">
        <v>0</v>
      </c>
      <c r="DT360" s="11">
        <f t="shared" si="54"/>
        <v>0</v>
      </c>
      <c r="DU360" s="10"/>
      <c r="DV360" s="11">
        <f t="shared" si="55"/>
        <v>0</v>
      </c>
      <c r="DW360" s="10">
        <v>0</v>
      </c>
      <c r="DX360" s="11">
        <f t="shared" si="56"/>
        <v>0</v>
      </c>
      <c r="DY360" s="10"/>
      <c r="DZ360" s="10"/>
      <c r="EA360" s="11">
        <f t="shared" si="57"/>
        <v>0</v>
      </c>
      <c r="EB360" s="10"/>
      <c r="EC360" s="11">
        <f t="shared" si="58"/>
        <v>0</v>
      </c>
      <c r="ED360" s="10"/>
      <c r="EE360" s="10"/>
    </row>
    <row r="361" spans="2:135" ht="16.5">
      <c r="B361" s="47">
        <v>350</v>
      </c>
      <c r="C361" s="50" t="s">
        <v>1031</v>
      </c>
      <c r="D361" s="49" t="s">
        <v>448</v>
      </c>
      <c r="E361" s="49"/>
      <c r="F361" s="49"/>
      <c r="G361" s="49"/>
      <c r="H361" s="71">
        <f t="shared" si="59"/>
        <v>3.5999999999999996</v>
      </c>
      <c r="I361" s="10">
        <v>3</v>
      </c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10"/>
      <c r="BK361" s="10"/>
      <c r="BL361" s="10"/>
      <c r="BN361" s="10"/>
      <c r="BO361" s="10"/>
      <c r="BP361" s="10"/>
      <c r="BQ361" s="10"/>
      <c r="BR361" s="10"/>
      <c r="BS361" s="10"/>
      <c r="BT361" s="10"/>
      <c r="BU361" s="10"/>
      <c r="BV361" s="10"/>
      <c r="BW361" s="10"/>
      <c r="BX361" s="10"/>
      <c r="BY361" s="10"/>
      <c r="BZ361" s="10"/>
      <c r="CA361" s="10"/>
      <c r="CB361" s="10"/>
      <c r="CC361" s="10"/>
      <c r="CD361" s="10"/>
      <c r="CE361" s="10"/>
      <c r="CF361" s="10"/>
      <c r="CG361" s="10"/>
      <c r="CH361" s="10"/>
      <c r="CI361" s="10"/>
      <c r="CJ361" s="10"/>
      <c r="CK361" s="10"/>
      <c r="CL361" s="10"/>
      <c r="CM361" s="10"/>
      <c r="CN361" s="10"/>
      <c r="CO361" s="10"/>
      <c r="CP361" s="10"/>
      <c r="CQ361" s="10"/>
      <c r="CR361" s="10"/>
      <c r="CS361" s="10"/>
      <c r="CT361" s="10"/>
      <c r="CU361" s="10"/>
      <c r="CV361" s="10"/>
      <c r="CW361" s="10"/>
      <c r="CX361" s="10"/>
      <c r="CY361" s="10"/>
      <c r="CZ361" s="11">
        <f t="shared" si="50"/>
        <v>0</v>
      </c>
      <c r="DA361" s="10"/>
      <c r="DB361" s="10"/>
      <c r="DC361" s="10"/>
      <c r="DD361" s="10"/>
      <c r="DE361" s="10"/>
      <c r="DF361" s="10"/>
      <c r="DG361" s="10"/>
      <c r="DH361" s="10"/>
      <c r="DI361" s="10"/>
      <c r="DJ361" s="11">
        <f t="shared" si="51"/>
        <v>0</v>
      </c>
      <c r="DK361" s="10"/>
      <c r="DL361" s="10"/>
      <c r="DM361" s="10"/>
      <c r="DN361" s="11">
        <f t="shared" si="52"/>
        <v>0</v>
      </c>
      <c r="DO361" s="10"/>
      <c r="DP361" s="10"/>
      <c r="DQ361" s="10">
        <v>0</v>
      </c>
      <c r="DR361" s="11">
        <f t="shared" si="53"/>
        <v>0</v>
      </c>
      <c r="DS361" s="10">
        <v>0</v>
      </c>
      <c r="DT361" s="11">
        <f t="shared" si="54"/>
        <v>0</v>
      </c>
      <c r="DU361" s="10"/>
      <c r="DV361" s="11">
        <f t="shared" si="55"/>
        <v>0</v>
      </c>
      <c r="DW361" s="10">
        <v>3</v>
      </c>
      <c r="DX361" s="11">
        <f t="shared" si="56"/>
        <v>10.799999999999999</v>
      </c>
      <c r="DY361" s="10"/>
      <c r="DZ361" s="10"/>
      <c r="EA361" s="11">
        <f t="shared" si="57"/>
        <v>0</v>
      </c>
      <c r="EB361" s="10"/>
      <c r="EC361" s="11">
        <f t="shared" si="58"/>
        <v>0</v>
      </c>
      <c r="ED361" s="10"/>
      <c r="EE361" s="10"/>
    </row>
    <row r="362" spans="2:135" ht="16.5">
      <c r="B362" s="47">
        <v>351</v>
      </c>
      <c r="C362" s="50" t="s">
        <v>1032</v>
      </c>
      <c r="D362" s="49" t="s">
        <v>449</v>
      </c>
      <c r="E362" s="49"/>
      <c r="F362" s="49"/>
      <c r="G362" s="49"/>
      <c r="H362" s="71">
        <f t="shared" si="59"/>
        <v>2.4</v>
      </c>
      <c r="I362" s="10">
        <v>2</v>
      </c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10"/>
      <c r="BK362" s="10"/>
      <c r="BL362" s="10"/>
      <c r="BN362" s="10"/>
      <c r="BO362" s="10"/>
      <c r="BP362" s="10"/>
      <c r="BQ362" s="10"/>
      <c r="BR362" s="10"/>
      <c r="BS362" s="10"/>
      <c r="BT362" s="10"/>
      <c r="BU362" s="10"/>
      <c r="BV362" s="10"/>
      <c r="BW362" s="10"/>
      <c r="BX362" s="10"/>
      <c r="BY362" s="10"/>
      <c r="BZ362" s="10"/>
      <c r="CA362" s="10"/>
      <c r="CB362" s="10"/>
      <c r="CC362" s="10"/>
      <c r="CD362" s="10"/>
      <c r="CE362" s="10"/>
      <c r="CF362" s="10"/>
      <c r="CG362" s="10"/>
      <c r="CH362" s="10"/>
      <c r="CI362" s="10"/>
      <c r="CJ362" s="10"/>
      <c r="CK362" s="10"/>
      <c r="CL362" s="10"/>
      <c r="CM362" s="10"/>
      <c r="CN362" s="10"/>
      <c r="CO362" s="10"/>
      <c r="CP362" s="10"/>
      <c r="CQ362" s="10"/>
      <c r="CR362" s="10"/>
      <c r="CS362" s="10"/>
      <c r="CT362" s="10"/>
      <c r="CU362" s="10"/>
      <c r="CV362" s="10"/>
      <c r="CW362" s="10"/>
      <c r="CX362" s="10"/>
      <c r="CY362" s="10"/>
      <c r="CZ362" s="11">
        <f t="shared" si="50"/>
        <v>0</v>
      </c>
      <c r="DA362" s="10"/>
      <c r="DB362" s="10"/>
      <c r="DC362" s="10"/>
      <c r="DD362" s="10"/>
      <c r="DE362" s="10"/>
      <c r="DF362" s="10"/>
      <c r="DG362" s="10"/>
      <c r="DH362" s="10"/>
      <c r="DI362" s="10"/>
      <c r="DJ362" s="11">
        <f t="shared" si="51"/>
        <v>0</v>
      </c>
      <c r="DK362" s="10"/>
      <c r="DL362" s="10"/>
      <c r="DM362" s="10"/>
      <c r="DN362" s="11">
        <f t="shared" si="52"/>
        <v>0</v>
      </c>
      <c r="DO362" s="10"/>
      <c r="DP362" s="10"/>
      <c r="DQ362" s="10">
        <v>2</v>
      </c>
      <c r="DR362" s="11">
        <f t="shared" si="53"/>
        <v>4.8</v>
      </c>
      <c r="DS362" s="10">
        <v>0</v>
      </c>
      <c r="DT362" s="11">
        <f t="shared" si="54"/>
        <v>0</v>
      </c>
      <c r="DU362" s="10"/>
      <c r="DV362" s="11">
        <f t="shared" si="55"/>
        <v>0</v>
      </c>
      <c r="DW362" s="10">
        <v>0</v>
      </c>
      <c r="DX362" s="11">
        <f t="shared" si="56"/>
        <v>0</v>
      </c>
      <c r="DY362" s="10"/>
      <c r="DZ362" s="10"/>
      <c r="EA362" s="11">
        <f t="shared" si="57"/>
        <v>0</v>
      </c>
      <c r="EB362" s="10"/>
      <c r="EC362" s="11">
        <f t="shared" si="58"/>
        <v>0</v>
      </c>
      <c r="ED362" s="10"/>
      <c r="EE362" s="10"/>
    </row>
    <row r="363" spans="2:135" ht="16.5">
      <c r="B363" s="47">
        <v>352</v>
      </c>
      <c r="C363" s="50" t="s">
        <v>1033</v>
      </c>
      <c r="D363" s="49" t="s">
        <v>450</v>
      </c>
      <c r="E363" s="49"/>
      <c r="F363" s="49"/>
      <c r="G363" s="49"/>
      <c r="H363" s="71">
        <f t="shared" si="59"/>
        <v>1.2</v>
      </c>
      <c r="I363" s="10">
        <v>1</v>
      </c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10"/>
      <c r="BK363" s="10"/>
      <c r="BL363" s="10"/>
      <c r="BN363" s="10"/>
      <c r="BO363" s="10"/>
      <c r="BP363" s="10"/>
      <c r="BQ363" s="10"/>
      <c r="BR363" s="10"/>
      <c r="BS363" s="10"/>
      <c r="BT363" s="10"/>
      <c r="BU363" s="10"/>
      <c r="BV363" s="10"/>
      <c r="BW363" s="10"/>
      <c r="BX363" s="10"/>
      <c r="BY363" s="10"/>
      <c r="BZ363" s="10"/>
      <c r="CA363" s="10"/>
      <c r="CB363" s="10"/>
      <c r="CC363" s="10"/>
      <c r="CD363" s="10"/>
      <c r="CE363" s="10"/>
      <c r="CF363" s="10"/>
      <c r="CG363" s="10"/>
      <c r="CH363" s="10"/>
      <c r="CI363" s="10"/>
      <c r="CJ363" s="10"/>
      <c r="CK363" s="10"/>
      <c r="CL363" s="10"/>
      <c r="CM363" s="10"/>
      <c r="CN363" s="10"/>
      <c r="CO363" s="10"/>
      <c r="CP363" s="10"/>
      <c r="CQ363" s="10"/>
      <c r="CR363" s="10"/>
      <c r="CS363" s="10"/>
      <c r="CT363" s="10"/>
      <c r="CU363" s="10"/>
      <c r="CV363" s="10"/>
      <c r="CW363" s="10"/>
      <c r="CX363" s="10"/>
      <c r="CY363" s="10"/>
      <c r="CZ363" s="11">
        <f t="shared" si="50"/>
        <v>0</v>
      </c>
      <c r="DA363" s="10"/>
      <c r="DB363" s="10"/>
      <c r="DC363" s="10"/>
      <c r="DD363" s="10"/>
      <c r="DE363" s="10"/>
      <c r="DF363" s="10"/>
      <c r="DG363" s="10"/>
      <c r="DH363" s="10"/>
      <c r="DI363" s="10"/>
      <c r="DJ363" s="11">
        <f t="shared" si="51"/>
        <v>0</v>
      </c>
      <c r="DK363" s="10"/>
      <c r="DL363" s="10"/>
      <c r="DM363" s="10"/>
      <c r="DN363" s="11">
        <f t="shared" si="52"/>
        <v>0</v>
      </c>
      <c r="DO363" s="10"/>
      <c r="DP363" s="10"/>
      <c r="DQ363" s="10">
        <v>1</v>
      </c>
      <c r="DR363" s="11">
        <f t="shared" si="53"/>
        <v>1.2</v>
      </c>
      <c r="DS363" s="10">
        <v>0</v>
      </c>
      <c r="DT363" s="11">
        <f t="shared" si="54"/>
        <v>0</v>
      </c>
      <c r="DU363" s="10"/>
      <c r="DV363" s="11">
        <f t="shared" si="55"/>
        <v>0</v>
      </c>
      <c r="DW363" s="10">
        <v>0</v>
      </c>
      <c r="DX363" s="11">
        <f t="shared" si="56"/>
        <v>0</v>
      </c>
      <c r="DY363" s="10"/>
      <c r="DZ363" s="10"/>
      <c r="EA363" s="11">
        <f t="shared" si="57"/>
        <v>0</v>
      </c>
      <c r="EB363" s="10"/>
      <c r="EC363" s="11">
        <f t="shared" si="58"/>
        <v>0</v>
      </c>
      <c r="ED363" s="10"/>
      <c r="EE363" s="10"/>
    </row>
    <row r="364" spans="2:135" ht="16.5">
      <c r="B364" s="47">
        <v>353</v>
      </c>
      <c r="C364" s="50" t="s">
        <v>1034</v>
      </c>
      <c r="D364" s="49" t="s">
        <v>451</v>
      </c>
      <c r="E364" s="49"/>
      <c r="F364" s="49"/>
      <c r="G364" s="49"/>
      <c r="H364" s="71">
        <f t="shared" si="59"/>
        <v>2.4</v>
      </c>
      <c r="I364" s="10">
        <v>2</v>
      </c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10"/>
      <c r="BK364" s="10"/>
      <c r="BL364" s="10"/>
      <c r="BN364" s="10"/>
      <c r="B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  <c r="CD364" s="10"/>
      <c r="CE364" s="10"/>
      <c r="CF364" s="10"/>
      <c r="CG364" s="10"/>
      <c r="CH364" s="10"/>
      <c r="CI364" s="10"/>
      <c r="CJ364" s="10"/>
      <c r="CK364" s="10"/>
      <c r="CL364" s="10"/>
      <c r="CM364" s="10"/>
      <c r="CN364" s="10"/>
      <c r="CO364" s="10"/>
      <c r="CP364" s="10"/>
      <c r="CQ364" s="10"/>
      <c r="CR364" s="10"/>
      <c r="CS364" s="10"/>
      <c r="CT364" s="10"/>
      <c r="CU364" s="10"/>
      <c r="CV364" s="10"/>
      <c r="CW364" s="10"/>
      <c r="CX364" s="10"/>
      <c r="CY364" s="10"/>
      <c r="CZ364" s="11">
        <f t="shared" si="50"/>
        <v>0</v>
      </c>
      <c r="DA364" s="10"/>
      <c r="DB364" s="10"/>
      <c r="DC364" s="10"/>
      <c r="DD364" s="10"/>
      <c r="DE364" s="10"/>
      <c r="DF364" s="10"/>
      <c r="DG364" s="10"/>
      <c r="DH364" s="10"/>
      <c r="DI364" s="10"/>
      <c r="DJ364" s="11">
        <f t="shared" si="51"/>
        <v>0</v>
      </c>
      <c r="DK364" s="10"/>
      <c r="DL364" s="10"/>
      <c r="DM364" s="10"/>
      <c r="DN364" s="11">
        <f t="shared" si="52"/>
        <v>0</v>
      </c>
      <c r="DO364" s="10"/>
      <c r="DP364" s="10"/>
      <c r="DQ364" s="10">
        <v>2</v>
      </c>
      <c r="DR364" s="11">
        <f t="shared" si="53"/>
        <v>4.8</v>
      </c>
      <c r="DS364" s="10">
        <v>0</v>
      </c>
      <c r="DT364" s="11">
        <f t="shared" si="54"/>
        <v>0</v>
      </c>
      <c r="DU364" s="10"/>
      <c r="DV364" s="11">
        <f t="shared" si="55"/>
        <v>0</v>
      </c>
      <c r="DW364" s="10">
        <v>0</v>
      </c>
      <c r="DX364" s="11">
        <f t="shared" si="56"/>
        <v>0</v>
      </c>
      <c r="DY364" s="10"/>
      <c r="DZ364" s="10"/>
      <c r="EA364" s="11">
        <f t="shared" si="57"/>
        <v>0</v>
      </c>
      <c r="EB364" s="10"/>
      <c r="EC364" s="11">
        <f t="shared" si="58"/>
        <v>0</v>
      </c>
      <c r="ED364" s="10"/>
      <c r="EE364" s="10"/>
    </row>
    <row r="365" spans="2:135" ht="16.5">
      <c r="B365" s="47">
        <v>354</v>
      </c>
      <c r="C365" s="50" t="s">
        <v>1035</v>
      </c>
      <c r="D365" s="49" t="s">
        <v>452</v>
      </c>
      <c r="E365" s="49"/>
      <c r="F365" s="49"/>
      <c r="G365" s="49"/>
      <c r="H365" s="71">
        <f t="shared" si="59"/>
        <v>33.6</v>
      </c>
      <c r="I365" s="10">
        <v>28</v>
      </c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  <c r="BI365" s="10"/>
      <c r="BJ365" s="10"/>
      <c r="BK365" s="10"/>
      <c r="BL365" s="10"/>
      <c r="BN365" s="10"/>
      <c r="BO365" s="10"/>
      <c r="BP365" s="10"/>
      <c r="BQ365" s="10"/>
      <c r="BR365" s="10"/>
      <c r="BS365" s="10"/>
      <c r="BT365" s="10"/>
      <c r="BU365" s="10"/>
      <c r="BV365" s="10"/>
      <c r="BW365" s="10"/>
      <c r="BX365" s="10"/>
      <c r="BY365" s="10"/>
      <c r="BZ365" s="10"/>
      <c r="CA365" s="10"/>
      <c r="CB365" s="10"/>
      <c r="CC365" s="10"/>
      <c r="CD365" s="10"/>
      <c r="CE365" s="10"/>
      <c r="CF365" s="10"/>
      <c r="CG365" s="10"/>
      <c r="CH365" s="10"/>
      <c r="CI365" s="10"/>
      <c r="CJ365" s="10"/>
      <c r="CK365" s="10"/>
      <c r="CL365" s="10"/>
      <c r="CM365" s="10"/>
      <c r="CN365" s="10"/>
      <c r="CO365" s="10"/>
      <c r="CP365" s="10"/>
      <c r="CQ365" s="10"/>
      <c r="CR365" s="10"/>
      <c r="CS365" s="10"/>
      <c r="CT365" s="10"/>
      <c r="CU365" s="10"/>
      <c r="CV365" s="10"/>
      <c r="CW365" s="10"/>
      <c r="CX365" s="10"/>
      <c r="CY365" s="10"/>
      <c r="CZ365" s="11">
        <f t="shared" si="50"/>
        <v>0</v>
      </c>
      <c r="DA365" s="10"/>
      <c r="DB365" s="10"/>
      <c r="DC365" s="10"/>
      <c r="DD365" s="10"/>
      <c r="DE365" s="10"/>
      <c r="DF365" s="10"/>
      <c r="DG365" s="10"/>
      <c r="DH365" s="10"/>
      <c r="DI365" s="10"/>
      <c r="DJ365" s="11">
        <f t="shared" si="51"/>
        <v>0</v>
      </c>
      <c r="DK365" s="10"/>
      <c r="DL365" s="10"/>
      <c r="DM365" s="10"/>
      <c r="DN365" s="11">
        <f t="shared" si="52"/>
        <v>0</v>
      </c>
      <c r="DO365" s="10"/>
      <c r="DP365" s="10"/>
      <c r="DQ365" s="10">
        <v>15</v>
      </c>
      <c r="DR365" s="11">
        <f t="shared" si="53"/>
        <v>504</v>
      </c>
      <c r="DS365" s="10">
        <v>0</v>
      </c>
      <c r="DT365" s="11">
        <f t="shared" si="54"/>
        <v>0</v>
      </c>
      <c r="DU365" s="10">
        <v>13</v>
      </c>
      <c r="DV365" s="11">
        <f t="shared" si="55"/>
        <v>436.8</v>
      </c>
      <c r="DW365" s="10">
        <v>0</v>
      </c>
      <c r="DX365" s="11">
        <f t="shared" si="56"/>
        <v>0</v>
      </c>
      <c r="DY365" s="10"/>
      <c r="DZ365" s="10"/>
      <c r="EA365" s="11">
        <f t="shared" si="57"/>
        <v>0</v>
      </c>
      <c r="EB365" s="10"/>
      <c r="EC365" s="11">
        <f t="shared" si="58"/>
        <v>0</v>
      </c>
      <c r="ED365" s="10"/>
      <c r="EE365" s="10"/>
    </row>
    <row r="366" spans="2:135" ht="16.5">
      <c r="B366" s="47">
        <v>355</v>
      </c>
      <c r="C366" s="50" t="s">
        <v>1036</v>
      </c>
      <c r="D366" s="49" t="s">
        <v>453</v>
      </c>
      <c r="E366" s="49"/>
      <c r="F366" s="49"/>
      <c r="G366" s="49"/>
      <c r="H366" s="71">
        <f t="shared" si="59"/>
        <v>1.2</v>
      </c>
      <c r="I366" s="10">
        <v>1</v>
      </c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10"/>
      <c r="BK366" s="10"/>
      <c r="BL366" s="10"/>
      <c r="BN366" s="10"/>
      <c r="BO366" s="10"/>
      <c r="BP366" s="10"/>
      <c r="BQ366" s="10"/>
      <c r="BR366" s="10"/>
      <c r="BS366" s="10"/>
      <c r="BT366" s="10"/>
      <c r="BU366" s="10"/>
      <c r="BV366" s="10"/>
      <c r="BW366" s="10"/>
      <c r="BX366" s="10"/>
      <c r="BY366" s="10"/>
      <c r="BZ366" s="10"/>
      <c r="CA366" s="10"/>
      <c r="CB366" s="10"/>
      <c r="CC366" s="10"/>
      <c r="CD366" s="10"/>
      <c r="CE366" s="10"/>
      <c r="CF366" s="10"/>
      <c r="CG366" s="10"/>
      <c r="CH366" s="10"/>
      <c r="CI366" s="10"/>
      <c r="CJ366" s="10"/>
      <c r="CK366" s="10"/>
      <c r="CL366" s="10"/>
      <c r="CM366" s="10"/>
      <c r="CN366" s="10"/>
      <c r="CO366" s="10"/>
      <c r="CP366" s="10"/>
      <c r="CQ366" s="10"/>
      <c r="CR366" s="10"/>
      <c r="CS366" s="10"/>
      <c r="CT366" s="10"/>
      <c r="CU366" s="10"/>
      <c r="CV366" s="10"/>
      <c r="CW366" s="10"/>
      <c r="CX366" s="10"/>
      <c r="CY366" s="10"/>
      <c r="CZ366" s="11">
        <f t="shared" si="50"/>
        <v>0</v>
      </c>
      <c r="DA366" s="10"/>
      <c r="DB366" s="10"/>
      <c r="DC366" s="10"/>
      <c r="DD366" s="10"/>
      <c r="DE366" s="10"/>
      <c r="DF366" s="10"/>
      <c r="DG366" s="10"/>
      <c r="DH366" s="10"/>
      <c r="DI366" s="10"/>
      <c r="DJ366" s="11">
        <f t="shared" si="51"/>
        <v>0</v>
      </c>
      <c r="DK366" s="10"/>
      <c r="DL366" s="10"/>
      <c r="DM366" s="10"/>
      <c r="DN366" s="11">
        <f t="shared" si="52"/>
        <v>0</v>
      </c>
      <c r="DO366" s="10"/>
      <c r="DP366" s="10"/>
      <c r="DQ366" s="10">
        <v>1</v>
      </c>
      <c r="DR366" s="11">
        <f t="shared" si="53"/>
        <v>1.2</v>
      </c>
      <c r="DS366" s="10">
        <v>0</v>
      </c>
      <c r="DT366" s="11">
        <f t="shared" si="54"/>
        <v>0</v>
      </c>
      <c r="DU366" s="10"/>
      <c r="DV366" s="11">
        <f t="shared" si="55"/>
        <v>0</v>
      </c>
      <c r="DW366" s="10">
        <v>0</v>
      </c>
      <c r="DX366" s="11">
        <f t="shared" si="56"/>
        <v>0</v>
      </c>
      <c r="DY366" s="10"/>
      <c r="DZ366" s="10"/>
      <c r="EA366" s="11">
        <f t="shared" si="57"/>
        <v>0</v>
      </c>
      <c r="EB366" s="10"/>
      <c r="EC366" s="11">
        <f t="shared" si="58"/>
        <v>0</v>
      </c>
      <c r="ED366" s="10"/>
      <c r="EE366" s="10"/>
    </row>
    <row r="367" spans="2:135" ht="16.5">
      <c r="B367" s="47">
        <v>356</v>
      </c>
      <c r="C367" s="50"/>
      <c r="D367" s="49"/>
      <c r="E367" s="49"/>
      <c r="F367" s="49"/>
      <c r="G367" s="49"/>
      <c r="H367" s="10"/>
      <c r="I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10"/>
      <c r="BK367" s="10"/>
      <c r="BL367" s="10"/>
      <c r="BN367" s="10"/>
      <c r="BO367" s="10"/>
      <c r="BP367" s="10"/>
      <c r="BQ367" s="10"/>
      <c r="BR367" s="10"/>
      <c r="BS367" s="10"/>
      <c r="BT367" s="10"/>
      <c r="BU367" s="10"/>
      <c r="BV367" s="10"/>
      <c r="BW367" s="10"/>
      <c r="BX367" s="10"/>
      <c r="BY367" s="10"/>
      <c r="BZ367" s="10"/>
      <c r="CA367" s="10"/>
      <c r="CB367" s="10"/>
      <c r="CC367" s="10"/>
      <c r="CD367" s="10"/>
      <c r="CE367" s="10"/>
      <c r="CF367" s="10"/>
      <c r="CG367" s="10"/>
      <c r="CH367" s="10"/>
      <c r="CI367" s="10"/>
      <c r="CJ367" s="10"/>
      <c r="CK367" s="10"/>
      <c r="CL367" s="10"/>
      <c r="CM367" s="10"/>
      <c r="CN367" s="10"/>
      <c r="CO367" s="10"/>
      <c r="CP367" s="10"/>
      <c r="CQ367" s="10"/>
      <c r="CR367" s="10"/>
      <c r="CS367" s="10"/>
      <c r="CT367" s="10"/>
      <c r="CU367" s="10"/>
      <c r="CV367" s="10"/>
      <c r="CW367" s="10"/>
      <c r="CX367" s="10"/>
      <c r="CY367" s="10"/>
      <c r="CZ367" s="10">
        <f>SUM(CZ13:CZ366)</f>
        <v>19929.599999999999</v>
      </c>
      <c r="DA367" s="10"/>
      <c r="DB367" s="10"/>
      <c r="DC367" s="10"/>
      <c r="DD367" s="10"/>
      <c r="DE367" s="10"/>
      <c r="DF367" s="10"/>
      <c r="DG367" s="10"/>
      <c r="DH367" s="10"/>
      <c r="DI367" s="10"/>
      <c r="DJ367" s="10">
        <f>SUM(DJ13:DJ366)</f>
        <v>6634.7999999999993</v>
      </c>
      <c r="DK367" s="10"/>
      <c r="DL367" s="10"/>
      <c r="DM367" s="10"/>
      <c r="DN367" s="10">
        <f>SUM(DN13:DN366)</f>
        <v>6009.5999999999995</v>
      </c>
      <c r="DO367" s="10"/>
      <c r="DP367" s="10"/>
      <c r="DQ367" s="10"/>
      <c r="DR367" s="10">
        <f>SUM(DR13:DR366)</f>
        <v>225407.47500000012</v>
      </c>
      <c r="DS367" s="10"/>
      <c r="DT367" s="10">
        <f>SUM(DT13:DT366)</f>
        <v>10616.400000000001</v>
      </c>
      <c r="DU367" s="10"/>
      <c r="DV367" s="10">
        <f>SUM(DV13:DV366)</f>
        <v>299731.20000000013</v>
      </c>
      <c r="DW367" s="10"/>
      <c r="DX367" s="10">
        <f>SUM(DX13:DX366)</f>
        <v>36568.799999999996</v>
      </c>
      <c r="DY367" s="10"/>
      <c r="DZ367" s="10"/>
      <c r="EA367" s="10">
        <f>SUM(EA13:EA366)</f>
        <v>25050</v>
      </c>
      <c r="EB367" s="10"/>
      <c r="EC367" s="10">
        <f>SUM(EC13:EC366)</f>
        <v>5323.2</v>
      </c>
      <c r="ED367" s="10"/>
      <c r="EE367" s="10"/>
    </row>
    <row r="368" spans="2:135" ht="16.5">
      <c r="B368" s="47">
        <v>357</v>
      </c>
      <c r="C368" s="50"/>
      <c r="D368" s="49"/>
      <c r="E368" s="49"/>
      <c r="F368" s="49"/>
      <c r="G368" s="49"/>
      <c r="H368" s="10"/>
      <c r="I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10"/>
      <c r="BK368" s="10"/>
      <c r="BL368" s="10"/>
      <c r="BN368" s="10"/>
      <c r="BO368" s="10"/>
      <c r="BP368" s="10"/>
      <c r="BQ368" s="10"/>
      <c r="BR368" s="10"/>
      <c r="BS368" s="10"/>
      <c r="BT368" s="10"/>
      <c r="BU368" s="10"/>
      <c r="BV368" s="10"/>
      <c r="BW368" s="10"/>
      <c r="BX368" s="10"/>
      <c r="BY368" s="10"/>
      <c r="BZ368" s="10"/>
      <c r="CA368" s="10"/>
      <c r="CB368" s="10"/>
      <c r="CC368" s="10"/>
      <c r="CD368" s="10"/>
      <c r="CE368" s="10"/>
      <c r="CF368" s="10"/>
      <c r="CG368" s="10"/>
      <c r="CH368" s="10"/>
      <c r="CI368" s="10"/>
      <c r="CJ368" s="10"/>
      <c r="CK368" s="10"/>
      <c r="CL368" s="10"/>
      <c r="CM368" s="10"/>
      <c r="CN368" s="10"/>
      <c r="CO368" s="10"/>
      <c r="CP368" s="10"/>
      <c r="CQ368" s="10"/>
      <c r="CR368" s="10"/>
      <c r="CS368" s="10"/>
      <c r="CT368" s="10"/>
      <c r="CU368" s="10"/>
      <c r="CV368" s="10"/>
      <c r="CW368" s="10"/>
      <c r="CX368" s="10"/>
      <c r="CY368" s="10"/>
      <c r="CZ368" s="10"/>
      <c r="DA368" s="10"/>
      <c r="DB368" s="10"/>
      <c r="DC368" s="10"/>
      <c r="DD368" s="10"/>
      <c r="DE368" s="10"/>
      <c r="DF368" s="10"/>
      <c r="DG368" s="10"/>
      <c r="DH368" s="10"/>
      <c r="DI368" s="10"/>
      <c r="DJ368" s="10"/>
      <c r="DK368" s="10"/>
      <c r="DL368" s="10"/>
      <c r="DM368" s="10"/>
      <c r="DN368" s="10"/>
      <c r="DO368" s="10"/>
      <c r="DP368" s="10"/>
      <c r="DQ368" s="10"/>
      <c r="DR368" s="10"/>
      <c r="DS368" s="10"/>
      <c r="DT368" s="10"/>
      <c r="DU368" s="10"/>
      <c r="DV368" s="10"/>
      <c r="DW368" s="10"/>
      <c r="DX368" s="10"/>
      <c r="DY368" s="10"/>
      <c r="DZ368" s="10"/>
      <c r="EA368" s="10"/>
      <c r="EB368" s="10"/>
      <c r="EC368" s="10"/>
      <c r="ED368" s="10"/>
      <c r="EE368" s="10"/>
    </row>
    <row r="369" spans="2:135" ht="16.5">
      <c r="B369" s="47">
        <v>358</v>
      </c>
      <c r="C369" s="50"/>
      <c r="D369" s="49"/>
      <c r="E369" s="49"/>
      <c r="F369" s="49"/>
      <c r="G369" s="49"/>
      <c r="H369" s="10"/>
      <c r="I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10"/>
      <c r="BK369" s="10"/>
      <c r="BL369" s="10"/>
      <c r="BN369" s="10"/>
      <c r="BO369" s="10"/>
      <c r="BP369" s="10"/>
      <c r="BQ369" s="10"/>
      <c r="BR369" s="10"/>
      <c r="BS369" s="10"/>
      <c r="BT369" s="10"/>
      <c r="BU369" s="10"/>
      <c r="BV369" s="10"/>
      <c r="BW369" s="10"/>
      <c r="BX369" s="10"/>
      <c r="BY369" s="10"/>
      <c r="BZ369" s="10"/>
      <c r="CA369" s="10"/>
      <c r="CB369" s="10"/>
      <c r="CC369" s="10"/>
      <c r="CD369" s="10"/>
      <c r="CE369" s="10"/>
      <c r="CF369" s="10"/>
      <c r="CG369" s="10"/>
      <c r="CH369" s="10"/>
      <c r="CI369" s="10"/>
      <c r="CJ369" s="10"/>
      <c r="CK369" s="10"/>
      <c r="CL369" s="10"/>
      <c r="CM369" s="10"/>
      <c r="CN369" s="10"/>
      <c r="CO369" s="10"/>
      <c r="CP369" s="10"/>
      <c r="CQ369" s="10"/>
      <c r="CR369" s="10"/>
      <c r="CS369" s="10"/>
      <c r="CT369" s="10"/>
      <c r="CU369" s="10"/>
      <c r="CV369" s="10"/>
      <c r="CW369" s="10"/>
      <c r="CX369" s="10"/>
      <c r="CY369" s="10"/>
      <c r="CZ369" s="10"/>
      <c r="DA369" s="10"/>
      <c r="DB369" s="10"/>
      <c r="DC369" s="10"/>
      <c r="DD369" s="10"/>
      <c r="DE369" s="10"/>
      <c r="DF369" s="10"/>
      <c r="DG369" s="10"/>
      <c r="DH369" s="10"/>
      <c r="DI369" s="10"/>
      <c r="DJ369" s="10"/>
      <c r="DK369" s="10"/>
      <c r="DL369" s="10"/>
      <c r="DM369" s="10"/>
      <c r="DN369" s="10"/>
      <c r="DO369" s="10"/>
      <c r="DP369" s="10"/>
      <c r="DQ369" s="10"/>
      <c r="DR369" s="10"/>
      <c r="DS369" s="10"/>
      <c r="DT369" s="10"/>
      <c r="DU369" s="10"/>
      <c r="DV369" s="10"/>
      <c r="DW369" s="10"/>
      <c r="DX369" s="10"/>
      <c r="DY369" s="10"/>
      <c r="DZ369" s="10"/>
      <c r="EA369" s="10"/>
      <c r="EB369" s="10"/>
      <c r="EC369" s="10"/>
      <c r="ED369" s="10"/>
      <c r="EE369" s="10"/>
    </row>
    <row r="370" spans="2:135" ht="16.5">
      <c r="B370" s="47">
        <v>359</v>
      </c>
      <c r="C370" s="50"/>
      <c r="D370" s="49"/>
      <c r="E370" s="49"/>
      <c r="F370" s="49"/>
      <c r="G370" s="49"/>
      <c r="H370" s="10"/>
      <c r="I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10"/>
      <c r="BK370" s="10"/>
      <c r="BL370" s="10"/>
      <c r="BN370" s="10"/>
      <c r="BO370" s="10"/>
      <c r="BP370" s="10"/>
      <c r="BQ370" s="10"/>
      <c r="BR370" s="10"/>
      <c r="BS370" s="10"/>
      <c r="BT370" s="10"/>
      <c r="BU370" s="10"/>
      <c r="BV370" s="10"/>
      <c r="BW370" s="10"/>
      <c r="BX370" s="10"/>
      <c r="BY370" s="10"/>
      <c r="BZ370" s="10"/>
      <c r="CA370" s="10"/>
      <c r="CB370" s="10"/>
      <c r="CC370" s="10"/>
      <c r="CD370" s="10"/>
      <c r="CE370" s="10"/>
      <c r="CF370" s="10"/>
      <c r="CG370" s="10"/>
      <c r="CH370" s="10"/>
      <c r="CI370" s="10"/>
      <c r="CJ370" s="10"/>
      <c r="CK370" s="10"/>
      <c r="CL370" s="10"/>
      <c r="CM370" s="10"/>
      <c r="CN370" s="10"/>
      <c r="CO370" s="10"/>
      <c r="CP370" s="10"/>
      <c r="CQ370" s="10"/>
      <c r="CR370" s="10"/>
      <c r="CS370" s="10"/>
      <c r="CT370" s="10"/>
      <c r="CU370" s="10"/>
      <c r="CV370" s="10"/>
      <c r="CW370" s="10"/>
      <c r="CX370" s="10"/>
      <c r="CY370" s="10"/>
      <c r="CZ370" s="10"/>
      <c r="DA370" s="10"/>
      <c r="DB370" s="10"/>
      <c r="DC370" s="10"/>
      <c r="DD370" s="10"/>
      <c r="DE370" s="10"/>
      <c r="DF370" s="10"/>
      <c r="DG370" s="10"/>
      <c r="DH370" s="10"/>
      <c r="DI370" s="10"/>
      <c r="DJ370" s="10"/>
      <c r="DK370" s="10"/>
      <c r="DL370" s="10"/>
      <c r="DM370" s="10"/>
      <c r="DN370" s="10"/>
      <c r="DO370" s="10"/>
      <c r="DP370" s="10"/>
      <c r="DQ370" s="10"/>
      <c r="DR370" s="10"/>
      <c r="DS370" s="10"/>
      <c r="DT370" s="10"/>
      <c r="DU370" s="10"/>
      <c r="DV370" s="10"/>
      <c r="DW370" s="10"/>
      <c r="DX370" s="10"/>
      <c r="DY370" s="10"/>
      <c r="DZ370" s="10"/>
      <c r="EA370" s="10"/>
      <c r="EB370" s="10"/>
      <c r="EC370" s="10"/>
      <c r="ED370" s="10"/>
      <c r="EE370" s="10"/>
    </row>
    <row r="371" spans="2:135" ht="16.5">
      <c r="B371" s="47">
        <v>360</v>
      </c>
      <c r="C371" s="50"/>
      <c r="D371" s="49"/>
      <c r="E371" s="49"/>
      <c r="F371" s="49"/>
      <c r="G371" s="49"/>
      <c r="H371" s="10"/>
      <c r="I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  <c r="BL371" s="10"/>
      <c r="BN371" s="10"/>
      <c r="BO371" s="10"/>
      <c r="BP371" s="10"/>
      <c r="BQ371" s="10"/>
      <c r="BR371" s="10"/>
      <c r="BS371" s="10"/>
      <c r="BT371" s="10"/>
      <c r="BU371" s="10"/>
      <c r="BV371" s="10"/>
      <c r="BW371" s="10"/>
      <c r="BX371" s="10"/>
      <c r="BY371" s="10"/>
      <c r="BZ371" s="10"/>
      <c r="CA371" s="10"/>
      <c r="CB371" s="10"/>
      <c r="CC371" s="10"/>
      <c r="CD371" s="10"/>
      <c r="CE371" s="10"/>
      <c r="CF371" s="10"/>
      <c r="CG371" s="10"/>
      <c r="CH371" s="10"/>
      <c r="CI371" s="10"/>
      <c r="CJ371" s="10"/>
      <c r="CK371" s="10"/>
      <c r="CL371" s="10"/>
      <c r="CM371" s="10"/>
      <c r="CN371" s="10"/>
      <c r="CO371" s="10"/>
      <c r="CP371" s="10"/>
      <c r="CQ371" s="10"/>
      <c r="CR371" s="10"/>
      <c r="CS371" s="10"/>
      <c r="CT371" s="10"/>
      <c r="CU371" s="10"/>
      <c r="CV371" s="10"/>
      <c r="CW371" s="10"/>
      <c r="CX371" s="10"/>
      <c r="CY371" s="10"/>
      <c r="CZ371" s="10"/>
      <c r="DA371" s="10"/>
      <c r="DB371" s="10"/>
      <c r="DC371" s="10"/>
      <c r="DD371" s="10"/>
      <c r="DE371" s="10"/>
      <c r="DF371" s="10"/>
      <c r="DG371" s="10"/>
      <c r="DH371" s="10"/>
      <c r="DI371" s="10"/>
      <c r="DJ371" s="10"/>
      <c r="DK371" s="10"/>
      <c r="DL371" s="10"/>
      <c r="DM371" s="10"/>
      <c r="DN371" s="10"/>
      <c r="DO371" s="10"/>
      <c r="DP371" s="10"/>
      <c r="DQ371" s="10"/>
      <c r="DR371" s="10"/>
      <c r="DS371" s="10"/>
      <c r="DT371" s="10"/>
      <c r="DU371" s="10"/>
      <c r="DV371" s="10"/>
      <c r="DW371" s="10"/>
      <c r="DX371" s="10"/>
      <c r="DY371" s="10"/>
      <c r="DZ371" s="10"/>
      <c r="EA371" s="10"/>
      <c r="EB371" s="10"/>
      <c r="EC371" s="10"/>
      <c r="ED371" s="10"/>
      <c r="EE371" s="10"/>
    </row>
    <row r="372" spans="2:135" ht="16.5">
      <c r="B372" s="47">
        <v>361</v>
      </c>
      <c r="C372" s="50"/>
      <c r="D372" s="49"/>
      <c r="E372" s="49"/>
      <c r="F372" s="49"/>
      <c r="G372" s="49"/>
      <c r="H372" s="10"/>
      <c r="I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10"/>
      <c r="BK372" s="10"/>
      <c r="BL372" s="10"/>
      <c r="BN372" s="10"/>
      <c r="BO372" s="10"/>
      <c r="BP372" s="10"/>
      <c r="BQ372" s="10"/>
      <c r="BR372" s="10"/>
      <c r="BS372" s="10"/>
      <c r="BT372" s="10"/>
      <c r="BU372" s="10"/>
      <c r="BV372" s="10"/>
      <c r="BW372" s="10"/>
      <c r="BX372" s="10"/>
      <c r="BY372" s="10"/>
      <c r="BZ372" s="10"/>
      <c r="CA372" s="10"/>
      <c r="CB372" s="10"/>
      <c r="CC372" s="10"/>
      <c r="CD372" s="10"/>
      <c r="CE372" s="10"/>
      <c r="CF372" s="10"/>
      <c r="CG372" s="10"/>
      <c r="CH372" s="10"/>
      <c r="CI372" s="10"/>
      <c r="CJ372" s="10"/>
      <c r="CK372" s="10"/>
      <c r="CL372" s="10"/>
      <c r="CM372" s="10"/>
      <c r="CN372" s="10"/>
      <c r="CO372" s="10"/>
      <c r="CP372" s="10"/>
      <c r="CQ372" s="10"/>
      <c r="CR372" s="10"/>
      <c r="CS372" s="10"/>
      <c r="CT372" s="10"/>
      <c r="CU372" s="10"/>
      <c r="CV372" s="10"/>
      <c r="CW372" s="10"/>
      <c r="CX372" s="10"/>
      <c r="CY372" s="10"/>
      <c r="CZ372" s="10"/>
      <c r="DA372" s="10"/>
      <c r="DB372" s="10"/>
      <c r="DC372" s="10"/>
      <c r="DD372" s="10"/>
      <c r="DE372" s="10"/>
      <c r="DF372" s="10"/>
      <c r="DG372" s="10"/>
      <c r="DH372" s="10"/>
      <c r="DI372" s="10"/>
      <c r="DJ372" s="10"/>
      <c r="DK372" s="10"/>
      <c r="DL372" s="10"/>
      <c r="DM372" s="10"/>
      <c r="DN372" s="10"/>
      <c r="DO372" s="10"/>
      <c r="DP372" s="10"/>
      <c r="DQ372" s="10"/>
      <c r="DR372" s="10"/>
      <c r="DS372" s="10"/>
      <c r="DT372" s="10"/>
      <c r="DU372" s="10"/>
      <c r="DV372" s="10"/>
      <c r="DW372" s="10"/>
      <c r="DX372" s="10"/>
      <c r="DY372" s="10"/>
      <c r="DZ372" s="10"/>
      <c r="EA372" s="10"/>
      <c r="EB372" s="10"/>
      <c r="EC372" s="10"/>
      <c r="ED372" s="10"/>
      <c r="EE372" s="10"/>
    </row>
    <row r="373" spans="2:135" ht="16.5">
      <c r="B373" s="47">
        <v>362</v>
      </c>
      <c r="C373" s="50"/>
      <c r="D373" s="49"/>
      <c r="E373" s="49"/>
      <c r="F373" s="49"/>
      <c r="G373" s="49"/>
      <c r="H373" s="10"/>
      <c r="I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  <c r="BB373" s="10"/>
      <c r="BC373" s="10"/>
      <c r="BD373" s="10"/>
      <c r="BE373" s="10"/>
      <c r="BF373" s="10"/>
      <c r="BG373" s="10"/>
      <c r="BH373" s="10"/>
      <c r="BI373" s="10"/>
      <c r="BJ373" s="10"/>
      <c r="BK373" s="10"/>
      <c r="BL373" s="10"/>
      <c r="BN373" s="10"/>
      <c r="BO373" s="10"/>
      <c r="BP373" s="10"/>
      <c r="BQ373" s="10"/>
      <c r="BR373" s="10"/>
      <c r="BS373" s="10"/>
      <c r="BT373" s="10"/>
      <c r="BU373" s="10"/>
      <c r="BV373" s="10"/>
      <c r="BW373" s="10"/>
      <c r="BX373" s="10"/>
      <c r="BY373" s="10"/>
      <c r="BZ373" s="10"/>
      <c r="CA373" s="10"/>
      <c r="CB373" s="10"/>
      <c r="CC373" s="10"/>
      <c r="CD373" s="10"/>
      <c r="CE373" s="10"/>
      <c r="CF373" s="10"/>
      <c r="CG373" s="10"/>
      <c r="CH373" s="10"/>
      <c r="CI373" s="10"/>
      <c r="CJ373" s="10"/>
      <c r="CK373" s="10"/>
      <c r="CL373" s="10"/>
      <c r="CM373" s="10"/>
      <c r="CN373" s="10"/>
      <c r="CO373" s="10"/>
      <c r="CP373" s="10"/>
      <c r="CQ373" s="10"/>
      <c r="CR373" s="10"/>
      <c r="CS373" s="10"/>
      <c r="CT373" s="10"/>
      <c r="CU373" s="10"/>
      <c r="CV373" s="10"/>
      <c r="CW373" s="10"/>
      <c r="CX373" s="10"/>
      <c r="CY373" s="10"/>
      <c r="CZ373" s="10"/>
      <c r="DA373" s="10"/>
      <c r="DB373" s="10"/>
      <c r="DC373" s="10"/>
      <c r="DD373" s="10"/>
      <c r="DE373" s="10"/>
      <c r="DF373" s="10"/>
      <c r="DG373" s="10"/>
      <c r="DH373" s="10"/>
      <c r="DI373" s="10"/>
      <c r="DJ373" s="10"/>
      <c r="DK373" s="10"/>
      <c r="DL373" s="10"/>
      <c r="DM373" s="10"/>
      <c r="DN373" s="10"/>
      <c r="DO373" s="10"/>
      <c r="DP373" s="10"/>
      <c r="DQ373" s="10"/>
      <c r="DR373" s="10"/>
      <c r="DS373" s="10"/>
      <c r="DT373" s="10"/>
      <c r="DU373" s="10"/>
      <c r="DV373" s="10"/>
      <c r="DW373" s="10"/>
      <c r="DX373" s="10"/>
      <c r="DY373" s="10"/>
      <c r="DZ373" s="10"/>
      <c r="EA373" s="10"/>
      <c r="EB373" s="10"/>
      <c r="EC373" s="10"/>
      <c r="ED373" s="10"/>
      <c r="EE373" s="10"/>
    </row>
    <row r="374" spans="2:135" ht="16.5">
      <c r="B374" s="47">
        <v>363</v>
      </c>
      <c r="C374" s="50"/>
      <c r="D374" s="49"/>
      <c r="E374" s="49"/>
      <c r="F374" s="49"/>
      <c r="G374" s="49"/>
      <c r="H374" s="10"/>
      <c r="I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  <c r="BB374" s="10"/>
      <c r="BC374" s="10"/>
      <c r="BD374" s="10"/>
      <c r="BE374" s="10"/>
      <c r="BF374" s="10"/>
      <c r="BG374" s="10"/>
      <c r="BH374" s="10"/>
      <c r="BI374" s="10"/>
      <c r="BJ374" s="10"/>
      <c r="BK374" s="10"/>
      <c r="BL374" s="10"/>
      <c r="BN374" s="10"/>
      <c r="BO374" s="10"/>
      <c r="BP374" s="10"/>
      <c r="BQ374" s="10"/>
      <c r="BR374" s="10"/>
      <c r="BS374" s="10"/>
      <c r="BT374" s="10"/>
      <c r="BU374" s="10"/>
      <c r="BV374" s="10"/>
      <c r="BW374" s="10"/>
      <c r="BX374" s="10"/>
      <c r="BY374" s="10"/>
      <c r="BZ374" s="10"/>
      <c r="CA374" s="10"/>
      <c r="CB374" s="10"/>
      <c r="CC374" s="10"/>
      <c r="CD374" s="10"/>
      <c r="CE374" s="10"/>
      <c r="CF374" s="10"/>
      <c r="CG374" s="10"/>
      <c r="CH374" s="10"/>
      <c r="CI374" s="10"/>
      <c r="CJ374" s="10"/>
      <c r="CK374" s="10"/>
      <c r="CL374" s="10"/>
      <c r="CM374" s="10"/>
      <c r="CN374" s="10"/>
      <c r="CO374" s="10"/>
      <c r="CP374" s="10"/>
      <c r="CQ374" s="10"/>
      <c r="CR374" s="10"/>
      <c r="CS374" s="10"/>
      <c r="CT374" s="10"/>
      <c r="CU374" s="10"/>
      <c r="CV374" s="10"/>
      <c r="CW374" s="10"/>
      <c r="CX374" s="10"/>
      <c r="CY374" s="10"/>
      <c r="CZ374" s="10"/>
      <c r="DA374" s="10"/>
      <c r="DB374" s="10"/>
      <c r="DC374" s="10"/>
      <c r="DD374" s="10"/>
      <c r="DE374" s="10"/>
      <c r="DF374" s="10"/>
      <c r="DG374" s="10"/>
      <c r="DH374" s="10"/>
      <c r="DI374" s="10"/>
      <c r="DJ374" s="10"/>
      <c r="DK374" s="10"/>
      <c r="DL374" s="10"/>
      <c r="DM374" s="10"/>
      <c r="DN374" s="10"/>
      <c r="DO374" s="10"/>
      <c r="DP374" s="10"/>
      <c r="DQ374" s="10"/>
      <c r="DR374" s="10"/>
      <c r="DS374" s="10"/>
      <c r="DT374" s="10"/>
      <c r="DU374" s="10"/>
      <c r="DV374" s="10"/>
      <c r="DW374" s="10"/>
      <c r="DX374" s="10"/>
      <c r="DY374" s="10"/>
      <c r="DZ374" s="10"/>
      <c r="EA374" s="10"/>
      <c r="EB374" s="10"/>
      <c r="EC374" s="10"/>
      <c r="ED374" s="10"/>
      <c r="EE374" s="10"/>
    </row>
    <row r="375" spans="2:135" ht="16.5">
      <c r="B375" s="47">
        <v>364</v>
      </c>
      <c r="C375" s="50"/>
      <c r="D375" s="49"/>
      <c r="E375" s="49"/>
      <c r="F375" s="49"/>
      <c r="G375" s="49"/>
      <c r="H375" s="10"/>
      <c r="I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  <c r="BB375" s="10"/>
      <c r="BC375" s="10"/>
      <c r="BD375" s="10"/>
      <c r="BE375" s="10"/>
      <c r="BF375" s="10"/>
      <c r="BG375" s="10"/>
      <c r="BH375" s="10"/>
      <c r="BI375" s="10"/>
      <c r="BJ375" s="10"/>
      <c r="BK375" s="10"/>
      <c r="BL375" s="10"/>
      <c r="BN375" s="10"/>
      <c r="BO375" s="10"/>
      <c r="BP375" s="10"/>
      <c r="BQ375" s="10"/>
      <c r="BR375" s="10"/>
      <c r="BS375" s="10"/>
      <c r="BT375" s="10"/>
      <c r="BU375" s="10"/>
      <c r="BV375" s="10"/>
      <c r="BW375" s="10"/>
      <c r="BX375" s="10"/>
      <c r="BY375" s="10"/>
      <c r="BZ375" s="10"/>
      <c r="CA375" s="10"/>
      <c r="CB375" s="10"/>
      <c r="CC375" s="10"/>
      <c r="CD375" s="10"/>
      <c r="CE375" s="10"/>
      <c r="CF375" s="10"/>
      <c r="CG375" s="10"/>
      <c r="CH375" s="10"/>
      <c r="CI375" s="10"/>
      <c r="CJ375" s="10"/>
      <c r="CK375" s="10"/>
      <c r="CL375" s="10"/>
      <c r="CM375" s="10"/>
      <c r="CN375" s="10"/>
      <c r="CO375" s="10"/>
      <c r="CP375" s="10"/>
      <c r="CQ375" s="10"/>
      <c r="CR375" s="10"/>
      <c r="CS375" s="10"/>
      <c r="CT375" s="10"/>
      <c r="CU375" s="10"/>
      <c r="CV375" s="10"/>
      <c r="CW375" s="10"/>
      <c r="CX375" s="10"/>
      <c r="CY375" s="10"/>
      <c r="CZ375" s="10"/>
      <c r="DA375" s="10"/>
      <c r="DB375" s="10"/>
      <c r="DC375" s="10"/>
      <c r="DD375" s="10"/>
      <c r="DE375" s="10"/>
      <c r="DF375" s="10"/>
      <c r="DG375" s="10"/>
      <c r="DH375" s="10"/>
      <c r="DI375" s="10"/>
      <c r="DJ375" s="10"/>
      <c r="DK375" s="10"/>
      <c r="DL375" s="10"/>
      <c r="DM375" s="10"/>
      <c r="DN375" s="10"/>
      <c r="DO375" s="10"/>
      <c r="DP375" s="10"/>
      <c r="DQ375" s="10"/>
      <c r="DR375" s="10"/>
      <c r="DS375" s="10"/>
      <c r="DT375" s="10"/>
      <c r="DU375" s="10"/>
      <c r="DV375" s="10"/>
      <c r="DW375" s="10"/>
      <c r="DX375" s="10"/>
      <c r="DY375" s="10"/>
      <c r="DZ375" s="10"/>
      <c r="EA375" s="10"/>
      <c r="EB375" s="10"/>
      <c r="EC375" s="10"/>
      <c r="ED375" s="10"/>
      <c r="EE375" s="10"/>
    </row>
    <row r="376" spans="2:135" ht="16.5">
      <c r="B376" s="47">
        <v>365</v>
      </c>
      <c r="C376" s="50"/>
      <c r="D376" s="49"/>
      <c r="E376" s="49"/>
      <c r="F376" s="49"/>
      <c r="G376" s="49"/>
      <c r="H376" s="10"/>
      <c r="I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  <c r="BB376" s="10"/>
      <c r="BC376" s="10"/>
      <c r="BD376" s="10"/>
      <c r="BE376" s="10"/>
      <c r="BF376" s="10"/>
      <c r="BG376" s="10"/>
      <c r="BH376" s="10"/>
      <c r="BI376" s="10"/>
      <c r="BJ376" s="10"/>
      <c r="BK376" s="10"/>
      <c r="BL376" s="10"/>
      <c r="BN376" s="10"/>
      <c r="BO376" s="10"/>
      <c r="BP376" s="10"/>
      <c r="BQ376" s="10"/>
      <c r="BR376" s="10"/>
      <c r="BS376" s="10"/>
      <c r="BT376" s="10"/>
      <c r="BU376" s="10"/>
      <c r="BV376" s="10"/>
      <c r="BW376" s="10"/>
      <c r="BX376" s="10"/>
      <c r="BY376" s="10"/>
      <c r="BZ376" s="10"/>
      <c r="CA376" s="10"/>
      <c r="CB376" s="10"/>
      <c r="CC376" s="10"/>
      <c r="CD376" s="10"/>
      <c r="CE376" s="10"/>
      <c r="CF376" s="10"/>
      <c r="CG376" s="10"/>
      <c r="CH376" s="10"/>
      <c r="CI376" s="10"/>
      <c r="CJ376" s="10"/>
      <c r="CK376" s="10"/>
      <c r="CL376" s="10"/>
      <c r="CM376" s="10"/>
      <c r="CN376" s="10"/>
      <c r="CO376" s="10"/>
      <c r="CP376" s="10"/>
      <c r="CQ376" s="10"/>
      <c r="CR376" s="10"/>
      <c r="CS376" s="10"/>
      <c r="CT376" s="10"/>
      <c r="CU376" s="10"/>
      <c r="CV376" s="10"/>
      <c r="CW376" s="10"/>
      <c r="CX376" s="10"/>
      <c r="CY376" s="10"/>
      <c r="CZ376" s="10"/>
      <c r="DA376" s="10"/>
      <c r="DB376" s="10"/>
      <c r="DC376" s="10"/>
      <c r="DD376" s="10"/>
      <c r="DE376" s="10"/>
      <c r="DF376" s="10"/>
      <c r="DG376" s="10"/>
      <c r="DH376" s="10"/>
      <c r="DI376" s="10"/>
      <c r="DJ376" s="10"/>
      <c r="DK376" s="10"/>
      <c r="DL376" s="10"/>
      <c r="DM376" s="10"/>
      <c r="DN376" s="10"/>
      <c r="DO376" s="10"/>
      <c r="DP376" s="10"/>
      <c r="DQ376" s="10"/>
      <c r="DR376" s="10"/>
      <c r="DS376" s="10"/>
      <c r="DT376" s="10"/>
      <c r="DU376" s="10"/>
      <c r="DV376" s="10"/>
      <c r="DW376" s="10"/>
      <c r="DX376" s="10"/>
      <c r="DY376" s="10"/>
      <c r="DZ376" s="10"/>
      <c r="EA376" s="10"/>
      <c r="EB376" s="10"/>
      <c r="EC376" s="10"/>
      <c r="ED376" s="10"/>
      <c r="EE376" s="10"/>
    </row>
    <row r="377" spans="2:135" ht="16.5">
      <c r="B377" s="47">
        <v>366</v>
      </c>
      <c r="C377" s="50"/>
      <c r="D377" s="49"/>
      <c r="E377" s="49"/>
      <c r="F377" s="49"/>
      <c r="G377" s="49"/>
      <c r="H377" s="10"/>
      <c r="I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  <c r="BL377" s="10"/>
      <c r="BN377" s="10"/>
      <c r="BO377" s="10"/>
      <c r="BP377" s="10"/>
      <c r="BQ377" s="10"/>
      <c r="BR377" s="10"/>
      <c r="BS377" s="10"/>
      <c r="BT377" s="10"/>
      <c r="BU377" s="10"/>
      <c r="BV377" s="10"/>
      <c r="BW377" s="10"/>
      <c r="BX377" s="10"/>
      <c r="BY377" s="10"/>
      <c r="BZ377" s="10"/>
      <c r="CA377" s="10"/>
      <c r="CB377" s="10"/>
      <c r="CC377" s="10"/>
      <c r="CD377" s="10"/>
      <c r="CE377" s="10"/>
      <c r="CF377" s="10"/>
      <c r="CG377" s="10"/>
      <c r="CH377" s="10"/>
      <c r="CI377" s="10"/>
      <c r="CJ377" s="10"/>
      <c r="CK377" s="10"/>
      <c r="CL377" s="10"/>
      <c r="CM377" s="10"/>
      <c r="CN377" s="10"/>
      <c r="CO377" s="10"/>
      <c r="CP377" s="10"/>
      <c r="CQ377" s="10"/>
      <c r="CR377" s="10"/>
      <c r="CS377" s="10"/>
      <c r="CT377" s="10"/>
      <c r="CU377" s="10"/>
      <c r="CV377" s="10"/>
      <c r="CW377" s="10"/>
      <c r="CX377" s="10"/>
      <c r="CY377" s="10"/>
      <c r="CZ377" s="10"/>
      <c r="DA377" s="10"/>
      <c r="DB377" s="10"/>
      <c r="DC377" s="10"/>
      <c r="DD377" s="10"/>
      <c r="DE377" s="10"/>
      <c r="DF377" s="10"/>
      <c r="DG377" s="10"/>
      <c r="DH377" s="10"/>
      <c r="DI377" s="10"/>
      <c r="DJ377" s="10"/>
      <c r="DK377" s="10"/>
      <c r="DL377" s="10"/>
      <c r="DM377" s="10"/>
      <c r="DN377" s="10"/>
      <c r="DO377" s="10"/>
      <c r="DP377" s="10"/>
      <c r="DQ377" s="10"/>
      <c r="DR377" s="10"/>
      <c r="DS377" s="10"/>
      <c r="DT377" s="10"/>
      <c r="DU377" s="10"/>
      <c r="DV377" s="10"/>
      <c r="DW377" s="10"/>
      <c r="DX377" s="10"/>
      <c r="DY377" s="10"/>
      <c r="DZ377" s="10"/>
      <c r="EA377" s="10"/>
      <c r="EB377" s="10"/>
      <c r="EC377" s="10"/>
      <c r="ED377" s="10"/>
      <c r="EE377" s="10"/>
    </row>
    <row r="378" spans="2:135" ht="16.5">
      <c r="B378" s="47">
        <v>367</v>
      </c>
      <c r="C378" s="50"/>
      <c r="D378" s="49"/>
      <c r="E378" s="49"/>
      <c r="F378" s="49"/>
      <c r="G378" s="49"/>
      <c r="H378" s="10"/>
      <c r="I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  <c r="BB378" s="10"/>
      <c r="BC378" s="10"/>
      <c r="BD378" s="10"/>
      <c r="BE378" s="10"/>
      <c r="BF378" s="10"/>
      <c r="BG378" s="10"/>
      <c r="BH378" s="10"/>
      <c r="BI378" s="10"/>
      <c r="BJ378" s="10"/>
      <c r="BK378" s="10"/>
      <c r="BL378" s="10"/>
      <c r="BN378" s="10"/>
      <c r="BO378" s="10"/>
      <c r="BP378" s="10"/>
      <c r="BQ378" s="10"/>
      <c r="BR378" s="10"/>
      <c r="BS378" s="10"/>
      <c r="BT378" s="10"/>
      <c r="BU378" s="10"/>
      <c r="BV378" s="10"/>
      <c r="BW378" s="10"/>
      <c r="BX378" s="10"/>
      <c r="BY378" s="10"/>
      <c r="BZ378" s="10"/>
      <c r="CA378" s="10"/>
      <c r="CB378" s="10"/>
      <c r="CC378" s="10"/>
      <c r="CD378" s="10"/>
      <c r="CE378" s="10"/>
      <c r="CF378" s="10"/>
      <c r="CG378" s="10"/>
      <c r="CH378" s="10"/>
      <c r="CI378" s="10"/>
      <c r="CJ378" s="10"/>
      <c r="CK378" s="10"/>
      <c r="CL378" s="10"/>
      <c r="CM378" s="10"/>
      <c r="CN378" s="10"/>
      <c r="CO378" s="10"/>
      <c r="CP378" s="10"/>
      <c r="CQ378" s="10"/>
      <c r="CR378" s="10"/>
      <c r="CS378" s="10"/>
      <c r="CT378" s="10"/>
      <c r="CU378" s="10"/>
      <c r="CV378" s="10"/>
      <c r="CW378" s="10"/>
      <c r="CX378" s="10"/>
      <c r="CY378" s="10"/>
      <c r="CZ378" s="10"/>
      <c r="DA378" s="10"/>
      <c r="DB378" s="10"/>
      <c r="DC378" s="10"/>
      <c r="DD378" s="10"/>
      <c r="DE378" s="10"/>
      <c r="DF378" s="10"/>
      <c r="DG378" s="10"/>
      <c r="DH378" s="10"/>
      <c r="DI378" s="10"/>
      <c r="DJ378" s="10"/>
      <c r="DK378" s="10"/>
      <c r="DL378" s="10"/>
      <c r="DM378" s="10"/>
      <c r="DN378" s="10"/>
      <c r="DO378" s="10"/>
      <c r="DP378" s="10"/>
      <c r="DQ378" s="10"/>
      <c r="DR378" s="10"/>
      <c r="DS378" s="10"/>
      <c r="DT378" s="10"/>
      <c r="DU378" s="10"/>
      <c r="DV378" s="10"/>
      <c r="DW378" s="10"/>
      <c r="DX378" s="10"/>
      <c r="DY378" s="10"/>
      <c r="DZ378" s="10"/>
      <c r="EA378" s="10"/>
      <c r="EB378" s="10"/>
      <c r="EC378" s="10"/>
      <c r="ED378" s="10"/>
      <c r="EE378" s="10"/>
    </row>
    <row r="379" spans="2:135" ht="16.5">
      <c r="B379" s="47">
        <v>368</v>
      </c>
      <c r="C379" s="50"/>
      <c r="D379" s="49"/>
      <c r="E379" s="49"/>
      <c r="F379" s="49"/>
      <c r="G379" s="49"/>
      <c r="H379" s="10"/>
      <c r="I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  <c r="BB379" s="10"/>
      <c r="BC379" s="10"/>
      <c r="BD379" s="10"/>
      <c r="BE379" s="10"/>
      <c r="BF379" s="10"/>
      <c r="BG379" s="10"/>
      <c r="BH379" s="10"/>
      <c r="BI379" s="10"/>
      <c r="BJ379" s="10"/>
      <c r="BK379" s="10"/>
      <c r="BL379" s="10"/>
      <c r="BN379" s="10"/>
      <c r="BO379" s="10"/>
      <c r="BP379" s="10"/>
      <c r="BQ379" s="10"/>
      <c r="BR379" s="10"/>
      <c r="BS379" s="10"/>
      <c r="BT379" s="10"/>
      <c r="BU379" s="10"/>
      <c r="BV379" s="10"/>
      <c r="BW379" s="10"/>
      <c r="BX379" s="10"/>
      <c r="BY379" s="10"/>
      <c r="BZ379" s="10"/>
      <c r="CA379" s="10"/>
      <c r="CB379" s="10"/>
      <c r="CC379" s="10"/>
      <c r="CD379" s="10"/>
      <c r="CE379" s="10"/>
      <c r="CF379" s="10"/>
      <c r="CG379" s="10"/>
      <c r="CH379" s="10"/>
      <c r="CI379" s="10"/>
      <c r="CJ379" s="10"/>
      <c r="CK379" s="10"/>
      <c r="CL379" s="10"/>
      <c r="CM379" s="10"/>
      <c r="CN379" s="10"/>
      <c r="CO379" s="10"/>
      <c r="CP379" s="10"/>
      <c r="CQ379" s="10"/>
      <c r="CR379" s="10"/>
      <c r="CS379" s="10"/>
      <c r="CT379" s="10"/>
      <c r="CU379" s="10"/>
      <c r="CV379" s="10"/>
      <c r="CW379" s="10"/>
      <c r="CX379" s="10"/>
      <c r="CY379" s="10"/>
      <c r="CZ379" s="10"/>
      <c r="DA379" s="10"/>
      <c r="DB379" s="10"/>
      <c r="DC379" s="10"/>
      <c r="DD379" s="10"/>
      <c r="DE379" s="10"/>
      <c r="DF379" s="10"/>
      <c r="DG379" s="10"/>
      <c r="DH379" s="10"/>
      <c r="DI379" s="10"/>
      <c r="DJ379" s="10"/>
      <c r="DK379" s="10"/>
      <c r="DL379" s="10"/>
      <c r="DM379" s="10"/>
      <c r="DN379" s="10"/>
      <c r="DO379" s="10"/>
      <c r="DP379" s="10"/>
      <c r="DQ379" s="10"/>
      <c r="DR379" s="10"/>
      <c r="DS379" s="10"/>
      <c r="DT379" s="10"/>
      <c r="DU379" s="10"/>
      <c r="DV379" s="10"/>
      <c r="DW379" s="10"/>
      <c r="DX379" s="10"/>
      <c r="DY379" s="10"/>
      <c r="DZ379" s="10"/>
      <c r="EA379" s="10"/>
      <c r="EB379" s="10"/>
      <c r="EC379" s="10"/>
      <c r="ED379" s="10"/>
      <c r="EE379" s="10"/>
    </row>
    <row r="380" spans="2:135" ht="16.5">
      <c r="B380" s="47">
        <v>369</v>
      </c>
      <c r="C380" s="50"/>
      <c r="D380" s="49"/>
      <c r="E380" s="49"/>
      <c r="F380" s="49"/>
      <c r="G380" s="49"/>
      <c r="H380" s="10"/>
      <c r="I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  <c r="BB380" s="10"/>
      <c r="BC380" s="10"/>
      <c r="BD380" s="10"/>
      <c r="BE380" s="10"/>
      <c r="BF380" s="10"/>
      <c r="BG380" s="10"/>
      <c r="BH380" s="10"/>
      <c r="BI380" s="10"/>
      <c r="BJ380" s="10"/>
      <c r="BK380" s="10"/>
      <c r="BL380" s="10"/>
      <c r="BN380" s="10"/>
      <c r="BO380" s="10"/>
      <c r="BP380" s="10"/>
      <c r="BQ380" s="10"/>
      <c r="BR380" s="10"/>
      <c r="BS380" s="10"/>
      <c r="BT380" s="10"/>
      <c r="BU380" s="10"/>
      <c r="BV380" s="10"/>
      <c r="BW380" s="10"/>
      <c r="BX380" s="10"/>
      <c r="BY380" s="10"/>
      <c r="BZ380" s="10"/>
      <c r="CA380" s="10"/>
      <c r="CB380" s="10"/>
      <c r="CC380" s="10"/>
      <c r="CD380" s="10"/>
      <c r="CE380" s="10"/>
      <c r="CF380" s="10"/>
      <c r="CG380" s="10"/>
      <c r="CH380" s="10"/>
      <c r="CI380" s="10"/>
      <c r="CJ380" s="10"/>
      <c r="CK380" s="10"/>
      <c r="CL380" s="10"/>
      <c r="CM380" s="10"/>
      <c r="CN380" s="10"/>
      <c r="CO380" s="10"/>
      <c r="CP380" s="10"/>
      <c r="CQ380" s="10"/>
      <c r="CR380" s="10"/>
      <c r="CS380" s="10"/>
      <c r="CT380" s="10"/>
      <c r="CU380" s="10"/>
      <c r="CV380" s="10"/>
      <c r="CW380" s="10"/>
      <c r="CX380" s="10"/>
      <c r="CY380" s="10"/>
      <c r="CZ380" s="10"/>
      <c r="DA380" s="10"/>
      <c r="DB380" s="10"/>
      <c r="DC380" s="10"/>
      <c r="DD380" s="10"/>
      <c r="DE380" s="10"/>
      <c r="DF380" s="10"/>
      <c r="DG380" s="10"/>
      <c r="DH380" s="10"/>
      <c r="DI380" s="10"/>
      <c r="DJ380" s="10"/>
      <c r="DK380" s="10"/>
      <c r="DL380" s="10"/>
      <c r="DM380" s="10"/>
      <c r="DN380" s="10"/>
      <c r="DO380" s="10"/>
      <c r="DP380" s="10"/>
      <c r="DQ380" s="10"/>
      <c r="DR380" s="10"/>
      <c r="DS380" s="10"/>
      <c r="DT380" s="10"/>
      <c r="DU380" s="10"/>
      <c r="DV380" s="10"/>
      <c r="DW380" s="10"/>
      <c r="DX380" s="10"/>
      <c r="DY380" s="10"/>
      <c r="DZ380" s="10"/>
      <c r="EA380" s="10"/>
      <c r="EB380" s="10"/>
      <c r="EC380" s="10"/>
      <c r="ED380" s="10"/>
      <c r="EE380" s="10"/>
    </row>
    <row r="381" spans="2:135" ht="16.5">
      <c r="B381" s="47">
        <v>370</v>
      </c>
      <c r="C381" s="50"/>
      <c r="D381" s="49"/>
      <c r="E381" s="49"/>
      <c r="F381" s="49"/>
      <c r="G381" s="49"/>
      <c r="H381" s="10"/>
      <c r="I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  <c r="BB381" s="10"/>
      <c r="BC381" s="10"/>
      <c r="BD381" s="10"/>
      <c r="BE381" s="10"/>
      <c r="BF381" s="10"/>
      <c r="BG381" s="10"/>
      <c r="BH381" s="10"/>
      <c r="BI381" s="10"/>
      <c r="BJ381" s="10"/>
      <c r="BK381" s="10"/>
      <c r="BL381" s="10"/>
      <c r="BN381" s="10"/>
      <c r="BO381" s="10"/>
      <c r="BP381" s="10"/>
      <c r="BQ381" s="10"/>
      <c r="BR381" s="10"/>
      <c r="BS381" s="10"/>
      <c r="BT381" s="10"/>
      <c r="BU381" s="10"/>
      <c r="BV381" s="10"/>
      <c r="BW381" s="10"/>
      <c r="BX381" s="10"/>
      <c r="BY381" s="10"/>
      <c r="BZ381" s="10"/>
      <c r="CA381" s="10"/>
      <c r="CB381" s="10"/>
      <c r="CC381" s="10"/>
      <c r="CD381" s="10"/>
      <c r="CE381" s="10"/>
      <c r="CF381" s="10"/>
      <c r="CG381" s="10"/>
      <c r="CH381" s="10"/>
      <c r="CI381" s="10"/>
      <c r="CJ381" s="10"/>
      <c r="CK381" s="10"/>
      <c r="CL381" s="10"/>
      <c r="CM381" s="10"/>
      <c r="CN381" s="10"/>
      <c r="CO381" s="10"/>
      <c r="CP381" s="10"/>
      <c r="CQ381" s="10"/>
      <c r="CR381" s="10"/>
      <c r="CS381" s="10"/>
      <c r="CT381" s="10"/>
      <c r="CU381" s="10"/>
      <c r="CV381" s="10"/>
      <c r="CW381" s="10"/>
      <c r="CX381" s="10"/>
      <c r="CY381" s="10"/>
      <c r="CZ381" s="10"/>
      <c r="DA381" s="10"/>
      <c r="DB381" s="10"/>
      <c r="DC381" s="10"/>
      <c r="DD381" s="10"/>
      <c r="DE381" s="10"/>
      <c r="DF381" s="10"/>
      <c r="DG381" s="10"/>
      <c r="DH381" s="10"/>
      <c r="DI381" s="10"/>
      <c r="DJ381" s="10"/>
      <c r="DK381" s="10"/>
      <c r="DL381" s="10"/>
      <c r="DM381" s="10"/>
      <c r="DN381" s="10"/>
      <c r="DO381" s="10"/>
      <c r="DP381" s="10"/>
      <c r="DQ381" s="10"/>
      <c r="DR381" s="10"/>
      <c r="DS381" s="10"/>
      <c r="DT381" s="10"/>
      <c r="DU381" s="10"/>
      <c r="DV381" s="10"/>
      <c r="DW381" s="10"/>
      <c r="DX381" s="10"/>
      <c r="DY381" s="10"/>
      <c r="DZ381" s="10"/>
      <c r="EA381" s="10"/>
      <c r="EB381" s="10"/>
      <c r="EC381" s="10"/>
      <c r="ED381" s="10"/>
      <c r="EE381" s="10"/>
    </row>
    <row r="382" spans="2:135" ht="16.5">
      <c r="B382" s="47">
        <v>371</v>
      </c>
      <c r="C382" s="50"/>
      <c r="D382" s="49"/>
      <c r="E382" s="49"/>
      <c r="F382" s="49"/>
      <c r="G382" s="49"/>
      <c r="H382" s="10"/>
      <c r="I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  <c r="BB382" s="10"/>
      <c r="BC382" s="10"/>
      <c r="BD382" s="10"/>
      <c r="BE382" s="10"/>
      <c r="BF382" s="10"/>
      <c r="BG382" s="10"/>
      <c r="BH382" s="10"/>
      <c r="BI382" s="10"/>
      <c r="BJ382" s="10"/>
      <c r="BK382" s="10"/>
      <c r="BL382" s="10"/>
      <c r="BN382" s="10"/>
      <c r="BO382" s="10"/>
      <c r="BP382" s="10"/>
      <c r="BQ382" s="10"/>
      <c r="BR382" s="10"/>
      <c r="BS382" s="10"/>
      <c r="BT382" s="10"/>
      <c r="BU382" s="10"/>
      <c r="BV382" s="10"/>
      <c r="BW382" s="10"/>
      <c r="BX382" s="10"/>
      <c r="BY382" s="10"/>
      <c r="BZ382" s="10"/>
      <c r="CA382" s="10"/>
      <c r="CB382" s="10"/>
      <c r="CC382" s="10"/>
      <c r="CD382" s="10"/>
      <c r="CE382" s="10"/>
      <c r="CF382" s="10"/>
      <c r="CG382" s="10"/>
      <c r="CH382" s="10"/>
      <c r="CI382" s="10"/>
      <c r="CJ382" s="10"/>
      <c r="CK382" s="10"/>
      <c r="CL382" s="10"/>
      <c r="CM382" s="10"/>
      <c r="CN382" s="10"/>
      <c r="CO382" s="10"/>
      <c r="CP382" s="10"/>
      <c r="CQ382" s="10"/>
      <c r="CR382" s="10"/>
      <c r="CS382" s="10"/>
      <c r="CT382" s="10"/>
      <c r="CU382" s="10"/>
      <c r="CV382" s="10"/>
      <c r="CW382" s="10"/>
      <c r="CX382" s="10"/>
      <c r="CY382" s="10"/>
      <c r="CZ382" s="10"/>
      <c r="DA382" s="10"/>
      <c r="DB382" s="10"/>
      <c r="DC382" s="10"/>
      <c r="DD382" s="10"/>
      <c r="DE382" s="10"/>
      <c r="DF382" s="10"/>
      <c r="DG382" s="10"/>
      <c r="DH382" s="10"/>
      <c r="DI382" s="10"/>
      <c r="DJ382" s="10"/>
      <c r="DK382" s="10"/>
      <c r="DL382" s="10"/>
      <c r="DM382" s="10"/>
      <c r="DN382" s="10"/>
      <c r="DO382" s="10"/>
      <c r="DP382" s="10"/>
      <c r="DQ382" s="10"/>
      <c r="DR382" s="10"/>
      <c r="DS382" s="10"/>
      <c r="DT382" s="10"/>
      <c r="DU382" s="10"/>
      <c r="DV382" s="10"/>
      <c r="DW382" s="10"/>
      <c r="DX382" s="10"/>
      <c r="DY382" s="10"/>
      <c r="DZ382" s="10"/>
      <c r="EA382" s="10"/>
      <c r="EB382" s="10"/>
      <c r="EC382" s="10"/>
      <c r="ED382" s="10"/>
      <c r="EE382" s="10"/>
    </row>
    <row r="383" spans="2:135" ht="16.5">
      <c r="B383" s="47">
        <v>372</v>
      </c>
      <c r="C383" s="50"/>
      <c r="D383" s="49"/>
      <c r="E383" s="49"/>
      <c r="F383" s="49"/>
      <c r="G383" s="49"/>
      <c r="H383" s="10"/>
      <c r="I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  <c r="BA383" s="10"/>
      <c r="BB383" s="10"/>
      <c r="BC383" s="10"/>
      <c r="BD383" s="10"/>
      <c r="BE383" s="10"/>
      <c r="BF383" s="10"/>
      <c r="BG383" s="10"/>
      <c r="BH383" s="10"/>
      <c r="BI383" s="10"/>
      <c r="BJ383" s="10"/>
      <c r="BK383" s="10"/>
      <c r="BL383" s="10"/>
      <c r="BN383" s="10"/>
      <c r="BO383" s="10"/>
      <c r="BP383" s="10"/>
      <c r="BQ383" s="10"/>
      <c r="BR383" s="10"/>
      <c r="BS383" s="10"/>
      <c r="BT383" s="10"/>
      <c r="BU383" s="10"/>
      <c r="BV383" s="10"/>
      <c r="BW383" s="10"/>
      <c r="BX383" s="10"/>
      <c r="BY383" s="10"/>
      <c r="BZ383" s="10"/>
      <c r="CA383" s="10"/>
      <c r="CB383" s="10"/>
      <c r="CC383" s="10"/>
      <c r="CD383" s="10"/>
      <c r="CE383" s="10"/>
      <c r="CF383" s="10"/>
      <c r="CG383" s="10"/>
      <c r="CH383" s="10"/>
      <c r="CI383" s="10"/>
      <c r="CJ383" s="10"/>
      <c r="CK383" s="10"/>
      <c r="CL383" s="10"/>
      <c r="CM383" s="10"/>
      <c r="CN383" s="10"/>
      <c r="CO383" s="10"/>
      <c r="CP383" s="10"/>
      <c r="CQ383" s="10"/>
      <c r="CR383" s="10"/>
      <c r="CS383" s="10"/>
      <c r="CT383" s="10"/>
      <c r="CU383" s="10"/>
      <c r="CV383" s="10"/>
      <c r="CW383" s="10"/>
      <c r="CX383" s="10"/>
      <c r="CY383" s="10"/>
      <c r="CZ383" s="10"/>
      <c r="DA383" s="10"/>
      <c r="DB383" s="10"/>
      <c r="DC383" s="10"/>
      <c r="DD383" s="10"/>
      <c r="DE383" s="10"/>
      <c r="DF383" s="10"/>
      <c r="DG383" s="10"/>
      <c r="DH383" s="10"/>
      <c r="DI383" s="10"/>
      <c r="DJ383" s="10"/>
      <c r="DK383" s="10"/>
      <c r="DL383" s="10"/>
      <c r="DM383" s="10"/>
      <c r="DN383" s="10"/>
      <c r="DO383" s="10"/>
      <c r="DP383" s="10"/>
      <c r="DQ383" s="10"/>
      <c r="DR383" s="10"/>
      <c r="DS383" s="10"/>
      <c r="DT383" s="10"/>
      <c r="DU383" s="10"/>
      <c r="DV383" s="10"/>
      <c r="DW383" s="10"/>
      <c r="DX383" s="10"/>
      <c r="DY383" s="10"/>
      <c r="DZ383" s="10"/>
      <c r="EA383" s="10"/>
      <c r="EB383" s="10"/>
      <c r="EC383" s="10"/>
      <c r="ED383" s="10"/>
      <c r="EE383" s="10"/>
    </row>
    <row r="384" spans="2:135" ht="16.5">
      <c r="B384" s="47">
        <v>373</v>
      </c>
      <c r="C384" s="50"/>
      <c r="D384" s="49"/>
      <c r="E384" s="49"/>
      <c r="F384" s="49"/>
      <c r="G384" s="49"/>
      <c r="H384" s="10"/>
      <c r="I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  <c r="BL384" s="10"/>
      <c r="BN384" s="10"/>
      <c r="BO384" s="10"/>
      <c r="BP384" s="10"/>
      <c r="BQ384" s="10"/>
      <c r="BR384" s="10"/>
      <c r="BS384" s="10"/>
      <c r="BT384" s="10"/>
      <c r="BU384" s="10"/>
      <c r="BV384" s="10"/>
      <c r="BW384" s="10"/>
      <c r="BX384" s="10"/>
      <c r="BY384" s="10"/>
      <c r="BZ384" s="10"/>
      <c r="CA384" s="10"/>
      <c r="CB384" s="10"/>
      <c r="CC384" s="10"/>
      <c r="CD384" s="10"/>
      <c r="CE384" s="10"/>
      <c r="CF384" s="10"/>
      <c r="CG384" s="10"/>
      <c r="CH384" s="10"/>
      <c r="CI384" s="10"/>
      <c r="CJ384" s="10"/>
      <c r="CK384" s="10"/>
      <c r="CL384" s="10"/>
      <c r="CM384" s="10"/>
      <c r="CN384" s="10"/>
      <c r="CO384" s="10"/>
      <c r="CP384" s="10"/>
      <c r="CQ384" s="10"/>
      <c r="CR384" s="10"/>
      <c r="CS384" s="10"/>
      <c r="CT384" s="10"/>
      <c r="CU384" s="10"/>
      <c r="CV384" s="10"/>
      <c r="CW384" s="10"/>
      <c r="CX384" s="10"/>
      <c r="CY384" s="10"/>
      <c r="CZ384" s="10"/>
      <c r="DA384" s="10"/>
      <c r="DB384" s="10"/>
      <c r="DC384" s="10"/>
      <c r="DD384" s="10"/>
      <c r="DE384" s="10"/>
      <c r="DF384" s="10"/>
      <c r="DG384" s="10"/>
      <c r="DH384" s="10"/>
      <c r="DI384" s="10"/>
      <c r="DJ384" s="10"/>
      <c r="DK384" s="10"/>
      <c r="DL384" s="10"/>
      <c r="DM384" s="10"/>
      <c r="DN384" s="10"/>
      <c r="DO384" s="10"/>
      <c r="DP384" s="10"/>
      <c r="DQ384" s="10"/>
      <c r="DR384" s="10"/>
      <c r="DS384" s="10"/>
      <c r="DT384" s="10"/>
      <c r="DU384" s="10"/>
      <c r="DV384" s="10"/>
      <c r="DW384" s="10"/>
      <c r="DX384" s="10"/>
      <c r="DY384" s="10"/>
      <c r="DZ384" s="10"/>
      <c r="EA384" s="10"/>
      <c r="EB384" s="10"/>
      <c r="EC384" s="10"/>
      <c r="ED384" s="10"/>
      <c r="EE384" s="10"/>
    </row>
    <row r="385" spans="2:135" ht="16.5">
      <c r="B385" s="47">
        <v>374</v>
      </c>
      <c r="C385" s="50"/>
      <c r="D385" s="49"/>
      <c r="E385" s="49"/>
      <c r="F385" s="49"/>
      <c r="G385" s="49"/>
      <c r="H385" s="10"/>
      <c r="I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  <c r="BA385" s="10"/>
      <c r="BB385" s="10"/>
      <c r="BC385" s="10"/>
      <c r="BD385" s="10"/>
      <c r="BE385" s="10"/>
      <c r="BF385" s="10"/>
      <c r="BG385" s="10"/>
      <c r="BH385" s="10"/>
      <c r="BI385" s="10"/>
      <c r="BJ385" s="10"/>
      <c r="BK385" s="10"/>
      <c r="BL385" s="10"/>
      <c r="BN385" s="10"/>
      <c r="BO385" s="10"/>
      <c r="BP385" s="10"/>
      <c r="BQ385" s="10"/>
      <c r="BR385" s="10"/>
      <c r="BS385" s="10"/>
      <c r="BT385" s="10"/>
      <c r="BU385" s="10"/>
      <c r="BV385" s="10"/>
      <c r="BW385" s="10"/>
      <c r="BX385" s="10"/>
      <c r="BY385" s="10"/>
      <c r="BZ385" s="10"/>
      <c r="CA385" s="10"/>
      <c r="CB385" s="10"/>
      <c r="CC385" s="10"/>
      <c r="CD385" s="10"/>
      <c r="CE385" s="10"/>
      <c r="CF385" s="10"/>
      <c r="CG385" s="10"/>
      <c r="CH385" s="10"/>
      <c r="CI385" s="10"/>
      <c r="CJ385" s="10"/>
      <c r="CK385" s="10"/>
      <c r="CL385" s="10"/>
      <c r="CM385" s="10"/>
      <c r="CN385" s="10"/>
      <c r="CO385" s="10"/>
      <c r="CP385" s="10"/>
      <c r="CQ385" s="10"/>
      <c r="CR385" s="10"/>
      <c r="CS385" s="10"/>
      <c r="CT385" s="10"/>
      <c r="CU385" s="10"/>
      <c r="CV385" s="10"/>
      <c r="CW385" s="10"/>
      <c r="CX385" s="10"/>
      <c r="CY385" s="10"/>
      <c r="CZ385" s="10"/>
      <c r="DA385" s="10"/>
      <c r="DB385" s="10"/>
      <c r="DC385" s="10"/>
      <c r="DD385" s="10"/>
      <c r="DE385" s="10"/>
      <c r="DF385" s="10"/>
      <c r="DG385" s="10"/>
      <c r="DH385" s="10"/>
      <c r="DI385" s="10"/>
      <c r="DJ385" s="10"/>
      <c r="DK385" s="10"/>
      <c r="DL385" s="10"/>
      <c r="DM385" s="10"/>
      <c r="DN385" s="10"/>
      <c r="DO385" s="10"/>
      <c r="DP385" s="10"/>
      <c r="DQ385" s="10"/>
      <c r="DR385" s="10"/>
      <c r="DS385" s="10"/>
      <c r="DT385" s="10"/>
      <c r="DU385" s="10"/>
      <c r="DV385" s="10"/>
      <c r="DW385" s="10"/>
      <c r="DX385" s="10"/>
      <c r="DY385" s="10"/>
      <c r="DZ385" s="10"/>
      <c r="EA385" s="10"/>
      <c r="EB385" s="10"/>
      <c r="EC385" s="10"/>
      <c r="ED385" s="10"/>
      <c r="EE385" s="10"/>
    </row>
    <row r="386" spans="2:135" ht="16.5">
      <c r="B386" s="47">
        <v>375</v>
      </c>
      <c r="C386" s="50"/>
      <c r="D386" s="49"/>
      <c r="E386" s="49"/>
      <c r="F386" s="49"/>
      <c r="G386" s="49"/>
      <c r="H386" s="10"/>
      <c r="I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  <c r="BA386" s="10"/>
      <c r="BB386" s="10"/>
      <c r="BC386" s="10"/>
      <c r="BD386" s="10"/>
      <c r="BE386" s="10"/>
      <c r="BF386" s="10"/>
      <c r="BG386" s="10"/>
      <c r="BH386" s="10"/>
      <c r="BI386" s="10"/>
      <c r="BJ386" s="10"/>
      <c r="BK386" s="10"/>
      <c r="BL386" s="10"/>
      <c r="BN386" s="10"/>
      <c r="BO386" s="10"/>
      <c r="BP386" s="10"/>
      <c r="BQ386" s="10"/>
      <c r="BR386" s="10"/>
      <c r="BS386" s="10"/>
      <c r="BT386" s="10"/>
      <c r="BU386" s="10"/>
      <c r="BV386" s="10"/>
      <c r="BW386" s="10"/>
      <c r="BX386" s="10"/>
      <c r="BY386" s="10"/>
      <c r="BZ386" s="10"/>
      <c r="CA386" s="10"/>
      <c r="CB386" s="10"/>
      <c r="CC386" s="10"/>
      <c r="CD386" s="10"/>
      <c r="CE386" s="10"/>
      <c r="CF386" s="10"/>
      <c r="CG386" s="10"/>
      <c r="CH386" s="10"/>
      <c r="CI386" s="10"/>
      <c r="CJ386" s="10"/>
      <c r="CK386" s="10"/>
      <c r="CL386" s="10"/>
      <c r="CM386" s="10"/>
      <c r="CN386" s="10"/>
      <c r="CO386" s="10"/>
      <c r="CP386" s="10"/>
      <c r="CQ386" s="10"/>
      <c r="CR386" s="10"/>
      <c r="CS386" s="10"/>
      <c r="CT386" s="10"/>
      <c r="CU386" s="10"/>
      <c r="CV386" s="10"/>
      <c r="CW386" s="10"/>
      <c r="CX386" s="10"/>
      <c r="CY386" s="10"/>
      <c r="CZ386" s="10"/>
      <c r="DA386" s="10"/>
      <c r="DB386" s="10"/>
      <c r="DC386" s="10"/>
      <c r="DD386" s="10"/>
      <c r="DE386" s="10"/>
      <c r="DF386" s="10"/>
      <c r="DG386" s="10"/>
      <c r="DH386" s="10"/>
      <c r="DI386" s="10"/>
      <c r="DJ386" s="10"/>
      <c r="DK386" s="10"/>
      <c r="DL386" s="10"/>
      <c r="DM386" s="10"/>
      <c r="DN386" s="10"/>
      <c r="DO386" s="10"/>
      <c r="DP386" s="10"/>
      <c r="DQ386" s="10"/>
      <c r="DR386" s="10"/>
      <c r="DS386" s="10"/>
      <c r="DT386" s="10"/>
      <c r="DU386" s="10"/>
      <c r="DV386" s="10"/>
      <c r="DW386" s="10"/>
      <c r="DX386" s="10"/>
      <c r="DY386" s="10"/>
      <c r="DZ386" s="10"/>
      <c r="EA386" s="10"/>
      <c r="EB386" s="10"/>
      <c r="EC386" s="10"/>
      <c r="ED386" s="10"/>
      <c r="EE386" s="10"/>
    </row>
    <row r="387" spans="2:135" ht="16.5">
      <c r="B387" s="47">
        <v>376</v>
      </c>
      <c r="C387" s="50"/>
      <c r="D387" s="49"/>
      <c r="E387" s="49"/>
      <c r="F387" s="49"/>
      <c r="G387" s="49"/>
      <c r="H387" s="10"/>
      <c r="I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  <c r="BA387" s="10"/>
      <c r="BB387" s="10"/>
      <c r="BC387" s="10"/>
      <c r="BD387" s="10"/>
      <c r="BE387" s="10"/>
      <c r="BF387" s="10"/>
      <c r="BG387" s="10"/>
      <c r="BH387" s="10"/>
      <c r="BI387" s="10"/>
      <c r="BJ387" s="10"/>
      <c r="BK387" s="10"/>
      <c r="BL387" s="10"/>
      <c r="BN387" s="10"/>
      <c r="BO387" s="10"/>
      <c r="BP387" s="10"/>
      <c r="BQ387" s="10"/>
      <c r="BR387" s="10"/>
      <c r="BS387" s="10"/>
      <c r="BT387" s="10"/>
      <c r="BU387" s="10"/>
      <c r="BV387" s="10"/>
      <c r="BW387" s="10"/>
      <c r="BX387" s="10"/>
      <c r="BY387" s="10"/>
      <c r="BZ387" s="10"/>
      <c r="CA387" s="10"/>
      <c r="CB387" s="10"/>
      <c r="CC387" s="10"/>
      <c r="CD387" s="10"/>
      <c r="CE387" s="10"/>
      <c r="CF387" s="10"/>
      <c r="CG387" s="10"/>
      <c r="CH387" s="10"/>
      <c r="CI387" s="10"/>
      <c r="CJ387" s="10"/>
      <c r="CK387" s="10"/>
      <c r="CL387" s="10"/>
      <c r="CM387" s="10"/>
      <c r="CN387" s="10"/>
      <c r="CO387" s="10"/>
      <c r="CP387" s="10"/>
      <c r="CQ387" s="10"/>
      <c r="CR387" s="10"/>
      <c r="CS387" s="10"/>
      <c r="CT387" s="10"/>
      <c r="CU387" s="10"/>
      <c r="CV387" s="10"/>
      <c r="CW387" s="10"/>
      <c r="CX387" s="10"/>
      <c r="CY387" s="10"/>
      <c r="CZ387" s="10"/>
      <c r="DA387" s="10"/>
      <c r="DB387" s="10"/>
      <c r="DC387" s="10"/>
      <c r="DD387" s="10"/>
      <c r="DE387" s="10"/>
      <c r="DF387" s="10"/>
      <c r="DG387" s="10"/>
      <c r="DH387" s="10"/>
      <c r="DI387" s="10"/>
      <c r="DJ387" s="10"/>
      <c r="DK387" s="10"/>
      <c r="DL387" s="10"/>
      <c r="DM387" s="10"/>
      <c r="DN387" s="10"/>
      <c r="DO387" s="10"/>
      <c r="DP387" s="10"/>
      <c r="DQ387" s="10"/>
      <c r="DR387" s="10"/>
      <c r="DS387" s="10"/>
      <c r="DT387" s="10"/>
      <c r="DU387" s="10"/>
      <c r="DV387" s="10"/>
      <c r="DW387" s="10"/>
      <c r="DX387" s="10"/>
      <c r="DY387" s="10"/>
      <c r="DZ387" s="10"/>
      <c r="EA387" s="10"/>
      <c r="EB387" s="10"/>
      <c r="EC387" s="10"/>
      <c r="ED387" s="10"/>
      <c r="EE387" s="10"/>
    </row>
    <row r="388" spans="2:135" ht="16.5">
      <c r="B388" s="47">
        <v>377</v>
      </c>
      <c r="C388" s="50"/>
      <c r="D388" s="49"/>
      <c r="E388" s="49"/>
      <c r="F388" s="49"/>
      <c r="G388" s="49"/>
      <c r="H388" s="10"/>
      <c r="I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  <c r="BA388" s="10"/>
      <c r="BB388" s="10"/>
      <c r="BC388" s="10"/>
      <c r="BD388" s="10"/>
      <c r="BE388" s="10"/>
      <c r="BF388" s="10"/>
      <c r="BG388" s="10"/>
      <c r="BH388" s="10"/>
      <c r="BI388" s="10"/>
      <c r="BJ388" s="10"/>
      <c r="BK388" s="10"/>
      <c r="BL388" s="10"/>
      <c r="BN388" s="10"/>
      <c r="BO388" s="10"/>
      <c r="BP388" s="10"/>
      <c r="BQ388" s="10"/>
      <c r="BR388" s="10"/>
      <c r="BS388" s="10"/>
      <c r="BT388" s="10"/>
      <c r="BU388" s="10"/>
      <c r="BV388" s="10"/>
      <c r="BW388" s="10"/>
      <c r="BX388" s="10"/>
      <c r="BY388" s="10"/>
      <c r="BZ388" s="10"/>
      <c r="CA388" s="10"/>
      <c r="CB388" s="10"/>
      <c r="CC388" s="10"/>
      <c r="CD388" s="10"/>
      <c r="CE388" s="10"/>
      <c r="CF388" s="10"/>
      <c r="CG388" s="10"/>
      <c r="CH388" s="10"/>
      <c r="CI388" s="10"/>
      <c r="CJ388" s="10"/>
      <c r="CK388" s="10"/>
      <c r="CL388" s="10"/>
      <c r="CM388" s="10"/>
      <c r="CN388" s="10"/>
      <c r="CO388" s="10"/>
      <c r="CP388" s="10"/>
      <c r="CQ388" s="10"/>
      <c r="CR388" s="10"/>
      <c r="CS388" s="10"/>
      <c r="CT388" s="10"/>
      <c r="CU388" s="10"/>
      <c r="CV388" s="10"/>
      <c r="CW388" s="10"/>
      <c r="CX388" s="10"/>
      <c r="CY388" s="10"/>
      <c r="CZ388" s="10"/>
      <c r="DA388" s="10"/>
      <c r="DB388" s="10"/>
      <c r="DC388" s="10"/>
      <c r="DD388" s="10"/>
      <c r="DE388" s="10"/>
      <c r="DF388" s="10"/>
      <c r="DG388" s="10"/>
      <c r="DH388" s="10"/>
      <c r="DI388" s="10"/>
      <c r="DJ388" s="10"/>
      <c r="DK388" s="10"/>
      <c r="DL388" s="10"/>
      <c r="DM388" s="10"/>
      <c r="DN388" s="10"/>
      <c r="DO388" s="10"/>
      <c r="DP388" s="10"/>
      <c r="DQ388" s="10"/>
      <c r="DR388" s="10"/>
      <c r="DS388" s="10"/>
      <c r="DT388" s="10"/>
      <c r="DU388" s="10"/>
      <c r="DV388" s="10"/>
      <c r="DW388" s="10"/>
      <c r="DX388" s="10"/>
      <c r="DY388" s="10"/>
      <c r="DZ388" s="10"/>
      <c r="EA388" s="10"/>
      <c r="EB388" s="10"/>
      <c r="EC388" s="10"/>
      <c r="ED388" s="10"/>
      <c r="EE388" s="10"/>
    </row>
    <row r="389" spans="2:135" ht="16.5">
      <c r="B389" s="47">
        <v>378</v>
      </c>
      <c r="C389" s="50"/>
      <c r="D389" s="49"/>
      <c r="E389" s="49"/>
      <c r="F389" s="49"/>
      <c r="G389" s="49"/>
      <c r="H389" s="10"/>
      <c r="I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  <c r="BB389" s="10"/>
      <c r="BC389" s="10"/>
      <c r="BD389" s="10"/>
      <c r="BE389" s="10"/>
      <c r="BF389" s="10"/>
      <c r="BG389" s="10"/>
      <c r="BH389" s="10"/>
      <c r="BI389" s="10"/>
      <c r="BJ389" s="10"/>
      <c r="BK389" s="10"/>
      <c r="BL389" s="10"/>
      <c r="BN389" s="10"/>
      <c r="BO389" s="10"/>
      <c r="BP389" s="10"/>
      <c r="BQ389" s="10"/>
      <c r="BR389" s="10"/>
      <c r="BS389" s="10"/>
      <c r="BT389" s="10"/>
      <c r="BU389" s="10"/>
      <c r="BV389" s="10"/>
      <c r="BW389" s="10"/>
      <c r="BX389" s="10"/>
      <c r="BY389" s="10"/>
      <c r="BZ389" s="10"/>
      <c r="CA389" s="10"/>
      <c r="CB389" s="10"/>
      <c r="CC389" s="10"/>
      <c r="CD389" s="10"/>
      <c r="CE389" s="10"/>
      <c r="CF389" s="10"/>
      <c r="CG389" s="10"/>
      <c r="CH389" s="10"/>
      <c r="CI389" s="10"/>
      <c r="CJ389" s="10"/>
      <c r="CK389" s="10"/>
      <c r="CL389" s="10"/>
      <c r="CM389" s="10"/>
      <c r="CN389" s="10"/>
      <c r="CO389" s="10"/>
      <c r="CP389" s="10"/>
      <c r="CQ389" s="10"/>
      <c r="CR389" s="10"/>
      <c r="CS389" s="10"/>
      <c r="CT389" s="10"/>
      <c r="CU389" s="10"/>
      <c r="CV389" s="10"/>
      <c r="CW389" s="10"/>
      <c r="CX389" s="10"/>
      <c r="CY389" s="10"/>
      <c r="CZ389" s="10"/>
      <c r="DA389" s="10"/>
      <c r="DB389" s="10"/>
      <c r="DC389" s="10"/>
      <c r="DD389" s="10"/>
      <c r="DE389" s="10"/>
      <c r="DF389" s="10"/>
      <c r="DG389" s="10"/>
      <c r="DH389" s="10"/>
      <c r="DI389" s="10"/>
      <c r="DJ389" s="10"/>
      <c r="DK389" s="10"/>
      <c r="DL389" s="10"/>
      <c r="DM389" s="10"/>
      <c r="DN389" s="10"/>
      <c r="DO389" s="10"/>
      <c r="DP389" s="10"/>
      <c r="DQ389" s="10"/>
      <c r="DR389" s="10"/>
      <c r="DS389" s="10"/>
      <c r="DT389" s="10"/>
      <c r="DU389" s="10"/>
      <c r="DV389" s="10"/>
      <c r="DW389" s="10"/>
      <c r="DX389" s="10"/>
      <c r="DY389" s="10"/>
      <c r="DZ389" s="10"/>
      <c r="EA389" s="10"/>
      <c r="EB389" s="10"/>
      <c r="EC389" s="10"/>
      <c r="ED389" s="10"/>
      <c r="EE389" s="10"/>
    </row>
    <row r="390" spans="2:135" ht="16.5">
      <c r="B390" s="47">
        <v>379</v>
      </c>
      <c r="C390" s="50"/>
      <c r="D390" s="49"/>
      <c r="E390" s="49"/>
      <c r="F390" s="49"/>
      <c r="G390" s="49"/>
      <c r="H390" s="10"/>
      <c r="I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  <c r="BL390" s="10"/>
      <c r="BN390" s="10"/>
      <c r="BO390" s="10"/>
      <c r="BP390" s="10"/>
      <c r="BQ390" s="10"/>
      <c r="BR390" s="10"/>
      <c r="BS390" s="10"/>
      <c r="BT390" s="10"/>
      <c r="BU390" s="10"/>
      <c r="BV390" s="10"/>
      <c r="BW390" s="10"/>
      <c r="BX390" s="10"/>
      <c r="BY390" s="10"/>
      <c r="BZ390" s="10"/>
      <c r="CA390" s="10"/>
      <c r="CB390" s="10"/>
      <c r="CC390" s="10"/>
      <c r="CD390" s="10"/>
      <c r="CE390" s="10"/>
      <c r="CF390" s="10"/>
      <c r="CG390" s="10"/>
      <c r="CH390" s="10"/>
      <c r="CI390" s="10"/>
      <c r="CJ390" s="10"/>
      <c r="CK390" s="10"/>
      <c r="CL390" s="10"/>
      <c r="CM390" s="10"/>
      <c r="CN390" s="10"/>
      <c r="CO390" s="10"/>
      <c r="CP390" s="10"/>
      <c r="CQ390" s="10"/>
      <c r="CR390" s="10"/>
      <c r="CS390" s="10"/>
      <c r="CT390" s="10"/>
      <c r="CU390" s="10"/>
      <c r="CV390" s="10"/>
      <c r="CW390" s="10"/>
      <c r="CX390" s="10"/>
      <c r="CY390" s="10"/>
      <c r="CZ390" s="10"/>
      <c r="DA390" s="10"/>
      <c r="DB390" s="10"/>
      <c r="DC390" s="10"/>
      <c r="DD390" s="10"/>
      <c r="DE390" s="10"/>
      <c r="DF390" s="10"/>
      <c r="DG390" s="10"/>
      <c r="DH390" s="10"/>
      <c r="DI390" s="10"/>
      <c r="DJ390" s="10"/>
      <c r="DK390" s="10"/>
      <c r="DL390" s="10"/>
      <c r="DM390" s="10"/>
      <c r="DN390" s="10"/>
      <c r="DO390" s="10"/>
      <c r="DP390" s="10"/>
      <c r="DQ390" s="10"/>
      <c r="DR390" s="10"/>
      <c r="DS390" s="10"/>
      <c r="DT390" s="10"/>
      <c r="DU390" s="10"/>
      <c r="DV390" s="10"/>
      <c r="DW390" s="10"/>
      <c r="DX390" s="10"/>
      <c r="DY390" s="10"/>
      <c r="DZ390" s="10"/>
      <c r="EA390" s="10"/>
      <c r="EB390" s="10"/>
      <c r="EC390" s="10"/>
      <c r="ED390" s="10"/>
      <c r="EE390" s="10"/>
    </row>
    <row r="391" spans="2:135" ht="16.5">
      <c r="B391" s="47">
        <v>380</v>
      </c>
      <c r="C391" s="50"/>
      <c r="D391" s="49"/>
      <c r="E391" s="49"/>
      <c r="F391" s="49"/>
      <c r="G391" s="49"/>
      <c r="H391" s="10"/>
      <c r="I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  <c r="BB391" s="10"/>
      <c r="BC391" s="10"/>
      <c r="BD391" s="10"/>
      <c r="BE391" s="10"/>
      <c r="BF391" s="10"/>
      <c r="BG391" s="10"/>
      <c r="BH391" s="10"/>
      <c r="BI391" s="10"/>
      <c r="BJ391" s="10"/>
      <c r="BK391" s="10"/>
      <c r="BL391" s="10"/>
      <c r="BN391" s="10"/>
      <c r="BO391" s="10"/>
      <c r="BP391" s="10"/>
      <c r="BQ391" s="10"/>
      <c r="BR391" s="10"/>
      <c r="BS391" s="10"/>
      <c r="BT391" s="10"/>
      <c r="BU391" s="10"/>
      <c r="BV391" s="10"/>
      <c r="BW391" s="10"/>
      <c r="BX391" s="10"/>
      <c r="BY391" s="10"/>
      <c r="BZ391" s="10"/>
      <c r="CA391" s="10"/>
      <c r="CB391" s="10"/>
      <c r="CC391" s="10"/>
      <c r="CD391" s="10"/>
      <c r="CE391" s="10"/>
      <c r="CF391" s="10"/>
      <c r="CG391" s="10"/>
      <c r="CH391" s="10"/>
      <c r="CI391" s="10"/>
      <c r="CJ391" s="10"/>
      <c r="CK391" s="10"/>
      <c r="CL391" s="10"/>
      <c r="CM391" s="10"/>
      <c r="CN391" s="10"/>
      <c r="CO391" s="10"/>
      <c r="CP391" s="10"/>
      <c r="CQ391" s="10"/>
      <c r="CR391" s="10"/>
      <c r="CS391" s="10"/>
      <c r="CT391" s="10"/>
      <c r="CU391" s="10"/>
      <c r="CV391" s="10"/>
      <c r="CW391" s="10"/>
      <c r="CX391" s="10"/>
      <c r="CY391" s="10"/>
      <c r="CZ391" s="10"/>
      <c r="DA391" s="10"/>
      <c r="DB391" s="10"/>
      <c r="DC391" s="10"/>
      <c r="DD391" s="10"/>
      <c r="DE391" s="10"/>
      <c r="DF391" s="10"/>
      <c r="DG391" s="10"/>
      <c r="DH391" s="10"/>
      <c r="DI391" s="10"/>
      <c r="DJ391" s="10"/>
      <c r="DK391" s="10"/>
      <c r="DL391" s="10"/>
      <c r="DM391" s="10"/>
      <c r="DN391" s="10"/>
      <c r="DO391" s="10"/>
      <c r="DP391" s="10"/>
      <c r="DQ391" s="10"/>
      <c r="DR391" s="10"/>
      <c r="DS391" s="10"/>
      <c r="DT391" s="10"/>
      <c r="DU391" s="10"/>
      <c r="DV391" s="10"/>
      <c r="DW391" s="10"/>
      <c r="DX391" s="10"/>
      <c r="DY391" s="10"/>
      <c r="DZ391" s="10"/>
      <c r="EA391" s="10"/>
      <c r="EB391" s="10"/>
      <c r="EC391" s="10"/>
      <c r="ED391" s="10"/>
      <c r="EE391" s="10"/>
    </row>
    <row r="392" spans="2:135" ht="16.5">
      <c r="B392" s="47">
        <v>381</v>
      </c>
      <c r="C392" s="50"/>
      <c r="D392" s="49"/>
      <c r="E392" s="49"/>
      <c r="F392" s="49"/>
      <c r="G392" s="49"/>
      <c r="H392" s="10"/>
      <c r="I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  <c r="BB392" s="10"/>
      <c r="BC392" s="10"/>
      <c r="BD392" s="10"/>
      <c r="BE392" s="10"/>
      <c r="BF392" s="10"/>
      <c r="BG392" s="10"/>
      <c r="BH392" s="10"/>
      <c r="BI392" s="10"/>
      <c r="BJ392" s="10"/>
      <c r="BK392" s="10"/>
      <c r="BL392" s="10"/>
      <c r="BN392" s="10"/>
      <c r="BO392" s="10"/>
      <c r="BP392" s="10"/>
      <c r="BQ392" s="10"/>
      <c r="BR392" s="10"/>
      <c r="BS392" s="10"/>
      <c r="BT392" s="10"/>
      <c r="BU392" s="10"/>
      <c r="BV392" s="10"/>
      <c r="BW392" s="10"/>
      <c r="BX392" s="10"/>
      <c r="BY392" s="10"/>
      <c r="BZ392" s="10"/>
      <c r="CA392" s="10"/>
      <c r="CB392" s="10"/>
      <c r="CC392" s="10"/>
      <c r="CD392" s="10"/>
      <c r="CE392" s="10"/>
      <c r="CF392" s="10"/>
      <c r="CG392" s="10"/>
      <c r="CH392" s="10"/>
      <c r="CI392" s="10"/>
      <c r="CJ392" s="10"/>
      <c r="CK392" s="10"/>
      <c r="CL392" s="10"/>
      <c r="CM392" s="10"/>
      <c r="CN392" s="10"/>
      <c r="CO392" s="10"/>
      <c r="CP392" s="10"/>
      <c r="CQ392" s="10"/>
      <c r="CR392" s="10"/>
      <c r="CS392" s="10"/>
      <c r="CT392" s="10"/>
      <c r="CU392" s="10"/>
      <c r="CV392" s="10"/>
      <c r="CW392" s="10"/>
      <c r="CX392" s="10"/>
      <c r="CY392" s="10"/>
      <c r="CZ392" s="10"/>
      <c r="DA392" s="10"/>
      <c r="DB392" s="10"/>
      <c r="DC392" s="10"/>
      <c r="DD392" s="10"/>
      <c r="DE392" s="10"/>
      <c r="DF392" s="10"/>
      <c r="DG392" s="10"/>
      <c r="DH392" s="10"/>
      <c r="DI392" s="10"/>
      <c r="DJ392" s="10"/>
      <c r="DK392" s="10"/>
      <c r="DL392" s="10"/>
      <c r="DM392" s="10"/>
      <c r="DN392" s="10"/>
      <c r="DO392" s="10"/>
      <c r="DP392" s="10"/>
      <c r="DQ392" s="10"/>
      <c r="DR392" s="10"/>
      <c r="DS392" s="10"/>
      <c r="DT392" s="10"/>
      <c r="DU392" s="10"/>
      <c r="DV392" s="10"/>
      <c r="DW392" s="10"/>
      <c r="DX392" s="10"/>
      <c r="DY392" s="10"/>
      <c r="DZ392" s="10"/>
      <c r="EA392" s="10"/>
      <c r="EB392" s="10"/>
      <c r="EC392" s="10"/>
      <c r="ED392" s="10"/>
      <c r="EE392" s="10"/>
    </row>
    <row r="393" spans="2:135" ht="16.5">
      <c r="B393" s="47">
        <v>382</v>
      </c>
      <c r="C393" s="50"/>
      <c r="D393" s="49"/>
      <c r="E393" s="49"/>
      <c r="F393" s="49"/>
      <c r="G393" s="49"/>
      <c r="H393" s="10"/>
      <c r="I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  <c r="BA393" s="10"/>
      <c r="BB393" s="10"/>
      <c r="BC393" s="10"/>
      <c r="BD393" s="10"/>
      <c r="BE393" s="10"/>
      <c r="BF393" s="10"/>
      <c r="BG393" s="10"/>
      <c r="BH393" s="10"/>
      <c r="BI393" s="10"/>
      <c r="BJ393" s="10"/>
      <c r="BK393" s="10"/>
      <c r="BL393" s="10"/>
      <c r="BN393" s="10"/>
      <c r="BO393" s="10"/>
      <c r="BP393" s="10"/>
      <c r="BQ393" s="10"/>
      <c r="BR393" s="10"/>
      <c r="BS393" s="10"/>
      <c r="BT393" s="10"/>
      <c r="BU393" s="10"/>
      <c r="BV393" s="10"/>
      <c r="BW393" s="10"/>
      <c r="BX393" s="10"/>
      <c r="BY393" s="10"/>
      <c r="BZ393" s="10"/>
      <c r="CA393" s="10"/>
      <c r="CB393" s="10"/>
      <c r="CC393" s="10"/>
      <c r="CD393" s="10"/>
      <c r="CE393" s="10"/>
      <c r="CF393" s="10"/>
      <c r="CG393" s="10"/>
      <c r="CH393" s="10"/>
      <c r="CI393" s="10"/>
      <c r="CJ393" s="10"/>
      <c r="CK393" s="10"/>
      <c r="CL393" s="10"/>
      <c r="CM393" s="10"/>
      <c r="CN393" s="10"/>
      <c r="CO393" s="10"/>
      <c r="CP393" s="10"/>
      <c r="CQ393" s="10"/>
      <c r="CR393" s="10"/>
      <c r="CS393" s="10"/>
      <c r="CT393" s="10"/>
      <c r="CU393" s="10"/>
      <c r="CV393" s="10"/>
      <c r="CW393" s="10"/>
      <c r="CX393" s="10"/>
      <c r="CY393" s="10"/>
      <c r="CZ393" s="10"/>
      <c r="DA393" s="10"/>
      <c r="DB393" s="10"/>
      <c r="DC393" s="10"/>
      <c r="DD393" s="10"/>
      <c r="DE393" s="10"/>
      <c r="DF393" s="10"/>
      <c r="DG393" s="10"/>
      <c r="DH393" s="10"/>
      <c r="DI393" s="10"/>
      <c r="DJ393" s="10"/>
      <c r="DK393" s="10"/>
      <c r="DL393" s="10"/>
      <c r="DM393" s="10"/>
      <c r="DN393" s="10"/>
      <c r="DO393" s="10"/>
      <c r="DP393" s="10"/>
      <c r="DQ393" s="10"/>
      <c r="DR393" s="10"/>
      <c r="DS393" s="10"/>
      <c r="DT393" s="10"/>
      <c r="DU393" s="10"/>
      <c r="DV393" s="10"/>
      <c r="DW393" s="10"/>
      <c r="DX393" s="10"/>
      <c r="DY393" s="10"/>
      <c r="DZ393" s="10"/>
      <c r="EA393" s="10"/>
      <c r="EB393" s="10"/>
      <c r="EC393" s="10"/>
      <c r="ED393" s="10"/>
      <c r="EE393" s="10"/>
    </row>
    <row r="394" spans="2:135" ht="16.5">
      <c r="B394" s="47">
        <v>383</v>
      </c>
      <c r="C394" s="50"/>
      <c r="D394" s="49"/>
      <c r="E394" s="49"/>
      <c r="F394" s="49"/>
      <c r="G394" s="49"/>
      <c r="H394" s="10"/>
      <c r="I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  <c r="BB394" s="10"/>
      <c r="BC394" s="10"/>
      <c r="BD394" s="10"/>
      <c r="BE394" s="10"/>
      <c r="BF394" s="10"/>
      <c r="BG394" s="10"/>
      <c r="BH394" s="10"/>
      <c r="BI394" s="10"/>
      <c r="BJ394" s="10"/>
      <c r="BK394" s="10"/>
      <c r="BL394" s="10"/>
      <c r="BN394" s="10"/>
      <c r="BO394" s="10"/>
      <c r="BP394" s="10"/>
      <c r="BQ394" s="10"/>
      <c r="BR394" s="10"/>
      <c r="BS394" s="10"/>
      <c r="BT394" s="10"/>
      <c r="BU394" s="10"/>
      <c r="BV394" s="10"/>
      <c r="BW394" s="10"/>
      <c r="BX394" s="10"/>
      <c r="BY394" s="10"/>
      <c r="BZ394" s="10"/>
      <c r="CA394" s="10"/>
      <c r="CB394" s="10"/>
      <c r="CC394" s="10"/>
      <c r="CD394" s="10"/>
      <c r="CE394" s="10"/>
      <c r="CF394" s="10"/>
      <c r="CG394" s="10"/>
      <c r="CH394" s="10"/>
      <c r="CI394" s="10"/>
      <c r="CJ394" s="10"/>
      <c r="CK394" s="10"/>
      <c r="CL394" s="10"/>
      <c r="CM394" s="10"/>
      <c r="CN394" s="10"/>
      <c r="CO394" s="10"/>
      <c r="CP394" s="10"/>
      <c r="CQ394" s="10"/>
      <c r="CR394" s="10"/>
      <c r="CS394" s="10"/>
      <c r="CT394" s="10"/>
      <c r="CU394" s="10"/>
      <c r="CV394" s="10"/>
      <c r="CW394" s="10"/>
      <c r="CX394" s="10"/>
      <c r="CY394" s="10"/>
      <c r="CZ394" s="10"/>
      <c r="DA394" s="10"/>
      <c r="DB394" s="10"/>
      <c r="DC394" s="10"/>
      <c r="DD394" s="10"/>
      <c r="DE394" s="10"/>
      <c r="DF394" s="10"/>
      <c r="DG394" s="10"/>
      <c r="DH394" s="10"/>
      <c r="DI394" s="10"/>
      <c r="DJ394" s="10"/>
      <c r="DK394" s="10"/>
      <c r="DL394" s="10"/>
      <c r="DM394" s="10"/>
      <c r="DN394" s="10"/>
      <c r="DO394" s="10"/>
      <c r="DP394" s="10"/>
      <c r="DQ394" s="10"/>
      <c r="DR394" s="10"/>
      <c r="DS394" s="10"/>
      <c r="DT394" s="10"/>
      <c r="DU394" s="10"/>
      <c r="DV394" s="10"/>
      <c r="DW394" s="10"/>
      <c r="DX394" s="10"/>
      <c r="DY394" s="10"/>
      <c r="DZ394" s="10"/>
      <c r="EA394" s="10"/>
      <c r="EB394" s="10"/>
      <c r="EC394" s="10"/>
      <c r="ED394" s="10"/>
      <c r="EE394" s="10"/>
    </row>
    <row r="395" spans="2:135" ht="16.5">
      <c r="B395" s="47">
        <v>384</v>
      </c>
      <c r="C395" s="50"/>
      <c r="D395" s="49"/>
      <c r="E395" s="49"/>
      <c r="F395" s="49"/>
      <c r="G395" s="49"/>
      <c r="H395" s="10"/>
      <c r="I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  <c r="BA395" s="10"/>
      <c r="BB395" s="10"/>
      <c r="BC395" s="10"/>
      <c r="BD395" s="10"/>
      <c r="BE395" s="10"/>
      <c r="BF395" s="10"/>
      <c r="BG395" s="10"/>
      <c r="BH395" s="10"/>
      <c r="BI395" s="10"/>
      <c r="BJ395" s="10"/>
      <c r="BK395" s="10"/>
      <c r="BL395" s="10"/>
      <c r="BN395" s="10"/>
      <c r="BO395" s="10"/>
      <c r="BP395" s="10"/>
      <c r="BQ395" s="10"/>
      <c r="BR395" s="10"/>
      <c r="BS395" s="10"/>
      <c r="BT395" s="10"/>
      <c r="BU395" s="10"/>
      <c r="BV395" s="10"/>
      <c r="BW395" s="10"/>
      <c r="BX395" s="10"/>
      <c r="BY395" s="10"/>
      <c r="BZ395" s="10"/>
      <c r="CA395" s="10"/>
      <c r="CB395" s="10"/>
      <c r="CC395" s="10"/>
      <c r="CD395" s="10"/>
      <c r="CE395" s="10"/>
      <c r="CF395" s="10"/>
      <c r="CG395" s="10"/>
      <c r="CH395" s="10"/>
      <c r="CI395" s="10"/>
      <c r="CJ395" s="10"/>
      <c r="CK395" s="10"/>
      <c r="CL395" s="10"/>
      <c r="CM395" s="10"/>
      <c r="CN395" s="10"/>
      <c r="CO395" s="10"/>
      <c r="CP395" s="10"/>
      <c r="CQ395" s="10"/>
      <c r="CR395" s="10"/>
      <c r="CS395" s="10"/>
      <c r="CT395" s="10"/>
      <c r="CU395" s="10"/>
      <c r="CV395" s="10"/>
      <c r="CW395" s="10"/>
      <c r="CX395" s="10"/>
      <c r="CY395" s="10"/>
      <c r="CZ395" s="10"/>
      <c r="DA395" s="10"/>
      <c r="DB395" s="10"/>
      <c r="DC395" s="10"/>
      <c r="DD395" s="10"/>
      <c r="DE395" s="10"/>
      <c r="DF395" s="10"/>
      <c r="DG395" s="10"/>
      <c r="DH395" s="10"/>
      <c r="DI395" s="10"/>
      <c r="DJ395" s="10"/>
      <c r="DK395" s="10"/>
      <c r="DL395" s="10"/>
      <c r="DM395" s="10"/>
      <c r="DN395" s="10"/>
      <c r="DO395" s="10"/>
      <c r="DP395" s="10"/>
      <c r="DQ395" s="10"/>
      <c r="DR395" s="10"/>
      <c r="DS395" s="10"/>
      <c r="DT395" s="10"/>
      <c r="DU395" s="10"/>
      <c r="DV395" s="10"/>
      <c r="DW395" s="10"/>
      <c r="DX395" s="10"/>
      <c r="DY395" s="10"/>
      <c r="DZ395" s="10"/>
      <c r="EA395" s="10"/>
      <c r="EB395" s="10"/>
      <c r="EC395" s="10"/>
      <c r="ED395" s="10"/>
      <c r="EE395" s="10"/>
    </row>
    <row r="396" spans="2:135" ht="16.5">
      <c r="B396" s="47">
        <v>385</v>
      </c>
      <c r="C396" s="50"/>
      <c r="D396" s="49"/>
      <c r="E396" s="49"/>
      <c r="F396" s="49"/>
      <c r="G396" s="49"/>
      <c r="H396" s="10"/>
      <c r="I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  <c r="BA396" s="10"/>
      <c r="BB396" s="10"/>
      <c r="BC396" s="10"/>
      <c r="BD396" s="10"/>
      <c r="BE396" s="10"/>
      <c r="BF396" s="10"/>
      <c r="BG396" s="10"/>
      <c r="BH396" s="10"/>
      <c r="BI396" s="10"/>
      <c r="BJ396" s="10"/>
      <c r="BK396" s="10"/>
      <c r="BL396" s="10"/>
      <c r="BN396" s="10"/>
      <c r="BO396" s="10"/>
      <c r="BP396" s="10"/>
      <c r="BQ396" s="10"/>
      <c r="BR396" s="10"/>
      <c r="BS396" s="10"/>
      <c r="BT396" s="10"/>
      <c r="BU396" s="10"/>
      <c r="BV396" s="10"/>
      <c r="BW396" s="10"/>
      <c r="BX396" s="10"/>
      <c r="BY396" s="10"/>
      <c r="BZ396" s="10"/>
      <c r="CA396" s="10"/>
      <c r="CB396" s="10"/>
      <c r="CC396" s="10"/>
      <c r="CD396" s="10"/>
      <c r="CE396" s="10"/>
      <c r="CF396" s="10"/>
      <c r="CG396" s="10"/>
      <c r="CH396" s="10"/>
      <c r="CI396" s="10"/>
      <c r="CJ396" s="10"/>
      <c r="CK396" s="10"/>
      <c r="CL396" s="10"/>
      <c r="CM396" s="10"/>
      <c r="CN396" s="10"/>
      <c r="CO396" s="10"/>
      <c r="CP396" s="10"/>
      <c r="CQ396" s="10"/>
      <c r="CR396" s="10"/>
      <c r="CS396" s="10"/>
      <c r="CT396" s="10"/>
      <c r="CU396" s="10"/>
      <c r="CV396" s="10"/>
      <c r="CW396" s="10"/>
      <c r="CX396" s="10"/>
      <c r="CY396" s="10"/>
      <c r="CZ396" s="10"/>
      <c r="DA396" s="10"/>
      <c r="DB396" s="10"/>
      <c r="DC396" s="10"/>
      <c r="DD396" s="10"/>
      <c r="DE396" s="10"/>
      <c r="DF396" s="10"/>
      <c r="DG396" s="10"/>
      <c r="DH396" s="10"/>
      <c r="DI396" s="10"/>
      <c r="DJ396" s="10"/>
      <c r="DK396" s="10"/>
      <c r="DL396" s="10"/>
      <c r="DM396" s="10"/>
      <c r="DN396" s="10"/>
      <c r="DO396" s="10"/>
      <c r="DP396" s="10"/>
      <c r="DQ396" s="10"/>
      <c r="DR396" s="10"/>
      <c r="DS396" s="10"/>
      <c r="DT396" s="10"/>
      <c r="DU396" s="10"/>
      <c r="DV396" s="10"/>
      <c r="DW396" s="10"/>
      <c r="DX396" s="10"/>
      <c r="DY396" s="10"/>
      <c r="DZ396" s="10"/>
      <c r="EA396" s="10"/>
      <c r="EB396" s="10"/>
      <c r="EC396" s="10"/>
      <c r="ED396" s="10"/>
      <c r="EE396" s="10"/>
    </row>
    <row r="397" spans="2:135" ht="16.5">
      <c r="B397" s="47">
        <v>386</v>
      </c>
      <c r="C397" s="50"/>
      <c r="D397" s="49"/>
      <c r="E397" s="49"/>
      <c r="F397" s="49"/>
      <c r="G397" s="49"/>
      <c r="H397" s="10"/>
      <c r="I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  <c r="BA397" s="10"/>
      <c r="BB397" s="10"/>
      <c r="BC397" s="10"/>
      <c r="BD397" s="10"/>
      <c r="BE397" s="10"/>
      <c r="BF397" s="10"/>
      <c r="BG397" s="10"/>
      <c r="BH397" s="10"/>
      <c r="BI397" s="10"/>
      <c r="BJ397" s="10"/>
      <c r="BK397" s="10"/>
      <c r="BL397" s="10"/>
      <c r="BN397" s="10"/>
      <c r="BO397" s="10"/>
      <c r="BP397" s="10"/>
      <c r="BQ397" s="10"/>
      <c r="BR397" s="10"/>
      <c r="BS397" s="10"/>
      <c r="BT397" s="10"/>
      <c r="BU397" s="10"/>
      <c r="BV397" s="10"/>
      <c r="BW397" s="10"/>
      <c r="BX397" s="10"/>
      <c r="BY397" s="10"/>
      <c r="BZ397" s="10"/>
      <c r="CA397" s="10"/>
      <c r="CB397" s="10"/>
      <c r="CC397" s="10"/>
      <c r="CD397" s="10"/>
      <c r="CE397" s="10"/>
      <c r="CF397" s="10"/>
      <c r="CG397" s="10"/>
      <c r="CH397" s="10"/>
      <c r="CI397" s="10"/>
      <c r="CJ397" s="10"/>
      <c r="CK397" s="10"/>
      <c r="CL397" s="10"/>
      <c r="CM397" s="10"/>
      <c r="CN397" s="10"/>
      <c r="CO397" s="10"/>
      <c r="CP397" s="10"/>
      <c r="CQ397" s="10"/>
      <c r="CR397" s="10"/>
      <c r="CS397" s="10"/>
      <c r="CT397" s="10"/>
      <c r="CU397" s="10"/>
      <c r="CV397" s="10"/>
      <c r="CW397" s="10"/>
      <c r="CX397" s="10"/>
      <c r="CY397" s="10"/>
      <c r="CZ397" s="10"/>
      <c r="DA397" s="10"/>
      <c r="DB397" s="10"/>
      <c r="DC397" s="10"/>
      <c r="DD397" s="10"/>
      <c r="DE397" s="10"/>
      <c r="DF397" s="10"/>
      <c r="DG397" s="10"/>
      <c r="DH397" s="10"/>
      <c r="DI397" s="10"/>
      <c r="DJ397" s="10"/>
      <c r="DK397" s="10"/>
      <c r="DL397" s="10"/>
      <c r="DM397" s="10"/>
      <c r="DN397" s="10"/>
      <c r="DO397" s="10"/>
      <c r="DP397" s="10"/>
      <c r="DQ397" s="10"/>
      <c r="DR397" s="10"/>
      <c r="DS397" s="10"/>
      <c r="DT397" s="10"/>
      <c r="DU397" s="10"/>
      <c r="DV397" s="10"/>
      <c r="DW397" s="10"/>
      <c r="DX397" s="10"/>
      <c r="DY397" s="10"/>
      <c r="DZ397" s="10"/>
      <c r="EA397" s="10"/>
      <c r="EB397" s="10"/>
      <c r="EC397" s="10"/>
      <c r="ED397" s="10"/>
      <c r="EE397" s="10"/>
    </row>
    <row r="398" spans="2:135" ht="16.5">
      <c r="B398" s="47">
        <v>387</v>
      </c>
      <c r="C398" s="50"/>
      <c r="D398" s="49"/>
      <c r="E398" s="49"/>
      <c r="F398" s="49"/>
      <c r="G398" s="49"/>
      <c r="H398" s="10"/>
      <c r="I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  <c r="BB398" s="10"/>
      <c r="BC398" s="10"/>
      <c r="BD398" s="10"/>
      <c r="BE398" s="10"/>
      <c r="BF398" s="10"/>
      <c r="BG398" s="10"/>
      <c r="BH398" s="10"/>
      <c r="BI398" s="10"/>
      <c r="BJ398" s="10"/>
      <c r="BK398" s="10"/>
      <c r="BL398" s="10"/>
      <c r="BN398" s="10"/>
      <c r="BO398" s="10"/>
      <c r="BP398" s="10"/>
      <c r="BQ398" s="10"/>
      <c r="BR398" s="10"/>
      <c r="BS398" s="10"/>
      <c r="BT398" s="10"/>
      <c r="BU398" s="10"/>
      <c r="BV398" s="10"/>
      <c r="BW398" s="10"/>
      <c r="BX398" s="10"/>
      <c r="BY398" s="10"/>
      <c r="BZ398" s="10"/>
      <c r="CA398" s="10"/>
      <c r="CB398" s="10"/>
      <c r="CC398" s="10"/>
      <c r="CD398" s="10"/>
      <c r="CE398" s="10"/>
      <c r="CF398" s="10"/>
      <c r="CG398" s="10"/>
      <c r="CH398" s="10"/>
      <c r="CI398" s="10"/>
      <c r="CJ398" s="10"/>
      <c r="CK398" s="10"/>
      <c r="CL398" s="10"/>
      <c r="CM398" s="10"/>
      <c r="CN398" s="10"/>
      <c r="CO398" s="10"/>
      <c r="CP398" s="10"/>
      <c r="CQ398" s="10"/>
      <c r="CR398" s="10"/>
      <c r="CS398" s="10"/>
      <c r="CT398" s="10"/>
      <c r="CU398" s="10"/>
      <c r="CV398" s="10"/>
      <c r="CW398" s="10"/>
      <c r="CX398" s="10"/>
      <c r="CY398" s="10"/>
      <c r="CZ398" s="10"/>
      <c r="DA398" s="10"/>
      <c r="DB398" s="10"/>
      <c r="DC398" s="10"/>
      <c r="DD398" s="10"/>
      <c r="DE398" s="10"/>
      <c r="DF398" s="10"/>
      <c r="DG398" s="10"/>
      <c r="DH398" s="10"/>
      <c r="DI398" s="10"/>
      <c r="DJ398" s="10"/>
      <c r="DK398" s="10"/>
      <c r="DL398" s="10"/>
      <c r="DM398" s="10"/>
      <c r="DN398" s="10"/>
      <c r="DO398" s="10"/>
      <c r="DP398" s="10"/>
      <c r="DQ398" s="10"/>
      <c r="DR398" s="10"/>
      <c r="DS398" s="10"/>
      <c r="DT398" s="10"/>
      <c r="DU398" s="10"/>
      <c r="DV398" s="10"/>
      <c r="DW398" s="10"/>
      <c r="DX398" s="10"/>
      <c r="DY398" s="10"/>
      <c r="DZ398" s="10"/>
      <c r="EA398" s="10"/>
      <c r="EB398" s="10"/>
      <c r="EC398" s="10"/>
      <c r="ED398" s="10"/>
      <c r="EE398" s="10"/>
    </row>
    <row r="399" spans="2:135" ht="16.5">
      <c r="B399" s="47">
        <v>388</v>
      </c>
      <c r="C399" s="50"/>
      <c r="D399" s="49"/>
      <c r="E399" s="49"/>
      <c r="F399" s="49"/>
      <c r="G399" s="49"/>
      <c r="H399" s="10"/>
      <c r="I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  <c r="BB399" s="10"/>
      <c r="BC399" s="10"/>
      <c r="BD399" s="10"/>
      <c r="BE399" s="10"/>
      <c r="BF399" s="10"/>
      <c r="BG399" s="10"/>
      <c r="BH399" s="10"/>
      <c r="BI399" s="10"/>
      <c r="BJ399" s="10"/>
      <c r="BK399" s="10"/>
      <c r="BL399" s="10"/>
      <c r="BN399" s="10"/>
      <c r="BO399" s="10"/>
      <c r="BP399" s="10"/>
      <c r="BQ399" s="10"/>
      <c r="BR399" s="10"/>
      <c r="BS399" s="10"/>
      <c r="BT399" s="10"/>
      <c r="BU399" s="10"/>
      <c r="BV399" s="10"/>
      <c r="BW399" s="10"/>
      <c r="BX399" s="10"/>
      <c r="BY399" s="10"/>
      <c r="BZ399" s="10"/>
      <c r="CA399" s="10"/>
      <c r="CB399" s="10"/>
      <c r="CC399" s="10"/>
      <c r="CD399" s="10"/>
      <c r="CE399" s="10"/>
      <c r="CF399" s="10"/>
      <c r="CG399" s="10"/>
      <c r="CH399" s="10"/>
      <c r="CI399" s="10"/>
      <c r="CJ399" s="10"/>
      <c r="CK399" s="10"/>
      <c r="CL399" s="10"/>
      <c r="CM399" s="10"/>
      <c r="CN399" s="10"/>
      <c r="CO399" s="10"/>
      <c r="CP399" s="10"/>
      <c r="CQ399" s="10"/>
      <c r="CR399" s="10"/>
      <c r="CS399" s="10"/>
      <c r="CT399" s="10"/>
      <c r="CU399" s="10"/>
      <c r="CV399" s="10"/>
      <c r="CW399" s="10"/>
      <c r="CX399" s="10"/>
      <c r="CY399" s="10"/>
      <c r="CZ399" s="10"/>
      <c r="DA399" s="10"/>
      <c r="DB399" s="10"/>
      <c r="DC399" s="10"/>
      <c r="DD399" s="10"/>
      <c r="DE399" s="10"/>
      <c r="DF399" s="10"/>
      <c r="DG399" s="10"/>
      <c r="DH399" s="10"/>
      <c r="DI399" s="10"/>
      <c r="DJ399" s="10"/>
      <c r="DK399" s="10"/>
      <c r="DL399" s="10"/>
      <c r="DM399" s="10"/>
      <c r="DN399" s="10"/>
      <c r="DO399" s="10"/>
      <c r="DP399" s="10"/>
      <c r="DQ399" s="10"/>
      <c r="DR399" s="10"/>
      <c r="DS399" s="10"/>
      <c r="DT399" s="10"/>
      <c r="DU399" s="10"/>
      <c r="DV399" s="10"/>
      <c r="DW399" s="10"/>
      <c r="DX399" s="10"/>
      <c r="DY399" s="10"/>
      <c r="DZ399" s="10"/>
      <c r="EA399" s="10"/>
      <c r="EB399" s="10"/>
      <c r="EC399" s="10"/>
      <c r="ED399" s="10"/>
      <c r="EE399" s="10"/>
    </row>
    <row r="400" spans="2:135" ht="16.5">
      <c r="B400" s="47">
        <v>389</v>
      </c>
      <c r="C400" s="50"/>
      <c r="D400" s="49"/>
      <c r="E400" s="49"/>
      <c r="F400" s="49"/>
      <c r="G400" s="49"/>
      <c r="H400" s="10"/>
      <c r="I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10"/>
      <c r="BK400" s="10"/>
      <c r="BL400" s="10"/>
      <c r="BN400" s="10"/>
      <c r="BO400" s="10"/>
      <c r="BP400" s="10"/>
      <c r="BQ400" s="10"/>
      <c r="BR400" s="10"/>
      <c r="BS400" s="10"/>
      <c r="BT400" s="10"/>
      <c r="BU400" s="10"/>
      <c r="BV400" s="10"/>
      <c r="BW400" s="10"/>
      <c r="BX400" s="10"/>
      <c r="BY400" s="10"/>
      <c r="BZ400" s="10"/>
      <c r="CA400" s="10"/>
      <c r="CB400" s="10"/>
      <c r="CC400" s="10"/>
      <c r="CD400" s="10"/>
      <c r="CE400" s="10"/>
      <c r="CF400" s="10"/>
      <c r="CG400" s="10"/>
      <c r="CH400" s="10"/>
      <c r="CI400" s="10"/>
      <c r="CJ400" s="10"/>
      <c r="CK400" s="10"/>
      <c r="CL400" s="10"/>
      <c r="CM400" s="10"/>
      <c r="CN400" s="10"/>
      <c r="CO400" s="10"/>
      <c r="CP400" s="10"/>
      <c r="CQ400" s="10"/>
      <c r="CR400" s="10"/>
      <c r="CS400" s="10"/>
      <c r="CT400" s="10"/>
      <c r="CU400" s="10"/>
      <c r="CV400" s="10"/>
      <c r="CW400" s="10"/>
      <c r="CX400" s="10"/>
      <c r="CY400" s="10"/>
      <c r="CZ400" s="10"/>
      <c r="DA400" s="10"/>
      <c r="DB400" s="10"/>
      <c r="DC400" s="10"/>
      <c r="DD400" s="10"/>
      <c r="DE400" s="10"/>
      <c r="DF400" s="10"/>
      <c r="DG400" s="10"/>
      <c r="DH400" s="10"/>
      <c r="DI400" s="10"/>
      <c r="DJ400" s="10"/>
      <c r="DK400" s="10"/>
      <c r="DL400" s="10"/>
      <c r="DM400" s="10"/>
      <c r="DN400" s="10"/>
      <c r="DO400" s="10"/>
      <c r="DP400" s="10"/>
      <c r="DQ400" s="10"/>
      <c r="DR400" s="10"/>
      <c r="DS400" s="10"/>
      <c r="DT400" s="10"/>
      <c r="DU400" s="10"/>
      <c r="DV400" s="10"/>
      <c r="DW400" s="10"/>
      <c r="DX400" s="10"/>
      <c r="DY400" s="10"/>
      <c r="DZ400" s="10"/>
      <c r="EA400" s="10"/>
      <c r="EB400" s="10"/>
      <c r="EC400" s="10"/>
      <c r="ED400" s="10"/>
      <c r="EE400" s="10"/>
    </row>
    <row r="401" spans="2:135" ht="16.5">
      <c r="B401" s="47">
        <v>390</v>
      </c>
      <c r="C401" s="50"/>
      <c r="D401" s="49"/>
      <c r="E401" s="49"/>
      <c r="F401" s="49"/>
      <c r="G401" s="49"/>
      <c r="H401" s="10"/>
      <c r="I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10"/>
      <c r="BK401" s="10"/>
      <c r="BL401" s="10"/>
      <c r="BN401" s="10"/>
      <c r="BO401" s="10"/>
      <c r="BP401" s="10"/>
      <c r="BQ401" s="10"/>
      <c r="BR401" s="10"/>
      <c r="BS401" s="10"/>
      <c r="BT401" s="10"/>
      <c r="BU401" s="10"/>
      <c r="BV401" s="10"/>
      <c r="BW401" s="10"/>
      <c r="BX401" s="10"/>
      <c r="BY401" s="10"/>
      <c r="BZ401" s="10"/>
      <c r="CA401" s="10"/>
      <c r="CB401" s="10"/>
      <c r="CC401" s="10"/>
      <c r="CD401" s="10"/>
      <c r="CE401" s="10"/>
      <c r="CF401" s="10"/>
      <c r="CG401" s="10"/>
      <c r="CH401" s="10"/>
      <c r="CI401" s="10"/>
      <c r="CJ401" s="10"/>
      <c r="CK401" s="10"/>
      <c r="CL401" s="10"/>
      <c r="CM401" s="10"/>
      <c r="CN401" s="10"/>
      <c r="CO401" s="10"/>
      <c r="CP401" s="10"/>
      <c r="CQ401" s="10"/>
      <c r="CR401" s="10"/>
      <c r="CS401" s="10"/>
      <c r="CT401" s="10"/>
      <c r="CU401" s="10"/>
      <c r="CV401" s="10"/>
      <c r="CW401" s="10"/>
      <c r="CX401" s="10"/>
      <c r="CY401" s="10"/>
      <c r="CZ401" s="10"/>
      <c r="DA401" s="10"/>
      <c r="DB401" s="10"/>
      <c r="DC401" s="10"/>
      <c r="DD401" s="10"/>
      <c r="DE401" s="10"/>
      <c r="DF401" s="10"/>
      <c r="DG401" s="10"/>
      <c r="DH401" s="10"/>
      <c r="DI401" s="10"/>
      <c r="DJ401" s="10"/>
      <c r="DK401" s="10"/>
      <c r="DL401" s="10"/>
      <c r="DM401" s="10"/>
      <c r="DN401" s="10"/>
      <c r="DO401" s="10"/>
      <c r="DP401" s="10"/>
      <c r="DQ401" s="10"/>
      <c r="DR401" s="10"/>
      <c r="DS401" s="10"/>
      <c r="DT401" s="10"/>
      <c r="DU401" s="10"/>
      <c r="DV401" s="10"/>
      <c r="DW401" s="10"/>
      <c r="DX401" s="10"/>
      <c r="DY401" s="10"/>
      <c r="DZ401" s="10"/>
      <c r="EA401" s="10"/>
      <c r="EB401" s="10"/>
      <c r="EC401" s="10"/>
      <c r="ED401" s="10"/>
      <c r="EE401" s="10"/>
    </row>
    <row r="402" spans="2:135" ht="16.5">
      <c r="B402" s="47">
        <v>391</v>
      </c>
      <c r="C402" s="50"/>
      <c r="D402" s="49"/>
      <c r="E402" s="49"/>
      <c r="F402" s="49"/>
      <c r="G402" s="49"/>
      <c r="H402" s="10"/>
      <c r="I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10"/>
      <c r="BK402" s="10"/>
      <c r="BL402" s="10"/>
      <c r="BN402" s="10"/>
      <c r="BO402" s="10"/>
      <c r="BP402" s="10"/>
      <c r="BQ402" s="10"/>
      <c r="BR402" s="10"/>
      <c r="BS402" s="10"/>
      <c r="BT402" s="10"/>
      <c r="BU402" s="10"/>
      <c r="BV402" s="10"/>
      <c r="BW402" s="10"/>
      <c r="BX402" s="10"/>
      <c r="BY402" s="10"/>
      <c r="BZ402" s="10"/>
      <c r="CA402" s="10"/>
      <c r="CB402" s="10"/>
      <c r="CC402" s="10"/>
      <c r="CD402" s="10"/>
      <c r="CE402" s="10"/>
      <c r="CF402" s="10"/>
      <c r="CG402" s="10"/>
      <c r="CH402" s="10"/>
      <c r="CI402" s="10"/>
      <c r="CJ402" s="10"/>
      <c r="CK402" s="10"/>
      <c r="CL402" s="10"/>
      <c r="CM402" s="10"/>
      <c r="CN402" s="10"/>
      <c r="CO402" s="10"/>
      <c r="CP402" s="10"/>
      <c r="CQ402" s="10"/>
      <c r="CR402" s="10"/>
      <c r="CS402" s="10"/>
      <c r="CT402" s="10"/>
      <c r="CU402" s="10"/>
      <c r="CV402" s="10"/>
      <c r="CW402" s="10"/>
      <c r="CX402" s="10"/>
      <c r="CY402" s="10"/>
      <c r="CZ402" s="10"/>
      <c r="DA402" s="10"/>
      <c r="DB402" s="10"/>
      <c r="DC402" s="10"/>
      <c r="DD402" s="10"/>
      <c r="DE402" s="10"/>
      <c r="DF402" s="10"/>
      <c r="DG402" s="10"/>
      <c r="DH402" s="10"/>
      <c r="DI402" s="10"/>
      <c r="DJ402" s="10"/>
      <c r="DK402" s="10"/>
      <c r="DL402" s="10"/>
      <c r="DM402" s="10"/>
      <c r="DN402" s="10"/>
      <c r="DO402" s="10"/>
      <c r="DP402" s="10"/>
      <c r="DQ402" s="10"/>
      <c r="DR402" s="10"/>
      <c r="DS402" s="10"/>
      <c r="DT402" s="10"/>
      <c r="DU402" s="10"/>
      <c r="DV402" s="10"/>
      <c r="DW402" s="10"/>
      <c r="DX402" s="10"/>
      <c r="DY402" s="10"/>
      <c r="DZ402" s="10"/>
      <c r="EA402" s="10"/>
      <c r="EB402" s="10"/>
      <c r="EC402" s="10"/>
      <c r="ED402" s="10"/>
      <c r="EE402" s="10"/>
    </row>
    <row r="403" spans="2:135" ht="16.5">
      <c r="B403" s="47">
        <v>392</v>
      </c>
      <c r="C403" s="50"/>
      <c r="D403" s="49"/>
      <c r="E403" s="49"/>
      <c r="F403" s="49"/>
      <c r="G403" s="49"/>
      <c r="H403" s="10"/>
      <c r="I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10"/>
      <c r="BK403" s="10"/>
      <c r="BL403" s="10"/>
      <c r="BN403" s="10"/>
      <c r="BO403" s="10"/>
      <c r="BP403" s="10"/>
      <c r="BQ403" s="10"/>
      <c r="BR403" s="10"/>
      <c r="BS403" s="10"/>
      <c r="BT403" s="10"/>
      <c r="BU403" s="10"/>
      <c r="BV403" s="10"/>
      <c r="BW403" s="10"/>
      <c r="BX403" s="10"/>
      <c r="BY403" s="10"/>
      <c r="BZ403" s="10"/>
      <c r="CA403" s="10"/>
      <c r="CB403" s="10"/>
      <c r="CC403" s="10"/>
      <c r="CD403" s="10"/>
      <c r="CE403" s="10"/>
      <c r="CF403" s="10"/>
      <c r="CG403" s="10"/>
      <c r="CH403" s="10"/>
      <c r="CI403" s="10"/>
      <c r="CJ403" s="10"/>
      <c r="CK403" s="10"/>
      <c r="CL403" s="10"/>
      <c r="CM403" s="10"/>
      <c r="CN403" s="10"/>
      <c r="CO403" s="10"/>
      <c r="CP403" s="10"/>
      <c r="CQ403" s="10"/>
      <c r="CR403" s="10"/>
      <c r="CS403" s="10"/>
      <c r="CT403" s="10"/>
      <c r="CU403" s="10"/>
      <c r="CV403" s="10"/>
      <c r="CW403" s="10"/>
      <c r="CX403" s="10"/>
      <c r="CY403" s="10"/>
      <c r="CZ403" s="10"/>
      <c r="DA403" s="10"/>
      <c r="DB403" s="10"/>
      <c r="DC403" s="10"/>
      <c r="DD403" s="10"/>
      <c r="DE403" s="10"/>
      <c r="DF403" s="10"/>
      <c r="DG403" s="10"/>
      <c r="DH403" s="10"/>
      <c r="DI403" s="10"/>
      <c r="DJ403" s="10"/>
      <c r="DK403" s="10"/>
      <c r="DL403" s="10"/>
      <c r="DM403" s="10"/>
      <c r="DN403" s="10"/>
      <c r="DO403" s="10"/>
      <c r="DP403" s="10"/>
      <c r="DQ403" s="10"/>
      <c r="DR403" s="10"/>
      <c r="DS403" s="10"/>
      <c r="DT403" s="10"/>
      <c r="DU403" s="10"/>
      <c r="DV403" s="10"/>
      <c r="DW403" s="10"/>
      <c r="DX403" s="10"/>
      <c r="DY403" s="10"/>
      <c r="DZ403" s="10"/>
      <c r="EA403" s="10"/>
      <c r="EB403" s="10"/>
      <c r="EC403" s="10"/>
      <c r="ED403" s="10"/>
      <c r="EE403" s="10"/>
    </row>
    <row r="404" spans="2:135" ht="16.5">
      <c r="B404" s="47">
        <v>393</v>
      </c>
      <c r="C404" s="50"/>
      <c r="D404" s="49"/>
      <c r="E404" s="49"/>
      <c r="F404" s="49"/>
      <c r="G404" s="49"/>
      <c r="H404" s="10"/>
      <c r="I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10"/>
      <c r="BK404" s="10"/>
      <c r="BL404" s="10"/>
      <c r="BN404" s="10"/>
      <c r="BO404" s="10"/>
      <c r="BP404" s="10"/>
      <c r="BQ404" s="10"/>
      <c r="BR404" s="10"/>
      <c r="BS404" s="10"/>
      <c r="BT404" s="10"/>
      <c r="BU404" s="10"/>
      <c r="BV404" s="10"/>
      <c r="BW404" s="10"/>
      <c r="BX404" s="10"/>
      <c r="BY404" s="10"/>
      <c r="BZ404" s="10"/>
      <c r="CA404" s="10"/>
      <c r="CB404" s="10"/>
      <c r="CC404" s="10"/>
      <c r="CD404" s="10"/>
      <c r="CE404" s="10"/>
      <c r="CF404" s="10"/>
      <c r="CG404" s="10"/>
      <c r="CH404" s="10"/>
      <c r="CI404" s="10"/>
      <c r="CJ404" s="10"/>
      <c r="CK404" s="10"/>
      <c r="CL404" s="10"/>
      <c r="CM404" s="10"/>
      <c r="CN404" s="10"/>
      <c r="CO404" s="10"/>
      <c r="CP404" s="10"/>
      <c r="CQ404" s="10"/>
      <c r="CR404" s="10"/>
      <c r="CS404" s="10"/>
      <c r="CT404" s="10"/>
      <c r="CU404" s="10"/>
      <c r="CV404" s="10"/>
      <c r="CW404" s="10"/>
      <c r="CX404" s="10"/>
      <c r="CY404" s="10"/>
      <c r="CZ404" s="10"/>
      <c r="DA404" s="10"/>
      <c r="DB404" s="10"/>
      <c r="DC404" s="10"/>
      <c r="DD404" s="10"/>
      <c r="DE404" s="10"/>
      <c r="DF404" s="10"/>
      <c r="DG404" s="10"/>
      <c r="DH404" s="10"/>
      <c r="DI404" s="10"/>
      <c r="DJ404" s="10"/>
      <c r="DK404" s="10"/>
      <c r="DL404" s="10"/>
      <c r="DM404" s="10"/>
      <c r="DN404" s="10"/>
      <c r="DO404" s="10"/>
      <c r="DP404" s="10"/>
      <c r="DQ404" s="10"/>
      <c r="DR404" s="10"/>
      <c r="DS404" s="10"/>
      <c r="DT404" s="10"/>
      <c r="DU404" s="10"/>
      <c r="DV404" s="10"/>
      <c r="DW404" s="10"/>
      <c r="DX404" s="10"/>
      <c r="DY404" s="10"/>
      <c r="DZ404" s="10"/>
      <c r="EA404" s="10"/>
      <c r="EB404" s="10"/>
      <c r="EC404" s="10"/>
      <c r="ED404" s="10"/>
      <c r="EE404" s="10"/>
    </row>
    <row r="405" spans="2:135" ht="16.5">
      <c r="B405" s="47">
        <v>394</v>
      </c>
      <c r="C405" s="50"/>
      <c r="D405" s="49"/>
      <c r="E405" s="49"/>
      <c r="F405" s="49"/>
      <c r="G405" s="49"/>
      <c r="H405" s="10"/>
      <c r="I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10"/>
      <c r="BK405" s="10"/>
      <c r="BL405" s="10"/>
      <c r="BN405" s="10"/>
      <c r="BO405" s="10"/>
      <c r="BP405" s="10"/>
      <c r="BQ405" s="10"/>
      <c r="BR405" s="10"/>
      <c r="BS405" s="10"/>
      <c r="BT405" s="10"/>
      <c r="BU405" s="10"/>
      <c r="BV405" s="10"/>
      <c r="BW405" s="10"/>
      <c r="BX405" s="10"/>
      <c r="BY405" s="10"/>
      <c r="BZ405" s="10"/>
      <c r="CA405" s="10"/>
      <c r="CB405" s="10"/>
      <c r="CC405" s="10"/>
      <c r="CD405" s="10"/>
      <c r="CE405" s="10"/>
      <c r="CF405" s="10"/>
      <c r="CG405" s="10"/>
      <c r="CH405" s="10"/>
      <c r="CI405" s="10"/>
      <c r="CJ405" s="10"/>
      <c r="CK405" s="10"/>
      <c r="CL405" s="10"/>
      <c r="CM405" s="10"/>
      <c r="CN405" s="10"/>
      <c r="CO405" s="10"/>
      <c r="CP405" s="10"/>
      <c r="CQ405" s="10"/>
      <c r="CR405" s="10"/>
      <c r="CS405" s="10"/>
      <c r="CT405" s="10"/>
      <c r="CU405" s="10"/>
      <c r="CV405" s="10"/>
      <c r="CW405" s="10"/>
      <c r="CX405" s="10"/>
      <c r="CY405" s="10"/>
      <c r="CZ405" s="10"/>
      <c r="DA405" s="10"/>
      <c r="DB405" s="10"/>
      <c r="DC405" s="10"/>
      <c r="DD405" s="10"/>
      <c r="DE405" s="10"/>
      <c r="DF405" s="10"/>
      <c r="DG405" s="10"/>
      <c r="DH405" s="10"/>
      <c r="DI405" s="10"/>
      <c r="DJ405" s="10"/>
      <c r="DK405" s="10"/>
      <c r="DL405" s="10"/>
      <c r="DM405" s="10"/>
      <c r="DN405" s="10"/>
      <c r="DO405" s="10"/>
      <c r="DP405" s="10"/>
      <c r="DQ405" s="10"/>
      <c r="DR405" s="10"/>
      <c r="DS405" s="10"/>
      <c r="DT405" s="10"/>
      <c r="DU405" s="10"/>
      <c r="DV405" s="10"/>
      <c r="DW405" s="10"/>
      <c r="DX405" s="10"/>
      <c r="DY405" s="10"/>
      <c r="DZ405" s="10"/>
      <c r="EA405" s="10"/>
      <c r="EB405" s="10"/>
      <c r="EC405" s="10"/>
      <c r="ED405" s="10"/>
      <c r="EE405" s="10"/>
    </row>
    <row r="406" spans="2:135" ht="16.5">
      <c r="B406" s="47">
        <v>395</v>
      </c>
      <c r="C406" s="50"/>
      <c r="D406" s="49"/>
      <c r="E406" s="49"/>
      <c r="F406" s="49"/>
      <c r="G406" s="49"/>
      <c r="H406" s="10"/>
      <c r="I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10"/>
      <c r="BK406" s="10"/>
      <c r="BL406" s="10"/>
      <c r="BN406" s="10"/>
      <c r="BO406" s="10"/>
      <c r="BP406" s="10"/>
      <c r="BQ406" s="10"/>
      <c r="BR406" s="10"/>
      <c r="BS406" s="10"/>
      <c r="BT406" s="10"/>
      <c r="BU406" s="10"/>
      <c r="BV406" s="10"/>
      <c r="BW406" s="10"/>
      <c r="BX406" s="10"/>
      <c r="BY406" s="10"/>
      <c r="BZ406" s="10"/>
      <c r="CA406" s="10"/>
      <c r="CB406" s="10"/>
      <c r="CC406" s="10"/>
      <c r="CD406" s="10"/>
      <c r="CE406" s="10"/>
      <c r="CF406" s="10"/>
      <c r="CG406" s="10"/>
      <c r="CH406" s="10"/>
      <c r="CI406" s="10"/>
      <c r="CJ406" s="10"/>
      <c r="CK406" s="10"/>
      <c r="CL406" s="10"/>
      <c r="CM406" s="10"/>
      <c r="CN406" s="10"/>
      <c r="CO406" s="10"/>
      <c r="CP406" s="10"/>
      <c r="CQ406" s="10"/>
      <c r="CR406" s="10"/>
      <c r="CS406" s="10"/>
      <c r="CT406" s="10"/>
      <c r="CU406" s="10"/>
      <c r="CV406" s="10"/>
      <c r="CW406" s="10"/>
      <c r="CX406" s="10"/>
      <c r="CY406" s="10"/>
      <c r="CZ406" s="10"/>
      <c r="DA406" s="10"/>
      <c r="DB406" s="10"/>
      <c r="DC406" s="10"/>
      <c r="DD406" s="10"/>
      <c r="DE406" s="10"/>
      <c r="DF406" s="10"/>
      <c r="DG406" s="10"/>
      <c r="DH406" s="10"/>
      <c r="DI406" s="10"/>
      <c r="DJ406" s="10"/>
      <c r="DK406" s="10"/>
      <c r="DL406" s="10"/>
      <c r="DM406" s="10"/>
      <c r="DN406" s="10"/>
      <c r="DO406" s="10"/>
      <c r="DP406" s="10"/>
      <c r="DQ406" s="10"/>
      <c r="DR406" s="10"/>
      <c r="DS406" s="10"/>
      <c r="DT406" s="10"/>
      <c r="DU406" s="10"/>
      <c r="DV406" s="10"/>
      <c r="DW406" s="10"/>
      <c r="DX406" s="10"/>
      <c r="DY406" s="10"/>
      <c r="DZ406" s="10"/>
      <c r="EA406" s="10"/>
      <c r="EB406" s="10"/>
      <c r="EC406" s="10"/>
      <c r="ED406" s="10"/>
      <c r="EE406" s="10"/>
    </row>
    <row r="407" spans="2:135" ht="16.5">
      <c r="B407" s="47">
        <v>396</v>
      </c>
      <c r="C407" s="50"/>
      <c r="D407" s="49"/>
      <c r="E407" s="49"/>
      <c r="F407" s="49"/>
      <c r="G407" s="49"/>
      <c r="H407" s="10"/>
      <c r="I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10"/>
      <c r="BK407" s="10"/>
      <c r="BL407" s="10"/>
      <c r="BN407" s="10"/>
      <c r="BO407" s="10"/>
      <c r="BP407" s="10"/>
      <c r="BQ407" s="10"/>
      <c r="BR407" s="10"/>
      <c r="BS407" s="10"/>
      <c r="BT407" s="10"/>
      <c r="BU407" s="10"/>
      <c r="BV407" s="10"/>
      <c r="BW407" s="10"/>
      <c r="BX407" s="10"/>
      <c r="BY407" s="10"/>
      <c r="BZ407" s="10"/>
      <c r="CA407" s="10"/>
      <c r="CB407" s="10"/>
      <c r="CC407" s="10"/>
      <c r="CD407" s="10"/>
      <c r="CE407" s="10"/>
      <c r="CF407" s="10"/>
      <c r="CG407" s="10"/>
      <c r="CH407" s="10"/>
      <c r="CI407" s="10"/>
      <c r="CJ407" s="10"/>
      <c r="CK407" s="10"/>
      <c r="CL407" s="10"/>
      <c r="CM407" s="10"/>
      <c r="CN407" s="10"/>
      <c r="CO407" s="10"/>
      <c r="CP407" s="10"/>
      <c r="CQ407" s="10"/>
      <c r="CR407" s="10"/>
      <c r="CS407" s="10"/>
      <c r="CT407" s="10"/>
      <c r="CU407" s="10"/>
      <c r="CV407" s="10"/>
      <c r="CW407" s="10"/>
      <c r="CX407" s="10"/>
      <c r="CY407" s="10"/>
      <c r="CZ407" s="10"/>
      <c r="DA407" s="10"/>
      <c r="DB407" s="10"/>
      <c r="DC407" s="10"/>
      <c r="DD407" s="10"/>
      <c r="DE407" s="10"/>
      <c r="DF407" s="10"/>
      <c r="DG407" s="10"/>
      <c r="DH407" s="10"/>
      <c r="DI407" s="10"/>
      <c r="DJ407" s="10"/>
      <c r="DK407" s="10"/>
      <c r="DL407" s="10"/>
      <c r="DM407" s="10"/>
      <c r="DN407" s="10"/>
      <c r="DO407" s="10"/>
      <c r="DP407" s="10"/>
      <c r="DQ407" s="10"/>
      <c r="DR407" s="10"/>
      <c r="DS407" s="10"/>
      <c r="DT407" s="10"/>
      <c r="DU407" s="10"/>
      <c r="DV407" s="10"/>
      <c r="DW407" s="10"/>
      <c r="DX407" s="10"/>
      <c r="DY407" s="10"/>
      <c r="DZ407" s="10"/>
      <c r="EA407" s="10"/>
      <c r="EB407" s="10"/>
      <c r="EC407" s="10"/>
      <c r="ED407" s="10"/>
      <c r="EE407" s="10"/>
    </row>
    <row r="408" spans="2:135" ht="16.5">
      <c r="B408" s="47">
        <v>397</v>
      </c>
      <c r="C408" s="50"/>
      <c r="D408" s="49"/>
      <c r="E408" s="49"/>
      <c r="F408" s="49"/>
      <c r="G408" s="49"/>
      <c r="H408" s="10"/>
      <c r="I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10"/>
      <c r="BK408" s="10"/>
      <c r="BL408" s="10"/>
      <c r="BN408" s="10"/>
      <c r="BO408" s="10"/>
      <c r="BP408" s="10"/>
      <c r="BQ408" s="10"/>
      <c r="BR408" s="10"/>
      <c r="BS408" s="10"/>
      <c r="BT408" s="10"/>
      <c r="BU408" s="10"/>
      <c r="BV408" s="10"/>
      <c r="BW408" s="10"/>
      <c r="BX408" s="10"/>
      <c r="BY408" s="10"/>
      <c r="BZ408" s="10"/>
      <c r="CA408" s="10"/>
      <c r="CB408" s="10"/>
      <c r="CC408" s="10"/>
      <c r="CD408" s="10"/>
      <c r="CE408" s="10"/>
      <c r="CF408" s="10"/>
      <c r="CG408" s="10"/>
      <c r="CH408" s="10"/>
      <c r="CI408" s="10"/>
      <c r="CJ408" s="10"/>
      <c r="CK408" s="10"/>
      <c r="CL408" s="10"/>
      <c r="CM408" s="10"/>
      <c r="CN408" s="10"/>
      <c r="CO408" s="10"/>
      <c r="CP408" s="10"/>
      <c r="CQ408" s="10"/>
      <c r="CR408" s="10"/>
      <c r="CS408" s="10"/>
      <c r="CT408" s="10"/>
      <c r="CU408" s="10"/>
      <c r="CV408" s="10"/>
      <c r="CW408" s="10"/>
      <c r="CX408" s="10"/>
      <c r="CY408" s="10"/>
      <c r="CZ408" s="10"/>
      <c r="DA408" s="10"/>
      <c r="DB408" s="10"/>
      <c r="DC408" s="10"/>
      <c r="DD408" s="10"/>
      <c r="DE408" s="10"/>
      <c r="DF408" s="10"/>
      <c r="DG408" s="10"/>
      <c r="DH408" s="10"/>
      <c r="DI408" s="10"/>
      <c r="DJ408" s="10"/>
      <c r="DK408" s="10"/>
      <c r="DL408" s="10"/>
      <c r="DM408" s="10"/>
      <c r="DN408" s="10"/>
      <c r="DO408" s="10"/>
      <c r="DP408" s="10"/>
      <c r="DQ408" s="10"/>
      <c r="DR408" s="10"/>
      <c r="DS408" s="10"/>
      <c r="DT408" s="10"/>
      <c r="DU408" s="10"/>
      <c r="DV408" s="10"/>
      <c r="DW408" s="10"/>
      <c r="DX408" s="10"/>
      <c r="DY408" s="10"/>
      <c r="DZ408" s="10"/>
      <c r="EA408" s="10"/>
      <c r="EB408" s="10"/>
      <c r="EC408" s="10"/>
      <c r="ED408" s="10"/>
      <c r="EE408" s="10"/>
    </row>
    <row r="409" spans="2:135" ht="16.5">
      <c r="B409" s="47">
        <v>398</v>
      </c>
      <c r="C409" s="50"/>
      <c r="D409" s="49"/>
      <c r="E409" s="49"/>
      <c r="F409" s="49"/>
      <c r="G409" s="49"/>
      <c r="H409" s="10"/>
      <c r="I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10"/>
      <c r="BK409" s="10"/>
      <c r="BL409" s="10"/>
      <c r="BN409" s="10"/>
      <c r="BO409" s="10"/>
      <c r="BP409" s="10"/>
      <c r="BQ409" s="10"/>
      <c r="BR409" s="10"/>
      <c r="BS409" s="10"/>
      <c r="BT409" s="10"/>
      <c r="BU409" s="10"/>
      <c r="BV409" s="10"/>
      <c r="BW409" s="10"/>
      <c r="BX409" s="10"/>
      <c r="BY409" s="10"/>
      <c r="BZ409" s="10"/>
      <c r="CA409" s="10"/>
      <c r="CB409" s="10"/>
      <c r="CC409" s="10"/>
      <c r="CD409" s="10"/>
      <c r="CE409" s="10"/>
      <c r="CF409" s="10"/>
      <c r="CG409" s="10"/>
      <c r="CH409" s="10"/>
      <c r="CI409" s="10"/>
      <c r="CJ409" s="10"/>
      <c r="CK409" s="10"/>
      <c r="CL409" s="10"/>
      <c r="CM409" s="10"/>
      <c r="CN409" s="10"/>
      <c r="CO409" s="10"/>
      <c r="CP409" s="10"/>
      <c r="CQ409" s="10"/>
      <c r="CR409" s="10"/>
      <c r="CS409" s="10"/>
      <c r="CT409" s="10"/>
      <c r="CU409" s="10"/>
      <c r="CV409" s="10"/>
      <c r="CW409" s="10"/>
      <c r="CX409" s="10"/>
      <c r="CY409" s="10"/>
      <c r="CZ409" s="10"/>
      <c r="DA409" s="10"/>
      <c r="DB409" s="10"/>
      <c r="DC409" s="10"/>
      <c r="DD409" s="10"/>
      <c r="DE409" s="10"/>
      <c r="DF409" s="10"/>
      <c r="DG409" s="10"/>
      <c r="DH409" s="10"/>
      <c r="DI409" s="10"/>
      <c r="DJ409" s="10"/>
      <c r="DK409" s="10"/>
      <c r="DL409" s="10"/>
      <c r="DM409" s="10"/>
      <c r="DN409" s="10"/>
      <c r="DO409" s="10"/>
      <c r="DP409" s="10"/>
      <c r="DQ409" s="10"/>
      <c r="DR409" s="10"/>
      <c r="DS409" s="10"/>
      <c r="DT409" s="10"/>
      <c r="DU409" s="10"/>
      <c r="DV409" s="10"/>
      <c r="DW409" s="10"/>
      <c r="DX409" s="10"/>
      <c r="DY409" s="10"/>
      <c r="DZ409" s="10"/>
      <c r="EA409" s="10"/>
      <c r="EB409" s="10"/>
      <c r="EC409" s="10"/>
      <c r="ED409" s="10"/>
      <c r="EE409" s="10"/>
    </row>
    <row r="410" spans="2:135" ht="16.5">
      <c r="B410" s="47">
        <v>399</v>
      </c>
      <c r="C410" s="50"/>
      <c r="D410" s="49"/>
      <c r="E410" s="49"/>
      <c r="F410" s="49"/>
      <c r="G410" s="49"/>
      <c r="H410" s="10"/>
      <c r="I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10"/>
      <c r="BK410" s="10"/>
      <c r="BL410" s="10"/>
      <c r="BN410" s="10"/>
      <c r="BO410" s="10"/>
      <c r="BP410" s="10"/>
      <c r="BQ410" s="10"/>
      <c r="BR410" s="10"/>
      <c r="BS410" s="10"/>
      <c r="BT410" s="10"/>
      <c r="BU410" s="10"/>
      <c r="BV410" s="10"/>
      <c r="BW410" s="10"/>
      <c r="BX410" s="10"/>
      <c r="BY410" s="10"/>
      <c r="BZ410" s="10"/>
      <c r="CA410" s="10"/>
      <c r="CB410" s="10"/>
      <c r="CC410" s="10"/>
      <c r="CD410" s="10"/>
      <c r="CE410" s="10"/>
      <c r="CF410" s="10"/>
      <c r="CG410" s="10"/>
      <c r="CH410" s="10"/>
      <c r="CI410" s="10"/>
      <c r="CJ410" s="10"/>
      <c r="CK410" s="10"/>
      <c r="CL410" s="10"/>
      <c r="CM410" s="10"/>
      <c r="CN410" s="10"/>
      <c r="CO410" s="10"/>
      <c r="CP410" s="10"/>
      <c r="CQ410" s="10"/>
      <c r="CR410" s="10"/>
      <c r="CS410" s="10"/>
      <c r="CT410" s="10"/>
      <c r="CU410" s="10"/>
      <c r="CV410" s="10"/>
      <c r="CW410" s="10"/>
      <c r="CX410" s="10"/>
      <c r="CY410" s="10"/>
      <c r="CZ410" s="10"/>
      <c r="DA410" s="10"/>
      <c r="DB410" s="10"/>
      <c r="DC410" s="10"/>
      <c r="DD410" s="10"/>
      <c r="DE410" s="10"/>
      <c r="DF410" s="10"/>
      <c r="DG410" s="10"/>
      <c r="DH410" s="10"/>
      <c r="DI410" s="10"/>
      <c r="DJ410" s="10"/>
      <c r="DK410" s="10"/>
      <c r="DL410" s="10"/>
      <c r="DM410" s="10"/>
      <c r="DN410" s="10"/>
      <c r="DO410" s="10"/>
      <c r="DP410" s="10"/>
      <c r="DQ410" s="10"/>
      <c r="DR410" s="10"/>
      <c r="DS410" s="10"/>
      <c r="DT410" s="10"/>
      <c r="DU410" s="10"/>
      <c r="DV410" s="10"/>
      <c r="DW410" s="10"/>
      <c r="DX410" s="10"/>
      <c r="DY410" s="10"/>
      <c r="DZ410" s="10"/>
      <c r="EA410" s="10"/>
      <c r="EB410" s="10"/>
      <c r="EC410" s="10"/>
      <c r="ED410" s="10"/>
      <c r="EE410" s="10"/>
    </row>
    <row r="411" spans="2:135" ht="16.5">
      <c r="B411" s="47">
        <v>400</v>
      </c>
      <c r="C411" s="50"/>
      <c r="D411" s="49"/>
      <c r="E411" s="49"/>
      <c r="F411" s="49"/>
      <c r="G411" s="49"/>
      <c r="H411" s="10"/>
      <c r="I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10"/>
      <c r="BK411" s="10"/>
      <c r="BL411" s="10"/>
      <c r="BN411" s="10"/>
      <c r="BO411" s="10"/>
      <c r="BP411" s="10"/>
      <c r="BQ411" s="10"/>
      <c r="BR411" s="10"/>
      <c r="BS411" s="10"/>
      <c r="BT411" s="10"/>
      <c r="BU411" s="10"/>
      <c r="BV411" s="10"/>
      <c r="BW411" s="10"/>
      <c r="BX411" s="10"/>
      <c r="BY411" s="10"/>
      <c r="BZ411" s="10"/>
      <c r="CA411" s="10"/>
      <c r="CB411" s="10"/>
      <c r="CC411" s="10"/>
      <c r="CD411" s="10"/>
      <c r="CE411" s="10"/>
      <c r="CF411" s="10"/>
      <c r="CG411" s="10"/>
      <c r="CH411" s="10"/>
      <c r="CI411" s="10"/>
      <c r="CJ411" s="10"/>
      <c r="CK411" s="10"/>
      <c r="CL411" s="10"/>
      <c r="CM411" s="10"/>
      <c r="CN411" s="10"/>
      <c r="CO411" s="10"/>
      <c r="CP411" s="10"/>
      <c r="CQ411" s="10"/>
      <c r="CR411" s="10"/>
      <c r="CS411" s="10"/>
      <c r="CT411" s="10"/>
      <c r="CU411" s="10"/>
      <c r="CV411" s="10"/>
      <c r="CW411" s="10"/>
      <c r="CX411" s="10"/>
      <c r="CY411" s="10"/>
      <c r="CZ411" s="10"/>
      <c r="DA411" s="10"/>
      <c r="DB411" s="10"/>
      <c r="DC411" s="10"/>
      <c r="DD411" s="10"/>
      <c r="DE411" s="10"/>
      <c r="DF411" s="10"/>
      <c r="DG411" s="10"/>
      <c r="DH411" s="10"/>
      <c r="DI411" s="10"/>
      <c r="DJ411" s="10"/>
      <c r="DK411" s="10"/>
      <c r="DL411" s="10"/>
      <c r="DM411" s="10"/>
      <c r="DN411" s="10"/>
      <c r="DO411" s="10"/>
      <c r="DP411" s="10"/>
      <c r="DQ411" s="10"/>
      <c r="DR411" s="10"/>
      <c r="DS411" s="10"/>
      <c r="DT411" s="10"/>
      <c r="DU411" s="10"/>
      <c r="DV411" s="10"/>
      <c r="DW411" s="10"/>
      <c r="DX411" s="10"/>
      <c r="DY411" s="10"/>
      <c r="DZ411" s="10"/>
      <c r="EA411" s="10"/>
      <c r="EB411" s="10"/>
      <c r="EC411" s="10"/>
      <c r="ED411" s="10"/>
      <c r="EE411" s="10"/>
    </row>
    <row r="412" spans="2:135" ht="16.5">
      <c r="B412" s="47">
        <v>401</v>
      </c>
      <c r="C412" s="50"/>
      <c r="D412" s="49"/>
      <c r="E412" s="49"/>
      <c r="F412" s="49"/>
      <c r="G412" s="49"/>
      <c r="H412" s="10"/>
      <c r="I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10"/>
      <c r="BK412" s="10"/>
      <c r="BL412" s="10"/>
      <c r="BN412" s="10"/>
      <c r="BO412" s="10"/>
      <c r="BP412" s="10"/>
      <c r="BQ412" s="10"/>
      <c r="BR412" s="10"/>
      <c r="BS412" s="10"/>
      <c r="BT412" s="10"/>
      <c r="BU412" s="10"/>
      <c r="BV412" s="10"/>
      <c r="BW412" s="10"/>
      <c r="BX412" s="10"/>
      <c r="BY412" s="10"/>
      <c r="BZ412" s="10"/>
      <c r="CA412" s="10"/>
      <c r="CB412" s="10"/>
      <c r="CC412" s="10"/>
      <c r="CD412" s="10"/>
      <c r="CE412" s="10"/>
      <c r="CF412" s="10"/>
      <c r="CG412" s="10"/>
      <c r="CH412" s="10"/>
      <c r="CI412" s="10"/>
      <c r="CJ412" s="10"/>
      <c r="CK412" s="10"/>
      <c r="CL412" s="10"/>
      <c r="CM412" s="10"/>
      <c r="CN412" s="10"/>
      <c r="CO412" s="10"/>
      <c r="CP412" s="10"/>
      <c r="CQ412" s="10"/>
      <c r="CR412" s="10"/>
      <c r="CS412" s="10"/>
      <c r="CT412" s="10"/>
      <c r="CU412" s="10"/>
      <c r="CV412" s="10"/>
      <c r="CW412" s="10"/>
      <c r="CX412" s="10"/>
      <c r="CY412" s="10"/>
      <c r="CZ412" s="10"/>
      <c r="DA412" s="10"/>
      <c r="DB412" s="10"/>
      <c r="DC412" s="10"/>
      <c r="DD412" s="10"/>
      <c r="DE412" s="10"/>
      <c r="DF412" s="10"/>
      <c r="DG412" s="10"/>
      <c r="DH412" s="10"/>
      <c r="DI412" s="10"/>
      <c r="DJ412" s="10"/>
      <c r="DK412" s="10"/>
      <c r="DL412" s="10"/>
      <c r="DM412" s="10"/>
      <c r="DN412" s="10"/>
      <c r="DO412" s="10"/>
      <c r="DP412" s="10"/>
      <c r="DQ412" s="10"/>
      <c r="DR412" s="10"/>
      <c r="DS412" s="10"/>
      <c r="DT412" s="10"/>
      <c r="DU412" s="10"/>
      <c r="DV412" s="10"/>
      <c r="DW412" s="10"/>
      <c r="DX412" s="10"/>
      <c r="DY412" s="10"/>
      <c r="DZ412" s="10"/>
      <c r="EA412" s="10"/>
      <c r="EB412" s="10"/>
      <c r="EC412" s="10"/>
      <c r="ED412" s="10"/>
      <c r="EE412" s="10"/>
    </row>
    <row r="413" spans="2:135" ht="16.5">
      <c r="B413" s="47">
        <v>402</v>
      </c>
      <c r="C413" s="50"/>
      <c r="D413" s="49"/>
      <c r="E413" s="49"/>
      <c r="F413" s="49"/>
      <c r="G413" s="49"/>
      <c r="H413" s="10"/>
      <c r="I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10"/>
      <c r="BK413" s="10"/>
      <c r="BL413" s="10"/>
      <c r="BN413" s="10"/>
      <c r="BO413" s="10"/>
      <c r="BP413" s="10"/>
      <c r="BQ413" s="10"/>
      <c r="BR413" s="10"/>
      <c r="BS413" s="10"/>
      <c r="BT413" s="10"/>
      <c r="BU413" s="10"/>
      <c r="BV413" s="10"/>
      <c r="BW413" s="10"/>
      <c r="BX413" s="10"/>
      <c r="BY413" s="10"/>
      <c r="BZ413" s="10"/>
      <c r="CA413" s="10"/>
      <c r="CB413" s="10"/>
      <c r="CC413" s="10"/>
      <c r="CD413" s="10"/>
      <c r="CE413" s="10"/>
      <c r="CF413" s="10"/>
      <c r="CG413" s="10"/>
      <c r="CH413" s="10"/>
      <c r="CI413" s="10"/>
      <c r="CJ413" s="10"/>
      <c r="CK413" s="10"/>
      <c r="CL413" s="10"/>
      <c r="CM413" s="10"/>
      <c r="CN413" s="10"/>
      <c r="CO413" s="10"/>
      <c r="CP413" s="10"/>
      <c r="CQ413" s="10"/>
      <c r="CR413" s="10"/>
      <c r="CS413" s="10"/>
      <c r="CT413" s="10"/>
      <c r="CU413" s="10"/>
      <c r="CV413" s="10"/>
      <c r="CW413" s="10"/>
      <c r="CX413" s="10"/>
      <c r="CY413" s="10"/>
      <c r="CZ413" s="10"/>
      <c r="DA413" s="10"/>
      <c r="DB413" s="10"/>
      <c r="DC413" s="10"/>
      <c r="DD413" s="10"/>
      <c r="DE413" s="10"/>
      <c r="DF413" s="10"/>
      <c r="DG413" s="10"/>
      <c r="DH413" s="10"/>
      <c r="DI413" s="10"/>
      <c r="DJ413" s="10"/>
      <c r="DK413" s="10"/>
      <c r="DL413" s="10"/>
      <c r="DM413" s="10"/>
      <c r="DN413" s="10"/>
      <c r="DO413" s="10"/>
      <c r="DP413" s="10"/>
      <c r="DQ413" s="10"/>
      <c r="DR413" s="10"/>
      <c r="DS413" s="10"/>
      <c r="DT413" s="10"/>
      <c r="DU413" s="10"/>
      <c r="DV413" s="10"/>
      <c r="DW413" s="10"/>
      <c r="DX413" s="10"/>
      <c r="DY413" s="10"/>
      <c r="DZ413" s="10"/>
      <c r="EA413" s="10"/>
      <c r="EB413" s="10"/>
      <c r="EC413" s="10"/>
      <c r="ED413" s="10"/>
      <c r="EE413" s="10"/>
    </row>
    <row r="414" spans="2:135" ht="16.5">
      <c r="B414" s="47">
        <v>403</v>
      </c>
      <c r="C414" s="50"/>
      <c r="D414" s="49"/>
      <c r="E414" s="49"/>
      <c r="F414" s="49"/>
      <c r="G414" s="49"/>
      <c r="H414" s="10"/>
      <c r="I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10"/>
      <c r="BK414" s="10"/>
      <c r="BL414" s="10"/>
      <c r="BN414" s="10"/>
      <c r="BO414" s="10"/>
      <c r="BP414" s="10"/>
      <c r="BQ414" s="10"/>
      <c r="BR414" s="10"/>
      <c r="BS414" s="10"/>
      <c r="BT414" s="10"/>
      <c r="BU414" s="10"/>
      <c r="BV414" s="10"/>
      <c r="BW414" s="10"/>
      <c r="BX414" s="10"/>
      <c r="BY414" s="10"/>
      <c r="BZ414" s="10"/>
      <c r="CA414" s="10"/>
      <c r="CB414" s="10"/>
      <c r="CC414" s="10"/>
      <c r="CD414" s="10"/>
      <c r="CE414" s="10"/>
      <c r="CF414" s="10"/>
      <c r="CG414" s="10"/>
      <c r="CH414" s="10"/>
      <c r="CI414" s="10"/>
      <c r="CJ414" s="10"/>
      <c r="CK414" s="10"/>
      <c r="CL414" s="10"/>
      <c r="CM414" s="10"/>
      <c r="CN414" s="10"/>
      <c r="CO414" s="10"/>
      <c r="CP414" s="10"/>
      <c r="CQ414" s="10"/>
      <c r="CR414" s="10"/>
      <c r="CS414" s="10"/>
      <c r="CT414" s="10"/>
      <c r="CU414" s="10"/>
      <c r="CV414" s="10"/>
      <c r="CW414" s="10"/>
      <c r="CX414" s="10"/>
      <c r="CY414" s="10"/>
      <c r="CZ414" s="10"/>
      <c r="DA414" s="10"/>
      <c r="DB414" s="10"/>
      <c r="DC414" s="10"/>
      <c r="DD414" s="10"/>
      <c r="DE414" s="10"/>
      <c r="DF414" s="10"/>
      <c r="DG414" s="10"/>
      <c r="DH414" s="10"/>
      <c r="DI414" s="10"/>
      <c r="DJ414" s="10"/>
      <c r="DK414" s="10"/>
      <c r="DL414" s="10"/>
      <c r="DM414" s="10"/>
      <c r="DN414" s="10"/>
      <c r="DO414" s="10"/>
      <c r="DP414" s="10"/>
      <c r="DQ414" s="10"/>
      <c r="DR414" s="10"/>
      <c r="DS414" s="10"/>
      <c r="DT414" s="10"/>
      <c r="DU414" s="10"/>
      <c r="DV414" s="10"/>
      <c r="DW414" s="10"/>
      <c r="DX414" s="10"/>
      <c r="DY414" s="10"/>
      <c r="DZ414" s="10"/>
      <c r="EA414" s="10"/>
      <c r="EB414" s="10"/>
      <c r="EC414" s="10"/>
      <c r="ED414" s="10"/>
      <c r="EE414" s="10"/>
    </row>
    <row r="415" spans="2:135" ht="16.5">
      <c r="B415" s="47">
        <v>404</v>
      </c>
      <c r="C415" s="50"/>
      <c r="D415" s="49"/>
      <c r="E415" s="49"/>
      <c r="F415" s="49"/>
      <c r="G415" s="49"/>
      <c r="H415" s="10"/>
      <c r="I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10"/>
      <c r="BK415" s="10"/>
      <c r="BL415" s="10"/>
      <c r="BN415" s="10"/>
      <c r="BO415" s="10"/>
      <c r="BP415" s="10"/>
      <c r="BQ415" s="10"/>
      <c r="BR415" s="10"/>
      <c r="BS415" s="10"/>
      <c r="BT415" s="10"/>
      <c r="BU415" s="10"/>
      <c r="BV415" s="10"/>
      <c r="BW415" s="10"/>
      <c r="BX415" s="10"/>
      <c r="BY415" s="10"/>
      <c r="BZ415" s="10"/>
      <c r="CA415" s="10"/>
      <c r="CB415" s="10"/>
      <c r="CC415" s="10"/>
      <c r="CD415" s="10"/>
      <c r="CE415" s="10"/>
      <c r="CF415" s="10"/>
      <c r="CG415" s="10"/>
      <c r="CH415" s="10"/>
      <c r="CI415" s="10"/>
      <c r="CJ415" s="10"/>
      <c r="CK415" s="10"/>
      <c r="CL415" s="10"/>
      <c r="CM415" s="10"/>
      <c r="CN415" s="10"/>
      <c r="CO415" s="10"/>
      <c r="CP415" s="10"/>
      <c r="CQ415" s="10"/>
      <c r="CR415" s="10"/>
      <c r="CS415" s="10"/>
      <c r="CT415" s="10"/>
      <c r="CU415" s="10"/>
      <c r="CV415" s="10"/>
      <c r="CW415" s="10"/>
      <c r="CX415" s="10"/>
      <c r="CY415" s="10"/>
      <c r="CZ415" s="10"/>
      <c r="DA415" s="10"/>
      <c r="DB415" s="10"/>
      <c r="DC415" s="10"/>
      <c r="DD415" s="10"/>
      <c r="DE415" s="10"/>
      <c r="DF415" s="10"/>
      <c r="DG415" s="10"/>
      <c r="DH415" s="10"/>
      <c r="DI415" s="10"/>
      <c r="DJ415" s="10"/>
      <c r="DK415" s="10"/>
      <c r="DL415" s="10"/>
      <c r="DM415" s="10"/>
      <c r="DN415" s="10"/>
      <c r="DO415" s="10"/>
      <c r="DP415" s="10"/>
      <c r="DQ415" s="10"/>
      <c r="DR415" s="10"/>
      <c r="DS415" s="10"/>
      <c r="DT415" s="10"/>
      <c r="DU415" s="10"/>
      <c r="DV415" s="10"/>
      <c r="DW415" s="10"/>
      <c r="DX415" s="10"/>
      <c r="DY415" s="10"/>
      <c r="DZ415" s="10"/>
      <c r="EA415" s="10"/>
      <c r="EB415" s="10"/>
      <c r="EC415" s="10"/>
      <c r="ED415" s="10"/>
      <c r="EE415" s="10"/>
    </row>
    <row r="416" spans="2:135" ht="16.5">
      <c r="B416" s="47">
        <v>405</v>
      </c>
      <c r="C416" s="50"/>
      <c r="D416" s="49"/>
      <c r="E416" s="49"/>
      <c r="F416" s="49"/>
      <c r="G416" s="49"/>
      <c r="H416" s="10"/>
      <c r="I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10"/>
      <c r="BK416" s="10"/>
      <c r="BL416" s="10"/>
      <c r="BN416" s="10"/>
      <c r="BO416" s="10"/>
      <c r="BP416" s="10"/>
      <c r="BQ416" s="10"/>
      <c r="BR416" s="10"/>
      <c r="BS416" s="10"/>
      <c r="BT416" s="10"/>
      <c r="BU416" s="10"/>
      <c r="BV416" s="10"/>
      <c r="BW416" s="10"/>
      <c r="BX416" s="10"/>
      <c r="BY416" s="10"/>
      <c r="BZ416" s="10"/>
      <c r="CA416" s="10"/>
      <c r="CB416" s="10"/>
      <c r="CC416" s="10"/>
      <c r="CD416" s="10"/>
      <c r="CE416" s="10"/>
      <c r="CF416" s="10"/>
      <c r="CG416" s="10"/>
      <c r="CH416" s="10"/>
      <c r="CI416" s="10"/>
      <c r="CJ416" s="10"/>
      <c r="CK416" s="10"/>
      <c r="CL416" s="10"/>
      <c r="CM416" s="10"/>
      <c r="CN416" s="10"/>
      <c r="CO416" s="10"/>
      <c r="CP416" s="10"/>
      <c r="CQ416" s="10"/>
      <c r="CR416" s="10"/>
      <c r="CS416" s="10"/>
      <c r="CT416" s="10"/>
      <c r="CU416" s="10"/>
      <c r="CV416" s="10"/>
      <c r="CW416" s="10"/>
      <c r="CX416" s="10"/>
      <c r="CY416" s="10"/>
      <c r="CZ416" s="10"/>
      <c r="DA416" s="10"/>
      <c r="DB416" s="10"/>
      <c r="DC416" s="10"/>
      <c r="DD416" s="10"/>
      <c r="DE416" s="10"/>
      <c r="DF416" s="10"/>
      <c r="DG416" s="10"/>
      <c r="DH416" s="10"/>
      <c r="DI416" s="10"/>
      <c r="DJ416" s="10"/>
      <c r="DK416" s="10"/>
      <c r="DL416" s="10"/>
      <c r="DM416" s="10"/>
      <c r="DN416" s="10"/>
      <c r="DO416" s="10"/>
      <c r="DP416" s="10"/>
      <c r="DQ416" s="10"/>
      <c r="DR416" s="10"/>
      <c r="DS416" s="10"/>
      <c r="DT416" s="10"/>
      <c r="DU416" s="10"/>
      <c r="DV416" s="10"/>
      <c r="DW416" s="10"/>
      <c r="DX416" s="10"/>
      <c r="DY416" s="10"/>
      <c r="DZ416" s="10"/>
      <c r="EA416" s="10"/>
      <c r="EB416" s="10"/>
      <c r="EC416" s="10"/>
      <c r="ED416" s="10"/>
      <c r="EE416" s="10"/>
    </row>
    <row r="417" spans="2:135" ht="16.5">
      <c r="B417" s="47">
        <v>406</v>
      </c>
      <c r="C417" s="50"/>
      <c r="D417" s="49"/>
      <c r="E417" s="49"/>
      <c r="F417" s="49"/>
      <c r="G417" s="49"/>
      <c r="H417" s="10"/>
      <c r="I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  <c r="BB417" s="10"/>
      <c r="BC417" s="10"/>
      <c r="BD417" s="10"/>
      <c r="BE417" s="10"/>
      <c r="BF417" s="10"/>
      <c r="BG417" s="10"/>
      <c r="BH417" s="10"/>
      <c r="BI417" s="10"/>
      <c r="BJ417" s="10"/>
      <c r="BK417" s="10"/>
      <c r="BL417" s="10"/>
      <c r="BN417" s="10"/>
      <c r="BO417" s="10"/>
      <c r="BP417" s="10"/>
      <c r="BQ417" s="10"/>
      <c r="BR417" s="10"/>
      <c r="BS417" s="10"/>
      <c r="BT417" s="10"/>
      <c r="BU417" s="10"/>
      <c r="BV417" s="10"/>
      <c r="BW417" s="10"/>
      <c r="BX417" s="10"/>
      <c r="BY417" s="10"/>
      <c r="BZ417" s="10"/>
      <c r="CA417" s="10"/>
      <c r="CB417" s="10"/>
      <c r="CC417" s="10"/>
      <c r="CD417" s="10"/>
      <c r="CE417" s="10"/>
      <c r="CF417" s="10"/>
      <c r="CG417" s="10"/>
      <c r="CH417" s="10"/>
      <c r="CI417" s="10"/>
      <c r="CJ417" s="10"/>
      <c r="CK417" s="10"/>
      <c r="CL417" s="10"/>
      <c r="CM417" s="10"/>
      <c r="CN417" s="10"/>
      <c r="CO417" s="10"/>
      <c r="CP417" s="10"/>
      <c r="CQ417" s="10"/>
      <c r="CR417" s="10"/>
      <c r="CS417" s="10"/>
      <c r="CT417" s="10"/>
      <c r="CU417" s="10"/>
      <c r="CV417" s="10"/>
      <c r="CW417" s="10"/>
      <c r="CX417" s="10"/>
      <c r="CY417" s="10"/>
      <c r="CZ417" s="10"/>
      <c r="DA417" s="10"/>
      <c r="DB417" s="10"/>
      <c r="DC417" s="10"/>
      <c r="DD417" s="10"/>
      <c r="DE417" s="10"/>
      <c r="DF417" s="10"/>
      <c r="DG417" s="10"/>
      <c r="DH417" s="10"/>
      <c r="DI417" s="10"/>
      <c r="DJ417" s="10"/>
      <c r="DK417" s="10"/>
      <c r="DL417" s="10"/>
      <c r="DM417" s="10"/>
      <c r="DN417" s="10"/>
      <c r="DO417" s="10"/>
      <c r="DP417" s="10"/>
      <c r="DQ417" s="10"/>
      <c r="DR417" s="10"/>
      <c r="DS417" s="10"/>
      <c r="DT417" s="10"/>
      <c r="DU417" s="10"/>
      <c r="DV417" s="10"/>
      <c r="DW417" s="10"/>
      <c r="DX417" s="10"/>
      <c r="DY417" s="10"/>
      <c r="DZ417" s="10"/>
      <c r="EA417" s="10"/>
      <c r="EB417" s="10"/>
      <c r="EC417" s="10"/>
      <c r="ED417" s="10"/>
      <c r="EE417" s="10"/>
    </row>
    <row r="418" spans="2:135" ht="16.5">
      <c r="B418" s="47">
        <v>407</v>
      </c>
      <c r="C418" s="50"/>
      <c r="D418" s="49"/>
      <c r="E418" s="49"/>
      <c r="F418" s="49"/>
      <c r="G418" s="49"/>
      <c r="H418" s="10"/>
      <c r="I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  <c r="BB418" s="10"/>
      <c r="BC418" s="10"/>
      <c r="BD418" s="10"/>
      <c r="BE418" s="10"/>
      <c r="BF418" s="10"/>
      <c r="BG418" s="10"/>
      <c r="BH418" s="10"/>
      <c r="BI418" s="10"/>
      <c r="BJ418" s="10"/>
      <c r="BK418" s="10"/>
      <c r="BL418" s="10"/>
      <c r="BN418" s="10"/>
      <c r="BO418" s="10"/>
      <c r="BP418" s="10"/>
      <c r="BQ418" s="10"/>
      <c r="BR418" s="10"/>
      <c r="BS418" s="10"/>
      <c r="BT418" s="10"/>
      <c r="BU418" s="10"/>
      <c r="BV418" s="10"/>
      <c r="BW418" s="10"/>
      <c r="BX418" s="10"/>
      <c r="BY418" s="10"/>
      <c r="BZ418" s="10"/>
      <c r="CA418" s="10"/>
      <c r="CB418" s="10"/>
      <c r="CC418" s="10"/>
      <c r="CD418" s="10"/>
      <c r="CE418" s="10"/>
      <c r="CF418" s="10"/>
      <c r="CG418" s="10"/>
      <c r="CH418" s="10"/>
      <c r="CI418" s="10"/>
      <c r="CJ418" s="10"/>
      <c r="CK418" s="10"/>
      <c r="CL418" s="10"/>
      <c r="CM418" s="10"/>
      <c r="CN418" s="10"/>
      <c r="CO418" s="10"/>
      <c r="CP418" s="10"/>
      <c r="CQ418" s="10"/>
      <c r="CR418" s="10"/>
      <c r="CS418" s="10"/>
      <c r="CT418" s="10"/>
      <c r="CU418" s="10"/>
      <c r="CV418" s="10"/>
      <c r="CW418" s="10"/>
      <c r="CX418" s="10"/>
      <c r="CY418" s="10"/>
      <c r="CZ418" s="10"/>
      <c r="DA418" s="10"/>
      <c r="DB418" s="10"/>
      <c r="DC418" s="10"/>
      <c r="DD418" s="10"/>
      <c r="DE418" s="10"/>
      <c r="DF418" s="10"/>
      <c r="DG418" s="10"/>
      <c r="DH418" s="10"/>
      <c r="DI418" s="10"/>
      <c r="DJ418" s="10"/>
      <c r="DK418" s="10"/>
      <c r="DL418" s="10"/>
      <c r="DM418" s="10"/>
      <c r="DN418" s="10"/>
      <c r="DO418" s="10"/>
      <c r="DP418" s="10"/>
      <c r="DQ418" s="10"/>
      <c r="DR418" s="10"/>
      <c r="DS418" s="10"/>
      <c r="DT418" s="10"/>
      <c r="DU418" s="10"/>
      <c r="DV418" s="10"/>
      <c r="DW418" s="10"/>
      <c r="DX418" s="10"/>
      <c r="DY418" s="10"/>
      <c r="DZ418" s="10"/>
      <c r="EA418" s="10"/>
      <c r="EB418" s="10"/>
      <c r="EC418" s="10"/>
      <c r="ED418" s="10"/>
      <c r="EE418" s="10"/>
    </row>
    <row r="419" spans="2:135" ht="16.5">
      <c r="B419" s="47">
        <v>408</v>
      </c>
      <c r="C419" s="50"/>
      <c r="D419" s="49"/>
      <c r="E419" s="49"/>
      <c r="F419" s="49"/>
      <c r="G419" s="49"/>
      <c r="H419" s="10"/>
      <c r="I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  <c r="BB419" s="10"/>
      <c r="BC419" s="10"/>
      <c r="BD419" s="10"/>
      <c r="BE419" s="10"/>
      <c r="BF419" s="10"/>
      <c r="BG419" s="10"/>
      <c r="BH419" s="10"/>
      <c r="BI419" s="10"/>
      <c r="BJ419" s="10"/>
      <c r="BK419" s="10"/>
      <c r="BL419" s="10"/>
      <c r="BN419" s="10"/>
      <c r="BO419" s="10"/>
      <c r="BP419" s="10"/>
      <c r="BQ419" s="10"/>
      <c r="BR419" s="10"/>
      <c r="BS419" s="10"/>
      <c r="BT419" s="10"/>
      <c r="BU419" s="10"/>
      <c r="BV419" s="10"/>
      <c r="BW419" s="10"/>
      <c r="BX419" s="10"/>
      <c r="BY419" s="10"/>
      <c r="BZ419" s="10"/>
      <c r="CA419" s="10"/>
      <c r="CB419" s="10"/>
      <c r="CC419" s="10"/>
      <c r="CD419" s="10"/>
      <c r="CE419" s="10"/>
      <c r="CF419" s="10"/>
      <c r="CG419" s="10"/>
      <c r="CH419" s="10"/>
      <c r="CI419" s="10"/>
      <c r="CJ419" s="10"/>
      <c r="CK419" s="10"/>
      <c r="CL419" s="10"/>
      <c r="CM419" s="10"/>
      <c r="CN419" s="10"/>
      <c r="CO419" s="10"/>
      <c r="CP419" s="10"/>
      <c r="CQ419" s="10"/>
      <c r="CR419" s="10"/>
      <c r="CS419" s="10"/>
      <c r="CT419" s="10"/>
      <c r="CU419" s="10"/>
      <c r="CV419" s="10"/>
      <c r="CW419" s="10"/>
      <c r="CX419" s="10"/>
      <c r="CY419" s="10"/>
      <c r="CZ419" s="10"/>
      <c r="DA419" s="10"/>
      <c r="DB419" s="10"/>
      <c r="DC419" s="10"/>
      <c r="DD419" s="10"/>
      <c r="DE419" s="10"/>
      <c r="DF419" s="10"/>
      <c r="DG419" s="10"/>
      <c r="DH419" s="10"/>
      <c r="DI419" s="10"/>
      <c r="DJ419" s="10"/>
      <c r="DK419" s="10"/>
      <c r="DL419" s="10"/>
      <c r="DM419" s="10"/>
      <c r="DN419" s="10"/>
      <c r="DO419" s="10"/>
      <c r="DP419" s="10"/>
      <c r="DQ419" s="10"/>
      <c r="DR419" s="10"/>
      <c r="DS419" s="10"/>
      <c r="DT419" s="10"/>
      <c r="DU419" s="10"/>
      <c r="DV419" s="10"/>
      <c r="DW419" s="10"/>
      <c r="DX419" s="10"/>
      <c r="DY419" s="10"/>
      <c r="DZ419" s="10"/>
      <c r="EA419" s="10"/>
      <c r="EB419" s="10"/>
      <c r="EC419" s="10"/>
      <c r="ED419" s="10"/>
      <c r="EE419" s="10"/>
    </row>
    <row r="420" spans="2:135" ht="16.5">
      <c r="B420" s="47">
        <v>409</v>
      </c>
      <c r="C420" s="50"/>
      <c r="D420" s="49"/>
      <c r="E420" s="49"/>
      <c r="F420" s="49"/>
      <c r="G420" s="49"/>
      <c r="H420" s="10"/>
      <c r="I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  <c r="BB420" s="10"/>
      <c r="BC420" s="10"/>
      <c r="BD420" s="10"/>
      <c r="BE420" s="10"/>
      <c r="BF420" s="10"/>
      <c r="BG420" s="10"/>
      <c r="BH420" s="10"/>
      <c r="BI420" s="10"/>
      <c r="BJ420" s="10"/>
      <c r="BK420" s="10"/>
      <c r="BL420" s="10"/>
      <c r="BN420" s="10"/>
      <c r="BO420" s="10"/>
      <c r="BP420" s="10"/>
      <c r="BQ420" s="10"/>
      <c r="BR420" s="10"/>
      <c r="BS420" s="10"/>
      <c r="BT420" s="10"/>
      <c r="BU420" s="10"/>
      <c r="BV420" s="10"/>
      <c r="BW420" s="10"/>
      <c r="BX420" s="10"/>
      <c r="BY420" s="10"/>
      <c r="BZ420" s="10"/>
      <c r="CA420" s="10"/>
      <c r="CB420" s="10"/>
      <c r="CC420" s="10"/>
      <c r="CD420" s="10"/>
      <c r="CE420" s="10"/>
      <c r="CF420" s="10"/>
      <c r="CG420" s="10"/>
      <c r="CH420" s="10"/>
      <c r="CI420" s="10"/>
      <c r="CJ420" s="10"/>
      <c r="CK420" s="10"/>
      <c r="CL420" s="10"/>
      <c r="CM420" s="10"/>
      <c r="CN420" s="10"/>
      <c r="CO420" s="10"/>
      <c r="CP420" s="10"/>
      <c r="CQ420" s="10"/>
      <c r="CR420" s="10"/>
      <c r="CS420" s="10"/>
      <c r="CT420" s="10"/>
      <c r="CU420" s="10"/>
      <c r="CV420" s="10"/>
      <c r="CW420" s="10"/>
      <c r="CX420" s="10"/>
      <c r="CY420" s="10"/>
      <c r="CZ420" s="10"/>
      <c r="DA420" s="10"/>
      <c r="DB420" s="10"/>
      <c r="DC420" s="10"/>
      <c r="DD420" s="10"/>
      <c r="DE420" s="10"/>
      <c r="DF420" s="10"/>
      <c r="DG420" s="10"/>
      <c r="DH420" s="10"/>
      <c r="DI420" s="10"/>
      <c r="DJ420" s="10"/>
      <c r="DK420" s="10"/>
      <c r="DL420" s="10"/>
      <c r="DM420" s="10"/>
      <c r="DN420" s="10"/>
      <c r="DO420" s="10"/>
      <c r="DP420" s="10"/>
      <c r="DQ420" s="10"/>
      <c r="DR420" s="10"/>
      <c r="DS420" s="10"/>
      <c r="DT420" s="10"/>
      <c r="DU420" s="10"/>
      <c r="DV420" s="10"/>
      <c r="DW420" s="10"/>
      <c r="DX420" s="10"/>
      <c r="DY420" s="10"/>
      <c r="DZ420" s="10"/>
      <c r="EA420" s="10"/>
      <c r="EB420" s="10"/>
      <c r="EC420" s="10"/>
      <c r="ED420" s="10"/>
      <c r="EE420" s="10"/>
    </row>
    <row r="421" spans="2:135" ht="16.5">
      <c r="B421" s="47">
        <v>410</v>
      </c>
      <c r="C421" s="50"/>
      <c r="D421" s="49"/>
      <c r="E421" s="49"/>
      <c r="F421" s="49"/>
      <c r="G421" s="49"/>
      <c r="H421" s="10"/>
      <c r="I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  <c r="BA421" s="10"/>
      <c r="BB421" s="10"/>
      <c r="BC421" s="10"/>
      <c r="BD421" s="10"/>
      <c r="BE421" s="10"/>
      <c r="BF421" s="10"/>
      <c r="BG421" s="10"/>
      <c r="BH421" s="10"/>
      <c r="BI421" s="10"/>
      <c r="BJ421" s="10"/>
      <c r="BK421" s="10"/>
      <c r="BL421" s="10"/>
      <c r="BN421" s="10"/>
      <c r="BO421" s="10"/>
      <c r="BP421" s="10"/>
      <c r="BQ421" s="10"/>
      <c r="BR421" s="10"/>
      <c r="BS421" s="10"/>
      <c r="BT421" s="10"/>
      <c r="BU421" s="10"/>
      <c r="BV421" s="10"/>
      <c r="BW421" s="10"/>
      <c r="BX421" s="10"/>
      <c r="BY421" s="10"/>
      <c r="BZ421" s="10"/>
      <c r="CA421" s="10"/>
      <c r="CB421" s="10"/>
      <c r="CC421" s="10"/>
      <c r="CD421" s="10"/>
      <c r="CE421" s="10"/>
      <c r="CF421" s="10"/>
      <c r="CG421" s="10"/>
      <c r="CH421" s="10"/>
      <c r="CI421" s="10"/>
      <c r="CJ421" s="10"/>
      <c r="CK421" s="10"/>
      <c r="CL421" s="10"/>
      <c r="CM421" s="10"/>
      <c r="CN421" s="10"/>
      <c r="CO421" s="10"/>
      <c r="CP421" s="10"/>
      <c r="CQ421" s="10"/>
      <c r="CR421" s="10"/>
      <c r="CS421" s="10"/>
      <c r="CT421" s="10"/>
      <c r="CU421" s="10"/>
      <c r="CV421" s="10"/>
      <c r="CW421" s="10"/>
      <c r="CX421" s="10"/>
      <c r="CY421" s="10"/>
      <c r="CZ421" s="10"/>
      <c r="DA421" s="10"/>
      <c r="DB421" s="10"/>
      <c r="DC421" s="10"/>
      <c r="DD421" s="10"/>
      <c r="DE421" s="10"/>
      <c r="DF421" s="10"/>
      <c r="DG421" s="10"/>
      <c r="DH421" s="10"/>
      <c r="DI421" s="10"/>
      <c r="DJ421" s="10"/>
      <c r="DK421" s="10"/>
      <c r="DL421" s="10"/>
      <c r="DM421" s="10"/>
      <c r="DN421" s="10"/>
      <c r="DO421" s="10"/>
      <c r="DP421" s="10"/>
      <c r="DQ421" s="10"/>
      <c r="DR421" s="10"/>
      <c r="DS421" s="10"/>
      <c r="DT421" s="10"/>
      <c r="DU421" s="10"/>
      <c r="DV421" s="10"/>
      <c r="DW421" s="10"/>
      <c r="DX421" s="10"/>
      <c r="DY421" s="10"/>
      <c r="DZ421" s="10"/>
      <c r="EA421" s="10"/>
      <c r="EB421" s="10"/>
      <c r="EC421" s="10"/>
      <c r="ED421" s="10"/>
      <c r="EE421" s="10"/>
    </row>
    <row r="422" spans="2:135" ht="16.5">
      <c r="B422" s="47">
        <v>411</v>
      </c>
      <c r="C422" s="50"/>
      <c r="D422" s="49"/>
      <c r="E422" s="49"/>
      <c r="F422" s="49"/>
      <c r="G422" s="49"/>
      <c r="H422" s="10"/>
      <c r="I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  <c r="BA422" s="10"/>
      <c r="BB422" s="10"/>
      <c r="BC422" s="10"/>
      <c r="BD422" s="10"/>
      <c r="BE422" s="10"/>
      <c r="BF422" s="10"/>
      <c r="BG422" s="10"/>
      <c r="BH422" s="10"/>
      <c r="BI422" s="10"/>
      <c r="BJ422" s="10"/>
      <c r="BK422" s="10"/>
      <c r="BL422" s="10"/>
      <c r="BN422" s="10"/>
      <c r="BO422" s="10"/>
      <c r="BP422" s="10"/>
      <c r="BQ422" s="10"/>
      <c r="BR422" s="10"/>
      <c r="BS422" s="10"/>
      <c r="BT422" s="10"/>
      <c r="BU422" s="10"/>
      <c r="BV422" s="10"/>
      <c r="BW422" s="10"/>
      <c r="BX422" s="10"/>
      <c r="BY422" s="10"/>
      <c r="BZ422" s="10"/>
      <c r="CA422" s="10"/>
      <c r="CB422" s="10"/>
      <c r="CC422" s="10"/>
      <c r="CD422" s="10"/>
      <c r="CE422" s="10"/>
      <c r="CF422" s="10"/>
      <c r="CG422" s="10"/>
      <c r="CH422" s="10"/>
      <c r="CI422" s="10"/>
      <c r="CJ422" s="10"/>
      <c r="CK422" s="10"/>
      <c r="CL422" s="10"/>
      <c r="CM422" s="10"/>
      <c r="CN422" s="10"/>
      <c r="CO422" s="10"/>
      <c r="CP422" s="10"/>
      <c r="CQ422" s="10"/>
      <c r="CR422" s="10"/>
      <c r="CS422" s="10"/>
      <c r="CT422" s="10"/>
      <c r="CU422" s="10"/>
      <c r="CV422" s="10"/>
      <c r="CW422" s="10"/>
      <c r="CX422" s="10"/>
      <c r="CY422" s="10"/>
      <c r="CZ422" s="10"/>
      <c r="DA422" s="10"/>
      <c r="DB422" s="10"/>
      <c r="DC422" s="10"/>
      <c r="DD422" s="10"/>
      <c r="DE422" s="10"/>
      <c r="DF422" s="10"/>
      <c r="DG422" s="10"/>
      <c r="DH422" s="10"/>
      <c r="DI422" s="10"/>
      <c r="DJ422" s="10"/>
      <c r="DK422" s="10"/>
      <c r="DL422" s="10"/>
      <c r="DM422" s="10"/>
      <c r="DN422" s="10"/>
      <c r="DO422" s="10"/>
      <c r="DP422" s="10"/>
      <c r="DQ422" s="10"/>
      <c r="DR422" s="10"/>
      <c r="DS422" s="10"/>
      <c r="DT422" s="10"/>
      <c r="DU422" s="10"/>
      <c r="DV422" s="10"/>
      <c r="DW422" s="10"/>
      <c r="DX422" s="10"/>
      <c r="DY422" s="10"/>
      <c r="DZ422" s="10"/>
      <c r="EA422" s="10"/>
      <c r="EB422" s="10"/>
      <c r="EC422" s="10"/>
      <c r="ED422" s="10"/>
      <c r="EE422" s="10"/>
    </row>
    <row r="423" spans="2:135" ht="16.5">
      <c r="B423" s="47">
        <v>412</v>
      </c>
      <c r="C423" s="50"/>
      <c r="D423" s="49"/>
      <c r="E423" s="49"/>
      <c r="F423" s="49"/>
      <c r="G423" s="49"/>
      <c r="H423" s="10"/>
      <c r="I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  <c r="BB423" s="10"/>
      <c r="BC423" s="10"/>
      <c r="BD423" s="10"/>
      <c r="BE423" s="10"/>
      <c r="BF423" s="10"/>
      <c r="BG423" s="10"/>
      <c r="BH423" s="10"/>
      <c r="BI423" s="10"/>
      <c r="BJ423" s="10"/>
      <c r="BK423" s="10"/>
      <c r="BL423" s="10"/>
      <c r="BN423" s="10"/>
      <c r="BO423" s="10"/>
      <c r="BP423" s="10"/>
      <c r="BQ423" s="10"/>
      <c r="BR423" s="10"/>
      <c r="BS423" s="10"/>
      <c r="BT423" s="10"/>
      <c r="BU423" s="10"/>
      <c r="BV423" s="10"/>
      <c r="BW423" s="10"/>
      <c r="BX423" s="10"/>
      <c r="BY423" s="10"/>
      <c r="BZ423" s="10"/>
      <c r="CA423" s="10"/>
      <c r="CB423" s="10"/>
      <c r="CC423" s="10"/>
      <c r="CD423" s="10"/>
      <c r="CE423" s="10"/>
      <c r="CF423" s="10"/>
      <c r="CG423" s="10"/>
      <c r="CH423" s="10"/>
      <c r="CI423" s="10"/>
      <c r="CJ423" s="10"/>
      <c r="CK423" s="10"/>
      <c r="CL423" s="10"/>
      <c r="CM423" s="10"/>
      <c r="CN423" s="10"/>
      <c r="CO423" s="10"/>
      <c r="CP423" s="10"/>
      <c r="CQ423" s="10"/>
      <c r="CR423" s="10"/>
      <c r="CS423" s="10"/>
      <c r="CT423" s="10"/>
      <c r="CU423" s="10"/>
      <c r="CV423" s="10"/>
      <c r="CW423" s="10"/>
      <c r="CX423" s="10"/>
      <c r="CY423" s="10"/>
      <c r="CZ423" s="10"/>
      <c r="DA423" s="10"/>
      <c r="DB423" s="10"/>
      <c r="DC423" s="10"/>
      <c r="DD423" s="10"/>
      <c r="DE423" s="10"/>
      <c r="DF423" s="10"/>
      <c r="DG423" s="10"/>
      <c r="DH423" s="10"/>
      <c r="DI423" s="10"/>
      <c r="DJ423" s="10"/>
      <c r="DK423" s="10"/>
      <c r="DL423" s="10"/>
      <c r="DM423" s="10"/>
      <c r="DN423" s="10"/>
      <c r="DO423" s="10"/>
      <c r="DP423" s="10"/>
      <c r="DQ423" s="10"/>
      <c r="DR423" s="10"/>
      <c r="DS423" s="10"/>
      <c r="DT423" s="10"/>
      <c r="DU423" s="10"/>
      <c r="DV423" s="10"/>
      <c r="DW423" s="10"/>
      <c r="DX423" s="10"/>
      <c r="DY423" s="10"/>
      <c r="DZ423" s="10"/>
      <c r="EA423" s="10"/>
      <c r="EB423" s="10"/>
      <c r="EC423" s="10"/>
      <c r="ED423" s="10"/>
      <c r="EE423" s="10"/>
    </row>
    <row r="424" spans="2:135" ht="16.5">
      <c r="B424" s="47">
        <v>413</v>
      </c>
      <c r="C424" s="50"/>
      <c r="D424" s="49"/>
      <c r="E424" s="49"/>
      <c r="F424" s="49"/>
      <c r="G424" s="49"/>
      <c r="H424" s="10"/>
      <c r="I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0"/>
      <c r="BG424" s="10"/>
      <c r="BH424" s="10"/>
      <c r="BI424" s="10"/>
      <c r="BJ424" s="10"/>
      <c r="BK424" s="10"/>
      <c r="BL424" s="10"/>
      <c r="BN424" s="10"/>
      <c r="BO424" s="10"/>
      <c r="BP424" s="10"/>
      <c r="BQ424" s="10"/>
      <c r="BR424" s="10"/>
      <c r="BS424" s="10"/>
      <c r="BT424" s="10"/>
      <c r="BU424" s="10"/>
      <c r="BV424" s="10"/>
      <c r="BW424" s="10"/>
      <c r="BX424" s="10"/>
      <c r="BY424" s="10"/>
      <c r="BZ424" s="10"/>
      <c r="CA424" s="10"/>
      <c r="CB424" s="10"/>
      <c r="CC424" s="10"/>
      <c r="CD424" s="10"/>
      <c r="CE424" s="10"/>
      <c r="CF424" s="10"/>
      <c r="CG424" s="10"/>
      <c r="CH424" s="10"/>
      <c r="CI424" s="10"/>
      <c r="CJ424" s="10"/>
      <c r="CK424" s="10"/>
      <c r="CL424" s="10"/>
      <c r="CM424" s="10"/>
      <c r="CN424" s="10"/>
      <c r="CO424" s="10"/>
      <c r="CP424" s="10"/>
      <c r="CQ424" s="10"/>
      <c r="CR424" s="10"/>
      <c r="CS424" s="10"/>
      <c r="CT424" s="10"/>
      <c r="CU424" s="10"/>
      <c r="CV424" s="10"/>
      <c r="CW424" s="10"/>
      <c r="CX424" s="10"/>
      <c r="CY424" s="10"/>
      <c r="CZ424" s="10"/>
      <c r="DA424" s="10"/>
      <c r="DB424" s="10"/>
      <c r="DC424" s="10"/>
      <c r="DD424" s="10"/>
      <c r="DE424" s="10"/>
      <c r="DF424" s="10"/>
      <c r="DG424" s="10"/>
      <c r="DH424" s="10"/>
      <c r="DI424" s="10"/>
      <c r="DJ424" s="10"/>
      <c r="DK424" s="10"/>
      <c r="DL424" s="10"/>
      <c r="DM424" s="10"/>
      <c r="DN424" s="10"/>
      <c r="DO424" s="10"/>
      <c r="DP424" s="10"/>
      <c r="DQ424" s="10"/>
      <c r="DR424" s="10"/>
      <c r="DS424" s="10"/>
      <c r="DT424" s="10"/>
      <c r="DU424" s="10"/>
      <c r="DV424" s="10"/>
      <c r="DW424" s="10"/>
      <c r="DX424" s="10"/>
      <c r="DY424" s="10"/>
      <c r="DZ424" s="10"/>
      <c r="EA424" s="10"/>
      <c r="EB424" s="10"/>
      <c r="EC424" s="10"/>
      <c r="ED424" s="10"/>
      <c r="EE424" s="10"/>
    </row>
    <row r="425" spans="2:135" ht="16.5">
      <c r="B425" s="47">
        <v>414</v>
      </c>
      <c r="C425" s="50"/>
      <c r="D425" s="49"/>
      <c r="E425" s="49"/>
      <c r="F425" s="49"/>
      <c r="G425" s="49"/>
      <c r="H425" s="10"/>
      <c r="I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  <c r="BA425" s="10"/>
      <c r="BB425" s="10"/>
      <c r="BC425" s="10"/>
      <c r="BD425" s="10"/>
      <c r="BE425" s="10"/>
      <c r="BF425" s="10"/>
      <c r="BG425" s="10"/>
      <c r="BH425" s="10"/>
      <c r="BI425" s="10"/>
      <c r="BJ425" s="10"/>
      <c r="BK425" s="10"/>
      <c r="BL425" s="10"/>
      <c r="BN425" s="10"/>
      <c r="BO425" s="10"/>
      <c r="BP425" s="10"/>
      <c r="BQ425" s="10"/>
      <c r="BR425" s="10"/>
      <c r="BS425" s="10"/>
      <c r="BT425" s="10"/>
      <c r="BU425" s="10"/>
      <c r="BV425" s="10"/>
      <c r="BW425" s="10"/>
      <c r="BX425" s="10"/>
      <c r="BY425" s="10"/>
      <c r="BZ425" s="10"/>
      <c r="CA425" s="10"/>
      <c r="CB425" s="10"/>
      <c r="CC425" s="10"/>
      <c r="CD425" s="10"/>
      <c r="CE425" s="10"/>
      <c r="CF425" s="10"/>
      <c r="CG425" s="10"/>
      <c r="CH425" s="10"/>
      <c r="CI425" s="10"/>
      <c r="CJ425" s="10"/>
      <c r="CK425" s="10"/>
      <c r="CL425" s="10"/>
      <c r="CM425" s="10"/>
      <c r="CN425" s="10"/>
      <c r="CO425" s="10"/>
      <c r="CP425" s="10"/>
      <c r="CQ425" s="10"/>
      <c r="CR425" s="10"/>
      <c r="CS425" s="10"/>
      <c r="CT425" s="10"/>
      <c r="CU425" s="10"/>
      <c r="CV425" s="10"/>
      <c r="CW425" s="10"/>
      <c r="CX425" s="10"/>
      <c r="CY425" s="10"/>
      <c r="CZ425" s="10"/>
      <c r="DA425" s="10"/>
      <c r="DB425" s="10"/>
      <c r="DC425" s="10"/>
      <c r="DD425" s="10"/>
      <c r="DE425" s="10"/>
      <c r="DF425" s="10"/>
      <c r="DG425" s="10"/>
      <c r="DH425" s="10"/>
      <c r="DI425" s="10"/>
      <c r="DJ425" s="10"/>
      <c r="DK425" s="10"/>
      <c r="DL425" s="10"/>
      <c r="DM425" s="10"/>
      <c r="DN425" s="10"/>
      <c r="DO425" s="10"/>
      <c r="DP425" s="10"/>
      <c r="DQ425" s="10"/>
      <c r="DR425" s="10"/>
      <c r="DS425" s="10"/>
      <c r="DT425" s="10"/>
      <c r="DU425" s="10"/>
      <c r="DV425" s="10"/>
      <c r="DW425" s="10"/>
      <c r="DX425" s="10"/>
      <c r="DY425" s="10"/>
      <c r="DZ425" s="10"/>
      <c r="EA425" s="10"/>
      <c r="EB425" s="10"/>
      <c r="EC425" s="10"/>
      <c r="ED425" s="10"/>
      <c r="EE425" s="10"/>
    </row>
    <row r="426" spans="2:135" ht="16.5">
      <c r="B426" s="47">
        <v>415</v>
      </c>
      <c r="C426" s="50"/>
      <c r="D426" s="49"/>
      <c r="E426" s="49"/>
      <c r="F426" s="49"/>
      <c r="G426" s="49"/>
      <c r="H426" s="10"/>
      <c r="I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  <c r="BA426" s="10"/>
      <c r="BB426" s="10"/>
      <c r="BC426" s="10"/>
      <c r="BD426" s="10"/>
      <c r="BE426" s="10"/>
      <c r="BF426" s="10"/>
      <c r="BG426" s="10"/>
      <c r="BH426" s="10"/>
      <c r="BI426" s="10"/>
      <c r="BJ426" s="10"/>
      <c r="BK426" s="10"/>
      <c r="BL426" s="10"/>
      <c r="BN426" s="10"/>
      <c r="BO426" s="10"/>
      <c r="BP426" s="10"/>
      <c r="BQ426" s="10"/>
      <c r="BR426" s="10"/>
      <c r="BS426" s="10"/>
      <c r="BT426" s="10"/>
      <c r="BU426" s="10"/>
      <c r="BV426" s="10"/>
      <c r="BW426" s="10"/>
      <c r="BX426" s="10"/>
      <c r="BY426" s="10"/>
      <c r="BZ426" s="10"/>
      <c r="CA426" s="10"/>
      <c r="CB426" s="10"/>
      <c r="CC426" s="10"/>
      <c r="CD426" s="10"/>
      <c r="CE426" s="10"/>
      <c r="CF426" s="10"/>
      <c r="CG426" s="10"/>
      <c r="CH426" s="10"/>
      <c r="CI426" s="10"/>
      <c r="CJ426" s="10"/>
      <c r="CK426" s="10"/>
      <c r="CL426" s="10"/>
      <c r="CM426" s="10"/>
      <c r="CN426" s="10"/>
      <c r="CO426" s="10"/>
      <c r="CP426" s="10"/>
      <c r="CQ426" s="10"/>
      <c r="CR426" s="10"/>
      <c r="CS426" s="10"/>
      <c r="CT426" s="10"/>
      <c r="CU426" s="10"/>
      <c r="CV426" s="10"/>
      <c r="CW426" s="10"/>
      <c r="CX426" s="10"/>
      <c r="CY426" s="10"/>
      <c r="CZ426" s="10"/>
      <c r="DA426" s="10"/>
      <c r="DB426" s="10"/>
      <c r="DC426" s="10"/>
      <c r="DD426" s="10"/>
      <c r="DE426" s="10"/>
      <c r="DF426" s="10"/>
      <c r="DG426" s="10"/>
      <c r="DH426" s="10"/>
      <c r="DI426" s="10"/>
      <c r="DJ426" s="10"/>
      <c r="DK426" s="10"/>
      <c r="DL426" s="10"/>
      <c r="DM426" s="10"/>
      <c r="DN426" s="10"/>
      <c r="DO426" s="10"/>
      <c r="DP426" s="10"/>
      <c r="DQ426" s="10"/>
      <c r="DR426" s="10"/>
      <c r="DS426" s="10"/>
      <c r="DT426" s="10"/>
      <c r="DU426" s="10"/>
      <c r="DV426" s="10"/>
      <c r="DW426" s="10"/>
      <c r="DX426" s="10"/>
      <c r="DY426" s="10"/>
      <c r="DZ426" s="10"/>
      <c r="EA426" s="10"/>
      <c r="EB426" s="10"/>
      <c r="EC426" s="10"/>
      <c r="ED426" s="10"/>
      <c r="EE426" s="10"/>
    </row>
    <row r="427" spans="2:135" ht="16.5">
      <c r="B427" s="47">
        <v>416</v>
      </c>
      <c r="C427" s="50"/>
      <c r="D427" s="49"/>
      <c r="E427" s="49"/>
      <c r="F427" s="49"/>
      <c r="G427" s="49"/>
      <c r="H427" s="10"/>
      <c r="I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  <c r="BA427" s="10"/>
      <c r="BB427" s="10"/>
      <c r="BC427" s="10"/>
      <c r="BD427" s="10"/>
      <c r="BE427" s="10"/>
      <c r="BF427" s="10"/>
      <c r="BG427" s="10"/>
      <c r="BH427" s="10"/>
      <c r="BI427" s="10"/>
      <c r="BJ427" s="10"/>
      <c r="BK427" s="10"/>
      <c r="BL427" s="10"/>
      <c r="BN427" s="10"/>
      <c r="BO427" s="10"/>
      <c r="BP427" s="10"/>
      <c r="BQ427" s="10"/>
      <c r="BR427" s="10"/>
      <c r="BS427" s="10"/>
      <c r="BT427" s="10"/>
      <c r="BU427" s="10"/>
      <c r="BV427" s="10"/>
      <c r="BW427" s="10"/>
      <c r="BX427" s="10"/>
      <c r="BY427" s="10"/>
      <c r="BZ427" s="10"/>
      <c r="CA427" s="10"/>
      <c r="CB427" s="10"/>
      <c r="CC427" s="10"/>
      <c r="CD427" s="10"/>
      <c r="CE427" s="10"/>
      <c r="CF427" s="10"/>
      <c r="CG427" s="10"/>
      <c r="CH427" s="10"/>
      <c r="CI427" s="10"/>
      <c r="CJ427" s="10"/>
      <c r="CK427" s="10"/>
      <c r="CL427" s="10"/>
      <c r="CM427" s="10"/>
      <c r="CN427" s="10"/>
      <c r="CO427" s="10"/>
      <c r="CP427" s="10"/>
      <c r="CQ427" s="10"/>
      <c r="CR427" s="10"/>
      <c r="CS427" s="10"/>
      <c r="CT427" s="10"/>
      <c r="CU427" s="10"/>
      <c r="CV427" s="10"/>
      <c r="CW427" s="10"/>
      <c r="CX427" s="10"/>
      <c r="CY427" s="10"/>
      <c r="CZ427" s="10"/>
      <c r="DA427" s="10"/>
      <c r="DB427" s="10"/>
      <c r="DC427" s="10"/>
      <c r="DD427" s="10"/>
      <c r="DE427" s="10"/>
      <c r="DF427" s="10"/>
      <c r="DG427" s="10"/>
      <c r="DH427" s="10"/>
      <c r="DI427" s="10"/>
      <c r="DJ427" s="10"/>
      <c r="DK427" s="10"/>
      <c r="DL427" s="10"/>
      <c r="DM427" s="10"/>
      <c r="DN427" s="10"/>
      <c r="DO427" s="10"/>
      <c r="DP427" s="10"/>
      <c r="DQ427" s="10"/>
      <c r="DR427" s="10"/>
      <c r="DS427" s="10"/>
      <c r="DT427" s="10"/>
      <c r="DU427" s="10"/>
      <c r="DV427" s="10"/>
      <c r="DW427" s="10"/>
      <c r="DX427" s="10"/>
      <c r="DY427" s="10"/>
      <c r="DZ427" s="10"/>
      <c r="EA427" s="10"/>
      <c r="EB427" s="10"/>
      <c r="EC427" s="10"/>
      <c r="ED427" s="10"/>
      <c r="EE427" s="10"/>
    </row>
    <row r="428" spans="2:135" ht="16.5">
      <c r="B428" s="47">
        <v>417</v>
      </c>
      <c r="C428" s="50"/>
      <c r="D428" s="49"/>
      <c r="E428" s="49"/>
      <c r="F428" s="49"/>
      <c r="G428" s="49"/>
      <c r="H428" s="10"/>
      <c r="I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  <c r="BA428" s="10"/>
      <c r="BB428" s="10"/>
      <c r="BC428" s="10"/>
      <c r="BD428" s="10"/>
      <c r="BE428" s="10"/>
      <c r="BF428" s="10"/>
      <c r="BG428" s="10"/>
      <c r="BH428" s="10"/>
      <c r="BI428" s="10"/>
      <c r="BJ428" s="10"/>
      <c r="BK428" s="10"/>
      <c r="BL428" s="10"/>
      <c r="BN428" s="10"/>
      <c r="BO428" s="10"/>
      <c r="BP428" s="10"/>
      <c r="BQ428" s="10"/>
      <c r="BR428" s="10"/>
      <c r="BS428" s="10"/>
      <c r="BT428" s="10"/>
      <c r="BU428" s="10"/>
      <c r="BV428" s="10"/>
      <c r="BW428" s="10"/>
      <c r="BX428" s="10"/>
      <c r="BY428" s="10"/>
      <c r="BZ428" s="10"/>
      <c r="CA428" s="10"/>
      <c r="CB428" s="10"/>
      <c r="CC428" s="10"/>
      <c r="CD428" s="10"/>
      <c r="CE428" s="10"/>
      <c r="CF428" s="10"/>
      <c r="CG428" s="10"/>
      <c r="CH428" s="10"/>
      <c r="CI428" s="10"/>
      <c r="CJ428" s="10"/>
      <c r="CK428" s="10"/>
      <c r="CL428" s="10"/>
      <c r="CM428" s="10"/>
      <c r="CN428" s="10"/>
      <c r="CO428" s="10"/>
      <c r="CP428" s="10"/>
      <c r="CQ428" s="10"/>
      <c r="CR428" s="10"/>
      <c r="CS428" s="10"/>
      <c r="CT428" s="10"/>
      <c r="CU428" s="10"/>
      <c r="CV428" s="10"/>
      <c r="CW428" s="10"/>
      <c r="CX428" s="10"/>
      <c r="CY428" s="10"/>
      <c r="CZ428" s="10"/>
      <c r="DA428" s="10"/>
      <c r="DB428" s="10"/>
      <c r="DC428" s="10"/>
      <c r="DD428" s="10"/>
      <c r="DE428" s="10"/>
      <c r="DF428" s="10"/>
      <c r="DG428" s="10"/>
      <c r="DH428" s="10"/>
      <c r="DI428" s="10"/>
      <c r="DJ428" s="10"/>
      <c r="DK428" s="10"/>
      <c r="DL428" s="10"/>
      <c r="DM428" s="10"/>
      <c r="DN428" s="10"/>
      <c r="DO428" s="10"/>
      <c r="DP428" s="10"/>
      <c r="DQ428" s="10"/>
      <c r="DR428" s="10"/>
      <c r="DS428" s="10"/>
      <c r="DT428" s="10"/>
      <c r="DU428" s="10"/>
      <c r="DV428" s="10"/>
      <c r="DW428" s="10"/>
      <c r="DX428" s="10"/>
      <c r="DY428" s="10"/>
      <c r="DZ428" s="10"/>
      <c r="EA428" s="10"/>
      <c r="EB428" s="10"/>
      <c r="EC428" s="10"/>
      <c r="ED428" s="10"/>
      <c r="EE428" s="10"/>
    </row>
    <row r="429" spans="2:135" ht="16.5">
      <c r="B429" s="47">
        <v>418</v>
      </c>
      <c r="C429" s="50"/>
      <c r="D429" s="49"/>
      <c r="E429" s="49"/>
      <c r="F429" s="49"/>
      <c r="G429" s="49"/>
      <c r="H429" s="10"/>
      <c r="I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  <c r="BB429" s="10"/>
      <c r="BC429" s="10"/>
      <c r="BD429" s="10"/>
      <c r="BE429" s="10"/>
      <c r="BF429" s="10"/>
      <c r="BG429" s="10"/>
      <c r="BH429" s="10"/>
      <c r="BI429" s="10"/>
      <c r="BJ429" s="10"/>
      <c r="BK429" s="10"/>
      <c r="BL429" s="10"/>
      <c r="BN429" s="10"/>
      <c r="BO429" s="10"/>
      <c r="BP429" s="10"/>
      <c r="BQ429" s="10"/>
      <c r="BR429" s="10"/>
      <c r="BS429" s="10"/>
      <c r="BT429" s="10"/>
      <c r="BU429" s="10"/>
      <c r="BV429" s="10"/>
      <c r="BW429" s="10"/>
      <c r="BX429" s="10"/>
      <c r="BY429" s="10"/>
      <c r="BZ429" s="10"/>
      <c r="CA429" s="10"/>
      <c r="CB429" s="10"/>
      <c r="CC429" s="10"/>
      <c r="CD429" s="10"/>
      <c r="CE429" s="10"/>
      <c r="CF429" s="10"/>
      <c r="CG429" s="10"/>
      <c r="CH429" s="10"/>
      <c r="CI429" s="10"/>
      <c r="CJ429" s="10"/>
      <c r="CK429" s="10"/>
      <c r="CL429" s="10"/>
      <c r="CM429" s="10"/>
      <c r="CN429" s="10"/>
      <c r="CO429" s="10"/>
      <c r="CP429" s="10"/>
      <c r="CQ429" s="10"/>
      <c r="CR429" s="10"/>
      <c r="CS429" s="10"/>
      <c r="CT429" s="10"/>
      <c r="CU429" s="10"/>
      <c r="CV429" s="10"/>
      <c r="CW429" s="10"/>
      <c r="CX429" s="10"/>
      <c r="CY429" s="10"/>
      <c r="CZ429" s="10"/>
      <c r="DA429" s="10"/>
      <c r="DB429" s="10"/>
      <c r="DC429" s="10"/>
      <c r="DD429" s="10"/>
      <c r="DE429" s="10"/>
      <c r="DF429" s="10"/>
      <c r="DG429" s="10"/>
      <c r="DH429" s="10"/>
      <c r="DI429" s="10"/>
      <c r="DJ429" s="10"/>
      <c r="DK429" s="10"/>
      <c r="DL429" s="10"/>
      <c r="DM429" s="10"/>
      <c r="DN429" s="10"/>
      <c r="DO429" s="10"/>
      <c r="DP429" s="10"/>
      <c r="DQ429" s="10"/>
      <c r="DR429" s="10"/>
      <c r="DS429" s="10"/>
      <c r="DT429" s="10"/>
      <c r="DU429" s="10"/>
      <c r="DV429" s="10"/>
      <c r="DW429" s="10"/>
      <c r="DX429" s="10"/>
      <c r="DY429" s="10"/>
      <c r="DZ429" s="10"/>
      <c r="EA429" s="10"/>
      <c r="EB429" s="10"/>
      <c r="EC429" s="10"/>
      <c r="ED429" s="10"/>
      <c r="EE429" s="10"/>
    </row>
    <row r="430" spans="2:135" ht="16.5">
      <c r="B430" s="47">
        <v>419</v>
      </c>
      <c r="C430" s="50"/>
      <c r="D430" s="49"/>
      <c r="E430" s="49"/>
      <c r="F430" s="49"/>
      <c r="G430" s="49"/>
      <c r="H430" s="10"/>
      <c r="I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  <c r="BB430" s="10"/>
      <c r="BC430" s="10"/>
      <c r="BD430" s="10"/>
      <c r="BE430" s="10"/>
      <c r="BF430" s="10"/>
      <c r="BG430" s="10"/>
      <c r="BH430" s="10"/>
      <c r="BI430" s="10"/>
      <c r="BJ430" s="10"/>
      <c r="BK430" s="10"/>
      <c r="BL430" s="10"/>
      <c r="BN430" s="10"/>
      <c r="BO430" s="10"/>
      <c r="BP430" s="10"/>
      <c r="BQ430" s="10"/>
      <c r="BR430" s="10"/>
      <c r="BS430" s="10"/>
      <c r="BT430" s="10"/>
      <c r="BU430" s="10"/>
      <c r="BV430" s="10"/>
      <c r="BW430" s="10"/>
      <c r="BX430" s="10"/>
      <c r="BY430" s="10"/>
      <c r="BZ430" s="10"/>
      <c r="CA430" s="10"/>
      <c r="CB430" s="10"/>
      <c r="CC430" s="10"/>
      <c r="CD430" s="10"/>
      <c r="CE430" s="10"/>
      <c r="CF430" s="10"/>
      <c r="CG430" s="10"/>
      <c r="CH430" s="10"/>
      <c r="CI430" s="10"/>
      <c r="CJ430" s="10"/>
      <c r="CK430" s="10"/>
      <c r="CL430" s="10"/>
      <c r="CM430" s="10"/>
      <c r="CN430" s="10"/>
      <c r="CO430" s="10"/>
      <c r="CP430" s="10"/>
      <c r="CQ430" s="10"/>
      <c r="CR430" s="10"/>
      <c r="CS430" s="10"/>
      <c r="CT430" s="10"/>
      <c r="CU430" s="10"/>
      <c r="CV430" s="10"/>
      <c r="CW430" s="10"/>
      <c r="CX430" s="10"/>
      <c r="CY430" s="10"/>
      <c r="CZ430" s="10"/>
      <c r="DA430" s="10"/>
      <c r="DB430" s="10"/>
      <c r="DC430" s="10"/>
      <c r="DD430" s="10"/>
      <c r="DE430" s="10"/>
      <c r="DF430" s="10"/>
      <c r="DG430" s="10"/>
      <c r="DH430" s="10"/>
      <c r="DI430" s="10"/>
      <c r="DJ430" s="10"/>
      <c r="DK430" s="10"/>
      <c r="DL430" s="10"/>
      <c r="DM430" s="10"/>
      <c r="DN430" s="10"/>
      <c r="DO430" s="10"/>
      <c r="DP430" s="10"/>
      <c r="DQ430" s="10"/>
      <c r="DR430" s="10"/>
      <c r="DS430" s="10"/>
      <c r="DT430" s="10"/>
      <c r="DU430" s="10"/>
      <c r="DV430" s="10"/>
      <c r="DW430" s="10"/>
      <c r="DX430" s="10"/>
      <c r="DY430" s="10"/>
      <c r="DZ430" s="10"/>
      <c r="EA430" s="10"/>
      <c r="EB430" s="10"/>
      <c r="EC430" s="10"/>
      <c r="ED430" s="10"/>
      <c r="EE430" s="10"/>
    </row>
    <row r="431" spans="2:135" ht="16.5">
      <c r="B431" s="47">
        <v>420</v>
      </c>
      <c r="C431" s="50"/>
      <c r="D431" s="49"/>
      <c r="E431" s="49"/>
      <c r="F431" s="49"/>
      <c r="G431" s="49"/>
      <c r="H431" s="10"/>
      <c r="I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  <c r="BB431" s="10"/>
      <c r="BC431" s="10"/>
      <c r="BD431" s="10"/>
      <c r="BE431" s="10"/>
      <c r="BF431" s="10"/>
      <c r="BG431" s="10"/>
      <c r="BH431" s="10"/>
      <c r="BI431" s="10"/>
      <c r="BJ431" s="10"/>
      <c r="BK431" s="10"/>
      <c r="BL431" s="10"/>
      <c r="BN431" s="10"/>
      <c r="BO431" s="10"/>
      <c r="BP431" s="10"/>
      <c r="BQ431" s="10"/>
      <c r="BR431" s="10"/>
      <c r="BS431" s="10"/>
      <c r="BT431" s="10"/>
      <c r="BU431" s="10"/>
      <c r="BV431" s="10"/>
      <c r="BW431" s="10"/>
      <c r="BX431" s="10"/>
      <c r="BY431" s="10"/>
      <c r="BZ431" s="10"/>
      <c r="CA431" s="10"/>
      <c r="CB431" s="10"/>
      <c r="CC431" s="10"/>
      <c r="CD431" s="10"/>
      <c r="CE431" s="10"/>
      <c r="CF431" s="10"/>
      <c r="CG431" s="10"/>
      <c r="CH431" s="10"/>
      <c r="CI431" s="10"/>
      <c r="CJ431" s="10"/>
      <c r="CK431" s="10"/>
      <c r="CL431" s="10"/>
      <c r="CM431" s="10"/>
      <c r="CN431" s="10"/>
      <c r="CO431" s="10"/>
      <c r="CP431" s="10"/>
      <c r="CQ431" s="10"/>
      <c r="CR431" s="10"/>
      <c r="CS431" s="10"/>
      <c r="CT431" s="10"/>
      <c r="CU431" s="10"/>
      <c r="CV431" s="10"/>
      <c r="CW431" s="10"/>
      <c r="CX431" s="10"/>
      <c r="CY431" s="10"/>
      <c r="CZ431" s="10"/>
      <c r="DA431" s="10"/>
      <c r="DB431" s="10"/>
      <c r="DC431" s="10"/>
      <c r="DD431" s="10"/>
      <c r="DE431" s="10"/>
      <c r="DF431" s="10"/>
      <c r="DG431" s="10"/>
      <c r="DH431" s="10"/>
      <c r="DI431" s="10"/>
      <c r="DJ431" s="10"/>
      <c r="DK431" s="10"/>
      <c r="DL431" s="10"/>
      <c r="DM431" s="10"/>
      <c r="DN431" s="10"/>
      <c r="DO431" s="10"/>
      <c r="DP431" s="10"/>
      <c r="DQ431" s="10"/>
      <c r="DR431" s="10"/>
      <c r="DS431" s="10"/>
      <c r="DT431" s="10"/>
      <c r="DU431" s="10"/>
      <c r="DV431" s="10"/>
      <c r="DW431" s="10"/>
      <c r="DX431" s="10"/>
      <c r="DY431" s="10"/>
      <c r="DZ431" s="10"/>
      <c r="EA431" s="10"/>
      <c r="EB431" s="10"/>
      <c r="EC431" s="10"/>
      <c r="ED431" s="10"/>
      <c r="EE431" s="10"/>
    </row>
  </sheetData>
  <sheetProtection formatColumns="0" formatRows="0" sort="0" autoFilter="0"/>
  <mergeCells count="7">
    <mergeCell ref="AU11:BL11"/>
    <mergeCell ref="B11:I11"/>
    <mergeCell ref="BN11:CE11"/>
    <mergeCell ref="CF11:CX11"/>
    <mergeCell ref="CY11:EE11"/>
    <mergeCell ref="K11:AB11"/>
    <mergeCell ref="AC11:AT11"/>
  </mergeCells>
  <dataValidations count="1">
    <dataValidation type="decimal" operator="greaterThanOrEqual" allowBlank="1" showInputMessage="1" showErrorMessage="1" sqref="BN13:EE431 I13:BL431 H367:H431">
      <formula1>0</formula1>
    </dataValidation>
  </dataValidations>
  <pageMargins left="0" right="0" top="0.75" bottom="0.75" header="0.3" footer="0.3"/>
  <pageSetup paperSize="5" scale="62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>
    <tabColor rgb="FF0070C0"/>
  </sheetPr>
  <dimension ref="B2:EB272"/>
  <sheetViews>
    <sheetView showGridLines="0" topLeftCell="B5" zoomScale="84" zoomScaleNormal="84" zoomScaleSheetLayoutView="129" workbookViewId="0">
      <pane ySplit="8" topLeftCell="A13" activePane="bottomLeft" state="frozen"/>
      <selection activeCell="E5" sqref="E5"/>
      <selection pane="bottomLeft" activeCell="BF13" sqref="BF13"/>
    </sheetView>
  </sheetViews>
  <sheetFormatPr defaultColWidth="8.7109375" defaultRowHeight="12.75" outlineLevelRow="1"/>
  <cols>
    <col min="1" max="1" width="3.42578125" style="1" customWidth="1"/>
    <col min="2" max="2" width="25.42578125" style="1" customWidth="1"/>
    <col min="3" max="3" width="34.42578125" style="1" customWidth="1"/>
    <col min="4" max="6" width="12.85546875" style="1" customWidth="1"/>
    <col min="7" max="7" width="1.42578125" style="12" customWidth="1"/>
    <col min="8" max="57" width="8.7109375" style="12" hidden="1" customWidth="1"/>
    <col min="58" max="58" width="8.7109375" style="12" customWidth="1"/>
    <col min="59" max="60" width="8.7109375" style="12" hidden="1" customWidth="1"/>
    <col min="61" max="61" width="8.7109375" style="12" customWidth="1"/>
    <col min="62" max="63" width="8.7109375" style="12" hidden="1" customWidth="1"/>
    <col min="64" max="64" width="1.7109375" style="42" hidden="1" customWidth="1"/>
    <col min="65" max="101" width="8.7109375" style="12" hidden="1" customWidth="1"/>
    <col min="102" max="102" width="12.140625" style="12" customWidth="1"/>
    <col min="103" max="103" width="12.140625" style="12" hidden="1" customWidth="1"/>
    <col min="104" max="111" width="8.7109375" style="12" hidden="1" customWidth="1"/>
    <col min="112" max="112" width="8.7109375" style="12" customWidth="1"/>
    <col min="113" max="115" width="8.7109375" style="12" hidden="1" customWidth="1"/>
    <col min="116" max="116" width="8.7109375" style="12" customWidth="1"/>
    <col min="117" max="119" width="8.7109375" style="12" hidden="1" customWidth="1"/>
    <col min="120" max="120" width="8.7109375" style="12" customWidth="1"/>
    <col min="121" max="121" width="8.7109375" style="12" hidden="1" customWidth="1"/>
    <col min="122" max="123" width="8.7109375" style="12" customWidth="1"/>
    <col min="124" max="124" width="8.7109375" style="12" hidden="1" customWidth="1"/>
    <col min="125" max="127" width="8.7109375" style="12" customWidth="1"/>
    <col min="128" max="128" width="8.7109375" style="12" hidden="1" customWidth="1"/>
    <col min="129" max="129" width="8.7109375" style="12" customWidth="1"/>
    <col min="130" max="130" width="8.7109375" style="12" hidden="1" customWidth="1"/>
    <col min="131" max="132" width="8.7109375" style="12" customWidth="1"/>
    <col min="133" max="16384" width="8.7109375" style="1"/>
  </cols>
  <sheetData>
    <row r="2" spans="2:132" ht="16.5">
      <c r="B2" s="9" t="s">
        <v>91</v>
      </c>
      <c r="D2" s="4"/>
      <c r="E2" s="4"/>
      <c r="BL2" s="12"/>
    </row>
    <row r="3" spans="2:132" ht="16.5">
      <c r="B3" s="9"/>
      <c r="D3" s="4"/>
      <c r="E3" s="4"/>
    </row>
    <row r="4" spans="2:132" ht="16.5" hidden="1" outlineLevel="1">
      <c r="B4" s="8" t="s">
        <v>93</v>
      </c>
      <c r="C4" s="1">
        <v>260</v>
      </c>
      <c r="D4" s="4"/>
      <c r="E4" s="4"/>
    </row>
    <row r="5" spans="2:132" ht="27.4" customHeight="1" collapsed="1">
      <c r="B5" s="102" t="s">
        <v>13</v>
      </c>
      <c r="C5" s="103"/>
      <c r="D5" s="103"/>
      <c r="E5" s="103"/>
      <c r="F5" s="104"/>
    </row>
    <row r="6" spans="2:132" ht="16.5">
      <c r="B6" s="105" t="s">
        <v>14</v>
      </c>
      <c r="C6" s="106"/>
      <c r="D6" s="106"/>
      <c r="E6" s="106"/>
      <c r="F6" s="107"/>
    </row>
    <row r="7" spans="2:132" ht="16.5">
      <c r="B7" s="105" t="s">
        <v>17</v>
      </c>
      <c r="C7" s="106"/>
      <c r="D7" s="106"/>
      <c r="E7" s="106"/>
      <c r="F7" s="107"/>
    </row>
    <row r="8" spans="2:132" ht="16.5">
      <c r="B8" s="65" t="s">
        <v>95</v>
      </c>
      <c r="C8" s="64" t="s">
        <v>96</v>
      </c>
      <c r="D8" s="59"/>
      <c r="E8" s="59"/>
      <c r="F8" s="60"/>
    </row>
    <row r="9" spans="2:132" ht="41.65" customHeight="1">
      <c r="B9" s="108" t="s">
        <v>94</v>
      </c>
      <c r="C9" s="109"/>
      <c r="D9" s="109"/>
      <c r="E9" s="109"/>
      <c r="F9" s="110"/>
    </row>
    <row r="10" spans="2:132">
      <c r="C10" s="5"/>
    </row>
    <row r="11" spans="2:132" ht="12.95" customHeight="1">
      <c r="B11" s="99"/>
      <c r="C11" s="100"/>
      <c r="D11" s="100"/>
      <c r="E11" s="100"/>
      <c r="F11" s="101"/>
      <c r="G11" s="44"/>
      <c r="H11" s="98" t="s">
        <v>20</v>
      </c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8" t="s">
        <v>36</v>
      </c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89" t="s">
        <v>46</v>
      </c>
      <c r="AS11" s="90"/>
      <c r="AT11" s="90"/>
      <c r="AU11" s="90"/>
      <c r="AV11" s="90"/>
      <c r="AW11" s="90"/>
      <c r="AX11" s="90"/>
      <c r="AY11" s="90"/>
      <c r="AZ11" s="90"/>
      <c r="BA11" s="90"/>
      <c r="BB11" s="90"/>
      <c r="BC11" s="90"/>
      <c r="BD11" s="90"/>
      <c r="BE11" s="90"/>
      <c r="BF11" s="90"/>
      <c r="BG11" s="90"/>
      <c r="BH11" s="90"/>
      <c r="BI11" s="90"/>
      <c r="BJ11" s="90"/>
      <c r="BK11" s="90"/>
      <c r="BL11" s="45"/>
      <c r="BM11" s="94" t="s">
        <v>20</v>
      </c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5"/>
      <c r="CC11" s="95"/>
      <c r="CD11" s="95"/>
      <c r="CE11" s="96" t="s">
        <v>36</v>
      </c>
      <c r="CF11" s="97"/>
      <c r="CG11" s="97"/>
      <c r="CH11" s="97"/>
      <c r="CI11" s="97"/>
      <c r="CJ11" s="97"/>
      <c r="CK11" s="97"/>
      <c r="CL11" s="97"/>
      <c r="CM11" s="97"/>
      <c r="CN11" s="97"/>
      <c r="CO11" s="97"/>
      <c r="CP11" s="97"/>
      <c r="CQ11" s="97"/>
      <c r="CR11" s="97"/>
      <c r="CS11" s="97"/>
      <c r="CT11" s="97"/>
      <c r="CU11" s="97"/>
      <c r="CV11" s="97"/>
      <c r="CW11" s="97"/>
      <c r="CX11" s="94" t="s">
        <v>46</v>
      </c>
      <c r="CY11" s="94"/>
      <c r="CZ11" s="94"/>
      <c r="DA11" s="94"/>
      <c r="DB11" s="94"/>
      <c r="DC11" s="94"/>
      <c r="DD11" s="94"/>
      <c r="DE11" s="94"/>
      <c r="DF11" s="94"/>
      <c r="DG11" s="94"/>
      <c r="DH11" s="95"/>
      <c r="DI11" s="95"/>
      <c r="DJ11" s="95"/>
      <c r="DK11" s="95"/>
      <c r="DL11" s="95"/>
      <c r="DM11" s="95"/>
      <c r="DN11" s="95"/>
      <c r="DO11" s="95"/>
      <c r="DP11" s="95"/>
      <c r="DQ11" s="95"/>
      <c r="DR11" s="95"/>
      <c r="DS11" s="95"/>
      <c r="DT11" s="95"/>
      <c r="DU11" s="95"/>
      <c r="DV11" s="95"/>
      <c r="DW11" s="95"/>
      <c r="DX11" s="95"/>
      <c r="DY11" s="95"/>
      <c r="DZ11" s="95"/>
      <c r="EA11" s="95"/>
      <c r="EB11" s="95"/>
    </row>
    <row r="12" spans="2:132" s="3" customFormat="1" ht="214.5">
      <c r="B12" s="57" t="s">
        <v>89</v>
      </c>
      <c r="C12" s="57" t="s">
        <v>92</v>
      </c>
      <c r="D12" s="58" t="s">
        <v>12</v>
      </c>
      <c r="E12" s="58" t="s">
        <v>18</v>
      </c>
      <c r="F12" s="58" t="s">
        <v>0</v>
      </c>
      <c r="G12" s="46"/>
      <c r="H12" s="51" t="s">
        <v>21</v>
      </c>
      <c r="I12" s="51" t="s">
        <v>77</v>
      </c>
      <c r="J12" s="51" t="s">
        <v>22</v>
      </c>
      <c r="K12" s="51" t="s">
        <v>23</v>
      </c>
      <c r="L12" s="51" t="s">
        <v>24</v>
      </c>
      <c r="M12" s="51" t="s">
        <v>25</v>
      </c>
      <c r="N12" s="51" t="s">
        <v>26</v>
      </c>
      <c r="O12" s="51" t="s">
        <v>78</v>
      </c>
      <c r="P12" s="51" t="s">
        <v>27</v>
      </c>
      <c r="Q12" s="51" t="s">
        <v>28</v>
      </c>
      <c r="R12" s="51" t="s">
        <v>29</v>
      </c>
      <c r="S12" s="51" t="s">
        <v>30</v>
      </c>
      <c r="T12" s="51" t="s">
        <v>31</v>
      </c>
      <c r="U12" s="51" t="s">
        <v>32</v>
      </c>
      <c r="V12" s="51" t="s">
        <v>33</v>
      </c>
      <c r="W12" s="51" t="s">
        <v>34</v>
      </c>
      <c r="X12" s="51" t="s">
        <v>35</v>
      </c>
      <c r="Y12" s="51" t="s">
        <v>58</v>
      </c>
      <c r="Z12" s="51" t="s">
        <v>37</v>
      </c>
      <c r="AA12" s="51" t="s">
        <v>39</v>
      </c>
      <c r="AB12" s="52" t="s">
        <v>59</v>
      </c>
      <c r="AC12" s="51" t="s">
        <v>38</v>
      </c>
      <c r="AD12" s="52" t="s">
        <v>5</v>
      </c>
      <c r="AE12" s="51" t="s">
        <v>60</v>
      </c>
      <c r="AF12" s="51" t="s">
        <v>61</v>
      </c>
      <c r="AG12" s="51" t="s">
        <v>63</v>
      </c>
      <c r="AH12" s="51" t="s">
        <v>6</v>
      </c>
      <c r="AI12" s="51" t="s">
        <v>40</v>
      </c>
      <c r="AJ12" s="51" t="s">
        <v>64</v>
      </c>
      <c r="AK12" s="51" t="s">
        <v>41</v>
      </c>
      <c r="AL12" s="51" t="s">
        <v>42</v>
      </c>
      <c r="AM12" s="51" t="s">
        <v>43</v>
      </c>
      <c r="AN12" s="51" t="s">
        <v>44</v>
      </c>
      <c r="AO12" s="52" t="s">
        <v>65</v>
      </c>
      <c r="AP12" s="52" t="s">
        <v>66</v>
      </c>
      <c r="AQ12" s="51" t="s">
        <v>58</v>
      </c>
      <c r="AR12" s="51" t="s">
        <v>79</v>
      </c>
      <c r="AS12" s="51" t="s">
        <v>67</v>
      </c>
      <c r="AT12" s="51" t="s">
        <v>68</v>
      </c>
      <c r="AU12" s="51" t="s">
        <v>69</v>
      </c>
      <c r="AV12" s="51" t="s">
        <v>70</v>
      </c>
      <c r="AW12" s="51" t="s">
        <v>71</v>
      </c>
      <c r="AX12" s="51" t="s">
        <v>72</v>
      </c>
      <c r="AY12" s="52" t="s">
        <v>80</v>
      </c>
      <c r="AZ12" s="51" t="s">
        <v>81</v>
      </c>
      <c r="BA12" s="51" t="s">
        <v>48</v>
      </c>
      <c r="BB12" s="51" t="s">
        <v>7</v>
      </c>
      <c r="BC12" s="51" t="s">
        <v>45</v>
      </c>
      <c r="BD12" s="51" t="s">
        <v>4</v>
      </c>
      <c r="BE12" s="51" t="s">
        <v>49</v>
      </c>
      <c r="BF12" s="51" t="s">
        <v>1</v>
      </c>
      <c r="BG12" s="69" t="s">
        <v>1</v>
      </c>
      <c r="BH12" s="51" t="s">
        <v>2</v>
      </c>
      <c r="BI12" s="51" t="s">
        <v>50</v>
      </c>
      <c r="BJ12" s="69" t="s">
        <v>50</v>
      </c>
      <c r="BK12" s="51" t="s">
        <v>3</v>
      </c>
      <c r="BL12" s="46"/>
      <c r="BM12" s="51" t="s">
        <v>21</v>
      </c>
      <c r="BN12" s="51" t="s">
        <v>56</v>
      </c>
      <c r="BO12" s="51" t="s">
        <v>22</v>
      </c>
      <c r="BP12" s="51" t="s">
        <v>23</v>
      </c>
      <c r="BQ12" s="51" t="s">
        <v>24</v>
      </c>
      <c r="BR12" s="51" t="s">
        <v>25</v>
      </c>
      <c r="BS12" s="51" t="s">
        <v>26</v>
      </c>
      <c r="BT12" s="51" t="s">
        <v>55</v>
      </c>
      <c r="BU12" s="51" t="s">
        <v>27</v>
      </c>
      <c r="BV12" s="51" t="s">
        <v>28</v>
      </c>
      <c r="BW12" s="51" t="s">
        <v>29</v>
      </c>
      <c r="BX12" s="51" t="s">
        <v>30</v>
      </c>
      <c r="BY12" s="51" t="s">
        <v>31</v>
      </c>
      <c r="BZ12" s="51" t="s">
        <v>32</v>
      </c>
      <c r="CA12" s="51" t="s">
        <v>33</v>
      </c>
      <c r="CB12" s="51" t="s">
        <v>34</v>
      </c>
      <c r="CC12" s="51" t="s">
        <v>57</v>
      </c>
      <c r="CD12" s="51" t="s">
        <v>58</v>
      </c>
      <c r="CE12" s="51" t="s">
        <v>37</v>
      </c>
      <c r="CF12" s="51" t="s">
        <v>39</v>
      </c>
      <c r="CG12" s="51" t="s">
        <v>59</v>
      </c>
      <c r="CH12" s="51" t="s">
        <v>38</v>
      </c>
      <c r="CI12" s="51" t="s">
        <v>5</v>
      </c>
      <c r="CJ12" s="51" t="s">
        <v>60</v>
      </c>
      <c r="CK12" s="51" t="s">
        <v>61</v>
      </c>
      <c r="CL12" s="51" t="s">
        <v>62</v>
      </c>
      <c r="CM12" s="51" t="s">
        <v>63</v>
      </c>
      <c r="CN12" s="51" t="s">
        <v>6</v>
      </c>
      <c r="CO12" s="51" t="s">
        <v>40</v>
      </c>
      <c r="CP12" s="51" t="s">
        <v>64</v>
      </c>
      <c r="CQ12" s="51" t="s">
        <v>41</v>
      </c>
      <c r="CR12" s="51" t="s">
        <v>42</v>
      </c>
      <c r="CS12" s="51" t="s">
        <v>43</v>
      </c>
      <c r="CT12" s="51" t="s">
        <v>44</v>
      </c>
      <c r="CU12" s="51" t="s">
        <v>65</v>
      </c>
      <c r="CV12" s="51" t="s">
        <v>66</v>
      </c>
      <c r="CW12" s="52" t="s">
        <v>58</v>
      </c>
      <c r="CX12" s="51" t="s">
        <v>47</v>
      </c>
      <c r="CY12" s="69" t="s">
        <v>47</v>
      </c>
      <c r="CZ12" s="51" t="s">
        <v>67</v>
      </c>
      <c r="DA12" s="51" t="s">
        <v>68</v>
      </c>
      <c r="DB12" s="51" t="s">
        <v>69</v>
      </c>
      <c r="DC12" s="51" t="s">
        <v>70</v>
      </c>
      <c r="DD12" s="51" t="s">
        <v>71</v>
      </c>
      <c r="DE12" s="51" t="s">
        <v>72</v>
      </c>
      <c r="DF12" s="53" t="s">
        <v>73</v>
      </c>
      <c r="DG12" s="51" t="s">
        <v>74</v>
      </c>
      <c r="DH12" s="51" t="s">
        <v>48</v>
      </c>
      <c r="DI12" s="69" t="s">
        <v>48</v>
      </c>
      <c r="DJ12" s="51" t="s">
        <v>7</v>
      </c>
      <c r="DK12" s="51" t="s">
        <v>75</v>
      </c>
      <c r="DL12" s="51" t="s">
        <v>45</v>
      </c>
      <c r="DM12" s="69" t="s">
        <v>45</v>
      </c>
      <c r="DN12" s="51" t="s">
        <v>76</v>
      </c>
      <c r="DO12" s="51" t="s">
        <v>4</v>
      </c>
      <c r="DP12" s="51" t="s">
        <v>49</v>
      </c>
      <c r="DQ12" s="69" t="s">
        <v>49</v>
      </c>
      <c r="DR12" s="51" t="s">
        <v>1</v>
      </c>
      <c r="DS12" s="51" t="s">
        <v>2</v>
      </c>
      <c r="DT12" s="69" t="s">
        <v>2</v>
      </c>
      <c r="DU12" s="51" t="s">
        <v>50</v>
      </c>
      <c r="DV12" s="51" t="s">
        <v>3</v>
      </c>
      <c r="DW12" s="51" t="s">
        <v>51</v>
      </c>
      <c r="DX12" s="69" t="s">
        <v>51</v>
      </c>
      <c r="DY12" s="51" t="s">
        <v>52</v>
      </c>
      <c r="DZ12" s="69" t="s">
        <v>52</v>
      </c>
      <c r="EA12" s="51" t="s">
        <v>53</v>
      </c>
      <c r="EB12" s="51" t="s">
        <v>54</v>
      </c>
    </row>
    <row r="13" spans="2:132" s="6" customFormat="1" ht="16.5">
      <c r="B13" s="7">
        <v>1</v>
      </c>
      <c r="C13" s="66" t="s">
        <v>454</v>
      </c>
      <c r="D13" s="49"/>
      <c r="E13" s="71">
        <f>F13*1.2</f>
        <v>579.6</v>
      </c>
      <c r="F13" s="66">
        <v>483</v>
      </c>
      <c r="G13" s="12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68"/>
      <c r="AS13" s="11"/>
      <c r="AT13" s="11"/>
      <c r="AU13" s="11"/>
      <c r="AV13" s="11"/>
      <c r="AW13" s="11"/>
      <c r="AX13" s="11"/>
      <c r="AY13" s="11"/>
      <c r="AZ13" s="11"/>
      <c r="BA13" s="68"/>
      <c r="BB13" s="11"/>
      <c r="BC13" s="11"/>
      <c r="BD13" s="11"/>
      <c r="BE13" s="11"/>
      <c r="BF13" s="11">
        <v>80</v>
      </c>
      <c r="BG13" s="11">
        <f>E13*BF13</f>
        <v>46368</v>
      </c>
      <c r="BH13" s="11"/>
      <c r="BI13" s="11">
        <v>106</v>
      </c>
      <c r="BJ13" s="11">
        <f>E13*BI13</f>
        <v>61437.600000000006</v>
      </c>
      <c r="BK13" s="11"/>
      <c r="BL13" s="42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66">
        <v>49</v>
      </c>
      <c r="CY13" s="70">
        <f>CX13*E13</f>
        <v>28400.400000000001</v>
      </c>
      <c r="CZ13" s="11"/>
      <c r="DA13" s="11"/>
      <c r="DB13" s="11"/>
      <c r="DC13" s="11"/>
      <c r="DD13" s="11"/>
      <c r="DE13" s="11"/>
      <c r="DF13" s="11"/>
      <c r="DG13" s="11"/>
      <c r="DH13" s="66">
        <v>44</v>
      </c>
      <c r="DI13" s="70">
        <f>DH13*E13</f>
        <v>25502.400000000001</v>
      </c>
      <c r="DJ13" s="11"/>
      <c r="DK13" s="11"/>
      <c r="DL13" s="11">
        <v>12</v>
      </c>
      <c r="DM13" s="11">
        <f>DL13*E13</f>
        <v>6955.2000000000007</v>
      </c>
      <c r="DN13" s="11"/>
      <c r="DO13" s="11"/>
      <c r="DP13" s="11">
        <v>148</v>
      </c>
      <c r="DQ13" s="11">
        <f>DP13*E13</f>
        <v>85780.800000000003</v>
      </c>
      <c r="DR13" s="11"/>
      <c r="DS13" s="11">
        <v>36</v>
      </c>
      <c r="DT13" s="11">
        <f>DS13*E13</f>
        <v>20865.600000000002</v>
      </c>
      <c r="DU13" s="11"/>
      <c r="DV13" s="11"/>
      <c r="DW13" s="11">
        <v>7</v>
      </c>
      <c r="DX13" s="11">
        <f>DW13*E13</f>
        <v>4057.2000000000003</v>
      </c>
      <c r="DY13" s="11">
        <v>1</v>
      </c>
      <c r="DZ13" s="11">
        <f>DY13*E13</f>
        <v>579.6</v>
      </c>
      <c r="EA13" s="11"/>
      <c r="EB13" s="11"/>
    </row>
    <row r="14" spans="2:132" ht="16.5">
      <c r="B14" s="2">
        <v>2</v>
      </c>
      <c r="C14" s="66" t="s">
        <v>455</v>
      </c>
      <c r="D14" s="49"/>
      <c r="E14" s="71">
        <f t="shared" ref="E14:E77" si="0">F14*1.2</f>
        <v>670.8</v>
      </c>
      <c r="F14" s="66">
        <v>559</v>
      </c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67"/>
      <c r="AS14" s="10"/>
      <c r="AT14" s="10"/>
      <c r="AU14" s="10"/>
      <c r="AV14" s="10"/>
      <c r="AW14" s="10"/>
      <c r="AX14" s="10"/>
      <c r="AY14" s="10"/>
      <c r="AZ14" s="10"/>
      <c r="BA14" s="67"/>
      <c r="BB14" s="10"/>
      <c r="BC14" s="10"/>
      <c r="BD14" s="10"/>
      <c r="BE14" s="10"/>
      <c r="BF14" s="10">
        <v>49</v>
      </c>
      <c r="BG14" s="11">
        <f t="shared" ref="BG14:BG77" si="1">E14*BF14</f>
        <v>32869.199999999997</v>
      </c>
      <c r="BH14" s="10"/>
      <c r="BI14" s="10">
        <v>102</v>
      </c>
      <c r="BJ14" s="11">
        <f t="shared" ref="BJ14:BJ77" si="2">E14*BI14</f>
        <v>68421.599999999991</v>
      </c>
      <c r="BK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66">
        <v>101</v>
      </c>
      <c r="CY14" s="70">
        <f t="shared" ref="CY14:CY77" si="3">CX14*E14</f>
        <v>67750.799999999988</v>
      </c>
      <c r="CZ14" s="10"/>
      <c r="DA14" s="10"/>
      <c r="DB14" s="10"/>
      <c r="DC14" s="10"/>
      <c r="DD14" s="10"/>
      <c r="DE14" s="10"/>
      <c r="DF14" s="10"/>
      <c r="DG14" s="10"/>
      <c r="DH14" s="66">
        <v>11</v>
      </c>
      <c r="DI14" s="70">
        <f t="shared" ref="DI14:DI77" si="4">DH14*E14</f>
        <v>7378.7999999999993</v>
      </c>
      <c r="DJ14" s="10"/>
      <c r="DK14" s="10"/>
      <c r="DL14" s="10">
        <v>27</v>
      </c>
      <c r="DM14" s="11">
        <f t="shared" ref="DM14:DM77" si="5">DL14*E14</f>
        <v>18111.599999999999</v>
      </c>
      <c r="DN14" s="10"/>
      <c r="DO14" s="10"/>
      <c r="DP14" s="10">
        <v>235</v>
      </c>
      <c r="DQ14" s="11">
        <f t="shared" ref="DQ14:DQ77" si="6">DP14*E14</f>
        <v>157638</v>
      </c>
      <c r="DR14" s="10"/>
      <c r="DS14" s="10">
        <v>26</v>
      </c>
      <c r="DT14" s="11">
        <f t="shared" ref="DT14:DT77" si="7">DS14*E14</f>
        <v>17440.8</v>
      </c>
      <c r="DU14" s="10"/>
      <c r="DV14" s="10"/>
      <c r="DW14" s="10">
        <v>5</v>
      </c>
      <c r="DX14" s="11">
        <f t="shared" ref="DX14:DX77" si="8">DW14*E14</f>
        <v>3354</v>
      </c>
      <c r="DY14" s="10">
        <v>3</v>
      </c>
      <c r="DZ14" s="11">
        <f t="shared" ref="DZ14:DZ77" si="9">DY14*E14</f>
        <v>2012.3999999999999</v>
      </c>
      <c r="EA14" s="10"/>
      <c r="EB14" s="10"/>
    </row>
    <row r="15" spans="2:132" ht="16.5">
      <c r="B15" s="2">
        <v>3</v>
      </c>
      <c r="C15" s="66" t="s">
        <v>456</v>
      </c>
      <c r="D15" s="49"/>
      <c r="E15" s="71">
        <f t="shared" si="0"/>
        <v>858</v>
      </c>
      <c r="F15" s="66">
        <v>715</v>
      </c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67"/>
      <c r="AS15" s="10"/>
      <c r="AT15" s="10"/>
      <c r="AU15" s="10"/>
      <c r="AV15" s="10"/>
      <c r="AW15" s="10"/>
      <c r="AX15" s="10"/>
      <c r="AY15" s="10"/>
      <c r="AZ15" s="10"/>
      <c r="BA15" s="67"/>
      <c r="BB15" s="10"/>
      <c r="BC15" s="10"/>
      <c r="BD15" s="10"/>
      <c r="BE15" s="10"/>
      <c r="BF15" s="10">
        <v>62</v>
      </c>
      <c r="BG15" s="11">
        <f t="shared" si="1"/>
        <v>53196</v>
      </c>
      <c r="BH15" s="10"/>
      <c r="BI15" s="10">
        <v>68</v>
      </c>
      <c r="BJ15" s="11">
        <f t="shared" si="2"/>
        <v>58344</v>
      </c>
      <c r="BK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66">
        <v>7</v>
      </c>
      <c r="CY15" s="70">
        <f t="shared" si="3"/>
        <v>6006</v>
      </c>
      <c r="CZ15" s="10"/>
      <c r="DA15" s="10"/>
      <c r="DB15" s="10"/>
      <c r="DC15" s="10"/>
      <c r="DD15" s="10"/>
      <c r="DE15" s="10"/>
      <c r="DF15" s="10"/>
      <c r="DG15" s="10"/>
      <c r="DH15" s="66"/>
      <c r="DI15" s="70">
        <f t="shared" si="4"/>
        <v>0</v>
      </c>
      <c r="DJ15" s="10"/>
      <c r="DK15" s="10"/>
      <c r="DL15" s="10">
        <v>49</v>
      </c>
      <c r="DM15" s="11">
        <f t="shared" si="5"/>
        <v>42042</v>
      </c>
      <c r="DN15" s="10"/>
      <c r="DO15" s="10"/>
      <c r="DP15" s="10">
        <v>467</v>
      </c>
      <c r="DQ15" s="11">
        <f t="shared" si="6"/>
        <v>400686</v>
      </c>
      <c r="DR15" s="10"/>
      <c r="DS15" s="10">
        <v>29</v>
      </c>
      <c r="DT15" s="11">
        <f t="shared" si="7"/>
        <v>24882</v>
      </c>
      <c r="DU15" s="10"/>
      <c r="DV15" s="10"/>
      <c r="DW15" s="10">
        <v>14</v>
      </c>
      <c r="DX15" s="11">
        <f t="shared" si="8"/>
        <v>12012</v>
      </c>
      <c r="DY15" s="10">
        <v>19</v>
      </c>
      <c r="DZ15" s="11">
        <f t="shared" si="9"/>
        <v>16302</v>
      </c>
      <c r="EA15" s="10"/>
      <c r="EB15" s="10"/>
    </row>
    <row r="16" spans="2:132" ht="16.5">
      <c r="B16" s="2">
        <v>4</v>
      </c>
      <c r="C16" s="66" t="s">
        <v>457</v>
      </c>
      <c r="D16" s="49"/>
      <c r="E16" s="71">
        <f t="shared" si="0"/>
        <v>48</v>
      </c>
      <c r="F16" s="66">
        <v>40</v>
      </c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67"/>
      <c r="AS16" s="10"/>
      <c r="AT16" s="10"/>
      <c r="AU16" s="10"/>
      <c r="AV16" s="10"/>
      <c r="AW16" s="10"/>
      <c r="AX16" s="10"/>
      <c r="AY16" s="10"/>
      <c r="AZ16" s="10"/>
      <c r="BA16" s="67"/>
      <c r="BB16" s="10"/>
      <c r="BC16" s="10"/>
      <c r="BD16" s="10"/>
      <c r="BE16" s="10"/>
      <c r="BF16" s="10">
        <v>5</v>
      </c>
      <c r="BG16" s="11">
        <f t="shared" si="1"/>
        <v>240</v>
      </c>
      <c r="BH16" s="10"/>
      <c r="BI16" s="10">
        <v>0</v>
      </c>
      <c r="BJ16" s="11">
        <f t="shared" si="2"/>
        <v>0</v>
      </c>
      <c r="BK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66">
        <v>2</v>
      </c>
      <c r="CY16" s="70">
        <f t="shared" si="3"/>
        <v>96</v>
      </c>
      <c r="CZ16" s="10"/>
      <c r="DA16" s="10"/>
      <c r="DB16" s="10"/>
      <c r="DC16" s="10"/>
      <c r="DD16" s="10"/>
      <c r="DE16" s="10"/>
      <c r="DF16" s="10"/>
      <c r="DG16" s="10"/>
      <c r="DH16" s="66"/>
      <c r="DI16" s="70">
        <f t="shared" si="4"/>
        <v>0</v>
      </c>
      <c r="DJ16" s="10"/>
      <c r="DK16" s="10"/>
      <c r="DL16" s="10">
        <v>1</v>
      </c>
      <c r="DM16" s="11">
        <f t="shared" si="5"/>
        <v>48</v>
      </c>
      <c r="DN16" s="10"/>
      <c r="DO16" s="10"/>
      <c r="DP16" s="10">
        <v>29</v>
      </c>
      <c r="DQ16" s="11">
        <f t="shared" si="6"/>
        <v>1392</v>
      </c>
      <c r="DR16" s="10"/>
      <c r="DS16" s="10">
        <v>2</v>
      </c>
      <c r="DT16" s="11">
        <f t="shared" si="7"/>
        <v>96</v>
      </c>
      <c r="DU16" s="10"/>
      <c r="DV16" s="10"/>
      <c r="DW16" s="10">
        <v>1</v>
      </c>
      <c r="DX16" s="11">
        <f t="shared" si="8"/>
        <v>48</v>
      </c>
      <c r="DY16" s="10"/>
      <c r="DZ16" s="11">
        <f t="shared" si="9"/>
        <v>0</v>
      </c>
      <c r="EA16" s="10"/>
      <c r="EB16" s="10"/>
    </row>
    <row r="17" spans="2:132" ht="16.5">
      <c r="B17" s="2">
        <v>5</v>
      </c>
      <c r="C17" s="66" t="s">
        <v>458</v>
      </c>
      <c r="D17" s="49"/>
      <c r="E17" s="71">
        <f t="shared" si="0"/>
        <v>2.4</v>
      </c>
      <c r="F17" s="66">
        <v>2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67"/>
      <c r="AS17" s="10"/>
      <c r="AT17" s="10"/>
      <c r="AU17" s="10"/>
      <c r="AV17" s="10"/>
      <c r="AW17" s="10"/>
      <c r="AX17" s="10"/>
      <c r="AY17" s="10"/>
      <c r="AZ17" s="10"/>
      <c r="BA17" s="67"/>
      <c r="BB17" s="10"/>
      <c r="BC17" s="10"/>
      <c r="BD17" s="10"/>
      <c r="BE17" s="10"/>
      <c r="BF17" s="10">
        <v>0</v>
      </c>
      <c r="BG17" s="11">
        <f t="shared" si="1"/>
        <v>0</v>
      </c>
      <c r="BH17" s="10"/>
      <c r="BI17" s="10">
        <v>0</v>
      </c>
      <c r="BJ17" s="11">
        <f t="shared" si="2"/>
        <v>0</v>
      </c>
      <c r="BK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66"/>
      <c r="CY17" s="70">
        <f t="shared" si="3"/>
        <v>0</v>
      </c>
      <c r="CZ17" s="10"/>
      <c r="DA17" s="10"/>
      <c r="DB17" s="10"/>
      <c r="DC17" s="10"/>
      <c r="DD17" s="10"/>
      <c r="DE17" s="10"/>
      <c r="DF17" s="10"/>
      <c r="DG17" s="10"/>
      <c r="DH17" s="66"/>
      <c r="DI17" s="70">
        <f t="shared" si="4"/>
        <v>0</v>
      </c>
      <c r="DJ17" s="10"/>
      <c r="DK17" s="10"/>
      <c r="DL17" s="10"/>
      <c r="DM17" s="11">
        <f t="shared" si="5"/>
        <v>0</v>
      </c>
      <c r="DN17" s="10"/>
      <c r="DO17" s="10"/>
      <c r="DP17" s="10">
        <v>2</v>
      </c>
      <c r="DQ17" s="11">
        <f t="shared" si="6"/>
        <v>4.8</v>
      </c>
      <c r="DR17" s="10"/>
      <c r="DS17" s="10"/>
      <c r="DT17" s="11">
        <f t="shared" si="7"/>
        <v>0</v>
      </c>
      <c r="DU17" s="10"/>
      <c r="DV17" s="10"/>
      <c r="DW17" s="10"/>
      <c r="DX17" s="11">
        <f t="shared" si="8"/>
        <v>0</v>
      </c>
      <c r="DY17" s="10"/>
      <c r="DZ17" s="11">
        <f t="shared" si="9"/>
        <v>0</v>
      </c>
      <c r="EA17" s="10"/>
      <c r="EB17" s="10"/>
    </row>
    <row r="18" spans="2:132" ht="16.5">
      <c r="B18" s="2">
        <v>6</v>
      </c>
      <c r="C18" s="66" t="s">
        <v>459</v>
      </c>
      <c r="D18" s="49"/>
      <c r="E18" s="71">
        <f t="shared" si="0"/>
        <v>1.2</v>
      </c>
      <c r="F18" s="66">
        <v>1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67"/>
      <c r="AS18" s="10"/>
      <c r="AT18" s="10"/>
      <c r="AU18" s="10"/>
      <c r="AV18" s="10"/>
      <c r="AW18" s="10"/>
      <c r="AX18" s="10"/>
      <c r="AY18" s="10"/>
      <c r="AZ18" s="10"/>
      <c r="BA18" s="67"/>
      <c r="BB18" s="10"/>
      <c r="BC18" s="10"/>
      <c r="BD18" s="10"/>
      <c r="BE18" s="10"/>
      <c r="BF18" s="10">
        <v>0</v>
      </c>
      <c r="BG18" s="11">
        <f t="shared" si="1"/>
        <v>0</v>
      </c>
      <c r="BH18" s="10"/>
      <c r="BI18" s="10">
        <v>0</v>
      </c>
      <c r="BJ18" s="11">
        <f t="shared" si="2"/>
        <v>0</v>
      </c>
      <c r="BK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66"/>
      <c r="CY18" s="70">
        <f t="shared" si="3"/>
        <v>0</v>
      </c>
      <c r="CZ18" s="10"/>
      <c r="DA18" s="10"/>
      <c r="DB18" s="10"/>
      <c r="DC18" s="10"/>
      <c r="DD18" s="10"/>
      <c r="DE18" s="10"/>
      <c r="DF18" s="10"/>
      <c r="DG18" s="10"/>
      <c r="DH18" s="66"/>
      <c r="DI18" s="70">
        <f t="shared" si="4"/>
        <v>0</v>
      </c>
      <c r="DJ18" s="10"/>
      <c r="DK18" s="10"/>
      <c r="DL18" s="10"/>
      <c r="DM18" s="11">
        <f t="shared" si="5"/>
        <v>0</v>
      </c>
      <c r="DN18" s="10"/>
      <c r="DO18" s="10"/>
      <c r="DP18" s="10">
        <v>1</v>
      </c>
      <c r="DQ18" s="11">
        <f t="shared" si="6"/>
        <v>1.2</v>
      </c>
      <c r="DR18" s="10"/>
      <c r="DS18" s="10"/>
      <c r="DT18" s="11">
        <f t="shared" si="7"/>
        <v>0</v>
      </c>
      <c r="DU18" s="10"/>
      <c r="DV18" s="10"/>
      <c r="DW18" s="10"/>
      <c r="DX18" s="11">
        <f t="shared" si="8"/>
        <v>0</v>
      </c>
      <c r="DY18" s="10"/>
      <c r="DZ18" s="11">
        <f t="shared" si="9"/>
        <v>0</v>
      </c>
      <c r="EA18" s="10"/>
      <c r="EB18" s="10"/>
    </row>
    <row r="19" spans="2:132" ht="16.5">
      <c r="B19" s="2">
        <v>7</v>
      </c>
      <c r="C19" s="66" t="s">
        <v>460</v>
      </c>
      <c r="D19" s="49"/>
      <c r="E19" s="71">
        <f t="shared" si="0"/>
        <v>54</v>
      </c>
      <c r="F19" s="66">
        <v>45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67"/>
      <c r="AS19" s="10"/>
      <c r="AT19" s="10"/>
      <c r="AU19" s="10"/>
      <c r="AV19" s="10"/>
      <c r="AW19" s="10"/>
      <c r="AX19" s="10"/>
      <c r="AY19" s="10"/>
      <c r="AZ19" s="10"/>
      <c r="BA19" s="67"/>
      <c r="BB19" s="10"/>
      <c r="BC19" s="10"/>
      <c r="BD19" s="10"/>
      <c r="BE19" s="10"/>
      <c r="BF19" s="10">
        <v>10</v>
      </c>
      <c r="BG19" s="11">
        <f t="shared" si="1"/>
        <v>540</v>
      </c>
      <c r="BH19" s="10"/>
      <c r="BI19" s="10">
        <v>0</v>
      </c>
      <c r="BJ19" s="11">
        <f t="shared" si="2"/>
        <v>0</v>
      </c>
      <c r="BK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66">
        <v>19</v>
      </c>
      <c r="CY19" s="70">
        <f t="shared" si="3"/>
        <v>1026</v>
      </c>
      <c r="CZ19" s="10"/>
      <c r="DA19" s="10"/>
      <c r="DB19" s="10"/>
      <c r="DC19" s="10"/>
      <c r="DD19" s="10"/>
      <c r="DE19" s="10"/>
      <c r="DF19" s="10"/>
      <c r="DG19" s="10"/>
      <c r="DH19" s="66">
        <v>3</v>
      </c>
      <c r="DI19" s="70">
        <f t="shared" si="4"/>
        <v>162</v>
      </c>
      <c r="DJ19" s="10"/>
      <c r="DK19" s="10"/>
      <c r="DL19" s="10"/>
      <c r="DM19" s="11">
        <f t="shared" si="5"/>
        <v>0</v>
      </c>
      <c r="DN19" s="10"/>
      <c r="DO19" s="10"/>
      <c r="DP19" s="10">
        <v>9</v>
      </c>
      <c r="DQ19" s="11">
        <f t="shared" si="6"/>
        <v>486</v>
      </c>
      <c r="DR19" s="10"/>
      <c r="DS19" s="10"/>
      <c r="DT19" s="11">
        <f t="shared" si="7"/>
        <v>0</v>
      </c>
      <c r="DU19" s="10"/>
      <c r="DV19" s="10"/>
      <c r="DW19" s="10"/>
      <c r="DX19" s="11">
        <f t="shared" si="8"/>
        <v>0</v>
      </c>
      <c r="DY19" s="10">
        <v>4</v>
      </c>
      <c r="DZ19" s="11">
        <f t="shared" si="9"/>
        <v>216</v>
      </c>
      <c r="EA19" s="10"/>
      <c r="EB19" s="10"/>
    </row>
    <row r="20" spans="2:132" ht="16.5">
      <c r="B20" s="2">
        <v>8</v>
      </c>
      <c r="C20" s="66" t="s">
        <v>461</v>
      </c>
      <c r="D20" s="49"/>
      <c r="E20" s="71">
        <f t="shared" si="0"/>
        <v>111.6</v>
      </c>
      <c r="F20" s="66">
        <v>93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67"/>
      <c r="AS20" s="10"/>
      <c r="AT20" s="10"/>
      <c r="AU20" s="10"/>
      <c r="AV20" s="10"/>
      <c r="AW20" s="10"/>
      <c r="AX20" s="10"/>
      <c r="AY20" s="10"/>
      <c r="AZ20" s="10"/>
      <c r="BA20" s="67"/>
      <c r="BB20" s="10"/>
      <c r="BC20" s="10"/>
      <c r="BD20" s="10"/>
      <c r="BE20" s="10"/>
      <c r="BF20" s="10">
        <v>0</v>
      </c>
      <c r="BG20" s="11">
        <f t="shared" si="1"/>
        <v>0</v>
      </c>
      <c r="BH20" s="10"/>
      <c r="BI20" s="10">
        <v>1</v>
      </c>
      <c r="BJ20" s="11">
        <f t="shared" si="2"/>
        <v>111.6</v>
      </c>
      <c r="BK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66">
        <v>77</v>
      </c>
      <c r="CY20" s="70">
        <f t="shared" si="3"/>
        <v>8593.1999999999989</v>
      </c>
      <c r="CZ20" s="10"/>
      <c r="DA20" s="10"/>
      <c r="DB20" s="10"/>
      <c r="DC20" s="10"/>
      <c r="DD20" s="10"/>
      <c r="DE20" s="10"/>
      <c r="DF20" s="10"/>
      <c r="DG20" s="10"/>
      <c r="DH20" s="66">
        <v>4</v>
      </c>
      <c r="DI20" s="70">
        <f t="shared" si="4"/>
        <v>446.4</v>
      </c>
      <c r="DJ20" s="10"/>
      <c r="DK20" s="10"/>
      <c r="DL20" s="10">
        <v>4</v>
      </c>
      <c r="DM20" s="11">
        <f t="shared" si="5"/>
        <v>446.4</v>
      </c>
      <c r="DN20" s="10"/>
      <c r="DO20" s="10"/>
      <c r="DP20" s="10">
        <v>7</v>
      </c>
      <c r="DQ20" s="11">
        <f t="shared" si="6"/>
        <v>781.19999999999993</v>
      </c>
      <c r="DR20" s="10"/>
      <c r="DS20" s="10"/>
      <c r="DT20" s="11">
        <f t="shared" si="7"/>
        <v>0</v>
      </c>
      <c r="DU20" s="10"/>
      <c r="DV20" s="10"/>
      <c r="DW20" s="10"/>
      <c r="DX20" s="11">
        <f t="shared" si="8"/>
        <v>0</v>
      </c>
      <c r="DY20" s="10"/>
      <c r="DZ20" s="11">
        <f t="shared" si="9"/>
        <v>0</v>
      </c>
      <c r="EA20" s="10"/>
      <c r="EB20" s="10"/>
    </row>
    <row r="21" spans="2:132" ht="16.5">
      <c r="B21" s="2">
        <v>9</v>
      </c>
      <c r="C21" s="66" t="s">
        <v>462</v>
      </c>
      <c r="D21" s="49"/>
      <c r="E21" s="71">
        <f t="shared" si="0"/>
        <v>4.8</v>
      </c>
      <c r="F21" s="66">
        <v>4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67"/>
      <c r="AS21" s="10"/>
      <c r="AT21" s="10"/>
      <c r="AU21" s="10"/>
      <c r="AV21" s="10"/>
      <c r="AW21" s="10"/>
      <c r="AX21" s="10"/>
      <c r="AY21" s="10"/>
      <c r="AZ21" s="10"/>
      <c r="BA21" s="67"/>
      <c r="BB21" s="10"/>
      <c r="BC21" s="10"/>
      <c r="BD21" s="10"/>
      <c r="BE21" s="10"/>
      <c r="BF21" s="10">
        <v>0</v>
      </c>
      <c r="BG21" s="11">
        <f t="shared" si="1"/>
        <v>0</v>
      </c>
      <c r="BH21" s="10"/>
      <c r="BI21" s="10">
        <v>0</v>
      </c>
      <c r="BJ21" s="11">
        <f t="shared" si="2"/>
        <v>0</v>
      </c>
      <c r="BK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66"/>
      <c r="CY21" s="70">
        <f t="shared" si="3"/>
        <v>0</v>
      </c>
      <c r="CZ21" s="10"/>
      <c r="DA21" s="10"/>
      <c r="DB21" s="10"/>
      <c r="DC21" s="10"/>
      <c r="DD21" s="10"/>
      <c r="DE21" s="10"/>
      <c r="DF21" s="10"/>
      <c r="DG21" s="10"/>
      <c r="DH21" s="66"/>
      <c r="DI21" s="70">
        <f t="shared" si="4"/>
        <v>0</v>
      </c>
      <c r="DJ21" s="10"/>
      <c r="DK21" s="10"/>
      <c r="DL21" s="10">
        <v>3</v>
      </c>
      <c r="DM21" s="11">
        <f t="shared" si="5"/>
        <v>14.399999999999999</v>
      </c>
      <c r="DN21" s="10"/>
      <c r="DO21" s="10"/>
      <c r="DP21" s="10">
        <v>0</v>
      </c>
      <c r="DQ21" s="11">
        <f t="shared" si="6"/>
        <v>0</v>
      </c>
      <c r="DR21" s="10"/>
      <c r="DS21" s="10"/>
      <c r="DT21" s="11">
        <f t="shared" si="7"/>
        <v>0</v>
      </c>
      <c r="DU21" s="10"/>
      <c r="DV21" s="10"/>
      <c r="DW21" s="10">
        <v>1</v>
      </c>
      <c r="DX21" s="11">
        <f t="shared" si="8"/>
        <v>4.8</v>
      </c>
      <c r="DY21" s="10"/>
      <c r="DZ21" s="11">
        <f t="shared" si="9"/>
        <v>0</v>
      </c>
      <c r="EA21" s="10"/>
      <c r="EB21" s="10"/>
    </row>
    <row r="22" spans="2:132" ht="16.5">
      <c r="B22" s="2">
        <v>10</v>
      </c>
      <c r="C22" s="66" t="s">
        <v>463</v>
      </c>
      <c r="D22" s="49"/>
      <c r="E22" s="71">
        <f t="shared" si="0"/>
        <v>2.4</v>
      </c>
      <c r="F22" s="66">
        <v>2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67"/>
      <c r="AS22" s="10"/>
      <c r="AT22" s="10"/>
      <c r="AU22" s="10"/>
      <c r="AV22" s="10"/>
      <c r="AW22" s="10"/>
      <c r="AX22" s="10"/>
      <c r="AY22" s="10"/>
      <c r="AZ22" s="10"/>
      <c r="BA22" s="67"/>
      <c r="BB22" s="10"/>
      <c r="BC22" s="10"/>
      <c r="BD22" s="10"/>
      <c r="BE22" s="10"/>
      <c r="BF22" s="10">
        <v>0</v>
      </c>
      <c r="BG22" s="11">
        <f t="shared" si="1"/>
        <v>0</v>
      </c>
      <c r="BH22" s="10"/>
      <c r="BI22" s="10">
        <v>0</v>
      </c>
      <c r="BJ22" s="11">
        <f t="shared" si="2"/>
        <v>0</v>
      </c>
      <c r="BK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66">
        <v>1</v>
      </c>
      <c r="CY22" s="70">
        <f t="shared" si="3"/>
        <v>2.4</v>
      </c>
      <c r="CZ22" s="10"/>
      <c r="DA22" s="10"/>
      <c r="DB22" s="10"/>
      <c r="DC22" s="10"/>
      <c r="DD22" s="10"/>
      <c r="DE22" s="10"/>
      <c r="DF22" s="10"/>
      <c r="DG22" s="10"/>
      <c r="DH22" s="66">
        <v>1</v>
      </c>
      <c r="DI22" s="70">
        <f t="shared" si="4"/>
        <v>2.4</v>
      </c>
      <c r="DJ22" s="10"/>
      <c r="DK22" s="10"/>
      <c r="DL22" s="10"/>
      <c r="DM22" s="11">
        <f t="shared" si="5"/>
        <v>0</v>
      </c>
      <c r="DN22" s="10"/>
      <c r="DO22" s="10"/>
      <c r="DP22" s="10">
        <v>0</v>
      </c>
      <c r="DQ22" s="11">
        <f t="shared" si="6"/>
        <v>0</v>
      </c>
      <c r="DR22" s="10"/>
      <c r="DS22" s="10"/>
      <c r="DT22" s="11">
        <f t="shared" si="7"/>
        <v>0</v>
      </c>
      <c r="DU22" s="10"/>
      <c r="DV22" s="10"/>
      <c r="DW22" s="10"/>
      <c r="DX22" s="11">
        <f t="shared" si="8"/>
        <v>0</v>
      </c>
      <c r="DY22" s="10"/>
      <c r="DZ22" s="11">
        <f t="shared" si="9"/>
        <v>0</v>
      </c>
      <c r="EA22" s="10"/>
      <c r="EB22" s="10"/>
    </row>
    <row r="23" spans="2:132" ht="16.5">
      <c r="B23" s="2">
        <v>11</v>
      </c>
      <c r="C23" s="66" t="s">
        <v>464</v>
      </c>
      <c r="D23" s="49"/>
      <c r="E23" s="71">
        <f t="shared" si="0"/>
        <v>3.5999999999999996</v>
      </c>
      <c r="F23" s="66">
        <v>3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67"/>
      <c r="AS23" s="10"/>
      <c r="AT23" s="10"/>
      <c r="AU23" s="10"/>
      <c r="AV23" s="10"/>
      <c r="AW23" s="10"/>
      <c r="AX23" s="10"/>
      <c r="AY23" s="10"/>
      <c r="AZ23" s="10"/>
      <c r="BA23" s="67"/>
      <c r="BB23" s="10"/>
      <c r="BC23" s="10"/>
      <c r="BD23" s="10"/>
      <c r="BE23" s="10"/>
      <c r="BF23" s="10">
        <v>0</v>
      </c>
      <c r="BG23" s="11">
        <f t="shared" si="1"/>
        <v>0</v>
      </c>
      <c r="BH23" s="10"/>
      <c r="BI23" s="10">
        <v>0</v>
      </c>
      <c r="BJ23" s="11">
        <f t="shared" si="2"/>
        <v>0</v>
      </c>
      <c r="BK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66">
        <v>2</v>
      </c>
      <c r="CY23" s="70">
        <f t="shared" si="3"/>
        <v>7.1999999999999993</v>
      </c>
      <c r="CZ23" s="10"/>
      <c r="DA23" s="10"/>
      <c r="DB23" s="10"/>
      <c r="DC23" s="10"/>
      <c r="DD23" s="10"/>
      <c r="DE23" s="10"/>
      <c r="DF23" s="10"/>
      <c r="DG23" s="10"/>
      <c r="DH23" s="66"/>
      <c r="DI23" s="70">
        <f t="shared" si="4"/>
        <v>0</v>
      </c>
      <c r="DJ23" s="10"/>
      <c r="DK23" s="10"/>
      <c r="DL23" s="10"/>
      <c r="DM23" s="11">
        <f t="shared" si="5"/>
        <v>0</v>
      </c>
      <c r="DN23" s="10"/>
      <c r="DO23" s="10"/>
      <c r="DP23" s="10">
        <v>0</v>
      </c>
      <c r="DQ23" s="11">
        <f t="shared" si="6"/>
        <v>0</v>
      </c>
      <c r="DR23" s="10"/>
      <c r="DS23" s="10">
        <v>1</v>
      </c>
      <c r="DT23" s="11">
        <f t="shared" si="7"/>
        <v>3.5999999999999996</v>
      </c>
      <c r="DU23" s="10"/>
      <c r="DV23" s="10"/>
      <c r="DW23" s="10"/>
      <c r="DX23" s="11">
        <f t="shared" si="8"/>
        <v>0</v>
      </c>
      <c r="DY23" s="10"/>
      <c r="DZ23" s="11">
        <f t="shared" si="9"/>
        <v>0</v>
      </c>
      <c r="EA23" s="10"/>
      <c r="EB23" s="10"/>
    </row>
    <row r="24" spans="2:132" ht="16.5">
      <c r="B24" s="2">
        <v>12</v>
      </c>
      <c r="C24" s="66" t="s">
        <v>465</v>
      </c>
      <c r="D24" s="49"/>
      <c r="E24" s="71">
        <f t="shared" si="0"/>
        <v>240</v>
      </c>
      <c r="F24" s="66">
        <v>200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67"/>
      <c r="AS24" s="10"/>
      <c r="AT24" s="10"/>
      <c r="AU24" s="10"/>
      <c r="AV24" s="10"/>
      <c r="AW24" s="10"/>
      <c r="AX24" s="10"/>
      <c r="AY24" s="10"/>
      <c r="AZ24" s="10"/>
      <c r="BA24" s="67"/>
      <c r="BB24" s="10"/>
      <c r="BC24" s="10"/>
      <c r="BD24" s="10"/>
      <c r="BE24" s="10"/>
      <c r="BF24" s="10">
        <v>39</v>
      </c>
      <c r="BG24" s="11">
        <f t="shared" si="1"/>
        <v>9360</v>
      </c>
      <c r="BH24" s="10"/>
      <c r="BI24" s="10">
        <v>71</v>
      </c>
      <c r="BJ24" s="11">
        <f t="shared" si="2"/>
        <v>17040</v>
      </c>
      <c r="BK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66">
        <v>15</v>
      </c>
      <c r="CY24" s="70">
        <f t="shared" si="3"/>
        <v>3600</v>
      </c>
      <c r="CZ24" s="10"/>
      <c r="DA24" s="10"/>
      <c r="DB24" s="10"/>
      <c r="DC24" s="10"/>
      <c r="DD24" s="10"/>
      <c r="DE24" s="10"/>
      <c r="DF24" s="10"/>
      <c r="DG24" s="10"/>
      <c r="DH24" s="66">
        <v>14</v>
      </c>
      <c r="DI24" s="70">
        <f t="shared" si="4"/>
        <v>3360</v>
      </c>
      <c r="DJ24" s="10"/>
      <c r="DK24" s="10"/>
      <c r="DL24" s="10">
        <v>4</v>
      </c>
      <c r="DM24" s="11">
        <f t="shared" si="5"/>
        <v>960</v>
      </c>
      <c r="DN24" s="10"/>
      <c r="DO24" s="10"/>
      <c r="DP24" s="10">
        <v>39</v>
      </c>
      <c r="DQ24" s="11">
        <f t="shared" si="6"/>
        <v>9360</v>
      </c>
      <c r="DR24" s="10"/>
      <c r="DS24" s="10">
        <v>13</v>
      </c>
      <c r="DT24" s="11">
        <f t="shared" si="7"/>
        <v>3120</v>
      </c>
      <c r="DU24" s="10"/>
      <c r="DV24" s="10"/>
      <c r="DW24" s="10">
        <v>5</v>
      </c>
      <c r="DX24" s="11">
        <f t="shared" si="8"/>
        <v>1200</v>
      </c>
      <c r="DY24" s="10"/>
      <c r="DZ24" s="11">
        <f t="shared" si="9"/>
        <v>0</v>
      </c>
      <c r="EA24" s="10"/>
      <c r="EB24" s="10"/>
    </row>
    <row r="25" spans="2:132" ht="16.5">
      <c r="B25" s="2">
        <v>13</v>
      </c>
      <c r="C25" s="66" t="s">
        <v>466</v>
      </c>
      <c r="D25" s="49"/>
      <c r="E25" s="71">
        <f t="shared" si="0"/>
        <v>6</v>
      </c>
      <c r="F25" s="66">
        <v>5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67"/>
      <c r="AS25" s="10"/>
      <c r="AT25" s="10"/>
      <c r="AU25" s="10"/>
      <c r="AV25" s="10"/>
      <c r="AW25" s="10"/>
      <c r="AX25" s="10"/>
      <c r="AY25" s="10"/>
      <c r="AZ25" s="10"/>
      <c r="BA25" s="67"/>
      <c r="BB25" s="10"/>
      <c r="BC25" s="10"/>
      <c r="BD25" s="10"/>
      <c r="BE25" s="10"/>
      <c r="BF25" s="10">
        <v>0</v>
      </c>
      <c r="BG25" s="11">
        <f t="shared" si="1"/>
        <v>0</v>
      </c>
      <c r="BH25" s="10"/>
      <c r="BI25" s="10">
        <v>0</v>
      </c>
      <c r="BJ25" s="11">
        <f t="shared" si="2"/>
        <v>0</v>
      </c>
      <c r="BK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66"/>
      <c r="CY25" s="70">
        <f t="shared" si="3"/>
        <v>0</v>
      </c>
      <c r="CZ25" s="10"/>
      <c r="DA25" s="10"/>
      <c r="DB25" s="10"/>
      <c r="DC25" s="10"/>
      <c r="DD25" s="10"/>
      <c r="DE25" s="10"/>
      <c r="DF25" s="10"/>
      <c r="DG25" s="10"/>
      <c r="DH25" s="66"/>
      <c r="DI25" s="70">
        <f t="shared" si="4"/>
        <v>0</v>
      </c>
      <c r="DJ25" s="10"/>
      <c r="DK25" s="10"/>
      <c r="DL25" s="10"/>
      <c r="DM25" s="11">
        <f t="shared" si="5"/>
        <v>0</v>
      </c>
      <c r="DN25" s="10"/>
      <c r="DO25" s="10"/>
      <c r="DP25" s="10">
        <v>3</v>
      </c>
      <c r="DQ25" s="11">
        <f t="shared" si="6"/>
        <v>18</v>
      </c>
      <c r="DR25" s="10"/>
      <c r="DS25" s="10">
        <v>1</v>
      </c>
      <c r="DT25" s="11">
        <f t="shared" si="7"/>
        <v>6</v>
      </c>
      <c r="DU25" s="10"/>
      <c r="DV25" s="10"/>
      <c r="DW25" s="10">
        <v>1</v>
      </c>
      <c r="DX25" s="11">
        <f t="shared" si="8"/>
        <v>6</v>
      </c>
      <c r="DY25" s="10"/>
      <c r="DZ25" s="11">
        <f t="shared" si="9"/>
        <v>0</v>
      </c>
      <c r="EA25" s="10"/>
      <c r="EB25" s="10"/>
    </row>
    <row r="26" spans="2:132" ht="16.5">
      <c r="B26" s="2">
        <v>14</v>
      </c>
      <c r="C26" s="66" t="s">
        <v>467</v>
      </c>
      <c r="D26" s="49"/>
      <c r="E26" s="71">
        <f t="shared" si="0"/>
        <v>3.5999999999999996</v>
      </c>
      <c r="F26" s="66">
        <v>3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67"/>
      <c r="AS26" s="10"/>
      <c r="AT26" s="10"/>
      <c r="AU26" s="10"/>
      <c r="AV26" s="10"/>
      <c r="AW26" s="10"/>
      <c r="AX26" s="10"/>
      <c r="AY26" s="10"/>
      <c r="AZ26" s="10"/>
      <c r="BA26" s="67"/>
      <c r="BB26" s="10"/>
      <c r="BC26" s="10"/>
      <c r="BD26" s="10"/>
      <c r="BE26" s="10"/>
      <c r="BF26" s="10">
        <v>0</v>
      </c>
      <c r="BG26" s="11">
        <f t="shared" si="1"/>
        <v>0</v>
      </c>
      <c r="BH26" s="10"/>
      <c r="BI26" s="10">
        <v>2</v>
      </c>
      <c r="BJ26" s="11">
        <f t="shared" si="2"/>
        <v>7.1999999999999993</v>
      </c>
      <c r="BK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66"/>
      <c r="CY26" s="70">
        <f t="shared" si="3"/>
        <v>0</v>
      </c>
      <c r="CZ26" s="10"/>
      <c r="DA26" s="10"/>
      <c r="DB26" s="10"/>
      <c r="DC26" s="10"/>
      <c r="DD26" s="10"/>
      <c r="DE26" s="10"/>
      <c r="DF26" s="10"/>
      <c r="DG26" s="10"/>
      <c r="DH26" s="66"/>
      <c r="DI26" s="70">
        <f t="shared" si="4"/>
        <v>0</v>
      </c>
      <c r="DJ26" s="10"/>
      <c r="DK26" s="10"/>
      <c r="DL26" s="10"/>
      <c r="DM26" s="11">
        <f t="shared" si="5"/>
        <v>0</v>
      </c>
      <c r="DN26" s="10"/>
      <c r="DO26" s="10"/>
      <c r="DP26" s="10">
        <v>1</v>
      </c>
      <c r="DQ26" s="11">
        <f t="shared" si="6"/>
        <v>3.5999999999999996</v>
      </c>
      <c r="DR26" s="10"/>
      <c r="DS26" s="10"/>
      <c r="DT26" s="11">
        <f t="shared" si="7"/>
        <v>0</v>
      </c>
      <c r="DU26" s="10"/>
      <c r="DV26" s="10"/>
      <c r="DW26" s="10"/>
      <c r="DX26" s="11">
        <f t="shared" si="8"/>
        <v>0</v>
      </c>
      <c r="DY26" s="10"/>
      <c r="DZ26" s="11">
        <f t="shared" si="9"/>
        <v>0</v>
      </c>
      <c r="EA26" s="10"/>
      <c r="EB26" s="10"/>
    </row>
    <row r="27" spans="2:132" ht="16.5">
      <c r="B27" s="2">
        <v>15</v>
      </c>
      <c r="C27" s="66" t="s">
        <v>468</v>
      </c>
      <c r="D27" s="49"/>
      <c r="E27" s="71">
        <f t="shared" si="0"/>
        <v>1.2</v>
      </c>
      <c r="F27" s="66">
        <v>1</v>
      </c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67"/>
      <c r="AS27" s="10"/>
      <c r="AT27" s="10"/>
      <c r="AU27" s="10"/>
      <c r="AV27" s="10"/>
      <c r="AW27" s="10"/>
      <c r="AX27" s="10"/>
      <c r="AY27" s="10"/>
      <c r="AZ27" s="10"/>
      <c r="BA27" s="67"/>
      <c r="BB27" s="10"/>
      <c r="BC27" s="10"/>
      <c r="BD27" s="10"/>
      <c r="BE27" s="10"/>
      <c r="BF27" s="10">
        <v>0</v>
      </c>
      <c r="BG27" s="11">
        <f t="shared" si="1"/>
        <v>0</v>
      </c>
      <c r="BH27" s="10"/>
      <c r="BI27" s="10">
        <v>0</v>
      </c>
      <c r="BJ27" s="11">
        <f t="shared" si="2"/>
        <v>0</v>
      </c>
      <c r="BK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66"/>
      <c r="CY27" s="70">
        <f t="shared" si="3"/>
        <v>0</v>
      </c>
      <c r="CZ27" s="10"/>
      <c r="DA27" s="10"/>
      <c r="DB27" s="10"/>
      <c r="DC27" s="10"/>
      <c r="DD27" s="10"/>
      <c r="DE27" s="10"/>
      <c r="DF27" s="10"/>
      <c r="DG27" s="10"/>
      <c r="DH27" s="66"/>
      <c r="DI27" s="70">
        <f t="shared" si="4"/>
        <v>0</v>
      </c>
      <c r="DJ27" s="10"/>
      <c r="DK27" s="10"/>
      <c r="DL27" s="10"/>
      <c r="DM27" s="11">
        <f t="shared" si="5"/>
        <v>0</v>
      </c>
      <c r="DN27" s="10"/>
      <c r="DO27" s="10"/>
      <c r="DP27" s="10">
        <v>1</v>
      </c>
      <c r="DQ27" s="11">
        <f t="shared" si="6"/>
        <v>1.2</v>
      </c>
      <c r="DR27" s="10"/>
      <c r="DS27" s="10"/>
      <c r="DT27" s="11">
        <f t="shared" si="7"/>
        <v>0</v>
      </c>
      <c r="DU27" s="10"/>
      <c r="DV27" s="10"/>
      <c r="DW27" s="10"/>
      <c r="DX27" s="11">
        <f t="shared" si="8"/>
        <v>0</v>
      </c>
      <c r="DY27" s="10"/>
      <c r="DZ27" s="11">
        <f t="shared" si="9"/>
        <v>0</v>
      </c>
      <c r="EA27" s="10"/>
      <c r="EB27" s="10"/>
    </row>
    <row r="28" spans="2:132" ht="16.5">
      <c r="B28" s="2">
        <v>16</v>
      </c>
      <c r="C28" s="66" t="s">
        <v>469</v>
      </c>
      <c r="D28" s="49"/>
      <c r="E28" s="71">
        <f t="shared" si="0"/>
        <v>902.4</v>
      </c>
      <c r="F28" s="66">
        <v>752</v>
      </c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67"/>
      <c r="AS28" s="10"/>
      <c r="AT28" s="10"/>
      <c r="AU28" s="10"/>
      <c r="AV28" s="10"/>
      <c r="AW28" s="10"/>
      <c r="AX28" s="10"/>
      <c r="AY28" s="10"/>
      <c r="AZ28" s="10"/>
      <c r="BA28" s="67"/>
      <c r="BB28" s="10"/>
      <c r="BC28" s="10"/>
      <c r="BD28" s="10"/>
      <c r="BE28" s="10"/>
      <c r="BF28" s="10">
        <v>57</v>
      </c>
      <c r="BG28" s="11">
        <f t="shared" si="1"/>
        <v>51436.799999999996</v>
      </c>
      <c r="BH28" s="10"/>
      <c r="BI28" s="10">
        <v>118</v>
      </c>
      <c r="BJ28" s="11">
        <f t="shared" si="2"/>
        <v>106483.2</v>
      </c>
      <c r="BK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66">
        <v>23</v>
      </c>
      <c r="CY28" s="70">
        <f t="shared" si="3"/>
        <v>20755.2</v>
      </c>
      <c r="CZ28" s="10"/>
      <c r="DA28" s="10"/>
      <c r="DB28" s="10"/>
      <c r="DC28" s="10"/>
      <c r="DD28" s="10"/>
      <c r="DE28" s="10"/>
      <c r="DF28" s="10"/>
      <c r="DG28" s="10"/>
      <c r="DH28" s="66">
        <v>16</v>
      </c>
      <c r="DI28" s="70">
        <f t="shared" si="4"/>
        <v>14438.4</v>
      </c>
      <c r="DJ28" s="10"/>
      <c r="DK28" s="10"/>
      <c r="DL28" s="10">
        <v>37</v>
      </c>
      <c r="DM28" s="11">
        <f t="shared" si="5"/>
        <v>33388.799999999996</v>
      </c>
      <c r="DN28" s="10"/>
      <c r="DO28" s="10"/>
      <c r="DP28" s="10">
        <v>423</v>
      </c>
      <c r="DQ28" s="11">
        <f t="shared" si="6"/>
        <v>381715.20000000001</v>
      </c>
      <c r="DR28" s="10"/>
      <c r="DS28" s="10">
        <v>42</v>
      </c>
      <c r="DT28" s="11">
        <f t="shared" si="7"/>
        <v>37900.799999999996</v>
      </c>
      <c r="DU28" s="10"/>
      <c r="DV28" s="10"/>
      <c r="DW28" s="10">
        <v>13</v>
      </c>
      <c r="DX28" s="11">
        <f t="shared" si="8"/>
        <v>11731.199999999999</v>
      </c>
      <c r="DY28" s="10">
        <v>23</v>
      </c>
      <c r="DZ28" s="11">
        <f t="shared" si="9"/>
        <v>20755.2</v>
      </c>
      <c r="EA28" s="10"/>
      <c r="EB28" s="10"/>
    </row>
    <row r="29" spans="2:132" ht="16.5">
      <c r="B29" s="2">
        <v>17</v>
      </c>
      <c r="C29" s="66" t="s">
        <v>470</v>
      </c>
      <c r="D29" s="49"/>
      <c r="E29" s="71">
        <f t="shared" si="0"/>
        <v>20.399999999999999</v>
      </c>
      <c r="F29" s="66">
        <v>17</v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67"/>
      <c r="AS29" s="10"/>
      <c r="AT29" s="10"/>
      <c r="AU29" s="10"/>
      <c r="AV29" s="10"/>
      <c r="AW29" s="10"/>
      <c r="AX29" s="10"/>
      <c r="AY29" s="10"/>
      <c r="AZ29" s="10"/>
      <c r="BA29" s="67"/>
      <c r="BB29" s="10"/>
      <c r="BC29" s="10"/>
      <c r="BD29" s="10"/>
      <c r="BE29" s="10"/>
      <c r="BF29" s="10">
        <v>0</v>
      </c>
      <c r="BG29" s="11">
        <f t="shared" si="1"/>
        <v>0</v>
      </c>
      <c r="BH29" s="10"/>
      <c r="BI29" s="10">
        <v>0</v>
      </c>
      <c r="BJ29" s="11">
        <f t="shared" si="2"/>
        <v>0</v>
      </c>
      <c r="BK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66">
        <v>14</v>
      </c>
      <c r="CY29" s="70">
        <f t="shared" si="3"/>
        <v>285.59999999999997</v>
      </c>
      <c r="CZ29" s="10"/>
      <c r="DA29" s="10"/>
      <c r="DB29" s="10"/>
      <c r="DC29" s="10"/>
      <c r="DD29" s="10"/>
      <c r="DE29" s="10"/>
      <c r="DF29" s="10"/>
      <c r="DG29" s="10"/>
      <c r="DH29" s="66"/>
      <c r="DI29" s="70">
        <f t="shared" si="4"/>
        <v>0</v>
      </c>
      <c r="DJ29" s="10"/>
      <c r="DK29" s="10"/>
      <c r="DL29" s="10"/>
      <c r="DM29" s="11">
        <f t="shared" si="5"/>
        <v>0</v>
      </c>
      <c r="DN29" s="10"/>
      <c r="DO29" s="10"/>
      <c r="DP29" s="10">
        <v>3</v>
      </c>
      <c r="DQ29" s="11">
        <f t="shared" si="6"/>
        <v>61.199999999999996</v>
      </c>
      <c r="DR29" s="10"/>
      <c r="DS29" s="10"/>
      <c r="DT29" s="11">
        <f t="shared" si="7"/>
        <v>0</v>
      </c>
      <c r="DU29" s="10"/>
      <c r="DV29" s="10"/>
      <c r="DW29" s="10"/>
      <c r="DX29" s="11">
        <f t="shared" si="8"/>
        <v>0</v>
      </c>
      <c r="DY29" s="10"/>
      <c r="DZ29" s="11">
        <f t="shared" si="9"/>
        <v>0</v>
      </c>
      <c r="EA29" s="10"/>
      <c r="EB29" s="10"/>
    </row>
    <row r="30" spans="2:132" ht="16.5">
      <c r="B30" s="2">
        <v>18</v>
      </c>
      <c r="C30" s="66" t="s">
        <v>471</v>
      </c>
      <c r="D30" s="49"/>
      <c r="E30" s="71">
        <f t="shared" si="0"/>
        <v>8.4</v>
      </c>
      <c r="F30" s="66">
        <v>7</v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67"/>
      <c r="AS30" s="10"/>
      <c r="AT30" s="10"/>
      <c r="AU30" s="10"/>
      <c r="AV30" s="10"/>
      <c r="AW30" s="10"/>
      <c r="AX30" s="10"/>
      <c r="AY30" s="10"/>
      <c r="AZ30" s="10"/>
      <c r="BA30" s="67"/>
      <c r="BB30" s="10"/>
      <c r="BC30" s="10"/>
      <c r="BD30" s="10"/>
      <c r="BE30" s="10"/>
      <c r="BF30" s="10">
        <v>0</v>
      </c>
      <c r="BG30" s="11">
        <f t="shared" si="1"/>
        <v>0</v>
      </c>
      <c r="BH30" s="10"/>
      <c r="BI30" s="10">
        <v>0</v>
      </c>
      <c r="BJ30" s="11">
        <f t="shared" si="2"/>
        <v>0</v>
      </c>
      <c r="BK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66">
        <v>1</v>
      </c>
      <c r="CY30" s="70">
        <f t="shared" si="3"/>
        <v>8.4</v>
      </c>
      <c r="CZ30" s="10"/>
      <c r="DA30" s="10"/>
      <c r="DB30" s="10"/>
      <c r="DC30" s="10"/>
      <c r="DD30" s="10"/>
      <c r="DE30" s="10"/>
      <c r="DF30" s="10"/>
      <c r="DG30" s="10"/>
      <c r="DH30" s="66"/>
      <c r="DI30" s="70">
        <f t="shared" si="4"/>
        <v>0</v>
      </c>
      <c r="DJ30" s="10"/>
      <c r="DK30" s="10"/>
      <c r="DL30" s="10"/>
      <c r="DM30" s="11">
        <f t="shared" si="5"/>
        <v>0</v>
      </c>
      <c r="DN30" s="10"/>
      <c r="DO30" s="10"/>
      <c r="DP30" s="10">
        <v>6</v>
      </c>
      <c r="DQ30" s="11">
        <f t="shared" si="6"/>
        <v>50.400000000000006</v>
      </c>
      <c r="DR30" s="10"/>
      <c r="DS30" s="10"/>
      <c r="DT30" s="11">
        <f t="shared" si="7"/>
        <v>0</v>
      </c>
      <c r="DU30" s="10"/>
      <c r="DV30" s="10"/>
      <c r="DW30" s="10"/>
      <c r="DX30" s="11">
        <f t="shared" si="8"/>
        <v>0</v>
      </c>
      <c r="DY30" s="10"/>
      <c r="DZ30" s="11">
        <f t="shared" si="9"/>
        <v>0</v>
      </c>
      <c r="EA30" s="10"/>
      <c r="EB30" s="10"/>
    </row>
    <row r="31" spans="2:132" ht="16.5">
      <c r="B31" s="2">
        <v>19</v>
      </c>
      <c r="C31" s="66" t="s">
        <v>472</v>
      </c>
      <c r="D31" s="49"/>
      <c r="E31" s="71">
        <f t="shared" si="0"/>
        <v>16.8</v>
      </c>
      <c r="F31" s="66">
        <v>14</v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67"/>
      <c r="AS31" s="10"/>
      <c r="AT31" s="10"/>
      <c r="AU31" s="10"/>
      <c r="AV31" s="10"/>
      <c r="AW31" s="10"/>
      <c r="AX31" s="10"/>
      <c r="AY31" s="10"/>
      <c r="AZ31" s="10"/>
      <c r="BA31" s="67"/>
      <c r="BB31" s="10"/>
      <c r="BC31" s="10"/>
      <c r="BD31" s="10"/>
      <c r="BE31" s="10"/>
      <c r="BF31" s="10">
        <v>0</v>
      </c>
      <c r="BG31" s="11">
        <f t="shared" si="1"/>
        <v>0</v>
      </c>
      <c r="BH31" s="10"/>
      <c r="BI31" s="10">
        <v>7</v>
      </c>
      <c r="BJ31" s="11">
        <f t="shared" si="2"/>
        <v>117.60000000000001</v>
      </c>
      <c r="BK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66"/>
      <c r="CY31" s="70">
        <f t="shared" si="3"/>
        <v>0</v>
      </c>
      <c r="CZ31" s="10"/>
      <c r="DA31" s="10"/>
      <c r="DB31" s="10"/>
      <c r="DC31" s="10"/>
      <c r="DD31" s="10"/>
      <c r="DE31" s="10"/>
      <c r="DF31" s="10"/>
      <c r="DG31" s="10"/>
      <c r="DH31" s="66"/>
      <c r="DI31" s="70">
        <f t="shared" si="4"/>
        <v>0</v>
      </c>
      <c r="DJ31" s="10"/>
      <c r="DK31" s="10"/>
      <c r="DL31" s="10"/>
      <c r="DM31" s="11">
        <f t="shared" si="5"/>
        <v>0</v>
      </c>
      <c r="DN31" s="10"/>
      <c r="DO31" s="10"/>
      <c r="DP31" s="10">
        <v>6</v>
      </c>
      <c r="DQ31" s="11">
        <f t="shared" si="6"/>
        <v>100.80000000000001</v>
      </c>
      <c r="DR31" s="10"/>
      <c r="DS31" s="10">
        <v>1</v>
      </c>
      <c r="DT31" s="11">
        <f t="shared" si="7"/>
        <v>16.8</v>
      </c>
      <c r="DU31" s="10"/>
      <c r="DV31" s="10"/>
      <c r="DW31" s="10"/>
      <c r="DX31" s="11">
        <f t="shared" si="8"/>
        <v>0</v>
      </c>
      <c r="DY31" s="10"/>
      <c r="DZ31" s="11">
        <f t="shared" si="9"/>
        <v>0</v>
      </c>
      <c r="EA31" s="10"/>
      <c r="EB31" s="10"/>
    </row>
    <row r="32" spans="2:132" ht="16.5">
      <c r="B32" s="2">
        <v>20</v>
      </c>
      <c r="C32" s="66" t="s">
        <v>473</v>
      </c>
      <c r="D32" s="49"/>
      <c r="E32" s="71">
        <f t="shared" si="0"/>
        <v>42</v>
      </c>
      <c r="F32" s="66">
        <v>35</v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67"/>
      <c r="AS32" s="10"/>
      <c r="AT32" s="10"/>
      <c r="AU32" s="10"/>
      <c r="AV32" s="10"/>
      <c r="AW32" s="10"/>
      <c r="AX32" s="10"/>
      <c r="AY32" s="10"/>
      <c r="AZ32" s="10"/>
      <c r="BA32" s="67"/>
      <c r="BB32" s="10"/>
      <c r="BC32" s="10"/>
      <c r="BD32" s="10"/>
      <c r="BE32" s="10"/>
      <c r="BF32" s="10">
        <v>1</v>
      </c>
      <c r="BG32" s="11">
        <f t="shared" si="1"/>
        <v>42</v>
      </c>
      <c r="BH32" s="10"/>
      <c r="BI32" s="10">
        <v>15</v>
      </c>
      <c r="BJ32" s="11">
        <f t="shared" si="2"/>
        <v>630</v>
      </c>
      <c r="BK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66">
        <v>1</v>
      </c>
      <c r="CY32" s="70">
        <f t="shared" si="3"/>
        <v>42</v>
      </c>
      <c r="CZ32" s="10"/>
      <c r="DA32" s="10"/>
      <c r="DB32" s="10"/>
      <c r="DC32" s="10"/>
      <c r="DD32" s="10"/>
      <c r="DE32" s="10"/>
      <c r="DF32" s="10"/>
      <c r="DG32" s="10"/>
      <c r="DH32" s="66">
        <v>4</v>
      </c>
      <c r="DI32" s="70">
        <f t="shared" si="4"/>
        <v>168</v>
      </c>
      <c r="DJ32" s="10"/>
      <c r="DK32" s="10"/>
      <c r="DL32" s="10"/>
      <c r="DM32" s="11">
        <f t="shared" si="5"/>
        <v>0</v>
      </c>
      <c r="DN32" s="10"/>
      <c r="DO32" s="10"/>
      <c r="DP32" s="10">
        <v>10</v>
      </c>
      <c r="DQ32" s="11">
        <f t="shared" si="6"/>
        <v>420</v>
      </c>
      <c r="DR32" s="10"/>
      <c r="DS32" s="10">
        <v>3</v>
      </c>
      <c r="DT32" s="11">
        <f t="shared" si="7"/>
        <v>126</v>
      </c>
      <c r="DU32" s="10"/>
      <c r="DV32" s="10"/>
      <c r="DW32" s="10">
        <v>1</v>
      </c>
      <c r="DX32" s="11">
        <f t="shared" si="8"/>
        <v>42</v>
      </c>
      <c r="DY32" s="10"/>
      <c r="DZ32" s="11">
        <f t="shared" si="9"/>
        <v>0</v>
      </c>
      <c r="EA32" s="10"/>
      <c r="EB32" s="10"/>
    </row>
    <row r="33" spans="2:132" ht="16.5">
      <c r="B33" s="2">
        <v>21</v>
      </c>
      <c r="C33" s="66" t="s">
        <v>474</v>
      </c>
      <c r="D33" s="49"/>
      <c r="E33" s="71">
        <f t="shared" si="0"/>
        <v>3.5999999999999996</v>
      </c>
      <c r="F33" s="66">
        <v>3</v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67"/>
      <c r="AS33" s="10"/>
      <c r="AT33" s="10"/>
      <c r="AU33" s="10"/>
      <c r="AV33" s="10"/>
      <c r="AW33" s="10"/>
      <c r="AX33" s="10"/>
      <c r="AY33" s="10"/>
      <c r="AZ33" s="10"/>
      <c r="BA33" s="67"/>
      <c r="BB33" s="10"/>
      <c r="BC33" s="10"/>
      <c r="BD33" s="10"/>
      <c r="BE33" s="10"/>
      <c r="BF33" s="10">
        <v>0</v>
      </c>
      <c r="BG33" s="11">
        <f t="shared" si="1"/>
        <v>0</v>
      </c>
      <c r="BH33" s="10"/>
      <c r="BI33" s="10">
        <v>0</v>
      </c>
      <c r="BJ33" s="11">
        <f t="shared" si="2"/>
        <v>0</v>
      </c>
      <c r="BK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66"/>
      <c r="CY33" s="70">
        <f t="shared" si="3"/>
        <v>0</v>
      </c>
      <c r="CZ33" s="10"/>
      <c r="DA33" s="10"/>
      <c r="DB33" s="10"/>
      <c r="DC33" s="10"/>
      <c r="DD33" s="10"/>
      <c r="DE33" s="10"/>
      <c r="DF33" s="10"/>
      <c r="DG33" s="10"/>
      <c r="DH33" s="66">
        <v>2</v>
      </c>
      <c r="DI33" s="70">
        <f t="shared" si="4"/>
        <v>7.1999999999999993</v>
      </c>
      <c r="DJ33" s="10"/>
      <c r="DK33" s="10"/>
      <c r="DL33" s="10"/>
      <c r="DM33" s="11">
        <f t="shared" si="5"/>
        <v>0</v>
      </c>
      <c r="DN33" s="10"/>
      <c r="DO33" s="10"/>
      <c r="DP33" s="10">
        <v>1</v>
      </c>
      <c r="DQ33" s="11">
        <f t="shared" si="6"/>
        <v>3.5999999999999996</v>
      </c>
      <c r="DR33" s="10"/>
      <c r="DS33" s="10"/>
      <c r="DT33" s="11">
        <f t="shared" si="7"/>
        <v>0</v>
      </c>
      <c r="DU33" s="10"/>
      <c r="DV33" s="10"/>
      <c r="DW33" s="10"/>
      <c r="DX33" s="11">
        <f t="shared" si="8"/>
        <v>0</v>
      </c>
      <c r="DY33" s="10"/>
      <c r="DZ33" s="11">
        <f t="shared" si="9"/>
        <v>0</v>
      </c>
      <c r="EA33" s="10"/>
      <c r="EB33" s="10"/>
    </row>
    <row r="34" spans="2:132" ht="16.5">
      <c r="B34" s="2">
        <v>22</v>
      </c>
      <c r="C34" s="66" t="s">
        <v>475</v>
      </c>
      <c r="D34" s="49"/>
      <c r="E34" s="71">
        <f t="shared" si="0"/>
        <v>4.8</v>
      </c>
      <c r="F34" s="66">
        <v>4</v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67"/>
      <c r="AS34" s="10"/>
      <c r="AT34" s="10"/>
      <c r="AU34" s="10"/>
      <c r="AV34" s="10"/>
      <c r="AW34" s="10"/>
      <c r="AX34" s="10"/>
      <c r="AY34" s="10"/>
      <c r="AZ34" s="10"/>
      <c r="BA34" s="67"/>
      <c r="BB34" s="10"/>
      <c r="BC34" s="10"/>
      <c r="BD34" s="10"/>
      <c r="BE34" s="10"/>
      <c r="BF34" s="10">
        <v>0</v>
      </c>
      <c r="BG34" s="11">
        <f t="shared" si="1"/>
        <v>0</v>
      </c>
      <c r="BH34" s="10"/>
      <c r="BI34" s="10">
        <v>0</v>
      </c>
      <c r="BJ34" s="11">
        <f t="shared" si="2"/>
        <v>0</v>
      </c>
      <c r="BK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66"/>
      <c r="CY34" s="70">
        <f t="shared" si="3"/>
        <v>0</v>
      </c>
      <c r="CZ34" s="10"/>
      <c r="DA34" s="10"/>
      <c r="DB34" s="10"/>
      <c r="DC34" s="10"/>
      <c r="DD34" s="10"/>
      <c r="DE34" s="10"/>
      <c r="DF34" s="10"/>
      <c r="DG34" s="10"/>
      <c r="DH34" s="66"/>
      <c r="DI34" s="70">
        <f t="shared" si="4"/>
        <v>0</v>
      </c>
      <c r="DJ34" s="10"/>
      <c r="DK34" s="10"/>
      <c r="DL34" s="10"/>
      <c r="DM34" s="11">
        <f t="shared" si="5"/>
        <v>0</v>
      </c>
      <c r="DN34" s="10"/>
      <c r="DO34" s="10"/>
      <c r="DP34" s="10">
        <v>4</v>
      </c>
      <c r="DQ34" s="11">
        <f t="shared" si="6"/>
        <v>19.2</v>
      </c>
      <c r="DR34" s="10"/>
      <c r="DS34" s="10"/>
      <c r="DT34" s="11">
        <f t="shared" si="7"/>
        <v>0</v>
      </c>
      <c r="DU34" s="10"/>
      <c r="DV34" s="10"/>
      <c r="DW34" s="10"/>
      <c r="DX34" s="11">
        <f t="shared" si="8"/>
        <v>0</v>
      </c>
      <c r="DY34" s="10"/>
      <c r="DZ34" s="11">
        <f t="shared" si="9"/>
        <v>0</v>
      </c>
      <c r="EA34" s="10"/>
      <c r="EB34" s="10"/>
    </row>
    <row r="35" spans="2:132" ht="16.5">
      <c r="B35" s="2">
        <v>23</v>
      </c>
      <c r="C35" s="66" t="s">
        <v>476</v>
      </c>
      <c r="D35" s="49"/>
      <c r="E35" s="71">
        <f t="shared" si="0"/>
        <v>117.6</v>
      </c>
      <c r="F35" s="66">
        <v>98</v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67"/>
      <c r="AS35" s="10"/>
      <c r="AT35" s="10"/>
      <c r="AU35" s="10"/>
      <c r="AV35" s="10"/>
      <c r="AW35" s="10"/>
      <c r="AX35" s="10"/>
      <c r="AY35" s="10"/>
      <c r="AZ35" s="10"/>
      <c r="BA35" s="67"/>
      <c r="BB35" s="10"/>
      <c r="BC35" s="10"/>
      <c r="BD35" s="10"/>
      <c r="BE35" s="10"/>
      <c r="BF35" s="10">
        <v>0</v>
      </c>
      <c r="BG35" s="11">
        <f t="shared" si="1"/>
        <v>0</v>
      </c>
      <c r="BH35" s="10"/>
      <c r="BI35" s="10">
        <v>10</v>
      </c>
      <c r="BJ35" s="11">
        <f t="shared" si="2"/>
        <v>1176</v>
      </c>
      <c r="BK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66">
        <v>17</v>
      </c>
      <c r="CY35" s="70">
        <f t="shared" si="3"/>
        <v>1999.1999999999998</v>
      </c>
      <c r="CZ35" s="10"/>
      <c r="DA35" s="10"/>
      <c r="DB35" s="10"/>
      <c r="DC35" s="10"/>
      <c r="DD35" s="10"/>
      <c r="DE35" s="10"/>
      <c r="DF35" s="10"/>
      <c r="DG35" s="10"/>
      <c r="DH35" s="66">
        <v>3</v>
      </c>
      <c r="DI35" s="70">
        <f t="shared" si="4"/>
        <v>352.79999999999995</v>
      </c>
      <c r="DJ35" s="10"/>
      <c r="DK35" s="10"/>
      <c r="DL35" s="10">
        <v>3</v>
      </c>
      <c r="DM35" s="11">
        <f t="shared" si="5"/>
        <v>352.79999999999995</v>
      </c>
      <c r="DN35" s="10"/>
      <c r="DO35" s="10"/>
      <c r="DP35" s="10">
        <v>53</v>
      </c>
      <c r="DQ35" s="11">
        <f t="shared" si="6"/>
        <v>6232.7999999999993</v>
      </c>
      <c r="DR35" s="10"/>
      <c r="DS35" s="10">
        <v>9</v>
      </c>
      <c r="DT35" s="11">
        <f t="shared" si="7"/>
        <v>1058.3999999999999</v>
      </c>
      <c r="DU35" s="10"/>
      <c r="DV35" s="10"/>
      <c r="DW35" s="10">
        <v>3</v>
      </c>
      <c r="DX35" s="11">
        <f t="shared" si="8"/>
        <v>352.79999999999995</v>
      </c>
      <c r="DY35" s="10"/>
      <c r="DZ35" s="11">
        <f t="shared" si="9"/>
        <v>0</v>
      </c>
      <c r="EA35" s="10"/>
      <c r="EB35" s="10"/>
    </row>
    <row r="36" spans="2:132" ht="16.5">
      <c r="B36" s="2">
        <v>24</v>
      </c>
      <c r="C36" s="66" t="s">
        <v>477</v>
      </c>
      <c r="D36" s="49"/>
      <c r="E36" s="71">
        <f t="shared" si="0"/>
        <v>180</v>
      </c>
      <c r="F36" s="66">
        <v>150</v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67"/>
      <c r="AS36" s="10"/>
      <c r="AT36" s="10"/>
      <c r="AU36" s="10"/>
      <c r="AV36" s="10"/>
      <c r="AW36" s="10"/>
      <c r="AX36" s="10"/>
      <c r="AY36" s="10"/>
      <c r="AZ36" s="10"/>
      <c r="BA36" s="67"/>
      <c r="BB36" s="10"/>
      <c r="BC36" s="10"/>
      <c r="BD36" s="10"/>
      <c r="BE36" s="10"/>
      <c r="BF36" s="10">
        <v>0</v>
      </c>
      <c r="BG36" s="11">
        <f t="shared" si="1"/>
        <v>0</v>
      </c>
      <c r="BH36" s="10"/>
      <c r="BI36" s="10">
        <v>0</v>
      </c>
      <c r="BJ36" s="11">
        <f t="shared" si="2"/>
        <v>0</v>
      </c>
      <c r="BK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66">
        <v>16</v>
      </c>
      <c r="CY36" s="70">
        <f t="shared" si="3"/>
        <v>2880</v>
      </c>
      <c r="CZ36" s="10"/>
      <c r="DA36" s="10"/>
      <c r="DB36" s="10"/>
      <c r="DC36" s="10"/>
      <c r="DD36" s="10"/>
      <c r="DE36" s="10"/>
      <c r="DF36" s="10"/>
      <c r="DG36" s="10"/>
      <c r="DH36" s="66">
        <v>56</v>
      </c>
      <c r="DI36" s="70">
        <f t="shared" si="4"/>
        <v>10080</v>
      </c>
      <c r="DJ36" s="10"/>
      <c r="DK36" s="10"/>
      <c r="DL36" s="10"/>
      <c r="DM36" s="11">
        <f t="shared" si="5"/>
        <v>0</v>
      </c>
      <c r="DN36" s="10"/>
      <c r="DO36" s="10"/>
      <c r="DP36" s="10">
        <v>78</v>
      </c>
      <c r="DQ36" s="11">
        <f t="shared" si="6"/>
        <v>14040</v>
      </c>
      <c r="DR36" s="10"/>
      <c r="DS36" s="10"/>
      <c r="DT36" s="11">
        <f t="shared" si="7"/>
        <v>0</v>
      </c>
      <c r="DU36" s="10"/>
      <c r="DV36" s="10"/>
      <c r="DW36" s="10"/>
      <c r="DX36" s="11">
        <f t="shared" si="8"/>
        <v>0</v>
      </c>
      <c r="DY36" s="10"/>
      <c r="DZ36" s="11">
        <f t="shared" si="9"/>
        <v>0</v>
      </c>
      <c r="EA36" s="10"/>
      <c r="EB36" s="10"/>
    </row>
    <row r="37" spans="2:132" ht="16.5">
      <c r="B37" s="2">
        <v>25</v>
      </c>
      <c r="C37" s="66" t="s">
        <v>478</v>
      </c>
      <c r="D37" s="49"/>
      <c r="E37" s="71">
        <f t="shared" si="0"/>
        <v>3.5999999999999996</v>
      </c>
      <c r="F37" s="66">
        <v>3</v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67"/>
      <c r="AS37" s="10"/>
      <c r="AT37" s="10"/>
      <c r="AU37" s="10"/>
      <c r="AV37" s="10"/>
      <c r="AW37" s="10"/>
      <c r="AX37" s="10"/>
      <c r="AY37" s="10"/>
      <c r="AZ37" s="10"/>
      <c r="BA37" s="67"/>
      <c r="BB37" s="10"/>
      <c r="BC37" s="10"/>
      <c r="BD37" s="10"/>
      <c r="BE37" s="10"/>
      <c r="BF37" s="10">
        <v>0</v>
      </c>
      <c r="BG37" s="11">
        <f t="shared" si="1"/>
        <v>0</v>
      </c>
      <c r="BH37" s="10"/>
      <c r="BI37" s="10">
        <v>0</v>
      </c>
      <c r="BJ37" s="11">
        <f t="shared" si="2"/>
        <v>0</v>
      </c>
      <c r="BK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66"/>
      <c r="CY37" s="70">
        <f t="shared" si="3"/>
        <v>0</v>
      </c>
      <c r="CZ37" s="10"/>
      <c r="DA37" s="10"/>
      <c r="DB37" s="10"/>
      <c r="DC37" s="10"/>
      <c r="DD37" s="10"/>
      <c r="DE37" s="10"/>
      <c r="DF37" s="10"/>
      <c r="DG37" s="10"/>
      <c r="DH37" s="66">
        <v>1</v>
      </c>
      <c r="DI37" s="70">
        <f t="shared" si="4"/>
        <v>3.5999999999999996</v>
      </c>
      <c r="DJ37" s="10"/>
      <c r="DK37" s="10"/>
      <c r="DL37" s="10"/>
      <c r="DM37" s="11">
        <f t="shared" si="5"/>
        <v>0</v>
      </c>
      <c r="DN37" s="10"/>
      <c r="DO37" s="10"/>
      <c r="DP37" s="10">
        <v>2</v>
      </c>
      <c r="DQ37" s="11">
        <f t="shared" si="6"/>
        <v>7.1999999999999993</v>
      </c>
      <c r="DR37" s="10"/>
      <c r="DS37" s="10"/>
      <c r="DT37" s="11">
        <f t="shared" si="7"/>
        <v>0</v>
      </c>
      <c r="DU37" s="10"/>
      <c r="DV37" s="10"/>
      <c r="DW37" s="10"/>
      <c r="DX37" s="11">
        <f t="shared" si="8"/>
        <v>0</v>
      </c>
      <c r="DY37" s="10"/>
      <c r="DZ37" s="11">
        <f t="shared" si="9"/>
        <v>0</v>
      </c>
      <c r="EA37" s="10"/>
      <c r="EB37" s="10"/>
    </row>
    <row r="38" spans="2:132" ht="16.5">
      <c r="B38" s="2">
        <v>26</v>
      </c>
      <c r="C38" s="66" t="s">
        <v>479</v>
      </c>
      <c r="D38" s="49"/>
      <c r="E38" s="71">
        <f t="shared" si="0"/>
        <v>98.399999999999991</v>
      </c>
      <c r="F38" s="66">
        <v>82</v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67"/>
      <c r="AS38" s="10"/>
      <c r="AT38" s="10"/>
      <c r="AU38" s="10"/>
      <c r="AV38" s="10"/>
      <c r="AW38" s="10"/>
      <c r="AX38" s="10"/>
      <c r="AY38" s="10"/>
      <c r="AZ38" s="10"/>
      <c r="BA38" s="67"/>
      <c r="BB38" s="10"/>
      <c r="BC38" s="10"/>
      <c r="BD38" s="10"/>
      <c r="BE38" s="10"/>
      <c r="BF38" s="10">
        <v>5</v>
      </c>
      <c r="BG38" s="11">
        <f t="shared" si="1"/>
        <v>491.99999999999994</v>
      </c>
      <c r="BH38" s="10"/>
      <c r="BI38" s="10">
        <v>18</v>
      </c>
      <c r="BJ38" s="11">
        <f t="shared" si="2"/>
        <v>1771.1999999999998</v>
      </c>
      <c r="BK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66">
        <v>13</v>
      </c>
      <c r="CY38" s="70">
        <f t="shared" si="3"/>
        <v>1279.1999999999998</v>
      </c>
      <c r="CZ38" s="10"/>
      <c r="DA38" s="10"/>
      <c r="DB38" s="10"/>
      <c r="DC38" s="10"/>
      <c r="DD38" s="10"/>
      <c r="DE38" s="10"/>
      <c r="DF38" s="10"/>
      <c r="DG38" s="10"/>
      <c r="DH38" s="66">
        <v>4</v>
      </c>
      <c r="DI38" s="70">
        <f t="shared" si="4"/>
        <v>393.59999999999997</v>
      </c>
      <c r="DJ38" s="10"/>
      <c r="DK38" s="10"/>
      <c r="DL38" s="10">
        <v>2</v>
      </c>
      <c r="DM38" s="11">
        <f t="shared" si="5"/>
        <v>196.79999999999998</v>
      </c>
      <c r="DN38" s="10"/>
      <c r="DO38" s="10"/>
      <c r="DP38" s="10">
        <v>33</v>
      </c>
      <c r="DQ38" s="11">
        <f t="shared" si="6"/>
        <v>3247.2</v>
      </c>
      <c r="DR38" s="10"/>
      <c r="DS38" s="10">
        <v>5</v>
      </c>
      <c r="DT38" s="11">
        <f t="shared" si="7"/>
        <v>491.99999999999994</v>
      </c>
      <c r="DU38" s="10"/>
      <c r="DV38" s="10"/>
      <c r="DW38" s="10">
        <v>1</v>
      </c>
      <c r="DX38" s="11">
        <f t="shared" si="8"/>
        <v>98.399999999999991</v>
      </c>
      <c r="DY38" s="10">
        <v>1</v>
      </c>
      <c r="DZ38" s="11">
        <f t="shared" si="9"/>
        <v>98.399999999999991</v>
      </c>
      <c r="EA38" s="10"/>
      <c r="EB38" s="10"/>
    </row>
    <row r="39" spans="2:132" ht="16.5">
      <c r="B39" s="2">
        <v>27</v>
      </c>
      <c r="C39" s="66" t="s">
        <v>480</v>
      </c>
      <c r="D39" s="49"/>
      <c r="E39" s="71">
        <f t="shared" si="0"/>
        <v>6</v>
      </c>
      <c r="F39" s="66">
        <v>5</v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67"/>
      <c r="AS39" s="10"/>
      <c r="AT39" s="10"/>
      <c r="AU39" s="10"/>
      <c r="AV39" s="10"/>
      <c r="AW39" s="10"/>
      <c r="AX39" s="10"/>
      <c r="AY39" s="10"/>
      <c r="AZ39" s="10"/>
      <c r="BA39" s="67"/>
      <c r="BB39" s="10"/>
      <c r="BC39" s="10"/>
      <c r="BD39" s="10"/>
      <c r="BE39" s="10"/>
      <c r="BF39" s="10">
        <v>0</v>
      </c>
      <c r="BG39" s="11">
        <f t="shared" si="1"/>
        <v>0</v>
      </c>
      <c r="BH39" s="10"/>
      <c r="BI39" s="10">
        <v>0</v>
      </c>
      <c r="BJ39" s="11">
        <f t="shared" si="2"/>
        <v>0</v>
      </c>
      <c r="BK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66">
        <v>1</v>
      </c>
      <c r="CY39" s="70">
        <f t="shared" si="3"/>
        <v>6</v>
      </c>
      <c r="CZ39" s="10"/>
      <c r="DA39" s="10"/>
      <c r="DB39" s="10"/>
      <c r="DC39" s="10"/>
      <c r="DD39" s="10"/>
      <c r="DE39" s="10"/>
      <c r="DF39" s="10"/>
      <c r="DG39" s="10"/>
      <c r="DH39" s="66"/>
      <c r="DI39" s="70">
        <f t="shared" si="4"/>
        <v>0</v>
      </c>
      <c r="DJ39" s="10"/>
      <c r="DK39" s="10"/>
      <c r="DL39" s="10"/>
      <c r="DM39" s="11">
        <f t="shared" si="5"/>
        <v>0</v>
      </c>
      <c r="DN39" s="10"/>
      <c r="DO39" s="10"/>
      <c r="DP39" s="10">
        <v>4</v>
      </c>
      <c r="DQ39" s="11">
        <f t="shared" si="6"/>
        <v>24</v>
      </c>
      <c r="DR39" s="10"/>
      <c r="DS39" s="10"/>
      <c r="DT39" s="11">
        <f t="shared" si="7"/>
        <v>0</v>
      </c>
      <c r="DU39" s="10"/>
      <c r="DV39" s="10"/>
      <c r="DW39" s="10"/>
      <c r="DX39" s="11">
        <f t="shared" si="8"/>
        <v>0</v>
      </c>
      <c r="DY39" s="10"/>
      <c r="DZ39" s="11">
        <f t="shared" si="9"/>
        <v>0</v>
      </c>
      <c r="EA39" s="10"/>
      <c r="EB39" s="10"/>
    </row>
    <row r="40" spans="2:132" ht="16.5">
      <c r="B40" s="2">
        <v>28</v>
      </c>
      <c r="C40" s="66" t="s">
        <v>481</v>
      </c>
      <c r="D40" s="49"/>
      <c r="E40" s="71">
        <f t="shared" si="0"/>
        <v>90</v>
      </c>
      <c r="F40" s="66">
        <v>75</v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67"/>
      <c r="AS40" s="10"/>
      <c r="AT40" s="10"/>
      <c r="AU40" s="10"/>
      <c r="AV40" s="10"/>
      <c r="AW40" s="10"/>
      <c r="AX40" s="10"/>
      <c r="AY40" s="10"/>
      <c r="AZ40" s="10"/>
      <c r="BA40" s="67"/>
      <c r="BB40" s="10"/>
      <c r="BC40" s="10"/>
      <c r="BD40" s="10"/>
      <c r="BE40" s="10"/>
      <c r="BF40" s="10">
        <v>0</v>
      </c>
      <c r="BG40" s="11">
        <f t="shared" si="1"/>
        <v>0</v>
      </c>
      <c r="BH40" s="10"/>
      <c r="BI40" s="10">
        <v>33</v>
      </c>
      <c r="BJ40" s="11">
        <f t="shared" si="2"/>
        <v>2970</v>
      </c>
      <c r="BK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66">
        <v>3</v>
      </c>
      <c r="CY40" s="70">
        <f t="shared" si="3"/>
        <v>270</v>
      </c>
      <c r="CZ40" s="10"/>
      <c r="DA40" s="10"/>
      <c r="DB40" s="10"/>
      <c r="DC40" s="10"/>
      <c r="DD40" s="10"/>
      <c r="DE40" s="10"/>
      <c r="DF40" s="10"/>
      <c r="DG40" s="10"/>
      <c r="DH40" s="66"/>
      <c r="DI40" s="70">
        <f t="shared" si="4"/>
        <v>0</v>
      </c>
      <c r="DJ40" s="10"/>
      <c r="DK40" s="10"/>
      <c r="DL40" s="10"/>
      <c r="DM40" s="11">
        <f t="shared" si="5"/>
        <v>0</v>
      </c>
      <c r="DN40" s="10"/>
      <c r="DO40" s="10"/>
      <c r="DP40" s="10">
        <v>30</v>
      </c>
      <c r="DQ40" s="11">
        <f t="shared" si="6"/>
        <v>2700</v>
      </c>
      <c r="DR40" s="10"/>
      <c r="DS40" s="10">
        <v>6</v>
      </c>
      <c r="DT40" s="11">
        <f t="shared" si="7"/>
        <v>540</v>
      </c>
      <c r="DU40" s="10"/>
      <c r="DV40" s="10"/>
      <c r="DW40" s="10">
        <v>3</v>
      </c>
      <c r="DX40" s="11">
        <f t="shared" si="8"/>
        <v>270</v>
      </c>
      <c r="DY40" s="10"/>
      <c r="DZ40" s="11">
        <f t="shared" si="9"/>
        <v>0</v>
      </c>
      <c r="EA40" s="10"/>
      <c r="EB40" s="10"/>
    </row>
    <row r="41" spans="2:132" ht="16.5">
      <c r="B41" s="2">
        <v>29</v>
      </c>
      <c r="C41" s="66" t="s">
        <v>482</v>
      </c>
      <c r="D41" s="49"/>
      <c r="E41" s="71">
        <f t="shared" si="0"/>
        <v>19.2</v>
      </c>
      <c r="F41" s="66">
        <v>16</v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67"/>
      <c r="AS41" s="10"/>
      <c r="AT41" s="10"/>
      <c r="AU41" s="10"/>
      <c r="AV41" s="10"/>
      <c r="AW41" s="10"/>
      <c r="AX41" s="10"/>
      <c r="AY41" s="10"/>
      <c r="AZ41" s="10"/>
      <c r="BA41" s="67"/>
      <c r="BB41" s="10"/>
      <c r="BC41" s="10"/>
      <c r="BD41" s="10"/>
      <c r="BE41" s="10"/>
      <c r="BF41" s="10">
        <v>0</v>
      </c>
      <c r="BG41" s="11">
        <f t="shared" si="1"/>
        <v>0</v>
      </c>
      <c r="BH41" s="10"/>
      <c r="BI41" s="10">
        <v>1</v>
      </c>
      <c r="BJ41" s="11">
        <f t="shared" si="2"/>
        <v>19.2</v>
      </c>
      <c r="BK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66">
        <v>4</v>
      </c>
      <c r="CY41" s="70">
        <f t="shared" si="3"/>
        <v>76.8</v>
      </c>
      <c r="CZ41" s="10"/>
      <c r="DA41" s="10"/>
      <c r="DB41" s="10"/>
      <c r="DC41" s="10"/>
      <c r="DD41" s="10"/>
      <c r="DE41" s="10"/>
      <c r="DF41" s="10"/>
      <c r="DG41" s="10"/>
      <c r="DH41" s="66"/>
      <c r="DI41" s="70">
        <f t="shared" si="4"/>
        <v>0</v>
      </c>
      <c r="DJ41" s="10"/>
      <c r="DK41" s="10"/>
      <c r="DL41" s="10"/>
      <c r="DM41" s="11">
        <f t="shared" si="5"/>
        <v>0</v>
      </c>
      <c r="DN41" s="10"/>
      <c r="DO41" s="10"/>
      <c r="DP41" s="10">
        <v>11</v>
      </c>
      <c r="DQ41" s="11">
        <f t="shared" si="6"/>
        <v>211.2</v>
      </c>
      <c r="DR41" s="10"/>
      <c r="DS41" s="10"/>
      <c r="DT41" s="11">
        <f t="shared" si="7"/>
        <v>0</v>
      </c>
      <c r="DU41" s="10"/>
      <c r="DV41" s="10"/>
      <c r="DW41" s="10"/>
      <c r="DX41" s="11">
        <f t="shared" si="8"/>
        <v>0</v>
      </c>
      <c r="DY41" s="10"/>
      <c r="DZ41" s="11">
        <f t="shared" si="9"/>
        <v>0</v>
      </c>
      <c r="EA41" s="10"/>
      <c r="EB41" s="10"/>
    </row>
    <row r="42" spans="2:132" ht="16.5">
      <c r="B42" s="2">
        <v>30</v>
      </c>
      <c r="C42" s="66" t="s">
        <v>483</v>
      </c>
      <c r="D42" s="49"/>
      <c r="E42" s="71">
        <f t="shared" si="0"/>
        <v>4.8</v>
      </c>
      <c r="F42" s="66">
        <v>4</v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67"/>
      <c r="AS42" s="10"/>
      <c r="AT42" s="10"/>
      <c r="AU42" s="10"/>
      <c r="AV42" s="10"/>
      <c r="AW42" s="10"/>
      <c r="AX42" s="10"/>
      <c r="AY42" s="10"/>
      <c r="AZ42" s="10"/>
      <c r="BA42" s="67"/>
      <c r="BB42" s="10"/>
      <c r="BC42" s="10"/>
      <c r="BD42" s="10"/>
      <c r="BE42" s="10"/>
      <c r="BF42" s="10">
        <v>0</v>
      </c>
      <c r="BG42" s="11">
        <f t="shared" si="1"/>
        <v>0</v>
      </c>
      <c r="BH42" s="10"/>
      <c r="BI42" s="10">
        <v>0</v>
      </c>
      <c r="BJ42" s="11">
        <f t="shared" si="2"/>
        <v>0</v>
      </c>
      <c r="BK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66"/>
      <c r="CY42" s="70">
        <f t="shared" si="3"/>
        <v>0</v>
      </c>
      <c r="CZ42" s="10"/>
      <c r="DA42" s="10"/>
      <c r="DB42" s="10"/>
      <c r="DC42" s="10"/>
      <c r="DD42" s="10"/>
      <c r="DE42" s="10"/>
      <c r="DF42" s="10"/>
      <c r="DG42" s="10"/>
      <c r="DH42" s="66"/>
      <c r="DI42" s="70">
        <f t="shared" si="4"/>
        <v>0</v>
      </c>
      <c r="DJ42" s="10"/>
      <c r="DK42" s="10"/>
      <c r="DL42" s="10"/>
      <c r="DM42" s="11">
        <f t="shared" si="5"/>
        <v>0</v>
      </c>
      <c r="DN42" s="10"/>
      <c r="DO42" s="10"/>
      <c r="DP42" s="10">
        <v>0</v>
      </c>
      <c r="DQ42" s="11">
        <f t="shared" si="6"/>
        <v>0</v>
      </c>
      <c r="DR42" s="10"/>
      <c r="DS42" s="10">
        <v>3</v>
      </c>
      <c r="DT42" s="11">
        <f t="shared" si="7"/>
        <v>14.399999999999999</v>
      </c>
      <c r="DU42" s="10"/>
      <c r="DV42" s="10"/>
      <c r="DW42" s="10">
        <v>1</v>
      </c>
      <c r="DX42" s="11">
        <f t="shared" si="8"/>
        <v>4.8</v>
      </c>
      <c r="DY42" s="10"/>
      <c r="DZ42" s="11">
        <f t="shared" si="9"/>
        <v>0</v>
      </c>
      <c r="EA42" s="10"/>
      <c r="EB42" s="10"/>
    </row>
    <row r="43" spans="2:132" ht="16.5">
      <c r="B43" s="2">
        <v>31</v>
      </c>
      <c r="C43" s="66" t="s">
        <v>484</v>
      </c>
      <c r="D43" s="49"/>
      <c r="E43" s="71">
        <f t="shared" si="0"/>
        <v>1.2</v>
      </c>
      <c r="F43" s="66">
        <v>1</v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67"/>
      <c r="AS43" s="10"/>
      <c r="AT43" s="10"/>
      <c r="AU43" s="10"/>
      <c r="AV43" s="10"/>
      <c r="AW43" s="10"/>
      <c r="AX43" s="10"/>
      <c r="AY43" s="10"/>
      <c r="AZ43" s="10"/>
      <c r="BA43" s="67"/>
      <c r="BB43" s="10"/>
      <c r="BC43" s="10"/>
      <c r="BD43" s="10"/>
      <c r="BE43" s="10"/>
      <c r="BF43" s="10">
        <v>0</v>
      </c>
      <c r="BG43" s="11">
        <f t="shared" si="1"/>
        <v>0</v>
      </c>
      <c r="BH43" s="10"/>
      <c r="BI43" s="10">
        <v>0</v>
      </c>
      <c r="BJ43" s="11">
        <f t="shared" si="2"/>
        <v>0</v>
      </c>
      <c r="BK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66"/>
      <c r="CY43" s="70">
        <f t="shared" si="3"/>
        <v>0</v>
      </c>
      <c r="CZ43" s="10"/>
      <c r="DA43" s="10"/>
      <c r="DB43" s="10"/>
      <c r="DC43" s="10"/>
      <c r="DD43" s="10"/>
      <c r="DE43" s="10"/>
      <c r="DF43" s="10"/>
      <c r="DG43" s="10"/>
      <c r="DH43" s="66"/>
      <c r="DI43" s="70">
        <f t="shared" si="4"/>
        <v>0</v>
      </c>
      <c r="DJ43" s="10"/>
      <c r="DK43" s="10"/>
      <c r="DL43" s="10"/>
      <c r="DM43" s="11">
        <f t="shared" si="5"/>
        <v>0</v>
      </c>
      <c r="DN43" s="10"/>
      <c r="DO43" s="10"/>
      <c r="DP43" s="10">
        <v>0</v>
      </c>
      <c r="DQ43" s="11">
        <f t="shared" si="6"/>
        <v>0</v>
      </c>
      <c r="DR43" s="10"/>
      <c r="DS43" s="10">
        <v>1</v>
      </c>
      <c r="DT43" s="11">
        <f t="shared" si="7"/>
        <v>1.2</v>
      </c>
      <c r="DU43" s="10"/>
      <c r="DV43" s="10"/>
      <c r="DW43" s="10"/>
      <c r="DX43" s="11">
        <f t="shared" si="8"/>
        <v>0</v>
      </c>
      <c r="DY43" s="10"/>
      <c r="DZ43" s="11">
        <f t="shared" si="9"/>
        <v>0</v>
      </c>
      <c r="EA43" s="10"/>
      <c r="EB43" s="10"/>
    </row>
    <row r="44" spans="2:132" ht="16.5">
      <c r="B44" s="2">
        <v>32</v>
      </c>
      <c r="C44" s="66" t="s">
        <v>485</v>
      </c>
      <c r="D44" s="49"/>
      <c r="E44" s="71">
        <f t="shared" si="0"/>
        <v>4.8</v>
      </c>
      <c r="F44" s="66">
        <v>4</v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67"/>
      <c r="AS44" s="10"/>
      <c r="AT44" s="10"/>
      <c r="AU44" s="10"/>
      <c r="AV44" s="10"/>
      <c r="AW44" s="10"/>
      <c r="AX44" s="10"/>
      <c r="AY44" s="10"/>
      <c r="AZ44" s="10"/>
      <c r="BA44" s="67"/>
      <c r="BB44" s="10"/>
      <c r="BC44" s="10"/>
      <c r="BD44" s="10"/>
      <c r="BE44" s="10"/>
      <c r="BF44" s="10">
        <v>0</v>
      </c>
      <c r="BG44" s="11">
        <f t="shared" si="1"/>
        <v>0</v>
      </c>
      <c r="BH44" s="10"/>
      <c r="BI44" s="10">
        <v>0</v>
      </c>
      <c r="BJ44" s="11">
        <f t="shared" si="2"/>
        <v>0</v>
      </c>
      <c r="BK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66">
        <v>2</v>
      </c>
      <c r="CY44" s="70">
        <f t="shared" si="3"/>
        <v>9.6</v>
      </c>
      <c r="CZ44" s="10"/>
      <c r="DA44" s="10"/>
      <c r="DB44" s="10"/>
      <c r="DC44" s="10"/>
      <c r="DD44" s="10"/>
      <c r="DE44" s="10"/>
      <c r="DF44" s="10"/>
      <c r="DG44" s="10"/>
      <c r="DH44" s="66"/>
      <c r="DI44" s="70">
        <f t="shared" si="4"/>
        <v>0</v>
      </c>
      <c r="DJ44" s="10"/>
      <c r="DK44" s="10"/>
      <c r="DL44" s="10"/>
      <c r="DM44" s="11">
        <f t="shared" si="5"/>
        <v>0</v>
      </c>
      <c r="DN44" s="10"/>
      <c r="DO44" s="10"/>
      <c r="DP44" s="10">
        <v>1</v>
      </c>
      <c r="DQ44" s="11">
        <f t="shared" si="6"/>
        <v>4.8</v>
      </c>
      <c r="DR44" s="10"/>
      <c r="DS44" s="10"/>
      <c r="DT44" s="11">
        <f t="shared" si="7"/>
        <v>0</v>
      </c>
      <c r="DU44" s="10"/>
      <c r="DV44" s="10"/>
      <c r="DW44" s="10">
        <v>1</v>
      </c>
      <c r="DX44" s="11">
        <f t="shared" si="8"/>
        <v>4.8</v>
      </c>
      <c r="DY44" s="10"/>
      <c r="DZ44" s="11">
        <f t="shared" si="9"/>
        <v>0</v>
      </c>
      <c r="EA44" s="10"/>
      <c r="EB44" s="10"/>
    </row>
    <row r="45" spans="2:132" ht="16.5">
      <c r="B45" s="2">
        <v>33</v>
      </c>
      <c r="C45" s="66" t="s">
        <v>486</v>
      </c>
      <c r="D45" s="49"/>
      <c r="E45" s="71">
        <f t="shared" si="0"/>
        <v>36</v>
      </c>
      <c r="F45" s="66">
        <v>30</v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67"/>
      <c r="AS45" s="10"/>
      <c r="AT45" s="10"/>
      <c r="AU45" s="10"/>
      <c r="AV45" s="10"/>
      <c r="AW45" s="10"/>
      <c r="AX45" s="10"/>
      <c r="AY45" s="10"/>
      <c r="AZ45" s="10"/>
      <c r="BA45" s="67"/>
      <c r="BB45" s="10"/>
      <c r="BC45" s="10"/>
      <c r="BD45" s="10"/>
      <c r="BE45" s="10"/>
      <c r="BF45" s="10">
        <v>0</v>
      </c>
      <c r="BG45" s="11">
        <f t="shared" si="1"/>
        <v>0</v>
      </c>
      <c r="BH45" s="10"/>
      <c r="BI45" s="10">
        <v>19</v>
      </c>
      <c r="BJ45" s="11">
        <f t="shared" si="2"/>
        <v>684</v>
      </c>
      <c r="BK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66"/>
      <c r="CY45" s="70">
        <f t="shared" si="3"/>
        <v>0</v>
      </c>
      <c r="CZ45" s="10"/>
      <c r="DA45" s="10"/>
      <c r="DB45" s="10"/>
      <c r="DC45" s="10"/>
      <c r="DD45" s="10"/>
      <c r="DE45" s="10"/>
      <c r="DF45" s="10"/>
      <c r="DG45" s="10"/>
      <c r="DH45" s="66"/>
      <c r="DI45" s="70">
        <f t="shared" si="4"/>
        <v>0</v>
      </c>
      <c r="DJ45" s="10"/>
      <c r="DK45" s="10"/>
      <c r="DL45" s="10"/>
      <c r="DM45" s="11">
        <f t="shared" si="5"/>
        <v>0</v>
      </c>
      <c r="DN45" s="10"/>
      <c r="DO45" s="10"/>
      <c r="DP45" s="10">
        <v>0</v>
      </c>
      <c r="DQ45" s="11">
        <f t="shared" si="6"/>
        <v>0</v>
      </c>
      <c r="DR45" s="10"/>
      <c r="DS45" s="10">
        <v>11</v>
      </c>
      <c r="DT45" s="11">
        <f t="shared" si="7"/>
        <v>396</v>
      </c>
      <c r="DU45" s="10"/>
      <c r="DV45" s="10"/>
      <c r="DW45" s="10"/>
      <c r="DX45" s="11">
        <f t="shared" si="8"/>
        <v>0</v>
      </c>
      <c r="DY45" s="10"/>
      <c r="DZ45" s="11">
        <f t="shared" si="9"/>
        <v>0</v>
      </c>
      <c r="EA45" s="10"/>
      <c r="EB45" s="10"/>
    </row>
    <row r="46" spans="2:132" ht="16.5">
      <c r="B46" s="2">
        <v>34</v>
      </c>
      <c r="C46" s="66" t="s">
        <v>487</v>
      </c>
      <c r="D46" s="49"/>
      <c r="E46" s="71">
        <f t="shared" si="0"/>
        <v>13.2</v>
      </c>
      <c r="F46" s="66">
        <v>11</v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67"/>
      <c r="AS46" s="10"/>
      <c r="AT46" s="10"/>
      <c r="AU46" s="10"/>
      <c r="AV46" s="10"/>
      <c r="AW46" s="10"/>
      <c r="AX46" s="10"/>
      <c r="AY46" s="10"/>
      <c r="AZ46" s="10"/>
      <c r="BA46" s="67"/>
      <c r="BB46" s="10"/>
      <c r="BC46" s="10"/>
      <c r="BD46" s="10"/>
      <c r="BE46" s="10"/>
      <c r="BF46" s="10">
        <v>11</v>
      </c>
      <c r="BG46" s="11">
        <f t="shared" si="1"/>
        <v>145.19999999999999</v>
      </c>
      <c r="BH46" s="10"/>
      <c r="BI46" s="10">
        <v>0</v>
      </c>
      <c r="BJ46" s="11">
        <f t="shared" si="2"/>
        <v>0</v>
      </c>
      <c r="BK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66"/>
      <c r="CY46" s="70">
        <f t="shared" si="3"/>
        <v>0</v>
      </c>
      <c r="CZ46" s="10"/>
      <c r="DA46" s="10"/>
      <c r="DB46" s="10"/>
      <c r="DC46" s="10"/>
      <c r="DD46" s="10"/>
      <c r="DE46" s="10"/>
      <c r="DF46" s="10"/>
      <c r="DG46" s="10"/>
      <c r="DH46" s="66"/>
      <c r="DI46" s="70">
        <f t="shared" si="4"/>
        <v>0</v>
      </c>
      <c r="DJ46" s="10"/>
      <c r="DK46" s="10"/>
      <c r="DL46" s="10"/>
      <c r="DM46" s="11">
        <f t="shared" si="5"/>
        <v>0</v>
      </c>
      <c r="DN46" s="10"/>
      <c r="DO46" s="10"/>
      <c r="DP46" s="10">
        <v>0</v>
      </c>
      <c r="DQ46" s="11">
        <f t="shared" si="6"/>
        <v>0</v>
      </c>
      <c r="DR46" s="10"/>
      <c r="DS46" s="10"/>
      <c r="DT46" s="11">
        <f t="shared" si="7"/>
        <v>0</v>
      </c>
      <c r="DU46" s="10"/>
      <c r="DV46" s="10"/>
      <c r="DW46" s="10"/>
      <c r="DX46" s="11">
        <f t="shared" si="8"/>
        <v>0</v>
      </c>
      <c r="DY46" s="10"/>
      <c r="DZ46" s="11">
        <f t="shared" si="9"/>
        <v>0</v>
      </c>
      <c r="EA46" s="10"/>
      <c r="EB46" s="10"/>
    </row>
    <row r="47" spans="2:132" ht="16.5">
      <c r="B47" s="2">
        <v>35</v>
      </c>
      <c r="C47" s="66" t="s">
        <v>488</v>
      </c>
      <c r="D47" s="49"/>
      <c r="E47" s="71">
        <f t="shared" si="0"/>
        <v>7.1999999999999993</v>
      </c>
      <c r="F47" s="66">
        <v>6</v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67"/>
      <c r="AS47" s="10"/>
      <c r="AT47" s="10"/>
      <c r="AU47" s="10"/>
      <c r="AV47" s="10"/>
      <c r="AW47" s="10"/>
      <c r="AX47" s="10"/>
      <c r="AY47" s="10"/>
      <c r="AZ47" s="10"/>
      <c r="BA47" s="67"/>
      <c r="BB47" s="10"/>
      <c r="BC47" s="10"/>
      <c r="BD47" s="10"/>
      <c r="BE47" s="10"/>
      <c r="BF47" s="10">
        <v>0</v>
      </c>
      <c r="BG47" s="11">
        <f t="shared" si="1"/>
        <v>0</v>
      </c>
      <c r="BH47" s="10"/>
      <c r="BI47" s="10">
        <v>0</v>
      </c>
      <c r="BJ47" s="11">
        <f t="shared" si="2"/>
        <v>0</v>
      </c>
      <c r="BK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66"/>
      <c r="CY47" s="70">
        <f t="shared" si="3"/>
        <v>0</v>
      </c>
      <c r="CZ47" s="10"/>
      <c r="DA47" s="10"/>
      <c r="DB47" s="10"/>
      <c r="DC47" s="10"/>
      <c r="DD47" s="10"/>
      <c r="DE47" s="10"/>
      <c r="DF47" s="10"/>
      <c r="DG47" s="10"/>
      <c r="DH47" s="66"/>
      <c r="DI47" s="70">
        <f t="shared" si="4"/>
        <v>0</v>
      </c>
      <c r="DJ47" s="10"/>
      <c r="DK47" s="10"/>
      <c r="DL47" s="10"/>
      <c r="DM47" s="11">
        <f t="shared" si="5"/>
        <v>0</v>
      </c>
      <c r="DN47" s="10"/>
      <c r="DO47" s="10"/>
      <c r="DP47" s="10">
        <v>0</v>
      </c>
      <c r="DQ47" s="11">
        <f t="shared" si="6"/>
        <v>0</v>
      </c>
      <c r="DR47" s="10"/>
      <c r="DS47" s="10">
        <v>5</v>
      </c>
      <c r="DT47" s="11">
        <f t="shared" si="7"/>
        <v>36</v>
      </c>
      <c r="DU47" s="10"/>
      <c r="DV47" s="10"/>
      <c r="DW47" s="10">
        <v>1</v>
      </c>
      <c r="DX47" s="11">
        <f t="shared" si="8"/>
        <v>7.1999999999999993</v>
      </c>
      <c r="DY47" s="10"/>
      <c r="DZ47" s="11">
        <f t="shared" si="9"/>
        <v>0</v>
      </c>
      <c r="EA47" s="10"/>
      <c r="EB47" s="10"/>
    </row>
    <row r="48" spans="2:132" ht="16.5">
      <c r="B48" s="2">
        <v>36</v>
      </c>
      <c r="C48" s="66" t="s">
        <v>489</v>
      </c>
      <c r="D48" s="49"/>
      <c r="E48" s="71">
        <f t="shared" si="0"/>
        <v>9.6</v>
      </c>
      <c r="F48" s="66">
        <v>8</v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67"/>
      <c r="AS48" s="10"/>
      <c r="AT48" s="10"/>
      <c r="AU48" s="10"/>
      <c r="AV48" s="10"/>
      <c r="AW48" s="10"/>
      <c r="AX48" s="10"/>
      <c r="AY48" s="10"/>
      <c r="AZ48" s="10"/>
      <c r="BA48" s="67"/>
      <c r="BB48" s="10"/>
      <c r="BC48" s="10"/>
      <c r="BD48" s="10"/>
      <c r="BE48" s="10"/>
      <c r="BF48" s="10">
        <v>0</v>
      </c>
      <c r="BG48" s="11">
        <f t="shared" si="1"/>
        <v>0</v>
      </c>
      <c r="BH48" s="10"/>
      <c r="BI48" s="10">
        <v>0</v>
      </c>
      <c r="BJ48" s="11">
        <f t="shared" si="2"/>
        <v>0</v>
      </c>
      <c r="BK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66"/>
      <c r="CY48" s="70">
        <f t="shared" si="3"/>
        <v>0</v>
      </c>
      <c r="CZ48" s="10"/>
      <c r="DA48" s="10"/>
      <c r="DB48" s="10"/>
      <c r="DC48" s="10"/>
      <c r="DD48" s="10"/>
      <c r="DE48" s="10"/>
      <c r="DF48" s="10"/>
      <c r="DG48" s="10"/>
      <c r="DH48" s="66">
        <v>1</v>
      </c>
      <c r="DI48" s="70">
        <f t="shared" si="4"/>
        <v>9.6</v>
      </c>
      <c r="DJ48" s="10"/>
      <c r="DK48" s="10"/>
      <c r="DL48" s="10"/>
      <c r="DM48" s="11">
        <f t="shared" si="5"/>
        <v>0</v>
      </c>
      <c r="DN48" s="10"/>
      <c r="DO48" s="10"/>
      <c r="DP48" s="10">
        <v>5</v>
      </c>
      <c r="DQ48" s="11">
        <f t="shared" si="6"/>
        <v>48</v>
      </c>
      <c r="DR48" s="10"/>
      <c r="DS48" s="10">
        <v>1</v>
      </c>
      <c r="DT48" s="11">
        <f t="shared" si="7"/>
        <v>9.6</v>
      </c>
      <c r="DU48" s="10"/>
      <c r="DV48" s="10"/>
      <c r="DW48" s="10">
        <v>1</v>
      </c>
      <c r="DX48" s="11">
        <f t="shared" si="8"/>
        <v>9.6</v>
      </c>
      <c r="DY48" s="10"/>
      <c r="DZ48" s="11">
        <f t="shared" si="9"/>
        <v>0</v>
      </c>
      <c r="EA48" s="10"/>
      <c r="EB48" s="10"/>
    </row>
    <row r="49" spans="2:132" ht="16.5">
      <c r="B49" s="2">
        <v>37</v>
      </c>
      <c r="C49" s="66" t="s">
        <v>490</v>
      </c>
      <c r="D49" s="49"/>
      <c r="E49" s="71">
        <f t="shared" si="0"/>
        <v>18</v>
      </c>
      <c r="F49" s="66">
        <v>15</v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67"/>
      <c r="AS49" s="10"/>
      <c r="AT49" s="10"/>
      <c r="AU49" s="10"/>
      <c r="AV49" s="10"/>
      <c r="AW49" s="10"/>
      <c r="AX49" s="10"/>
      <c r="AY49" s="10"/>
      <c r="AZ49" s="10"/>
      <c r="BA49" s="67"/>
      <c r="BB49" s="10"/>
      <c r="BC49" s="10"/>
      <c r="BD49" s="10"/>
      <c r="BE49" s="10"/>
      <c r="BF49" s="10">
        <v>2</v>
      </c>
      <c r="BG49" s="11">
        <f t="shared" si="1"/>
        <v>36</v>
      </c>
      <c r="BH49" s="10"/>
      <c r="BI49" s="10">
        <v>2</v>
      </c>
      <c r="BJ49" s="11">
        <f t="shared" si="2"/>
        <v>36</v>
      </c>
      <c r="BK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66"/>
      <c r="CY49" s="70">
        <f t="shared" si="3"/>
        <v>0</v>
      </c>
      <c r="CZ49" s="10"/>
      <c r="DA49" s="10"/>
      <c r="DB49" s="10"/>
      <c r="DC49" s="10"/>
      <c r="DD49" s="10"/>
      <c r="DE49" s="10"/>
      <c r="DF49" s="10"/>
      <c r="DG49" s="10"/>
      <c r="DH49" s="66"/>
      <c r="DI49" s="70">
        <f t="shared" si="4"/>
        <v>0</v>
      </c>
      <c r="DJ49" s="10"/>
      <c r="DK49" s="10"/>
      <c r="DL49" s="10"/>
      <c r="DM49" s="11">
        <f t="shared" si="5"/>
        <v>0</v>
      </c>
      <c r="DN49" s="10"/>
      <c r="DO49" s="10"/>
      <c r="DP49" s="10">
        <v>6</v>
      </c>
      <c r="DQ49" s="11">
        <f t="shared" si="6"/>
        <v>108</v>
      </c>
      <c r="DR49" s="10"/>
      <c r="DS49" s="10">
        <v>1</v>
      </c>
      <c r="DT49" s="11">
        <f t="shared" si="7"/>
        <v>18</v>
      </c>
      <c r="DU49" s="10"/>
      <c r="DV49" s="10"/>
      <c r="DW49" s="10">
        <v>4</v>
      </c>
      <c r="DX49" s="11">
        <f t="shared" si="8"/>
        <v>72</v>
      </c>
      <c r="DY49" s="10"/>
      <c r="DZ49" s="11">
        <f t="shared" si="9"/>
        <v>0</v>
      </c>
      <c r="EA49" s="10"/>
      <c r="EB49" s="10"/>
    </row>
    <row r="50" spans="2:132" ht="16.5">
      <c r="B50" s="2">
        <v>38</v>
      </c>
      <c r="C50" s="66" t="s">
        <v>491</v>
      </c>
      <c r="D50" s="49"/>
      <c r="E50" s="71">
        <f t="shared" si="0"/>
        <v>789.6</v>
      </c>
      <c r="F50" s="66">
        <v>658</v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67"/>
      <c r="AS50" s="10"/>
      <c r="AT50" s="10"/>
      <c r="AU50" s="10"/>
      <c r="AV50" s="10"/>
      <c r="AW50" s="10"/>
      <c r="AX50" s="10"/>
      <c r="AY50" s="10"/>
      <c r="AZ50" s="10"/>
      <c r="BA50" s="67"/>
      <c r="BB50" s="10"/>
      <c r="BC50" s="10"/>
      <c r="BD50" s="10"/>
      <c r="BE50" s="10"/>
      <c r="BF50" s="10">
        <v>55</v>
      </c>
      <c r="BG50" s="11">
        <f t="shared" si="1"/>
        <v>43428</v>
      </c>
      <c r="BH50" s="10"/>
      <c r="BI50" s="10">
        <v>53</v>
      </c>
      <c r="BJ50" s="11">
        <f t="shared" si="2"/>
        <v>41848.800000000003</v>
      </c>
      <c r="BK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66">
        <v>44</v>
      </c>
      <c r="CY50" s="70">
        <f t="shared" si="3"/>
        <v>34742.400000000001</v>
      </c>
      <c r="CZ50" s="10"/>
      <c r="DA50" s="10"/>
      <c r="DB50" s="10"/>
      <c r="DC50" s="10"/>
      <c r="DD50" s="10"/>
      <c r="DE50" s="10"/>
      <c r="DF50" s="10"/>
      <c r="DG50" s="10"/>
      <c r="DH50" s="66">
        <v>17</v>
      </c>
      <c r="DI50" s="70">
        <f t="shared" si="4"/>
        <v>13423.2</v>
      </c>
      <c r="DJ50" s="10"/>
      <c r="DK50" s="10"/>
      <c r="DL50" s="10">
        <v>20</v>
      </c>
      <c r="DM50" s="11">
        <f t="shared" si="5"/>
        <v>15792</v>
      </c>
      <c r="DN50" s="10"/>
      <c r="DO50" s="10"/>
      <c r="DP50" s="10">
        <v>431</v>
      </c>
      <c r="DQ50" s="11">
        <f t="shared" si="6"/>
        <v>340317.60000000003</v>
      </c>
      <c r="DR50" s="10"/>
      <c r="DS50" s="10">
        <v>2</v>
      </c>
      <c r="DT50" s="11">
        <f t="shared" si="7"/>
        <v>1579.2</v>
      </c>
      <c r="DU50" s="10"/>
      <c r="DV50" s="10"/>
      <c r="DW50" s="10">
        <v>21</v>
      </c>
      <c r="DX50" s="11">
        <f t="shared" si="8"/>
        <v>16581.600000000002</v>
      </c>
      <c r="DY50" s="10">
        <v>15</v>
      </c>
      <c r="DZ50" s="11">
        <f t="shared" si="9"/>
        <v>11844</v>
      </c>
      <c r="EA50" s="10"/>
      <c r="EB50" s="10"/>
    </row>
    <row r="51" spans="2:132" ht="16.5">
      <c r="B51" s="2">
        <v>39</v>
      </c>
      <c r="C51" s="66" t="s">
        <v>492</v>
      </c>
      <c r="D51" s="49"/>
      <c r="E51" s="71">
        <f t="shared" si="0"/>
        <v>2.4</v>
      </c>
      <c r="F51" s="66">
        <v>2</v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67"/>
      <c r="AS51" s="10"/>
      <c r="AT51" s="10"/>
      <c r="AU51" s="10"/>
      <c r="AV51" s="10"/>
      <c r="AW51" s="10"/>
      <c r="AX51" s="10"/>
      <c r="AY51" s="10"/>
      <c r="AZ51" s="10"/>
      <c r="BA51" s="67"/>
      <c r="BB51" s="10"/>
      <c r="BC51" s="10"/>
      <c r="BD51" s="10"/>
      <c r="BE51" s="10"/>
      <c r="BF51" s="10">
        <v>1</v>
      </c>
      <c r="BG51" s="11">
        <f t="shared" si="1"/>
        <v>2.4</v>
      </c>
      <c r="BH51" s="10"/>
      <c r="BI51" s="10">
        <v>0</v>
      </c>
      <c r="BJ51" s="11">
        <f t="shared" si="2"/>
        <v>0</v>
      </c>
      <c r="BK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66"/>
      <c r="CY51" s="70">
        <f t="shared" si="3"/>
        <v>0</v>
      </c>
      <c r="CZ51" s="10"/>
      <c r="DA51" s="10"/>
      <c r="DB51" s="10"/>
      <c r="DC51" s="10"/>
      <c r="DD51" s="10"/>
      <c r="DE51" s="10"/>
      <c r="DF51" s="10"/>
      <c r="DG51" s="10"/>
      <c r="DH51" s="66"/>
      <c r="DI51" s="70">
        <f t="shared" si="4"/>
        <v>0</v>
      </c>
      <c r="DJ51" s="10"/>
      <c r="DK51" s="10"/>
      <c r="DL51" s="10"/>
      <c r="DM51" s="11">
        <f t="shared" si="5"/>
        <v>0</v>
      </c>
      <c r="DN51" s="10"/>
      <c r="DO51" s="10"/>
      <c r="DP51" s="10">
        <v>1</v>
      </c>
      <c r="DQ51" s="11">
        <f t="shared" si="6"/>
        <v>2.4</v>
      </c>
      <c r="DR51" s="10"/>
      <c r="DS51" s="10"/>
      <c r="DT51" s="11">
        <f t="shared" si="7"/>
        <v>0</v>
      </c>
      <c r="DU51" s="10"/>
      <c r="DV51" s="10"/>
      <c r="DW51" s="10"/>
      <c r="DX51" s="11">
        <f t="shared" si="8"/>
        <v>0</v>
      </c>
      <c r="DY51" s="10"/>
      <c r="DZ51" s="11">
        <f t="shared" si="9"/>
        <v>0</v>
      </c>
      <c r="EA51" s="10"/>
      <c r="EB51" s="10"/>
    </row>
    <row r="52" spans="2:132" ht="16.5">
      <c r="B52" s="2">
        <v>40</v>
      </c>
      <c r="C52" s="66" t="s">
        <v>493</v>
      </c>
      <c r="D52" s="49"/>
      <c r="E52" s="71">
        <f t="shared" si="0"/>
        <v>6</v>
      </c>
      <c r="F52" s="66">
        <v>5</v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67"/>
      <c r="AS52" s="10"/>
      <c r="AT52" s="10"/>
      <c r="AU52" s="10"/>
      <c r="AV52" s="10"/>
      <c r="AW52" s="10"/>
      <c r="AX52" s="10"/>
      <c r="AY52" s="10"/>
      <c r="AZ52" s="10"/>
      <c r="BA52" s="67"/>
      <c r="BB52" s="10"/>
      <c r="BC52" s="10"/>
      <c r="BD52" s="10"/>
      <c r="BE52" s="10"/>
      <c r="BF52" s="10">
        <v>0</v>
      </c>
      <c r="BG52" s="11">
        <f t="shared" si="1"/>
        <v>0</v>
      </c>
      <c r="BH52" s="10"/>
      <c r="BI52" s="10">
        <v>0</v>
      </c>
      <c r="BJ52" s="11">
        <f t="shared" si="2"/>
        <v>0</v>
      </c>
      <c r="BK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66">
        <v>1</v>
      </c>
      <c r="CY52" s="70">
        <f t="shared" si="3"/>
        <v>6</v>
      </c>
      <c r="CZ52" s="10"/>
      <c r="DA52" s="10"/>
      <c r="DB52" s="10"/>
      <c r="DC52" s="10"/>
      <c r="DD52" s="10"/>
      <c r="DE52" s="10"/>
      <c r="DF52" s="10"/>
      <c r="DG52" s="10"/>
      <c r="DH52" s="66"/>
      <c r="DI52" s="70">
        <f t="shared" si="4"/>
        <v>0</v>
      </c>
      <c r="DJ52" s="10"/>
      <c r="DK52" s="10"/>
      <c r="DL52" s="10"/>
      <c r="DM52" s="11">
        <f t="shared" si="5"/>
        <v>0</v>
      </c>
      <c r="DN52" s="10"/>
      <c r="DO52" s="10"/>
      <c r="DP52" s="10">
        <v>2</v>
      </c>
      <c r="DQ52" s="11">
        <f t="shared" si="6"/>
        <v>12</v>
      </c>
      <c r="DR52" s="10"/>
      <c r="DS52" s="10">
        <v>1</v>
      </c>
      <c r="DT52" s="11">
        <f t="shared" si="7"/>
        <v>6</v>
      </c>
      <c r="DU52" s="10"/>
      <c r="DV52" s="10"/>
      <c r="DW52" s="10">
        <v>1</v>
      </c>
      <c r="DX52" s="11">
        <f t="shared" si="8"/>
        <v>6</v>
      </c>
      <c r="DY52" s="10"/>
      <c r="DZ52" s="11">
        <f t="shared" si="9"/>
        <v>0</v>
      </c>
      <c r="EA52" s="10"/>
      <c r="EB52" s="10"/>
    </row>
    <row r="53" spans="2:132" ht="16.5">
      <c r="B53" s="2">
        <v>41</v>
      </c>
      <c r="C53" s="66" t="s">
        <v>494</v>
      </c>
      <c r="D53" s="49"/>
      <c r="E53" s="71">
        <f t="shared" si="0"/>
        <v>40.799999999999997</v>
      </c>
      <c r="F53" s="66">
        <v>34</v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67"/>
      <c r="AS53" s="10"/>
      <c r="AT53" s="10"/>
      <c r="AU53" s="10"/>
      <c r="AV53" s="10"/>
      <c r="AW53" s="10"/>
      <c r="AX53" s="10"/>
      <c r="AY53" s="10"/>
      <c r="AZ53" s="10"/>
      <c r="BA53" s="67"/>
      <c r="BB53" s="10"/>
      <c r="BC53" s="10"/>
      <c r="BD53" s="10"/>
      <c r="BE53" s="10"/>
      <c r="BF53" s="10">
        <v>0</v>
      </c>
      <c r="BG53" s="11">
        <f t="shared" si="1"/>
        <v>0</v>
      </c>
      <c r="BH53" s="10"/>
      <c r="BI53" s="10">
        <v>18</v>
      </c>
      <c r="BJ53" s="11">
        <f t="shared" si="2"/>
        <v>734.4</v>
      </c>
      <c r="BK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66">
        <v>3</v>
      </c>
      <c r="CY53" s="70">
        <f t="shared" si="3"/>
        <v>122.39999999999999</v>
      </c>
      <c r="CZ53" s="10"/>
      <c r="DA53" s="10"/>
      <c r="DB53" s="10"/>
      <c r="DC53" s="10"/>
      <c r="DD53" s="10"/>
      <c r="DE53" s="10"/>
      <c r="DF53" s="10"/>
      <c r="DG53" s="10"/>
      <c r="DH53" s="66">
        <v>2</v>
      </c>
      <c r="DI53" s="70">
        <f t="shared" si="4"/>
        <v>81.599999999999994</v>
      </c>
      <c r="DJ53" s="10"/>
      <c r="DK53" s="10"/>
      <c r="DL53" s="10"/>
      <c r="DM53" s="11">
        <f t="shared" si="5"/>
        <v>0</v>
      </c>
      <c r="DN53" s="10"/>
      <c r="DO53" s="10"/>
      <c r="DP53" s="10">
        <v>2</v>
      </c>
      <c r="DQ53" s="11">
        <f t="shared" si="6"/>
        <v>81.599999999999994</v>
      </c>
      <c r="DR53" s="10"/>
      <c r="DS53" s="10">
        <v>9</v>
      </c>
      <c r="DT53" s="11">
        <f t="shared" si="7"/>
        <v>367.2</v>
      </c>
      <c r="DU53" s="10"/>
      <c r="DV53" s="10"/>
      <c r="DW53" s="10"/>
      <c r="DX53" s="11">
        <f t="shared" si="8"/>
        <v>0</v>
      </c>
      <c r="DY53" s="10"/>
      <c r="DZ53" s="11">
        <f t="shared" si="9"/>
        <v>0</v>
      </c>
      <c r="EA53" s="10"/>
      <c r="EB53" s="10"/>
    </row>
    <row r="54" spans="2:132" ht="16.5">
      <c r="B54" s="2">
        <v>42</v>
      </c>
      <c r="C54" s="66" t="s">
        <v>495</v>
      </c>
      <c r="D54" s="49"/>
      <c r="E54" s="71">
        <f t="shared" si="0"/>
        <v>1.2</v>
      </c>
      <c r="F54" s="66">
        <v>1</v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67"/>
      <c r="AS54" s="10"/>
      <c r="AT54" s="10"/>
      <c r="AU54" s="10"/>
      <c r="AV54" s="10"/>
      <c r="AW54" s="10"/>
      <c r="AX54" s="10"/>
      <c r="AY54" s="10"/>
      <c r="AZ54" s="10"/>
      <c r="BA54" s="67"/>
      <c r="BB54" s="10"/>
      <c r="BC54" s="10"/>
      <c r="BD54" s="10"/>
      <c r="BE54" s="10"/>
      <c r="BF54" s="10">
        <v>0</v>
      </c>
      <c r="BG54" s="11">
        <f t="shared" si="1"/>
        <v>0</v>
      </c>
      <c r="BH54" s="10"/>
      <c r="BI54" s="10">
        <v>0</v>
      </c>
      <c r="BJ54" s="11">
        <f t="shared" si="2"/>
        <v>0</v>
      </c>
      <c r="BK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66"/>
      <c r="CY54" s="70">
        <f t="shared" si="3"/>
        <v>0</v>
      </c>
      <c r="CZ54" s="10"/>
      <c r="DA54" s="10"/>
      <c r="DB54" s="10"/>
      <c r="DC54" s="10"/>
      <c r="DD54" s="10"/>
      <c r="DE54" s="10"/>
      <c r="DF54" s="10"/>
      <c r="DG54" s="10"/>
      <c r="DH54" s="66"/>
      <c r="DI54" s="70">
        <f t="shared" si="4"/>
        <v>0</v>
      </c>
      <c r="DJ54" s="10"/>
      <c r="DK54" s="10"/>
      <c r="DL54" s="10"/>
      <c r="DM54" s="11">
        <f t="shared" si="5"/>
        <v>0</v>
      </c>
      <c r="DN54" s="10"/>
      <c r="DO54" s="10"/>
      <c r="DP54" s="10">
        <v>0</v>
      </c>
      <c r="DQ54" s="11">
        <f t="shared" si="6"/>
        <v>0</v>
      </c>
      <c r="DR54" s="10"/>
      <c r="DS54" s="10">
        <v>1</v>
      </c>
      <c r="DT54" s="11">
        <f t="shared" si="7"/>
        <v>1.2</v>
      </c>
      <c r="DU54" s="10"/>
      <c r="DV54" s="10"/>
      <c r="DW54" s="10"/>
      <c r="DX54" s="11">
        <f t="shared" si="8"/>
        <v>0</v>
      </c>
      <c r="DY54" s="10"/>
      <c r="DZ54" s="11">
        <f t="shared" si="9"/>
        <v>0</v>
      </c>
      <c r="EA54" s="10"/>
      <c r="EB54" s="10"/>
    </row>
    <row r="55" spans="2:132" ht="16.5">
      <c r="B55" s="2">
        <v>43</v>
      </c>
      <c r="C55" s="66" t="s">
        <v>496</v>
      </c>
      <c r="D55" s="49"/>
      <c r="E55" s="71">
        <f t="shared" si="0"/>
        <v>43.199999999999996</v>
      </c>
      <c r="F55" s="66">
        <v>36</v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67"/>
      <c r="AS55" s="10"/>
      <c r="AT55" s="10"/>
      <c r="AU55" s="10"/>
      <c r="AV55" s="10"/>
      <c r="AW55" s="10"/>
      <c r="AX55" s="10"/>
      <c r="AY55" s="10"/>
      <c r="AZ55" s="10"/>
      <c r="BA55" s="67"/>
      <c r="BB55" s="10"/>
      <c r="BC55" s="10"/>
      <c r="BD55" s="10"/>
      <c r="BE55" s="10"/>
      <c r="BF55" s="10">
        <v>18</v>
      </c>
      <c r="BG55" s="11">
        <f t="shared" si="1"/>
        <v>777.59999999999991</v>
      </c>
      <c r="BH55" s="10"/>
      <c r="BI55" s="10">
        <v>16</v>
      </c>
      <c r="BJ55" s="11">
        <f t="shared" si="2"/>
        <v>691.19999999999993</v>
      </c>
      <c r="BK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66"/>
      <c r="CY55" s="70">
        <f t="shared" si="3"/>
        <v>0</v>
      </c>
      <c r="CZ55" s="10"/>
      <c r="DA55" s="10"/>
      <c r="DB55" s="10"/>
      <c r="DC55" s="10"/>
      <c r="DD55" s="10"/>
      <c r="DE55" s="10"/>
      <c r="DF55" s="10"/>
      <c r="DG55" s="10"/>
      <c r="DH55" s="66"/>
      <c r="DI55" s="70">
        <f t="shared" si="4"/>
        <v>0</v>
      </c>
      <c r="DJ55" s="10"/>
      <c r="DK55" s="10"/>
      <c r="DL55" s="10"/>
      <c r="DM55" s="11">
        <f t="shared" si="5"/>
        <v>0</v>
      </c>
      <c r="DN55" s="10"/>
      <c r="DO55" s="10"/>
      <c r="DP55" s="10">
        <v>0</v>
      </c>
      <c r="DQ55" s="11">
        <f t="shared" si="6"/>
        <v>0</v>
      </c>
      <c r="DR55" s="10"/>
      <c r="DS55" s="10">
        <v>1</v>
      </c>
      <c r="DT55" s="11">
        <f t="shared" si="7"/>
        <v>43.199999999999996</v>
      </c>
      <c r="DU55" s="10"/>
      <c r="DV55" s="10"/>
      <c r="DW55" s="10">
        <v>1</v>
      </c>
      <c r="DX55" s="11">
        <f t="shared" si="8"/>
        <v>43.199999999999996</v>
      </c>
      <c r="DY55" s="10"/>
      <c r="DZ55" s="11">
        <f t="shared" si="9"/>
        <v>0</v>
      </c>
      <c r="EA55" s="10"/>
      <c r="EB55" s="10"/>
    </row>
    <row r="56" spans="2:132" ht="16.5">
      <c r="B56" s="2">
        <v>44</v>
      </c>
      <c r="C56" s="66" t="s">
        <v>497</v>
      </c>
      <c r="D56" s="49"/>
      <c r="E56" s="71">
        <f t="shared" si="0"/>
        <v>8.4</v>
      </c>
      <c r="F56" s="66">
        <v>7</v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67"/>
      <c r="AS56" s="10"/>
      <c r="AT56" s="10"/>
      <c r="AU56" s="10"/>
      <c r="AV56" s="10"/>
      <c r="AW56" s="10"/>
      <c r="AX56" s="10"/>
      <c r="AY56" s="10"/>
      <c r="AZ56" s="10"/>
      <c r="BA56" s="67"/>
      <c r="BB56" s="10"/>
      <c r="BC56" s="10"/>
      <c r="BD56" s="10"/>
      <c r="BE56" s="10"/>
      <c r="BF56" s="10">
        <v>0</v>
      </c>
      <c r="BG56" s="11">
        <f t="shared" si="1"/>
        <v>0</v>
      </c>
      <c r="BH56" s="10"/>
      <c r="BI56" s="10">
        <v>7</v>
      </c>
      <c r="BJ56" s="11">
        <f t="shared" si="2"/>
        <v>58.800000000000004</v>
      </c>
      <c r="BK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66"/>
      <c r="CY56" s="70">
        <f t="shared" si="3"/>
        <v>0</v>
      </c>
      <c r="CZ56" s="10"/>
      <c r="DA56" s="10"/>
      <c r="DB56" s="10"/>
      <c r="DC56" s="10"/>
      <c r="DD56" s="10"/>
      <c r="DE56" s="10"/>
      <c r="DF56" s="10"/>
      <c r="DG56" s="10"/>
      <c r="DH56" s="66"/>
      <c r="DI56" s="70">
        <f t="shared" si="4"/>
        <v>0</v>
      </c>
      <c r="DJ56" s="10"/>
      <c r="DK56" s="10"/>
      <c r="DL56" s="10"/>
      <c r="DM56" s="11">
        <f t="shared" si="5"/>
        <v>0</v>
      </c>
      <c r="DN56" s="10"/>
      <c r="DO56" s="10"/>
      <c r="DP56" s="10">
        <v>0</v>
      </c>
      <c r="DQ56" s="11">
        <f t="shared" si="6"/>
        <v>0</v>
      </c>
      <c r="DR56" s="10"/>
      <c r="DS56" s="10"/>
      <c r="DT56" s="11">
        <f t="shared" si="7"/>
        <v>0</v>
      </c>
      <c r="DU56" s="10"/>
      <c r="DV56" s="10"/>
      <c r="DW56" s="10"/>
      <c r="DX56" s="11">
        <f t="shared" si="8"/>
        <v>0</v>
      </c>
      <c r="DY56" s="10"/>
      <c r="DZ56" s="11">
        <f t="shared" si="9"/>
        <v>0</v>
      </c>
      <c r="EA56" s="10"/>
      <c r="EB56" s="10"/>
    </row>
    <row r="57" spans="2:132" ht="16.5">
      <c r="B57" s="2">
        <v>45</v>
      </c>
      <c r="C57" s="66" t="s">
        <v>498</v>
      </c>
      <c r="D57" s="49"/>
      <c r="E57" s="71">
        <f t="shared" si="0"/>
        <v>2.4</v>
      </c>
      <c r="F57" s="66">
        <v>2</v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67"/>
      <c r="AS57" s="10"/>
      <c r="AT57" s="10"/>
      <c r="AU57" s="10"/>
      <c r="AV57" s="10"/>
      <c r="AW57" s="10"/>
      <c r="AX57" s="10"/>
      <c r="AY57" s="10"/>
      <c r="AZ57" s="10"/>
      <c r="BA57" s="67"/>
      <c r="BB57" s="10"/>
      <c r="BC57" s="10"/>
      <c r="BD57" s="10"/>
      <c r="BE57" s="10"/>
      <c r="BF57" s="10">
        <v>0</v>
      </c>
      <c r="BG57" s="11">
        <f t="shared" si="1"/>
        <v>0</v>
      </c>
      <c r="BH57" s="10"/>
      <c r="BI57" s="10">
        <v>0</v>
      </c>
      <c r="BJ57" s="11">
        <f t="shared" si="2"/>
        <v>0</v>
      </c>
      <c r="BK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66"/>
      <c r="CY57" s="70">
        <f t="shared" si="3"/>
        <v>0</v>
      </c>
      <c r="CZ57" s="10"/>
      <c r="DA57" s="10"/>
      <c r="DB57" s="10"/>
      <c r="DC57" s="10"/>
      <c r="DD57" s="10"/>
      <c r="DE57" s="10"/>
      <c r="DF57" s="10"/>
      <c r="DG57" s="10"/>
      <c r="DH57" s="66"/>
      <c r="DI57" s="70">
        <f t="shared" si="4"/>
        <v>0</v>
      </c>
      <c r="DJ57" s="10"/>
      <c r="DK57" s="10"/>
      <c r="DL57" s="10"/>
      <c r="DM57" s="11">
        <f t="shared" si="5"/>
        <v>0</v>
      </c>
      <c r="DN57" s="10"/>
      <c r="DO57" s="10"/>
      <c r="DP57" s="10">
        <v>1</v>
      </c>
      <c r="DQ57" s="11">
        <f t="shared" si="6"/>
        <v>2.4</v>
      </c>
      <c r="DR57" s="10"/>
      <c r="DS57" s="10">
        <v>1</v>
      </c>
      <c r="DT57" s="11">
        <f t="shared" si="7"/>
        <v>2.4</v>
      </c>
      <c r="DU57" s="10"/>
      <c r="DV57" s="10"/>
      <c r="DW57" s="10"/>
      <c r="DX57" s="11">
        <f t="shared" si="8"/>
        <v>0</v>
      </c>
      <c r="DY57" s="10"/>
      <c r="DZ57" s="11">
        <f t="shared" si="9"/>
        <v>0</v>
      </c>
      <c r="EA57" s="10"/>
      <c r="EB57" s="10"/>
    </row>
    <row r="58" spans="2:132" ht="16.5">
      <c r="B58" s="2">
        <v>46</v>
      </c>
      <c r="C58" s="66" t="s">
        <v>499</v>
      </c>
      <c r="D58" s="49"/>
      <c r="E58" s="71">
        <f t="shared" si="0"/>
        <v>2.4</v>
      </c>
      <c r="F58" s="66">
        <v>2</v>
      </c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67"/>
      <c r="AS58" s="10"/>
      <c r="AT58" s="10"/>
      <c r="AU58" s="10"/>
      <c r="AV58" s="10"/>
      <c r="AW58" s="10"/>
      <c r="AX58" s="10"/>
      <c r="AY58" s="10"/>
      <c r="AZ58" s="10"/>
      <c r="BA58" s="67"/>
      <c r="BB58" s="10"/>
      <c r="BC58" s="10"/>
      <c r="BD58" s="10"/>
      <c r="BE58" s="10"/>
      <c r="BF58" s="10">
        <v>0</v>
      </c>
      <c r="BG58" s="11">
        <f t="shared" si="1"/>
        <v>0</v>
      </c>
      <c r="BH58" s="10"/>
      <c r="BI58" s="10">
        <v>0</v>
      </c>
      <c r="BJ58" s="11">
        <f t="shared" si="2"/>
        <v>0</v>
      </c>
      <c r="BK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66"/>
      <c r="CY58" s="70">
        <f t="shared" si="3"/>
        <v>0</v>
      </c>
      <c r="CZ58" s="10"/>
      <c r="DA58" s="10"/>
      <c r="DB58" s="10"/>
      <c r="DC58" s="10"/>
      <c r="DD58" s="10"/>
      <c r="DE58" s="10"/>
      <c r="DF58" s="10"/>
      <c r="DG58" s="10"/>
      <c r="DH58" s="66"/>
      <c r="DI58" s="70">
        <f t="shared" si="4"/>
        <v>0</v>
      </c>
      <c r="DJ58" s="10"/>
      <c r="DK58" s="10"/>
      <c r="DL58" s="10"/>
      <c r="DM58" s="11">
        <f t="shared" si="5"/>
        <v>0</v>
      </c>
      <c r="DN58" s="10"/>
      <c r="DO58" s="10"/>
      <c r="DP58" s="10">
        <v>2</v>
      </c>
      <c r="DQ58" s="11">
        <f t="shared" si="6"/>
        <v>4.8</v>
      </c>
      <c r="DR58" s="10"/>
      <c r="DS58" s="10"/>
      <c r="DT58" s="11">
        <f t="shared" si="7"/>
        <v>0</v>
      </c>
      <c r="DU58" s="10"/>
      <c r="DV58" s="10"/>
      <c r="DW58" s="10"/>
      <c r="DX58" s="11">
        <f t="shared" si="8"/>
        <v>0</v>
      </c>
      <c r="DY58" s="10"/>
      <c r="DZ58" s="11">
        <f t="shared" si="9"/>
        <v>0</v>
      </c>
      <c r="EA58" s="10"/>
      <c r="EB58" s="10"/>
    </row>
    <row r="59" spans="2:132" ht="16.5">
      <c r="B59" s="2">
        <v>47</v>
      </c>
      <c r="C59" s="66" t="s">
        <v>500</v>
      </c>
      <c r="D59" s="49"/>
      <c r="E59" s="71">
        <f t="shared" si="0"/>
        <v>1.2</v>
      </c>
      <c r="F59" s="66">
        <v>1</v>
      </c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67"/>
      <c r="AS59" s="10"/>
      <c r="AT59" s="10"/>
      <c r="AU59" s="10"/>
      <c r="AV59" s="10"/>
      <c r="AW59" s="10"/>
      <c r="AX59" s="10"/>
      <c r="AY59" s="10"/>
      <c r="AZ59" s="10"/>
      <c r="BA59" s="67"/>
      <c r="BB59" s="10"/>
      <c r="BC59" s="10"/>
      <c r="BD59" s="10"/>
      <c r="BE59" s="10"/>
      <c r="BF59" s="10">
        <v>0</v>
      </c>
      <c r="BG59" s="11">
        <f t="shared" si="1"/>
        <v>0</v>
      </c>
      <c r="BH59" s="10"/>
      <c r="BI59" s="10">
        <v>0</v>
      </c>
      <c r="BJ59" s="11">
        <f t="shared" si="2"/>
        <v>0</v>
      </c>
      <c r="BK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66"/>
      <c r="CY59" s="70">
        <f t="shared" si="3"/>
        <v>0</v>
      </c>
      <c r="CZ59" s="10"/>
      <c r="DA59" s="10"/>
      <c r="DB59" s="10"/>
      <c r="DC59" s="10"/>
      <c r="DD59" s="10"/>
      <c r="DE59" s="10"/>
      <c r="DF59" s="10"/>
      <c r="DG59" s="10"/>
      <c r="DH59" s="66"/>
      <c r="DI59" s="70">
        <f t="shared" si="4"/>
        <v>0</v>
      </c>
      <c r="DJ59" s="10"/>
      <c r="DK59" s="10"/>
      <c r="DL59" s="10"/>
      <c r="DM59" s="11">
        <f t="shared" si="5"/>
        <v>0</v>
      </c>
      <c r="DN59" s="10"/>
      <c r="DO59" s="10"/>
      <c r="DP59" s="10">
        <v>0</v>
      </c>
      <c r="DQ59" s="11">
        <f t="shared" si="6"/>
        <v>0</v>
      </c>
      <c r="DR59" s="10"/>
      <c r="DS59" s="10"/>
      <c r="DT59" s="11">
        <f t="shared" si="7"/>
        <v>0</v>
      </c>
      <c r="DU59" s="10"/>
      <c r="DV59" s="10"/>
      <c r="DW59" s="10">
        <v>1</v>
      </c>
      <c r="DX59" s="11">
        <f t="shared" si="8"/>
        <v>1.2</v>
      </c>
      <c r="DY59" s="10"/>
      <c r="DZ59" s="11">
        <f t="shared" si="9"/>
        <v>0</v>
      </c>
      <c r="EA59" s="10"/>
      <c r="EB59" s="10"/>
    </row>
    <row r="60" spans="2:132" ht="16.5">
      <c r="B60" s="2">
        <v>48</v>
      </c>
      <c r="C60" s="66" t="s">
        <v>501</v>
      </c>
      <c r="D60" s="49"/>
      <c r="E60" s="71">
        <f t="shared" si="0"/>
        <v>18</v>
      </c>
      <c r="F60" s="66">
        <v>15</v>
      </c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67"/>
      <c r="AS60" s="10"/>
      <c r="AT60" s="10"/>
      <c r="AU60" s="10"/>
      <c r="AV60" s="10"/>
      <c r="AW60" s="10"/>
      <c r="AX60" s="10"/>
      <c r="AY60" s="10"/>
      <c r="AZ60" s="10"/>
      <c r="BA60" s="67"/>
      <c r="BB60" s="10"/>
      <c r="BC60" s="10"/>
      <c r="BD60" s="10"/>
      <c r="BE60" s="10"/>
      <c r="BF60" s="10">
        <v>0</v>
      </c>
      <c r="BG60" s="11">
        <f t="shared" si="1"/>
        <v>0</v>
      </c>
      <c r="BH60" s="10"/>
      <c r="BI60" s="10">
        <v>10</v>
      </c>
      <c r="BJ60" s="11">
        <f t="shared" si="2"/>
        <v>180</v>
      </c>
      <c r="BK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66"/>
      <c r="CY60" s="70">
        <f t="shared" si="3"/>
        <v>0</v>
      </c>
      <c r="CZ60" s="10"/>
      <c r="DA60" s="10"/>
      <c r="DB60" s="10"/>
      <c r="DC60" s="10"/>
      <c r="DD60" s="10"/>
      <c r="DE60" s="10"/>
      <c r="DF60" s="10"/>
      <c r="DG60" s="10"/>
      <c r="DH60" s="66">
        <v>1</v>
      </c>
      <c r="DI60" s="70">
        <f t="shared" si="4"/>
        <v>18</v>
      </c>
      <c r="DJ60" s="10"/>
      <c r="DK60" s="10"/>
      <c r="DL60" s="10"/>
      <c r="DM60" s="11">
        <f t="shared" si="5"/>
        <v>0</v>
      </c>
      <c r="DN60" s="10"/>
      <c r="DO60" s="10"/>
      <c r="DP60" s="10">
        <v>2</v>
      </c>
      <c r="DQ60" s="11">
        <f t="shared" si="6"/>
        <v>36</v>
      </c>
      <c r="DR60" s="10"/>
      <c r="DS60" s="10">
        <v>2</v>
      </c>
      <c r="DT60" s="11">
        <f t="shared" si="7"/>
        <v>36</v>
      </c>
      <c r="DU60" s="10"/>
      <c r="DV60" s="10"/>
      <c r="DW60" s="10"/>
      <c r="DX60" s="11">
        <f t="shared" si="8"/>
        <v>0</v>
      </c>
      <c r="DY60" s="10"/>
      <c r="DZ60" s="11">
        <f t="shared" si="9"/>
        <v>0</v>
      </c>
      <c r="EA60" s="10"/>
      <c r="EB60" s="10"/>
    </row>
    <row r="61" spans="2:132" ht="16.5">
      <c r="B61" s="2">
        <v>49</v>
      </c>
      <c r="C61" s="66" t="s">
        <v>502</v>
      </c>
      <c r="D61" s="49"/>
      <c r="E61" s="71">
        <f t="shared" si="0"/>
        <v>4.8</v>
      </c>
      <c r="F61" s="66">
        <v>4</v>
      </c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67"/>
      <c r="AS61" s="10"/>
      <c r="AT61" s="10"/>
      <c r="AU61" s="10"/>
      <c r="AV61" s="10"/>
      <c r="AW61" s="10"/>
      <c r="AX61" s="10"/>
      <c r="AY61" s="10"/>
      <c r="AZ61" s="10"/>
      <c r="BA61" s="67"/>
      <c r="BB61" s="10"/>
      <c r="BC61" s="10"/>
      <c r="BD61" s="10"/>
      <c r="BE61" s="10"/>
      <c r="BF61" s="10">
        <v>0</v>
      </c>
      <c r="BG61" s="11">
        <f t="shared" si="1"/>
        <v>0</v>
      </c>
      <c r="BH61" s="10"/>
      <c r="BI61" s="10">
        <v>0</v>
      </c>
      <c r="BJ61" s="11">
        <f t="shared" si="2"/>
        <v>0</v>
      </c>
      <c r="BK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66">
        <v>1</v>
      </c>
      <c r="CY61" s="70">
        <f t="shared" si="3"/>
        <v>4.8</v>
      </c>
      <c r="CZ61" s="10"/>
      <c r="DA61" s="10"/>
      <c r="DB61" s="10"/>
      <c r="DC61" s="10"/>
      <c r="DD61" s="10"/>
      <c r="DE61" s="10"/>
      <c r="DF61" s="10"/>
      <c r="DG61" s="10"/>
      <c r="DH61" s="66">
        <v>1</v>
      </c>
      <c r="DI61" s="70">
        <f t="shared" si="4"/>
        <v>4.8</v>
      </c>
      <c r="DJ61" s="10"/>
      <c r="DK61" s="10"/>
      <c r="DL61" s="10"/>
      <c r="DM61" s="11">
        <f t="shared" si="5"/>
        <v>0</v>
      </c>
      <c r="DN61" s="10"/>
      <c r="DO61" s="10"/>
      <c r="DP61" s="10">
        <v>2</v>
      </c>
      <c r="DQ61" s="11">
        <f t="shared" si="6"/>
        <v>9.6</v>
      </c>
      <c r="DR61" s="10"/>
      <c r="DS61" s="10"/>
      <c r="DT61" s="11">
        <f t="shared" si="7"/>
        <v>0</v>
      </c>
      <c r="DU61" s="10"/>
      <c r="DV61" s="10"/>
      <c r="DW61" s="10"/>
      <c r="DX61" s="11">
        <f t="shared" si="8"/>
        <v>0</v>
      </c>
      <c r="DY61" s="10"/>
      <c r="DZ61" s="11">
        <f t="shared" si="9"/>
        <v>0</v>
      </c>
      <c r="EA61" s="10"/>
      <c r="EB61" s="10"/>
    </row>
    <row r="62" spans="2:132" ht="16.5">
      <c r="B62" s="2">
        <v>50</v>
      </c>
      <c r="C62" s="66" t="s">
        <v>503</v>
      </c>
      <c r="D62" s="49"/>
      <c r="E62" s="71">
        <f t="shared" si="0"/>
        <v>1.2</v>
      </c>
      <c r="F62" s="66">
        <v>1</v>
      </c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67"/>
      <c r="AS62" s="10"/>
      <c r="AT62" s="10"/>
      <c r="AU62" s="10"/>
      <c r="AV62" s="10"/>
      <c r="AW62" s="10"/>
      <c r="AX62" s="10"/>
      <c r="AY62" s="10"/>
      <c r="AZ62" s="10"/>
      <c r="BA62" s="67"/>
      <c r="BB62" s="10"/>
      <c r="BC62" s="10"/>
      <c r="BD62" s="10"/>
      <c r="BE62" s="10"/>
      <c r="BF62" s="10">
        <v>0</v>
      </c>
      <c r="BG62" s="11">
        <f t="shared" si="1"/>
        <v>0</v>
      </c>
      <c r="BH62" s="10"/>
      <c r="BI62" s="10">
        <v>0</v>
      </c>
      <c r="BJ62" s="11">
        <f t="shared" si="2"/>
        <v>0</v>
      </c>
      <c r="BK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66"/>
      <c r="CY62" s="70">
        <f t="shared" si="3"/>
        <v>0</v>
      </c>
      <c r="CZ62" s="10"/>
      <c r="DA62" s="10"/>
      <c r="DB62" s="10"/>
      <c r="DC62" s="10"/>
      <c r="DD62" s="10"/>
      <c r="DE62" s="10"/>
      <c r="DF62" s="10"/>
      <c r="DG62" s="10"/>
      <c r="DH62" s="66"/>
      <c r="DI62" s="70">
        <f t="shared" si="4"/>
        <v>0</v>
      </c>
      <c r="DJ62" s="10"/>
      <c r="DK62" s="10"/>
      <c r="DL62" s="10"/>
      <c r="DM62" s="11">
        <f t="shared" si="5"/>
        <v>0</v>
      </c>
      <c r="DN62" s="10"/>
      <c r="DO62" s="10"/>
      <c r="DP62" s="10">
        <v>0</v>
      </c>
      <c r="DQ62" s="11">
        <f t="shared" si="6"/>
        <v>0</v>
      </c>
      <c r="DR62" s="10"/>
      <c r="DS62" s="10">
        <v>1</v>
      </c>
      <c r="DT62" s="11">
        <f t="shared" si="7"/>
        <v>1.2</v>
      </c>
      <c r="DU62" s="10"/>
      <c r="DV62" s="10"/>
      <c r="DW62" s="10"/>
      <c r="DX62" s="11">
        <f t="shared" si="8"/>
        <v>0</v>
      </c>
      <c r="DY62" s="10"/>
      <c r="DZ62" s="11">
        <f t="shared" si="9"/>
        <v>0</v>
      </c>
      <c r="EA62" s="10"/>
      <c r="EB62" s="10"/>
    </row>
    <row r="63" spans="2:132" ht="16.5">
      <c r="B63" s="2">
        <v>51</v>
      </c>
      <c r="C63" s="66" t="s">
        <v>504</v>
      </c>
      <c r="D63" s="49"/>
      <c r="E63" s="71">
        <f t="shared" si="0"/>
        <v>36</v>
      </c>
      <c r="F63" s="66">
        <v>30</v>
      </c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67"/>
      <c r="AS63" s="10"/>
      <c r="AT63" s="10"/>
      <c r="AU63" s="10"/>
      <c r="AV63" s="10"/>
      <c r="AW63" s="10"/>
      <c r="AX63" s="10"/>
      <c r="AY63" s="10"/>
      <c r="AZ63" s="10"/>
      <c r="BA63" s="67"/>
      <c r="BB63" s="10"/>
      <c r="BC63" s="10"/>
      <c r="BD63" s="10"/>
      <c r="BE63" s="10"/>
      <c r="BF63" s="10">
        <v>1</v>
      </c>
      <c r="BG63" s="11">
        <f t="shared" si="1"/>
        <v>36</v>
      </c>
      <c r="BH63" s="10"/>
      <c r="BI63" s="10">
        <v>19</v>
      </c>
      <c r="BJ63" s="11">
        <f t="shared" si="2"/>
        <v>684</v>
      </c>
      <c r="BK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66">
        <v>2</v>
      </c>
      <c r="CY63" s="70">
        <f t="shared" si="3"/>
        <v>72</v>
      </c>
      <c r="CZ63" s="10"/>
      <c r="DA63" s="10"/>
      <c r="DB63" s="10"/>
      <c r="DC63" s="10"/>
      <c r="DD63" s="10"/>
      <c r="DE63" s="10"/>
      <c r="DF63" s="10"/>
      <c r="DG63" s="10"/>
      <c r="DH63" s="66"/>
      <c r="DI63" s="70">
        <f t="shared" si="4"/>
        <v>0</v>
      </c>
      <c r="DJ63" s="10"/>
      <c r="DK63" s="10"/>
      <c r="DL63" s="10">
        <v>1</v>
      </c>
      <c r="DM63" s="11">
        <f t="shared" si="5"/>
        <v>36</v>
      </c>
      <c r="DN63" s="10"/>
      <c r="DO63" s="10"/>
      <c r="DP63" s="10">
        <v>6</v>
      </c>
      <c r="DQ63" s="11">
        <f t="shared" si="6"/>
        <v>216</v>
      </c>
      <c r="DR63" s="10"/>
      <c r="DS63" s="10">
        <v>1</v>
      </c>
      <c r="DT63" s="11">
        <f t="shared" si="7"/>
        <v>36</v>
      </c>
      <c r="DU63" s="10"/>
      <c r="DV63" s="10"/>
      <c r="DW63" s="10"/>
      <c r="DX63" s="11">
        <f t="shared" si="8"/>
        <v>0</v>
      </c>
      <c r="DY63" s="10"/>
      <c r="DZ63" s="11">
        <f t="shared" si="9"/>
        <v>0</v>
      </c>
      <c r="EA63" s="10"/>
      <c r="EB63" s="10"/>
    </row>
    <row r="64" spans="2:132" ht="16.5">
      <c r="B64" s="2">
        <v>52</v>
      </c>
      <c r="C64" s="66" t="s">
        <v>505</v>
      </c>
      <c r="D64" s="49"/>
      <c r="E64" s="71">
        <f t="shared" si="0"/>
        <v>45.6</v>
      </c>
      <c r="F64" s="66">
        <v>38</v>
      </c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67"/>
      <c r="AS64" s="10"/>
      <c r="AT64" s="10"/>
      <c r="AU64" s="10"/>
      <c r="AV64" s="10"/>
      <c r="AW64" s="10"/>
      <c r="AX64" s="10"/>
      <c r="AY64" s="10"/>
      <c r="AZ64" s="10"/>
      <c r="BA64" s="67"/>
      <c r="BB64" s="10"/>
      <c r="BC64" s="10"/>
      <c r="BD64" s="10"/>
      <c r="BE64" s="10"/>
      <c r="BF64" s="10">
        <v>2</v>
      </c>
      <c r="BG64" s="11">
        <f t="shared" si="1"/>
        <v>91.2</v>
      </c>
      <c r="BH64" s="10"/>
      <c r="BI64" s="10">
        <v>7</v>
      </c>
      <c r="BJ64" s="11">
        <f t="shared" si="2"/>
        <v>319.2</v>
      </c>
      <c r="BK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66">
        <v>3</v>
      </c>
      <c r="CY64" s="70">
        <f t="shared" si="3"/>
        <v>136.80000000000001</v>
      </c>
      <c r="CZ64" s="10"/>
      <c r="DA64" s="10"/>
      <c r="DB64" s="10"/>
      <c r="DC64" s="10"/>
      <c r="DD64" s="10"/>
      <c r="DE64" s="10"/>
      <c r="DF64" s="10"/>
      <c r="DG64" s="10"/>
      <c r="DH64" s="66">
        <v>1</v>
      </c>
      <c r="DI64" s="70">
        <f t="shared" si="4"/>
        <v>45.6</v>
      </c>
      <c r="DJ64" s="10"/>
      <c r="DK64" s="10"/>
      <c r="DL64" s="10">
        <v>2</v>
      </c>
      <c r="DM64" s="11">
        <f t="shared" si="5"/>
        <v>91.2</v>
      </c>
      <c r="DN64" s="10"/>
      <c r="DO64" s="10"/>
      <c r="DP64" s="10">
        <v>23</v>
      </c>
      <c r="DQ64" s="11">
        <f t="shared" si="6"/>
        <v>1048.8</v>
      </c>
      <c r="DR64" s="10"/>
      <c r="DS64" s="10"/>
      <c r="DT64" s="11">
        <f t="shared" si="7"/>
        <v>0</v>
      </c>
      <c r="DU64" s="10"/>
      <c r="DV64" s="10"/>
      <c r="DW64" s="10"/>
      <c r="DX64" s="11">
        <f t="shared" si="8"/>
        <v>0</v>
      </c>
      <c r="DY64" s="10"/>
      <c r="DZ64" s="11">
        <f t="shared" si="9"/>
        <v>0</v>
      </c>
      <c r="EA64" s="10"/>
      <c r="EB64" s="10"/>
    </row>
    <row r="65" spans="2:132" ht="16.5">
      <c r="B65" s="2">
        <v>53</v>
      </c>
      <c r="C65" s="66" t="s">
        <v>506</v>
      </c>
      <c r="D65" s="49"/>
      <c r="E65" s="71">
        <f t="shared" si="0"/>
        <v>1.2</v>
      </c>
      <c r="F65" s="66">
        <v>1</v>
      </c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67"/>
      <c r="AS65" s="10"/>
      <c r="AT65" s="10"/>
      <c r="AU65" s="10"/>
      <c r="AV65" s="10"/>
      <c r="AW65" s="10"/>
      <c r="AX65" s="10"/>
      <c r="AY65" s="10"/>
      <c r="AZ65" s="10"/>
      <c r="BA65" s="67"/>
      <c r="BB65" s="10"/>
      <c r="BC65" s="10"/>
      <c r="BD65" s="10"/>
      <c r="BE65" s="10"/>
      <c r="BF65" s="10">
        <v>0</v>
      </c>
      <c r="BG65" s="11">
        <f t="shared" si="1"/>
        <v>0</v>
      </c>
      <c r="BH65" s="10"/>
      <c r="BI65" s="10">
        <v>0</v>
      </c>
      <c r="BJ65" s="11">
        <f t="shared" si="2"/>
        <v>0</v>
      </c>
      <c r="BK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66"/>
      <c r="CY65" s="70">
        <f t="shared" si="3"/>
        <v>0</v>
      </c>
      <c r="CZ65" s="10"/>
      <c r="DA65" s="10"/>
      <c r="DB65" s="10"/>
      <c r="DC65" s="10"/>
      <c r="DD65" s="10"/>
      <c r="DE65" s="10"/>
      <c r="DF65" s="10"/>
      <c r="DG65" s="10"/>
      <c r="DH65" s="66"/>
      <c r="DI65" s="70">
        <f t="shared" si="4"/>
        <v>0</v>
      </c>
      <c r="DJ65" s="10"/>
      <c r="DK65" s="10"/>
      <c r="DL65" s="10"/>
      <c r="DM65" s="11">
        <f t="shared" si="5"/>
        <v>0</v>
      </c>
      <c r="DN65" s="10"/>
      <c r="DO65" s="10"/>
      <c r="DP65" s="10">
        <v>1</v>
      </c>
      <c r="DQ65" s="11">
        <f t="shared" si="6"/>
        <v>1.2</v>
      </c>
      <c r="DR65" s="10"/>
      <c r="DS65" s="10"/>
      <c r="DT65" s="11">
        <f t="shared" si="7"/>
        <v>0</v>
      </c>
      <c r="DU65" s="10"/>
      <c r="DV65" s="10"/>
      <c r="DW65" s="10"/>
      <c r="DX65" s="11">
        <f t="shared" si="8"/>
        <v>0</v>
      </c>
      <c r="DY65" s="10"/>
      <c r="DZ65" s="11">
        <f t="shared" si="9"/>
        <v>0</v>
      </c>
      <c r="EA65" s="10"/>
      <c r="EB65" s="10"/>
    </row>
    <row r="66" spans="2:132" ht="16.5">
      <c r="B66" s="2">
        <v>54</v>
      </c>
      <c r="C66" s="66" t="s">
        <v>507</v>
      </c>
      <c r="D66" s="49"/>
      <c r="E66" s="71">
        <f t="shared" si="0"/>
        <v>2.4</v>
      </c>
      <c r="F66" s="66">
        <v>2</v>
      </c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67"/>
      <c r="AS66" s="10"/>
      <c r="AT66" s="10"/>
      <c r="AU66" s="10"/>
      <c r="AV66" s="10"/>
      <c r="AW66" s="10"/>
      <c r="AX66" s="10"/>
      <c r="AY66" s="10"/>
      <c r="AZ66" s="10"/>
      <c r="BA66" s="67"/>
      <c r="BB66" s="10"/>
      <c r="BC66" s="10"/>
      <c r="BD66" s="10"/>
      <c r="BE66" s="10"/>
      <c r="BF66" s="10">
        <v>0</v>
      </c>
      <c r="BG66" s="11">
        <f t="shared" si="1"/>
        <v>0</v>
      </c>
      <c r="BH66" s="10"/>
      <c r="BI66" s="10">
        <v>0</v>
      </c>
      <c r="BJ66" s="11">
        <f t="shared" si="2"/>
        <v>0</v>
      </c>
      <c r="BK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66"/>
      <c r="CY66" s="70">
        <f t="shared" si="3"/>
        <v>0</v>
      </c>
      <c r="CZ66" s="10"/>
      <c r="DA66" s="10"/>
      <c r="DB66" s="10"/>
      <c r="DC66" s="10"/>
      <c r="DD66" s="10"/>
      <c r="DE66" s="10"/>
      <c r="DF66" s="10"/>
      <c r="DG66" s="10"/>
      <c r="DH66" s="66"/>
      <c r="DI66" s="70">
        <f t="shared" si="4"/>
        <v>0</v>
      </c>
      <c r="DJ66" s="10"/>
      <c r="DK66" s="10"/>
      <c r="DL66" s="10"/>
      <c r="DM66" s="11">
        <f t="shared" si="5"/>
        <v>0</v>
      </c>
      <c r="DN66" s="10"/>
      <c r="DO66" s="10"/>
      <c r="DP66" s="10">
        <v>2</v>
      </c>
      <c r="DQ66" s="11">
        <f t="shared" si="6"/>
        <v>4.8</v>
      </c>
      <c r="DR66" s="10"/>
      <c r="DS66" s="10"/>
      <c r="DT66" s="11">
        <f t="shared" si="7"/>
        <v>0</v>
      </c>
      <c r="DU66" s="10"/>
      <c r="DV66" s="10"/>
      <c r="DW66" s="10"/>
      <c r="DX66" s="11">
        <f t="shared" si="8"/>
        <v>0</v>
      </c>
      <c r="DY66" s="10"/>
      <c r="DZ66" s="11">
        <f t="shared" si="9"/>
        <v>0</v>
      </c>
      <c r="EA66" s="10"/>
      <c r="EB66" s="10"/>
    </row>
    <row r="67" spans="2:132" ht="16.5">
      <c r="B67" s="2">
        <v>55</v>
      </c>
      <c r="C67" s="66" t="s">
        <v>508</v>
      </c>
      <c r="D67" s="49"/>
      <c r="E67" s="71">
        <f t="shared" si="0"/>
        <v>3.5999999999999996</v>
      </c>
      <c r="F67" s="66">
        <v>3</v>
      </c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67"/>
      <c r="AS67" s="10"/>
      <c r="AT67" s="10"/>
      <c r="AU67" s="10"/>
      <c r="AV67" s="10"/>
      <c r="AW67" s="10"/>
      <c r="AX67" s="10"/>
      <c r="AY67" s="10"/>
      <c r="AZ67" s="10"/>
      <c r="BA67" s="67"/>
      <c r="BB67" s="10"/>
      <c r="BC67" s="10"/>
      <c r="BD67" s="10"/>
      <c r="BE67" s="10"/>
      <c r="BF67" s="10">
        <v>0</v>
      </c>
      <c r="BG67" s="11">
        <f t="shared" si="1"/>
        <v>0</v>
      </c>
      <c r="BH67" s="10"/>
      <c r="BI67" s="10">
        <v>0</v>
      </c>
      <c r="BJ67" s="11">
        <f t="shared" si="2"/>
        <v>0</v>
      </c>
      <c r="BK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66"/>
      <c r="CY67" s="70">
        <f t="shared" si="3"/>
        <v>0</v>
      </c>
      <c r="CZ67" s="10"/>
      <c r="DA67" s="10"/>
      <c r="DB67" s="10"/>
      <c r="DC67" s="10"/>
      <c r="DD67" s="10"/>
      <c r="DE67" s="10"/>
      <c r="DF67" s="10"/>
      <c r="DG67" s="10"/>
      <c r="DH67" s="66"/>
      <c r="DI67" s="70">
        <f t="shared" si="4"/>
        <v>0</v>
      </c>
      <c r="DJ67" s="10"/>
      <c r="DK67" s="10"/>
      <c r="DL67" s="10"/>
      <c r="DM67" s="11">
        <f t="shared" si="5"/>
        <v>0</v>
      </c>
      <c r="DN67" s="10"/>
      <c r="DO67" s="10"/>
      <c r="DP67" s="10">
        <v>3</v>
      </c>
      <c r="DQ67" s="11">
        <f t="shared" si="6"/>
        <v>10.799999999999999</v>
      </c>
      <c r="DR67" s="10"/>
      <c r="DS67" s="10"/>
      <c r="DT67" s="11">
        <f t="shared" si="7"/>
        <v>0</v>
      </c>
      <c r="DU67" s="10"/>
      <c r="DV67" s="10"/>
      <c r="DW67" s="10"/>
      <c r="DX67" s="11">
        <f t="shared" si="8"/>
        <v>0</v>
      </c>
      <c r="DY67" s="10"/>
      <c r="DZ67" s="11">
        <f t="shared" si="9"/>
        <v>0</v>
      </c>
      <c r="EA67" s="10"/>
      <c r="EB67" s="10"/>
    </row>
    <row r="68" spans="2:132" ht="16.5">
      <c r="B68" s="2">
        <v>56</v>
      </c>
      <c r="C68" s="66" t="s">
        <v>509</v>
      </c>
      <c r="D68" s="49"/>
      <c r="E68" s="71">
        <f t="shared" si="0"/>
        <v>3.5999999999999996</v>
      </c>
      <c r="F68" s="66">
        <v>3</v>
      </c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67"/>
      <c r="AS68" s="10"/>
      <c r="AT68" s="10"/>
      <c r="AU68" s="10"/>
      <c r="AV68" s="10"/>
      <c r="AW68" s="10"/>
      <c r="AX68" s="10"/>
      <c r="AY68" s="10"/>
      <c r="AZ68" s="10"/>
      <c r="BA68" s="67"/>
      <c r="BB68" s="10"/>
      <c r="BC68" s="10"/>
      <c r="BD68" s="10"/>
      <c r="BE68" s="10"/>
      <c r="BF68" s="10">
        <v>0</v>
      </c>
      <c r="BG68" s="11">
        <f t="shared" si="1"/>
        <v>0</v>
      </c>
      <c r="BH68" s="10"/>
      <c r="BI68" s="10">
        <v>1</v>
      </c>
      <c r="BJ68" s="11">
        <f t="shared" si="2"/>
        <v>3.5999999999999996</v>
      </c>
      <c r="BK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66"/>
      <c r="CY68" s="70">
        <f t="shared" si="3"/>
        <v>0</v>
      </c>
      <c r="CZ68" s="10"/>
      <c r="DA68" s="10"/>
      <c r="DB68" s="10"/>
      <c r="DC68" s="10"/>
      <c r="DD68" s="10"/>
      <c r="DE68" s="10"/>
      <c r="DF68" s="10"/>
      <c r="DG68" s="10"/>
      <c r="DH68" s="66"/>
      <c r="DI68" s="70">
        <f t="shared" si="4"/>
        <v>0</v>
      </c>
      <c r="DJ68" s="10"/>
      <c r="DK68" s="10"/>
      <c r="DL68" s="10"/>
      <c r="DM68" s="11">
        <f t="shared" si="5"/>
        <v>0</v>
      </c>
      <c r="DN68" s="10"/>
      <c r="DO68" s="10"/>
      <c r="DP68" s="10">
        <v>2</v>
      </c>
      <c r="DQ68" s="11">
        <f t="shared" si="6"/>
        <v>7.1999999999999993</v>
      </c>
      <c r="DR68" s="10"/>
      <c r="DS68" s="10"/>
      <c r="DT68" s="11">
        <f t="shared" si="7"/>
        <v>0</v>
      </c>
      <c r="DU68" s="10"/>
      <c r="DV68" s="10"/>
      <c r="DW68" s="10"/>
      <c r="DX68" s="11">
        <f t="shared" si="8"/>
        <v>0</v>
      </c>
      <c r="DY68" s="10"/>
      <c r="DZ68" s="11">
        <f t="shared" si="9"/>
        <v>0</v>
      </c>
      <c r="EA68" s="10"/>
      <c r="EB68" s="10"/>
    </row>
    <row r="69" spans="2:132" ht="16.5">
      <c r="B69" s="2">
        <v>57</v>
      </c>
      <c r="C69" s="66" t="s">
        <v>510</v>
      </c>
      <c r="D69" s="49"/>
      <c r="E69" s="71">
        <f t="shared" si="0"/>
        <v>3.5999999999999996</v>
      </c>
      <c r="F69" s="66">
        <v>3</v>
      </c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67"/>
      <c r="AS69" s="10"/>
      <c r="AT69" s="10"/>
      <c r="AU69" s="10"/>
      <c r="AV69" s="10"/>
      <c r="AW69" s="10"/>
      <c r="AX69" s="10"/>
      <c r="AY69" s="10"/>
      <c r="AZ69" s="10"/>
      <c r="BA69" s="67"/>
      <c r="BB69" s="10"/>
      <c r="BC69" s="10"/>
      <c r="BD69" s="10"/>
      <c r="BE69" s="10"/>
      <c r="BF69" s="10">
        <v>0</v>
      </c>
      <c r="BG69" s="11">
        <f t="shared" si="1"/>
        <v>0</v>
      </c>
      <c r="BH69" s="10"/>
      <c r="BI69" s="10">
        <v>0</v>
      </c>
      <c r="BJ69" s="11">
        <f t="shared" si="2"/>
        <v>0</v>
      </c>
      <c r="BK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66"/>
      <c r="CY69" s="70">
        <f t="shared" si="3"/>
        <v>0</v>
      </c>
      <c r="CZ69" s="10"/>
      <c r="DA69" s="10"/>
      <c r="DB69" s="10"/>
      <c r="DC69" s="10"/>
      <c r="DD69" s="10"/>
      <c r="DE69" s="10"/>
      <c r="DF69" s="10"/>
      <c r="DG69" s="10"/>
      <c r="DH69" s="66"/>
      <c r="DI69" s="70">
        <f t="shared" si="4"/>
        <v>0</v>
      </c>
      <c r="DJ69" s="10"/>
      <c r="DK69" s="10"/>
      <c r="DL69" s="10"/>
      <c r="DM69" s="11">
        <f t="shared" si="5"/>
        <v>0</v>
      </c>
      <c r="DN69" s="10"/>
      <c r="DO69" s="10"/>
      <c r="DP69" s="10">
        <v>0</v>
      </c>
      <c r="DQ69" s="11">
        <f t="shared" si="6"/>
        <v>0</v>
      </c>
      <c r="DR69" s="10"/>
      <c r="DS69" s="10">
        <v>3</v>
      </c>
      <c r="DT69" s="11">
        <f t="shared" si="7"/>
        <v>10.799999999999999</v>
      </c>
      <c r="DU69" s="10"/>
      <c r="DV69" s="10"/>
      <c r="DW69" s="10"/>
      <c r="DX69" s="11">
        <f t="shared" si="8"/>
        <v>0</v>
      </c>
      <c r="DY69" s="10"/>
      <c r="DZ69" s="11">
        <f t="shared" si="9"/>
        <v>0</v>
      </c>
      <c r="EA69" s="10"/>
      <c r="EB69" s="10"/>
    </row>
    <row r="70" spans="2:132" ht="16.5">
      <c r="B70" s="2">
        <v>58</v>
      </c>
      <c r="C70" s="66" t="s">
        <v>511</v>
      </c>
      <c r="D70" s="49"/>
      <c r="E70" s="71">
        <f t="shared" si="0"/>
        <v>2.4</v>
      </c>
      <c r="F70" s="66">
        <v>2</v>
      </c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67"/>
      <c r="AS70" s="10"/>
      <c r="AT70" s="10"/>
      <c r="AU70" s="10"/>
      <c r="AV70" s="10"/>
      <c r="AW70" s="10"/>
      <c r="AX70" s="10"/>
      <c r="AY70" s="10"/>
      <c r="AZ70" s="10"/>
      <c r="BA70" s="67"/>
      <c r="BB70" s="10"/>
      <c r="BC70" s="10"/>
      <c r="BD70" s="10"/>
      <c r="BE70" s="10"/>
      <c r="BF70" s="10">
        <v>0</v>
      </c>
      <c r="BG70" s="11">
        <f t="shared" si="1"/>
        <v>0</v>
      </c>
      <c r="BH70" s="10"/>
      <c r="BI70" s="10">
        <v>0</v>
      </c>
      <c r="BJ70" s="11">
        <f t="shared" si="2"/>
        <v>0</v>
      </c>
      <c r="BK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66"/>
      <c r="CY70" s="70">
        <f t="shared" si="3"/>
        <v>0</v>
      </c>
      <c r="CZ70" s="10"/>
      <c r="DA70" s="10"/>
      <c r="DB70" s="10"/>
      <c r="DC70" s="10"/>
      <c r="DD70" s="10"/>
      <c r="DE70" s="10"/>
      <c r="DF70" s="10"/>
      <c r="DG70" s="10"/>
      <c r="DH70" s="66"/>
      <c r="DI70" s="70">
        <f t="shared" si="4"/>
        <v>0</v>
      </c>
      <c r="DJ70" s="10"/>
      <c r="DK70" s="10"/>
      <c r="DL70" s="10"/>
      <c r="DM70" s="11">
        <f t="shared" si="5"/>
        <v>0</v>
      </c>
      <c r="DN70" s="10"/>
      <c r="DO70" s="10"/>
      <c r="DP70" s="10">
        <v>2</v>
      </c>
      <c r="DQ70" s="11">
        <f t="shared" si="6"/>
        <v>4.8</v>
      </c>
      <c r="DR70" s="10"/>
      <c r="DS70" s="10"/>
      <c r="DT70" s="11">
        <f t="shared" si="7"/>
        <v>0</v>
      </c>
      <c r="DU70" s="10"/>
      <c r="DV70" s="10"/>
      <c r="DW70" s="10"/>
      <c r="DX70" s="11">
        <f t="shared" si="8"/>
        <v>0</v>
      </c>
      <c r="DY70" s="10"/>
      <c r="DZ70" s="11">
        <f t="shared" si="9"/>
        <v>0</v>
      </c>
      <c r="EA70" s="10"/>
      <c r="EB70" s="10"/>
    </row>
    <row r="71" spans="2:132" ht="16.5">
      <c r="B71" s="2">
        <v>59</v>
      </c>
      <c r="C71" s="66" t="s">
        <v>512</v>
      </c>
      <c r="D71" s="49"/>
      <c r="E71" s="71">
        <f t="shared" si="0"/>
        <v>81.599999999999994</v>
      </c>
      <c r="F71" s="66">
        <v>68</v>
      </c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67"/>
      <c r="AS71" s="10"/>
      <c r="AT71" s="10"/>
      <c r="AU71" s="10"/>
      <c r="AV71" s="10"/>
      <c r="AW71" s="10"/>
      <c r="AX71" s="10"/>
      <c r="AY71" s="10"/>
      <c r="AZ71" s="10"/>
      <c r="BA71" s="67"/>
      <c r="BB71" s="10"/>
      <c r="BC71" s="10"/>
      <c r="BD71" s="10"/>
      <c r="BE71" s="10"/>
      <c r="BF71" s="10">
        <v>1</v>
      </c>
      <c r="BG71" s="11">
        <f t="shared" si="1"/>
        <v>81.599999999999994</v>
      </c>
      <c r="BH71" s="10"/>
      <c r="BI71" s="10">
        <v>28</v>
      </c>
      <c r="BJ71" s="11">
        <f t="shared" si="2"/>
        <v>2284.7999999999997</v>
      </c>
      <c r="BK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66">
        <v>8</v>
      </c>
      <c r="CY71" s="70">
        <f t="shared" si="3"/>
        <v>652.79999999999995</v>
      </c>
      <c r="CZ71" s="10"/>
      <c r="DA71" s="10"/>
      <c r="DB71" s="10"/>
      <c r="DC71" s="10"/>
      <c r="DD71" s="10"/>
      <c r="DE71" s="10"/>
      <c r="DF71" s="10"/>
      <c r="DG71" s="10"/>
      <c r="DH71" s="66">
        <v>3</v>
      </c>
      <c r="DI71" s="70">
        <f t="shared" si="4"/>
        <v>244.79999999999998</v>
      </c>
      <c r="DJ71" s="10"/>
      <c r="DK71" s="10"/>
      <c r="DL71" s="10">
        <v>1</v>
      </c>
      <c r="DM71" s="11">
        <f t="shared" si="5"/>
        <v>81.599999999999994</v>
      </c>
      <c r="DN71" s="10"/>
      <c r="DO71" s="10"/>
      <c r="DP71" s="10">
        <v>23</v>
      </c>
      <c r="DQ71" s="11">
        <f t="shared" si="6"/>
        <v>1876.8</v>
      </c>
      <c r="DR71" s="10"/>
      <c r="DS71" s="10">
        <v>4</v>
      </c>
      <c r="DT71" s="11">
        <f t="shared" si="7"/>
        <v>326.39999999999998</v>
      </c>
      <c r="DU71" s="10"/>
      <c r="DV71" s="10"/>
      <c r="DW71" s="10"/>
      <c r="DX71" s="11">
        <f t="shared" si="8"/>
        <v>0</v>
      </c>
      <c r="DY71" s="10"/>
      <c r="DZ71" s="11">
        <f t="shared" si="9"/>
        <v>0</v>
      </c>
      <c r="EA71" s="10"/>
      <c r="EB71" s="10"/>
    </row>
    <row r="72" spans="2:132" ht="16.5">
      <c r="B72" s="2">
        <v>60</v>
      </c>
      <c r="C72" s="66" t="s">
        <v>513</v>
      </c>
      <c r="D72" s="49"/>
      <c r="E72" s="71">
        <f t="shared" si="0"/>
        <v>3.5999999999999996</v>
      </c>
      <c r="F72" s="66">
        <v>3</v>
      </c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67"/>
      <c r="AS72" s="10"/>
      <c r="AT72" s="10"/>
      <c r="AU72" s="10"/>
      <c r="AV72" s="10"/>
      <c r="AW72" s="10"/>
      <c r="AX72" s="10"/>
      <c r="AY72" s="10"/>
      <c r="AZ72" s="10"/>
      <c r="BA72" s="67"/>
      <c r="BB72" s="10"/>
      <c r="BC72" s="10"/>
      <c r="BD72" s="10"/>
      <c r="BE72" s="10"/>
      <c r="BF72" s="10">
        <v>3</v>
      </c>
      <c r="BG72" s="11">
        <f t="shared" si="1"/>
        <v>10.799999999999999</v>
      </c>
      <c r="BH72" s="10"/>
      <c r="BI72" s="10">
        <v>0</v>
      </c>
      <c r="BJ72" s="11">
        <f t="shared" si="2"/>
        <v>0</v>
      </c>
      <c r="BK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66"/>
      <c r="CY72" s="70">
        <f t="shared" si="3"/>
        <v>0</v>
      </c>
      <c r="CZ72" s="10"/>
      <c r="DA72" s="10"/>
      <c r="DB72" s="10"/>
      <c r="DC72" s="10"/>
      <c r="DD72" s="10"/>
      <c r="DE72" s="10"/>
      <c r="DF72" s="10"/>
      <c r="DG72" s="10"/>
      <c r="DH72" s="66"/>
      <c r="DI72" s="70">
        <f t="shared" si="4"/>
        <v>0</v>
      </c>
      <c r="DJ72" s="10"/>
      <c r="DK72" s="10"/>
      <c r="DL72" s="10"/>
      <c r="DM72" s="11">
        <f t="shared" si="5"/>
        <v>0</v>
      </c>
      <c r="DN72" s="10"/>
      <c r="DO72" s="10"/>
      <c r="DP72" s="10">
        <v>0</v>
      </c>
      <c r="DQ72" s="11">
        <f t="shared" si="6"/>
        <v>0</v>
      </c>
      <c r="DR72" s="10"/>
      <c r="DS72" s="10"/>
      <c r="DT72" s="11">
        <f t="shared" si="7"/>
        <v>0</v>
      </c>
      <c r="DU72" s="10"/>
      <c r="DV72" s="10"/>
      <c r="DW72" s="10"/>
      <c r="DX72" s="11">
        <f t="shared" si="8"/>
        <v>0</v>
      </c>
      <c r="DY72" s="10"/>
      <c r="DZ72" s="11">
        <f t="shared" si="9"/>
        <v>0</v>
      </c>
      <c r="EA72" s="10"/>
      <c r="EB72" s="10"/>
    </row>
    <row r="73" spans="2:132" ht="16.5">
      <c r="B73" s="2">
        <v>61</v>
      </c>
      <c r="C73" s="66" t="s">
        <v>514</v>
      </c>
      <c r="D73" s="49"/>
      <c r="E73" s="71">
        <f t="shared" si="0"/>
        <v>3.5999999999999996</v>
      </c>
      <c r="F73" s="66">
        <v>3</v>
      </c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67"/>
      <c r="AS73" s="10"/>
      <c r="AT73" s="10"/>
      <c r="AU73" s="10"/>
      <c r="AV73" s="10"/>
      <c r="AW73" s="10"/>
      <c r="AX73" s="10"/>
      <c r="AY73" s="10"/>
      <c r="AZ73" s="10"/>
      <c r="BA73" s="67"/>
      <c r="BB73" s="10"/>
      <c r="BC73" s="10"/>
      <c r="BD73" s="10"/>
      <c r="BE73" s="10"/>
      <c r="BF73" s="10">
        <v>0</v>
      </c>
      <c r="BG73" s="11">
        <f t="shared" si="1"/>
        <v>0</v>
      </c>
      <c r="BH73" s="10"/>
      <c r="BI73" s="10">
        <v>1</v>
      </c>
      <c r="BJ73" s="11">
        <f t="shared" si="2"/>
        <v>3.5999999999999996</v>
      </c>
      <c r="BK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66"/>
      <c r="CY73" s="70">
        <f t="shared" si="3"/>
        <v>0</v>
      </c>
      <c r="CZ73" s="10"/>
      <c r="DA73" s="10"/>
      <c r="DB73" s="10"/>
      <c r="DC73" s="10"/>
      <c r="DD73" s="10"/>
      <c r="DE73" s="10"/>
      <c r="DF73" s="10"/>
      <c r="DG73" s="10"/>
      <c r="DH73" s="66"/>
      <c r="DI73" s="70">
        <f t="shared" si="4"/>
        <v>0</v>
      </c>
      <c r="DJ73" s="10"/>
      <c r="DK73" s="10"/>
      <c r="DL73" s="10"/>
      <c r="DM73" s="11">
        <f t="shared" si="5"/>
        <v>0</v>
      </c>
      <c r="DN73" s="10"/>
      <c r="DO73" s="10"/>
      <c r="DP73" s="10">
        <v>1</v>
      </c>
      <c r="DQ73" s="11">
        <f t="shared" si="6"/>
        <v>3.5999999999999996</v>
      </c>
      <c r="DR73" s="10"/>
      <c r="DS73" s="10">
        <v>1</v>
      </c>
      <c r="DT73" s="11">
        <f t="shared" si="7"/>
        <v>3.5999999999999996</v>
      </c>
      <c r="DU73" s="10"/>
      <c r="DV73" s="10"/>
      <c r="DW73" s="10"/>
      <c r="DX73" s="11">
        <f t="shared" si="8"/>
        <v>0</v>
      </c>
      <c r="DY73" s="10"/>
      <c r="DZ73" s="11">
        <f t="shared" si="9"/>
        <v>0</v>
      </c>
      <c r="EA73" s="10"/>
      <c r="EB73" s="10"/>
    </row>
    <row r="74" spans="2:132" ht="16.5">
      <c r="B74" s="2">
        <v>62</v>
      </c>
      <c r="C74" s="66" t="s">
        <v>515</v>
      </c>
      <c r="D74" s="49"/>
      <c r="E74" s="71">
        <f t="shared" si="0"/>
        <v>13.2</v>
      </c>
      <c r="F74" s="66">
        <v>11</v>
      </c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67"/>
      <c r="AS74" s="10"/>
      <c r="AT74" s="10"/>
      <c r="AU74" s="10"/>
      <c r="AV74" s="10"/>
      <c r="AW74" s="10"/>
      <c r="AX74" s="10"/>
      <c r="AY74" s="10"/>
      <c r="AZ74" s="10"/>
      <c r="BA74" s="67"/>
      <c r="BB74" s="10"/>
      <c r="BC74" s="10"/>
      <c r="BD74" s="10"/>
      <c r="BE74" s="10"/>
      <c r="BF74" s="10">
        <v>0</v>
      </c>
      <c r="BG74" s="11">
        <f t="shared" si="1"/>
        <v>0</v>
      </c>
      <c r="BH74" s="10"/>
      <c r="BI74" s="10">
        <v>0</v>
      </c>
      <c r="BJ74" s="11">
        <f t="shared" si="2"/>
        <v>0</v>
      </c>
      <c r="BK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66">
        <v>2</v>
      </c>
      <c r="CY74" s="70">
        <f t="shared" si="3"/>
        <v>26.4</v>
      </c>
      <c r="CZ74" s="10"/>
      <c r="DA74" s="10"/>
      <c r="DB74" s="10"/>
      <c r="DC74" s="10"/>
      <c r="DD74" s="10"/>
      <c r="DE74" s="10"/>
      <c r="DF74" s="10"/>
      <c r="DG74" s="10"/>
      <c r="DH74" s="66">
        <v>3</v>
      </c>
      <c r="DI74" s="70">
        <f t="shared" si="4"/>
        <v>39.599999999999994</v>
      </c>
      <c r="DJ74" s="10"/>
      <c r="DK74" s="10"/>
      <c r="DL74" s="10"/>
      <c r="DM74" s="11">
        <f t="shared" si="5"/>
        <v>0</v>
      </c>
      <c r="DN74" s="10"/>
      <c r="DO74" s="10"/>
      <c r="DP74" s="10">
        <v>6</v>
      </c>
      <c r="DQ74" s="11">
        <f t="shared" si="6"/>
        <v>79.199999999999989</v>
      </c>
      <c r="DR74" s="10"/>
      <c r="DS74" s="10"/>
      <c r="DT74" s="11">
        <f t="shared" si="7"/>
        <v>0</v>
      </c>
      <c r="DU74" s="10"/>
      <c r="DV74" s="10"/>
      <c r="DW74" s="10"/>
      <c r="DX74" s="11">
        <f t="shared" si="8"/>
        <v>0</v>
      </c>
      <c r="DY74" s="10"/>
      <c r="DZ74" s="11">
        <f t="shared" si="9"/>
        <v>0</v>
      </c>
      <c r="EA74" s="10"/>
      <c r="EB74" s="10"/>
    </row>
    <row r="75" spans="2:132" ht="16.5">
      <c r="B75" s="2">
        <v>63</v>
      </c>
      <c r="C75" s="66" t="s">
        <v>516</v>
      </c>
      <c r="D75" s="49"/>
      <c r="E75" s="71">
        <f t="shared" si="0"/>
        <v>18</v>
      </c>
      <c r="F75" s="66">
        <v>15</v>
      </c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67"/>
      <c r="AS75" s="10"/>
      <c r="AT75" s="10"/>
      <c r="AU75" s="10"/>
      <c r="AV75" s="10"/>
      <c r="AW75" s="10"/>
      <c r="AX75" s="10"/>
      <c r="AY75" s="10"/>
      <c r="AZ75" s="10"/>
      <c r="BA75" s="67"/>
      <c r="BB75" s="10"/>
      <c r="BC75" s="10"/>
      <c r="BD75" s="10"/>
      <c r="BE75" s="10"/>
      <c r="BF75" s="10">
        <v>0</v>
      </c>
      <c r="BG75" s="11">
        <f t="shared" si="1"/>
        <v>0</v>
      </c>
      <c r="BH75" s="10"/>
      <c r="BI75" s="10">
        <v>12</v>
      </c>
      <c r="BJ75" s="11">
        <f t="shared" si="2"/>
        <v>216</v>
      </c>
      <c r="BK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66"/>
      <c r="CY75" s="70">
        <f t="shared" si="3"/>
        <v>0</v>
      </c>
      <c r="CZ75" s="10"/>
      <c r="DA75" s="10"/>
      <c r="DB75" s="10"/>
      <c r="DC75" s="10"/>
      <c r="DD75" s="10"/>
      <c r="DE75" s="10"/>
      <c r="DF75" s="10"/>
      <c r="DG75" s="10"/>
      <c r="DH75" s="66"/>
      <c r="DI75" s="70">
        <f t="shared" si="4"/>
        <v>0</v>
      </c>
      <c r="DJ75" s="10"/>
      <c r="DK75" s="10"/>
      <c r="DL75" s="10"/>
      <c r="DM75" s="11">
        <f t="shared" si="5"/>
        <v>0</v>
      </c>
      <c r="DN75" s="10"/>
      <c r="DO75" s="10"/>
      <c r="DP75" s="10">
        <v>1</v>
      </c>
      <c r="DQ75" s="11">
        <f t="shared" si="6"/>
        <v>18</v>
      </c>
      <c r="DR75" s="10"/>
      <c r="DS75" s="10">
        <v>2</v>
      </c>
      <c r="DT75" s="11">
        <f t="shared" si="7"/>
        <v>36</v>
      </c>
      <c r="DU75" s="10"/>
      <c r="DV75" s="10"/>
      <c r="DW75" s="10"/>
      <c r="DX75" s="11">
        <f t="shared" si="8"/>
        <v>0</v>
      </c>
      <c r="DY75" s="10"/>
      <c r="DZ75" s="11">
        <f t="shared" si="9"/>
        <v>0</v>
      </c>
      <c r="EA75" s="10"/>
      <c r="EB75" s="10"/>
    </row>
    <row r="76" spans="2:132" ht="16.5">
      <c r="B76" s="2">
        <v>64</v>
      </c>
      <c r="C76" s="66" t="s">
        <v>517</v>
      </c>
      <c r="D76" s="49"/>
      <c r="E76" s="71">
        <f t="shared" si="0"/>
        <v>2.4</v>
      </c>
      <c r="F76" s="66">
        <v>2</v>
      </c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67"/>
      <c r="AS76" s="10"/>
      <c r="AT76" s="10"/>
      <c r="AU76" s="10"/>
      <c r="AV76" s="10"/>
      <c r="AW76" s="10"/>
      <c r="AX76" s="10"/>
      <c r="AY76" s="10"/>
      <c r="AZ76" s="10"/>
      <c r="BA76" s="67"/>
      <c r="BB76" s="10"/>
      <c r="BC76" s="10"/>
      <c r="BD76" s="10"/>
      <c r="BE76" s="10"/>
      <c r="BF76" s="10">
        <v>0</v>
      </c>
      <c r="BG76" s="11">
        <f t="shared" si="1"/>
        <v>0</v>
      </c>
      <c r="BH76" s="10"/>
      <c r="BI76" s="10">
        <v>0</v>
      </c>
      <c r="BJ76" s="11">
        <f t="shared" si="2"/>
        <v>0</v>
      </c>
      <c r="BK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66"/>
      <c r="CY76" s="70">
        <f t="shared" si="3"/>
        <v>0</v>
      </c>
      <c r="CZ76" s="10"/>
      <c r="DA76" s="10"/>
      <c r="DB76" s="10"/>
      <c r="DC76" s="10"/>
      <c r="DD76" s="10"/>
      <c r="DE76" s="10"/>
      <c r="DF76" s="10"/>
      <c r="DG76" s="10"/>
      <c r="DH76" s="66"/>
      <c r="DI76" s="70">
        <f t="shared" si="4"/>
        <v>0</v>
      </c>
      <c r="DJ76" s="10"/>
      <c r="DK76" s="10"/>
      <c r="DL76" s="10"/>
      <c r="DM76" s="11">
        <f t="shared" si="5"/>
        <v>0</v>
      </c>
      <c r="DN76" s="10"/>
      <c r="DO76" s="10"/>
      <c r="DP76" s="10">
        <v>2</v>
      </c>
      <c r="DQ76" s="11">
        <f t="shared" si="6"/>
        <v>4.8</v>
      </c>
      <c r="DR76" s="10"/>
      <c r="DS76" s="10"/>
      <c r="DT76" s="11">
        <f t="shared" si="7"/>
        <v>0</v>
      </c>
      <c r="DU76" s="10"/>
      <c r="DV76" s="10"/>
      <c r="DW76" s="10"/>
      <c r="DX76" s="11">
        <f t="shared" si="8"/>
        <v>0</v>
      </c>
      <c r="DY76" s="10"/>
      <c r="DZ76" s="11">
        <f t="shared" si="9"/>
        <v>0</v>
      </c>
      <c r="EA76" s="10"/>
      <c r="EB76" s="10"/>
    </row>
    <row r="77" spans="2:132" ht="16.5">
      <c r="B77" s="2">
        <v>65</v>
      </c>
      <c r="C77" s="66" t="s">
        <v>518</v>
      </c>
      <c r="D77" s="49"/>
      <c r="E77" s="71">
        <f t="shared" si="0"/>
        <v>1.2</v>
      </c>
      <c r="F77" s="66">
        <v>1</v>
      </c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67"/>
      <c r="AS77" s="10"/>
      <c r="AT77" s="10"/>
      <c r="AU77" s="10"/>
      <c r="AV77" s="10"/>
      <c r="AW77" s="10"/>
      <c r="AX77" s="10"/>
      <c r="AY77" s="10"/>
      <c r="AZ77" s="10"/>
      <c r="BA77" s="67"/>
      <c r="BB77" s="10"/>
      <c r="BC77" s="10"/>
      <c r="BD77" s="10"/>
      <c r="BE77" s="10"/>
      <c r="BF77" s="10">
        <v>0</v>
      </c>
      <c r="BG77" s="11">
        <f t="shared" si="1"/>
        <v>0</v>
      </c>
      <c r="BH77" s="10"/>
      <c r="BI77" s="10">
        <v>0</v>
      </c>
      <c r="BJ77" s="11">
        <f t="shared" si="2"/>
        <v>0</v>
      </c>
      <c r="BK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66"/>
      <c r="CY77" s="70">
        <f t="shared" si="3"/>
        <v>0</v>
      </c>
      <c r="CZ77" s="10"/>
      <c r="DA77" s="10"/>
      <c r="DB77" s="10"/>
      <c r="DC77" s="10"/>
      <c r="DD77" s="10"/>
      <c r="DE77" s="10"/>
      <c r="DF77" s="10"/>
      <c r="DG77" s="10"/>
      <c r="DH77" s="66"/>
      <c r="DI77" s="70">
        <f t="shared" si="4"/>
        <v>0</v>
      </c>
      <c r="DJ77" s="10"/>
      <c r="DK77" s="10"/>
      <c r="DL77" s="10"/>
      <c r="DM77" s="11">
        <f t="shared" si="5"/>
        <v>0</v>
      </c>
      <c r="DN77" s="10"/>
      <c r="DO77" s="10"/>
      <c r="DP77" s="10">
        <v>1</v>
      </c>
      <c r="DQ77" s="11">
        <f t="shared" si="6"/>
        <v>1.2</v>
      </c>
      <c r="DR77" s="10"/>
      <c r="DS77" s="10"/>
      <c r="DT77" s="11">
        <f t="shared" si="7"/>
        <v>0</v>
      </c>
      <c r="DU77" s="10"/>
      <c r="DV77" s="10"/>
      <c r="DW77" s="10"/>
      <c r="DX77" s="11">
        <f t="shared" si="8"/>
        <v>0</v>
      </c>
      <c r="DY77" s="10"/>
      <c r="DZ77" s="11">
        <f t="shared" si="9"/>
        <v>0</v>
      </c>
      <c r="EA77" s="10"/>
      <c r="EB77" s="10"/>
    </row>
    <row r="78" spans="2:132" ht="16.5">
      <c r="B78" s="2">
        <v>66</v>
      </c>
      <c r="C78" s="66" t="s">
        <v>519</v>
      </c>
      <c r="D78" s="49"/>
      <c r="E78" s="71">
        <f t="shared" ref="E78:E141" si="10">F78*1.2</f>
        <v>19.2</v>
      </c>
      <c r="F78" s="66">
        <v>16</v>
      </c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67"/>
      <c r="AS78" s="10"/>
      <c r="AT78" s="10"/>
      <c r="AU78" s="10"/>
      <c r="AV78" s="10"/>
      <c r="AW78" s="10"/>
      <c r="AX78" s="10"/>
      <c r="AY78" s="10"/>
      <c r="AZ78" s="10"/>
      <c r="BA78" s="67"/>
      <c r="BB78" s="10"/>
      <c r="BC78" s="10"/>
      <c r="BD78" s="10"/>
      <c r="BE78" s="10"/>
      <c r="BF78" s="10">
        <v>0</v>
      </c>
      <c r="BG78" s="11">
        <f t="shared" ref="BG78:BG141" si="11">E78*BF78</f>
        <v>0</v>
      </c>
      <c r="BH78" s="10"/>
      <c r="BI78" s="10">
        <v>0</v>
      </c>
      <c r="BJ78" s="11">
        <f t="shared" ref="BJ78:BJ141" si="12">E78*BI78</f>
        <v>0</v>
      </c>
      <c r="BK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66"/>
      <c r="CY78" s="70">
        <f t="shared" ref="CY78:CY141" si="13">CX78*E78</f>
        <v>0</v>
      </c>
      <c r="CZ78" s="10"/>
      <c r="DA78" s="10"/>
      <c r="DB78" s="10"/>
      <c r="DC78" s="10"/>
      <c r="DD78" s="10"/>
      <c r="DE78" s="10"/>
      <c r="DF78" s="10"/>
      <c r="DG78" s="10"/>
      <c r="DH78" s="66"/>
      <c r="DI78" s="70">
        <f t="shared" ref="DI78:DI141" si="14">DH78*E78</f>
        <v>0</v>
      </c>
      <c r="DJ78" s="10"/>
      <c r="DK78" s="10"/>
      <c r="DL78" s="10"/>
      <c r="DM78" s="11">
        <f t="shared" ref="DM78:DM141" si="15">DL78*E78</f>
        <v>0</v>
      </c>
      <c r="DN78" s="10"/>
      <c r="DO78" s="10"/>
      <c r="DP78" s="10">
        <v>12</v>
      </c>
      <c r="DQ78" s="11">
        <f t="shared" ref="DQ78:DQ141" si="16">DP78*E78</f>
        <v>230.39999999999998</v>
      </c>
      <c r="DR78" s="10"/>
      <c r="DS78" s="10">
        <v>3</v>
      </c>
      <c r="DT78" s="11">
        <f t="shared" ref="DT78:DT141" si="17">DS78*E78</f>
        <v>57.599999999999994</v>
      </c>
      <c r="DU78" s="10"/>
      <c r="DV78" s="10"/>
      <c r="DW78" s="10">
        <v>1</v>
      </c>
      <c r="DX78" s="11">
        <f t="shared" ref="DX78:DX141" si="18">DW78*E78</f>
        <v>19.2</v>
      </c>
      <c r="DY78" s="10"/>
      <c r="DZ78" s="11">
        <f t="shared" ref="DZ78:DZ141" si="19">DY78*E78</f>
        <v>0</v>
      </c>
      <c r="EA78" s="10"/>
      <c r="EB78" s="10"/>
    </row>
    <row r="79" spans="2:132" ht="16.5">
      <c r="B79" s="2">
        <v>67</v>
      </c>
      <c r="C79" s="66" t="s">
        <v>520</v>
      </c>
      <c r="D79" s="49"/>
      <c r="E79" s="71">
        <f t="shared" si="10"/>
        <v>2.4</v>
      </c>
      <c r="F79" s="66">
        <v>2</v>
      </c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67"/>
      <c r="AS79" s="10"/>
      <c r="AT79" s="10"/>
      <c r="AU79" s="10"/>
      <c r="AV79" s="10"/>
      <c r="AW79" s="10"/>
      <c r="AX79" s="10"/>
      <c r="AY79" s="10"/>
      <c r="AZ79" s="10"/>
      <c r="BA79" s="67"/>
      <c r="BB79" s="10"/>
      <c r="BC79" s="10"/>
      <c r="BD79" s="10"/>
      <c r="BE79" s="10"/>
      <c r="BF79" s="10">
        <v>2</v>
      </c>
      <c r="BG79" s="11">
        <f t="shared" si="11"/>
        <v>4.8</v>
      </c>
      <c r="BH79" s="10"/>
      <c r="BI79" s="10">
        <v>0</v>
      </c>
      <c r="BJ79" s="11">
        <f t="shared" si="12"/>
        <v>0</v>
      </c>
      <c r="BK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66"/>
      <c r="CY79" s="70">
        <f t="shared" si="13"/>
        <v>0</v>
      </c>
      <c r="CZ79" s="10"/>
      <c r="DA79" s="10"/>
      <c r="DB79" s="10"/>
      <c r="DC79" s="10"/>
      <c r="DD79" s="10"/>
      <c r="DE79" s="10"/>
      <c r="DF79" s="10"/>
      <c r="DG79" s="10"/>
      <c r="DH79" s="66"/>
      <c r="DI79" s="70">
        <f t="shared" si="14"/>
        <v>0</v>
      </c>
      <c r="DJ79" s="10"/>
      <c r="DK79" s="10"/>
      <c r="DL79" s="10"/>
      <c r="DM79" s="11">
        <f t="shared" si="15"/>
        <v>0</v>
      </c>
      <c r="DN79" s="10"/>
      <c r="DO79" s="10"/>
      <c r="DP79" s="10">
        <v>0</v>
      </c>
      <c r="DQ79" s="11">
        <f t="shared" si="16"/>
        <v>0</v>
      </c>
      <c r="DR79" s="10"/>
      <c r="DS79" s="10"/>
      <c r="DT79" s="11">
        <f t="shared" si="17"/>
        <v>0</v>
      </c>
      <c r="DU79" s="10"/>
      <c r="DV79" s="10"/>
      <c r="DW79" s="10"/>
      <c r="DX79" s="11">
        <f t="shared" si="18"/>
        <v>0</v>
      </c>
      <c r="DY79" s="10"/>
      <c r="DZ79" s="11">
        <f t="shared" si="19"/>
        <v>0</v>
      </c>
      <c r="EA79" s="10"/>
      <c r="EB79" s="10"/>
    </row>
    <row r="80" spans="2:132" ht="16.5">
      <c r="B80" s="2">
        <v>68</v>
      </c>
      <c r="C80" s="66" t="s">
        <v>521</v>
      </c>
      <c r="D80" s="49"/>
      <c r="E80" s="71">
        <f t="shared" si="10"/>
        <v>18</v>
      </c>
      <c r="F80" s="66">
        <v>15</v>
      </c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67"/>
      <c r="AS80" s="10"/>
      <c r="AT80" s="10"/>
      <c r="AU80" s="10"/>
      <c r="AV80" s="10"/>
      <c r="AW80" s="10"/>
      <c r="AX80" s="10"/>
      <c r="AY80" s="10"/>
      <c r="AZ80" s="10"/>
      <c r="BA80" s="67"/>
      <c r="BB80" s="10"/>
      <c r="BC80" s="10"/>
      <c r="BD80" s="10"/>
      <c r="BE80" s="10"/>
      <c r="BF80" s="10">
        <v>0</v>
      </c>
      <c r="BG80" s="11">
        <f t="shared" si="11"/>
        <v>0</v>
      </c>
      <c r="BH80" s="10"/>
      <c r="BI80" s="10">
        <v>0</v>
      </c>
      <c r="BJ80" s="11">
        <f t="shared" si="12"/>
        <v>0</v>
      </c>
      <c r="BK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66">
        <v>1</v>
      </c>
      <c r="CY80" s="70">
        <f t="shared" si="13"/>
        <v>18</v>
      </c>
      <c r="CZ80" s="10"/>
      <c r="DA80" s="10"/>
      <c r="DB80" s="10"/>
      <c r="DC80" s="10"/>
      <c r="DD80" s="10"/>
      <c r="DE80" s="10"/>
      <c r="DF80" s="10"/>
      <c r="DG80" s="10"/>
      <c r="DH80" s="66">
        <v>1</v>
      </c>
      <c r="DI80" s="70">
        <f t="shared" si="14"/>
        <v>18</v>
      </c>
      <c r="DJ80" s="10"/>
      <c r="DK80" s="10"/>
      <c r="DL80" s="10"/>
      <c r="DM80" s="11">
        <f t="shared" si="15"/>
        <v>0</v>
      </c>
      <c r="DN80" s="10"/>
      <c r="DO80" s="10"/>
      <c r="DP80" s="10">
        <v>13</v>
      </c>
      <c r="DQ80" s="11">
        <f t="shared" si="16"/>
        <v>234</v>
      </c>
      <c r="DR80" s="10"/>
      <c r="DS80" s="10"/>
      <c r="DT80" s="11">
        <f t="shared" si="17"/>
        <v>0</v>
      </c>
      <c r="DU80" s="10"/>
      <c r="DV80" s="10"/>
      <c r="DW80" s="10"/>
      <c r="DX80" s="11">
        <f t="shared" si="18"/>
        <v>0</v>
      </c>
      <c r="DY80" s="10"/>
      <c r="DZ80" s="11">
        <f t="shared" si="19"/>
        <v>0</v>
      </c>
      <c r="EA80" s="10"/>
      <c r="EB80" s="10"/>
    </row>
    <row r="81" spans="2:132" ht="16.5">
      <c r="B81" s="2">
        <v>69</v>
      </c>
      <c r="C81" s="66" t="s">
        <v>522</v>
      </c>
      <c r="D81" s="49"/>
      <c r="E81" s="71">
        <f t="shared" si="10"/>
        <v>18</v>
      </c>
      <c r="F81" s="66">
        <v>15</v>
      </c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67"/>
      <c r="AS81" s="10"/>
      <c r="AT81" s="10"/>
      <c r="AU81" s="10"/>
      <c r="AV81" s="10"/>
      <c r="AW81" s="10"/>
      <c r="AX81" s="10"/>
      <c r="AY81" s="10"/>
      <c r="AZ81" s="10"/>
      <c r="BA81" s="67"/>
      <c r="BB81" s="10"/>
      <c r="BC81" s="10"/>
      <c r="BD81" s="10"/>
      <c r="BE81" s="10"/>
      <c r="BF81" s="10">
        <v>15</v>
      </c>
      <c r="BG81" s="11">
        <f t="shared" si="11"/>
        <v>270</v>
      </c>
      <c r="BH81" s="10"/>
      <c r="BI81" s="10">
        <v>0</v>
      </c>
      <c r="BJ81" s="11">
        <f t="shared" si="12"/>
        <v>0</v>
      </c>
      <c r="BK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66"/>
      <c r="CY81" s="70">
        <f t="shared" si="13"/>
        <v>0</v>
      </c>
      <c r="CZ81" s="10"/>
      <c r="DA81" s="10"/>
      <c r="DB81" s="10"/>
      <c r="DC81" s="10"/>
      <c r="DD81" s="10"/>
      <c r="DE81" s="10"/>
      <c r="DF81" s="10"/>
      <c r="DG81" s="10"/>
      <c r="DH81" s="66"/>
      <c r="DI81" s="70">
        <f t="shared" si="14"/>
        <v>0</v>
      </c>
      <c r="DJ81" s="10"/>
      <c r="DK81" s="10"/>
      <c r="DL81" s="10"/>
      <c r="DM81" s="11">
        <f t="shared" si="15"/>
        <v>0</v>
      </c>
      <c r="DN81" s="10"/>
      <c r="DO81" s="10"/>
      <c r="DP81" s="10">
        <v>0</v>
      </c>
      <c r="DQ81" s="11">
        <f t="shared" si="16"/>
        <v>0</v>
      </c>
      <c r="DR81" s="10"/>
      <c r="DS81" s="10"/>
      <c r="DT81" s="11">
        <f t="shared" si="17"/>
        <v>0</v>
      </c>
      <c r="DU81" s="10"/>
      <c r="DV81" s="10"/>
      <c r="DW81" s="10"/>
      <c r="DX81" s="11">
        <f t="shared" si="18"/>
        <v>0</v>
      </c>
      <c r="DY81" s="10"/>
      <c r="DZ81" s="11">
        <f t="shared" si="19"/>
        <v>0</v>
      </c>
      <c r="EA81" s="10"/>
      <c r="EB81" s="10"/>
    </row>
    <row r="82" spans="2:132" ht="16.5">
      <c r="B82" s="2">
        <v>70</v>
      </c>
      <c r="C82" s="66" t="s">
        <v>523</v>
      </c>
      <c r="D82" s="49"/>
      <c r="E82" s="71">
        <f t="shared" si="10"/>
        <v>36</v>
      </c>
      <c r="F82" s="66">
        <v>30</v>
      </c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67"/>
      <c r="AS82" s="10"/>
      <c r="AT82" s="10"/>
      <c r="AU82" s="10"/>
      <c r="AV82" s="10"/>
      <c r="AW82" s="10"/>
      <c r="AX82" s="10"/>
      <c r="AY82" s="10"/>
      <c r="AZ82" s="10"/>
      <c r="BA82" s="67"/>
      <c r="BB82" s="10"/>
      <c r="BC82" s="10"/>
      <c r="BD82" s="10"/>
      <c r="BE82" s="10"/>
      <c r="BF82" s="10">
        <v>0</v>
      </c>
      <c r="BG82" s="11">
        <f t="shared" si="11"/>
        <v>0</v>
      </c>
      <c r="BH82" s="10"/>
      <c r="BI82" s="10">
        <v>22</v>
      </c>
      <c r="BJ82" s="11">
        <f t="shared" si="12"/>
        <v>792</v>
      </c>
      <c r="BK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66"/>
      <c r="CY82" s="70">
        <f t="shared" si="13"/>
        <v>0</v>
      </c>
      <c r="CZ82" s="10"/>
      <c r="DA82" s="10"/>
      <c r="DB82" s="10"/>
      <c r="DC82" s="10"/>
      <c r="DD82" s="10"/>
      <c r="DE82" s="10"/>
      <c r="DF82" s="10"/>
      <c r="DG82" s="10"/>
      <c r="DH82" s="66"/>
      <c r="DI82" s="70">
        <f t="shared" si="14"/>
        <v>0</v>
      </c>
      <c r="DJ82" s="10"/>
      <c r="DK82" s="10"/>
      <c r="DL82" s="10"/>
      <c r="DM82" s="11">
        <f t="shared" si="15"/>
        <v>0</v>
      </c>
      <c r="DN82" s="10"/>
      <c r="DO82" s="10"/>
      <c r="DP82" s="10">
        <v>2</v>
      </c>
      <c r="DQ82" s="11">
        <f t="shared" si="16"/>
        <v>72</v>
      </c>
      <c r="DR82" s="10"/>
      <c r="DS82" s="10">
        <v>6</v>
      </c>
      <c r="DT82" s="11">
        <f t="shared" si="17"/>
        <v>216</v>
      </c>
      <c r="DU82" s="10"/>
      <c r="DV82" s="10"/>
      <c r="DW82" s="10"/>
      <c r="DX82" s="11">
        <f t="shared" si="18"/>
        <v>0</v>
      </c>
      <c r="DY82" s="10"/>
      <c r="DZ82" s="11">
        <f t="shared" si="19"/>
        <v>0</v>
      </c>
      <c r="EA82" s="10"/>
      <c r="EB82" s="10"/>
    </row>
    <row r="83" spans="2:132" ht="16.5">
      <c r="B83" s="2">
        <v>71</v>
      </c>
      <c r="C83" s="66" t="s">
        <v>524</v>
      </c>
      <c r="D83" s="49"/>
      <c r="E83" s="71">
        <f t="shared" si="10"/>
        <v>14.399999999999999</v>
      </c>
      <c r="F83" s="66">
        <v>12</v>
      </c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67"/>
      <c r="AS83" s="10"/>
      <c r="AT83" s="10"/>
      <c r="AU83" s="10"/>
      <c r="AV83" s="10"/>
      <c r="AW83" s="10"/>
      <c r="AX83" s="10"/>
      <c r="AY83" s="10"/>
      <c r="AZ83" s="10"/>
      <c r="BA83" s="67"/>
      <c r="BB83" s="10"/>
      <c r="BC83" s="10"/>
      <c r="BD83" s="10"/>
      <c r="BE83" s="10"/>
      <c r="BF83" s="10">
        <v>0</v>
      </c>
      <c r="BG83" s="11">
        <f t="shared" si="11"/>
        <v>0</v>
      </c>
      <c r="BH83" s="10"/>
      <c r="BI83" s="10">
        <v>8</v>
      </c>
      <c r="BJ83" s="11">
        <f t="shared" si="12"/>
        <v>115.19999999999999</v>
      </c>
      <c r="BK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66"/>
      <c r="CY83" s="70">
        <f t="shared" si="13"/>
        <v>0</v>
      </c>
      <c r="CZ83" s="10"/>
      <c r="DA83" s="10"/>
      <c r="DB83" s="10"/>
      <c r="DC83" s="10"/>
      <c r="DD83" s="10"/>
      <c r="DE83" s="10"/>
      <c r="DF83" s="10"/>
      <c r="DG83" s="10"/>
      <c r="DH83" s="66"/>
      <c r="DI83" s="70">
        <f t="shared" si="14"/>
        <v>0</v>
      </c>
      <c r="DJ83" s="10"/>
      <c r="DK83" s="10"/>
      <c r="DL83" s="10"/>
      <c r="DM83" s="11">
        <f t="shared" si="15"/>
        <v>0</v>
      </c>
      <c r="DN83" s="10"/>
      <c r="DO83" s="10"/>
      <c r="DP83" s="10">
        <v>2</v>
      </c>
      <c r="DQ83" s="11">
        <f t="shared" si="16"/>
        <v>28.799999999999997</v>
      </c>
      <c r="DR83" s="10"/>
      <c r="DS83" s="10"/>
      <c r="DT83" s="11">
        <f t="shared" si="17"/>
        <v>0</v>
      </c>
      <c r="DU83" s="10"/>
      <c r="DV83" s="10"/>
      <c r="DW83" s="10">
        <v>2</v>
      </c>
      <c r="DX83" s="11">
        <f t="shared" si="18"/>
        <v>28.799999999999997</v>
      </c>
      <c r="DY83" s="10"/>
      <c r="DZ83" s="11">
        <f t="shared" si="19"/>
        <v>0</v>
      </c>
      <c r="EA83" s="10"/>
      <c r="EB83" s="10"/>
    </row>
    <row r="84" spans="2:132" ht="16.5">
      <c r="B84" s="2">
        <v>72</v>
      </c>
      <c r="C84" s="66" t="s">
        <v>525</v>
      </c>
      <c r="D84" s="49"/>
      <c r="E84" s="71">
        <f t="shared" si="10"/>
        <v>1.2</v>
      </c>
      <c r="F84" s="66">
        <v>1</v>
      </c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67"/>
      <c r="AS84" s="10"/>
      <c r="AT84" s="10"/>
      <c r="AU84" s="10"/>
      <c r="AV84" s="10"/>
      <c r="AW84" s="10"/>
      <c r="AX84" s="10"/>
      <c r="AY84" s="10"/>
      <c r="AZ84" s="10"/>
      <c r="BA84" s="67"/>
      <c r="BB84" s="10"/>
      <c r="BC84" s="10"/>
      <c r="BD84" s="10"/>
      <c r="BE84" s="10"/>
      <c r="BF84" s="10">
        <v>0</v>
      </c>
      <c r="BG84" s="11">
        <f t="shared" si="11"/>
        <v>0</v>
      </c>
      <c r="BH84" s="10"/>
      <c r="BI84" s="10">
        <v>0</v>
      </c>
      <c r="BJ84" s="11">
        <f t="shared" si="12"/>
        <v>0</v>
      </c>
      <c r="BK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66"/>
      <c r="CY84" s="70">
        <f t="shared" si="13"/>
        <v>0</v>
      </c>
      <c r="CZ84" s="10"/>
      <c r="DA84" s="10"/>
      <c r="DB84" s="10"/>
      <c r="DC84" s="10"/>
      <c r="DD84" s="10"/>
      <c r="DE84" s="10"/>
      <c r="DF84" s="10"/>
      <c r="DG84" s="10"/>
      <c r="DH84" s="66"/>
      <c r="DI84" s="70">
        <f t="shared" si="14"/>
        <v>0</v>
      </c>
      <c r="DJ84" s="10"/>
      <c r="DK84" s="10"/>
      <c r="DL84" s="10"/>
      <c r="DM84" s="11">
        <f t="shared" si="15"/>
        <v>0</v>
      </c>
      <c r="DN84" s="10"/>
      <c r="DO84" s="10"/>
      <c r="DP84" s="10">
        <v>0</v>
      </c>
      <c r="DQ84" s="11">
        <f t="shared" si="16"/>
        <v>0</v>
      </c>
      <c r="DR84" s="10"/>
      <c r="DS84" s="10">
        <v>1</v>
      </c>
      <c r="DT84" s="11">
        <f t="shared" si="17"/>
        <v>1.2</v>
      </c>
      <c r="DU84" s="10"/>
      <c r="DV84" s="10"/>
      <c r="DW84" s="10"/>
      <c r="DX84" s="11">
        <f t="shared" si="18"/>
        <v>0</v>
      </c>
      <c r="DY84" s="10"/>
      <c r="DZ84" s="11">
        <f t="shared" si="19"/>
        <v>0</v>
      </c>
      <c r="EA84" s="10"/>
      <c r="EB84" s="10"/>
    </row>
    <row r="85" spans="2:132" ht="16.5">
      <c r="B85" s="2">
        <v>73</v>
      </c>
      <c r="C85" s="66" t="s">
        <v>526</v>
      </c>
      <c r="D85" s="49"/>
      <c r="E85" s="71">
        <f t="shared" si="10"/>
        <v>15.6</v>
      </c>
      <c r="F85" s="66">
        <v>13</v>
      </c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67"/>
      <c r="AS85" s="10"/>
      <c r="AT85" s="10"/>
      <c r="AU85" s="10"/>
      <c r="AV85" s="10"/>
      <c r="AW85" s="10"/>
      <c r="AX85" s="10"/>
      <c r="AY85" s="10"/>
      <c r="AZ85" s="10"/>
      <c r="BA85" s="67"/>
      <c r="BB85" s="10"/>
      <c r="BC85" s="10"/>
      <c r="BD85" s="10"/>
      <c r="BE85" s="10"/>
      <c r="BF85" s="10">
        <v>3</v>
      </c>
      <c r="BG85" s="11">
        <f t="shared" si="11"/>
        <v>46.8</v>
      </c>
      <c r="BH85" s="10"/>
      <c r="BI85" s="10">
        <v>0</v>
      </c>
      <c r="BJ85" s="11">
        <f t="shared" si="12"/>
        <v>0</v>
      </c>
      <c r="BK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66">
        <v>3</v>
      </c>
      <c r="CY85" s="70">
        <f t="shared" si="13"/>
        <v>46.8</v>
      </c>
      <c r="CZ85" s="10"/>
      <c r="DA85" s="10"/>
      <c r="DB85" s="10"/>
      <c r="DC85" s="10"/>
      <c r="DD85" s="10"/>
      <c r="DE85" s="10"/>
      <c r="DF85" s="10"/>
      <c r="DG85" s="10"/>
      <c r="DH85" s="66">
        <v>2</v>
      </c>
      <c r="DI85" s="70">
        <f t="shared" si="14"/>
        <v>31.2</v>
      </c>
      <c r="DJ85" s="10"/>
      <c r="DK85" s="10"/>
      <c r="DL85" s="10"/>
      <c r="DM85" s="11">
        <f t="shared" si="15"/>
        <v>0</v>
      </c>
      <c r="DN85" s="10"/>
      <c r="DO85" s="10"/>
      <c r="DP85" s="10">
        <v>3</v>
      </c>
      <c r="DQ85" s="11">
        <f t="shared" si="16"/>
        <v>46.8</v>
      </c>
      <c r="DR85" s="10"/>
      <c r="DS85" s="10">
        <v>2</v>
      </c>
      <c r="DT85" s="11">
        <f t="shared" si="17"/>
        <v>31.2</v>
      </c>
      <c r="DU85" s="10"/>
      <c r="DV85" s="10"/>
      <c r="DW85" s="10"/>
      <c r="DX85" s="11">
        <f t="shared" si="18"/>
        <v>0</v>
      </c>
      <c r="DY85" s="10"/>
      <c r="DZ85" s="11">
        <f t="shared" si="19"/>
        <v>0</v>
      </c>
      <c r="EA85" s="10"/>
      <c r="EB85" s="10"/>
    </row>
    <row r="86" spans="2:132" ht="16.5">
      <c r="B86" s="2">
        <v>74</v>
      </c>
      <c r="C86" s="66" t="s">
        <v>527</v>
      </c>
      <c r="D86" s="49"/>
      <c r="E86" s="71">
        <f t="shared" si="10"/>
        <v>20.399999999999999</v>
      </c>
      <c r="F86" s="66">
        <v>17</v>
      </c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67"/>
      <c r="AS86" s="10"/>
      <c r="AT86" s="10"/>
      <c r="AU86" s="10"/>
      <c r="AV86" s="10"/>
      <c r="AW86" s="10"/>
      <c r="AX86" s="10"/>
      <c r="AY86" s="10"/>
      <c r="AZ86" s="10"/>
      <c r="BA86" s="67"/>
      <c r="BB86" s="10"/>
      <c r="BC86" s="10"/>
      <c r="BD86" s="10"/>
      <c r="BE86" s="10"/>
      <c r="BF86" s="10">
        <v>17</v>
      </c>
      <c r="BG86" s="11">
        <f t="shared" si="11"/>
        <v>346.79999999999995</v>
      </c>
      <c r="BH86" s="10"/>
      <c r="BI86" s="10">
        <v>0</v>
      </c>
      <c r="BJ86" s="11">
        <f t="shared" si="12"/>
        <v>0</v>
      </c>
      <c r="BK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66"/>
      <c r="CY86" s="70">
        <f t="shared" si="13"/>
        <v>0</v>
      </c>
      <c r="CZ86" s="10"/>
      <c r="DA86" s="10"/>
      <c r="DB86" s="10"/>
      <c r="DC86" s="10"/>
      <c r="DD86" s="10"/>
      <c r="DE86" s="10"/>
      <c r="DF86" s="10"/>
      <c r="DG86" s="10"/>
      <c r="DH86" s="66"/>
      <c r="DI86" s="70">
        <f t="shared" si="14"/>
        <v>0</v>
      </c>
      <c r="DJ86" s="10"/>
      <c r="DK86" s="10"/>
      <c r="DL86" s="10"/>
      <c r="DM86" s="11">
        <f t="shared" si="15"/>
        <v>0</v>
      </c>
      <c r="DN86" s="10"/>
      <c r="DO86" s="10"/>
      <c r="DP86" s="10">
        <v>0</v>
      </c>
      <c r="DQ86" s="11">
        <f t="shared" si="16"/>
        <v>0</v>
      </c>
      <c r="DR86" s="10"/>
      <c r="DS86" s="10"/>
      <c r="DT86" s="11">
        <f t="shared" si="17"/>
        <v>0</v>
      </c>
      <c r="DU86" s="10"/>
      <c r="DV86" s="10"/>
      <c r="DW86" s="10"/>
      <c r="DX86" s="11">
        <f t="shared" si="18"/>
        <v>0</v>
      </c>
      <c r="DY86" s="10"/>
      <c r="DZ86" s="11">
        <f t="shared" si="19"/>
        <v>0</v>
      </c>
      <c r="EA86" s="10"/>
      <c r="EB86" s="10"/>
    </row>
    <row r="87" spans="2:132" ht="16.5">
      <c r="B87" s="2">
        <v>75</v>
      </c>
      <c r="C87" s="66" t="s">
        <v>528</v>
      </c>
      <c r="D87" s="49"/>
      <c r="E87" s="71">
        <f t="shared" si="10"/>
        <v>93.6</v>
      </c>
      <c r="F87" s="66">
        <v>78</v>
      </c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67"/>
      <c r="AS87" s="10"/>
      <c r="AT87" s="10"/>
      <c r="AU87" s="10"/>
      <c r="AV87" s="10"/>
      <c r="AW87" s="10"/>
      <c r="AX87" s="10"/>
      <c r="AY87" s="10"/>
      <c r="AZ87" s="10"/>
      <c r="BA87" s="67"/>
      <c r="BB87" s="10"/>
      <c r="BC87" s="10"/>
      <c r="BD87" s="10"/>
      <c r="BE87" s="10"/>
      <c r="BF87" s="10">
        <v>0</v>
      </c>
      <c r="BG87" s="11">
        <f t="shared" si="11"/>
        <v>0</v>
      </c>
      <c r="BH87" s="10"/>
      <c r="BI87" s="10">
        <v>23</v>
      </c>
      <c r="BJ87" s="11">
        <f t="shared" si="12"/>
        <v>2152.7999999999997</v>
      </c>
      <c r="BK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66">
        <v>2</v>
      </c>
      <c r="CY87" s="70">
        <f t="shared" si="13"/>
        <v>187.2</v>
      </c>
      <c r="CZ87" s="10"/>
      <c r="DA87" s="10"/>
      <c r="DB87" s="10"/>
      <c r="DC87" s="10"/>
      <c r="DD87" s="10"/>
      <c r="DE87" s="10"/>
      <c r="DF87" s="10"/>
      <c r="DG87" s="10"/>
      <c r="DH87" s="66"/>
      <c r="DI87" s="70">
        <f t="shared" si="14"/>
        <v>0</v>
      </c>
      <c r="DJ87" s="10"/>
      <c r="DK87" s="10"/>
      <c r="DL87" s="10"/>
      <c r="DM87" s="11">
        <f t="shared" si="15"/>
        <v>0</v>
      </c>
      <c r="DN87" s="10"/>
      <c r="DO87" s="10"/>
      <c r="DP87" s="10">
        <v>38</v>
      </c>
      <c r="DQ87" s="11">
        <f t="shared" si="16"/>
        <v>3556.7999999999997</v>
      </c>
      <c r="DR87" s="10"/>
      <c r="DS87" s="10">
        <v>9</v>
      </c>
      <c r="DT87" s="11">
        <f t="shared" si="17"/>
        <v>842.4</v>
      </c>
      <c r="DU87" s="10"/>
      <c r="DV87" s="10"/>
      <c r="DW87" s="10">
        <v>6</v>
      </c>
      <c r="DX87" s="11">
        <f t="shared" si="18"/>
        <v>561.59999999999991</v>
      </c>
      <c r="DY87" s="10"/>
      <c r="DZ87" s="11">
        <f t="shared" si="19"/>
        <v>0</v>
      </c>
      <c r="EA87" s="10"/>
      <c r="EB87" s="10"/>
    </row>
    <row r="88" spans="2:132" ht="16.5">
      <c r="B88" s="2">
        <v>76</v>
      </c>
      <c r="C88" s="66" t="s">
        <v>529</v>
      </c>
      <c r="D88" s="49"/>
      <c r="E88" s="71">
        <f t="shared" si="10"/>
        <v>15.6</v>
      </c>
      <c r="F88" s="66">
        <v>13</v>
      </c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67"/>
      <c r="AS88" s="10"/>
      <c r="AT88" s="10"/>
      <c r="AU88" s="10"/>
      <c r="AV88" s="10"/>
      <c r="AW88" s="10"/>
      <c r="AX88" s="10"/>
      <c r="AY88" s="10"/>
      <c r="AZ88" s="10"/>
      <c r="BA88" s="67"/>
      <c r="BB88" s="10"/>
      <c r="BC88" s="10"/>
      <c r="BD88" s="10"/>
      <c r="BE88" s="10"/>
      <c r="BF88" s="10">
        <v>10</v>
      </c>
      <c r="BG88" s="11">
        <f t="shared" si="11"/>
        <v>156</v>
      </c>
      <c r="BH88" s="10"/>
      <c r="BI88" s="10">
        <v>0</v>
      </c>
      <c r="BJ88" s="11">
        <f t="shared" si="12"/>
        <v>0</v>
      </c>
      <c r="BK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66">
        <v>1</v>
      </c>
      <c r="CY88" s="70">
        <f t="shared" si="13"/>
        <v>15.6</v>
      </c>
      <c r="CZ88" s="10"/>
      <c r="DA88" s="10"/>
      <c r="DB88" s="10"/>
      <c r="DC88" s="10"/>
      <c r="DD88" s="10"/>
      <c r="DE88" s="10"/>
      <c r="DF88" s="10"/>
      <c r="DG88" s="10"/>
      <c r="DH88" s="66">
        <v>2</v>
      </c>
      <c r="DI88" s="70">
        <f t="shared" si="14"/>
        <v>31.2</v>
      </c>
      <c r="DJ88" s="10"/>
      <c r="DK88" s="10"/>
      <c r="DL88" s="10"/>
      <c r="DM88" s="11">
        <f t="shared" si="15"/>
        <v>0</v>
      </c>
      <c r="DN88" s="10"/>
      <c r="DO88" s="10"/>
      <c r="DP88" s="10">
        <v>0</v>
      </c>
      <c r="DQ88" s="11">
        <f t="shared" si="16"/>
        <v>0</v>
      </c>
      <c r="DR88" s="10"/>
      <c r="DS88" s="10"/>
      <c r="DT88" s="11">
        <f t="shared" si="17"/>
        <v>0</v>
      </c>
      <c r="DU88" s="10"/>
      <c r="DV88" s="10"/>
      <c r="DW88" s="10"/>
      <c r="DX88" s="11">
        <f t="shared" si="18"/>
        <v>0</v>
      </c>
      <c r="DY88" s="10"/>
      <c r="DZ88" s="11">
        <f t="shared" si="19"/>
        <v>0</v>
      </c>
      <c r="EA88" s="10"/>
      <c r="EB88" s="10"/>
    </row>
    <row r="89" spans="2:132" ht="16.5">
      <c r="B89" s="2">
        <v>77</v>
      </c>
      <c r="C89" s="66" t="s">
        <v>530</v>
      </c>
      <c r="D89" s="49"/>
      <c r="E89" s="71">
        <f t="shared" si="10"/>
        <v>13.2</v>
      </c>
      <c r="F89" s="66">
        <v>11</v>
      </c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67"/>
      <c r="AS89" s="10"/>
      <c r="AT89" s="10"/>
      <c r="AU89" s="10"/>
      <c r="AV89" s="10"/>
      <c r="AW89" s="10"/>
      <c r="AX89" s="10"/>
      <c r="AY89" s="10"/>
      <c r="AZ89" s="10"/>
      <c r="BA89" s="67"/>
      <c r="BB89" s="10"/>
      <c r="BC89" s="10"/>
      <c r="BD89" s="10"/>
      <c r="BE89" s="10"/>
      <c r="BF89" s="10">
        <v>0</v>
      </c>
      <c r="BG89" s="11">
        <f t="shared" si="11"/>
        <v>0</v>
      </c>
      <c r="BH89" s="10"/>
      <c r="BI89" s="10">
        <v>0</v>
      </c>
      <c r="BJ89" s="11">
        <f t="shared" si="12"/>
        <v>0</v>
      </c>
      <c r="BK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66">
        <v>1</v>
      </c>
      <c r="CY89" s="70">
        <f t="shared" si="13"/>
        <v>13.2</v>
      </c>
      <c r="CZ89" s="10"/>
      <c r="DA89" s="10"/>
      <c r="DB89" s="10"/>
      <c r="DC89" s="10"/>
      <c r="DD89" s="10"/>
      <c r="DE89" s="10"/>
      <c r="DF89" s="10"/>
      <c r="DG89" s="10"/>
      <c r="DH89" s="66">
        <v>4</v>
      </c>
      <c r="DI89" s="70">
        <f t="shared" si="14"/>
        <v>52.8</v>
      </c>
      <c r="DJ89" s="10"/>
      <c r="DK89" s="10"/>
      <c r="DL89" s="10"/>
      <c r="DM89" s="11">
        <f t="shared" si="15"/>
        <v>0</v>
      </c>
      <c r="DN89" s="10"/>
      <c r="DO89" s="10"/>
      <c r="DP89" s="10">
        <v>5</v>
      </c>
      <c r="DQ89" s="11">
        <f t="shared" si="16"/>
        <v>66</v>
      </c>
      <c r="DR89" s="10"/>
      <c r="DS89" s="10">
        <v>1</v>
      </c>
      <c r="DT89" s="11">
        <f t="shared" si="17"/>
        <v>13.2</v>
      </c>
      <c r="DU89" s="10"/>
      <c r="DV89" s="10"/>
      <c r="DW89" s="10"/>
      <c r="DX89" s="11">
        <f t="shared" si="18"/>
        <v>0</v>
      </c>
      <c r="DY89" s="10"/>
      <c r="DZ89" s="11">
        <f t="shared" si="19"/>
        <v>0</v>
      </c>
      <c r="EA89" s="10"/>
      <c r="EB89" s="10"/>
    </row>
    <row r="90" spans="2:132" ht="16.5">
      <c r="B90" s="2">
        <v>78</v>
      </c>
      <c r="C90" s="66" t="s">
        <v>531</v>
      </c>
      <c r="D90" s="49"/>
      <c r="E90" s="71">
        <f t="shared" si="10"/>
        <v>14.399999999999999</v>
      </c>
      <c r="F90" s="66">
        <v>12</v>
      </c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67"/>
      <c r="AS90" s="10"/>
      <c r="AT90" s="10"/>
      <c r="AU90" s="10"/>
      <c r="AV90" s="10"/>
      <c r="AW90" s="10"/>
      <c r="AX90" s="10"/>
      <c r="AY90" s="10"/>
      <c r="AZ90" s="10"/>
      <c r="BA90" s="67"/>
      <c r="BB90" s="10"/>
      <c r="BC90" s="10"/>
      <c r="BD90" s="10"/>
      <c r="BE90" s="10"/>
      <c r="BF90" s="10">
        <v>0</v>
      </c>
      <c r="BG90" s="11">
        <f t="shared" si="11"/>
        <v>0</v>
      </c>
      <c r="BH90" s="10"/>
      <c r="BI90" s="10">
        <v>3</v>
      </c>
      <c r="BJ90" s="11">
        <f t="shared" si="12"/>
        <v>43.199999999999996</v>
      </c>
      <c r="BK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66">
        <v>1</v>
      </c>
      <c r="CY90" s="70">
        <f t="shared" si="13"/>
        <v>14.399999999999999</v>
      </c>
      <c r="CZ90" s="10"/>
      <c r="DA90" s="10"/>
      <c r="DB90" s="10"/>
      <c r="DC90" s="10"/>
      <c r="DD90" s="10"/>
      <c r="DE90" s="10"/>
      <c r="DF90" s="10"/>
      <c r="DG90" s="10"/>
      <c r="DH90" s="66">
        <v>1</v>
      </c>
      <c r="DI90" s="70">
        <f t="shared" si="14"/>
        <v>14.399999999999999</v>
      </c>
      <c r="DJ90" s="10"/>
      <c r="DK90" s="10"/>
      <c r="DL90" s="10"/>
      <c r="DM90" s="11">
        <f t="shared" si="15"/>
        <v>0</v>
      </c>
      <c r="DN90" s="10"/>
      <c r="DO90" s="10"/>
      <c r="DP90" s="10">
        <v>6</v>
      </c>
      <c r="DQ90" s="11">
        <f t="shared" si="16"/>
        <v>86.399999999999991</v>
      </c>
      <c r="DR90" s="10"/>
      <c r="DS90" s="10">
        <v>1</v>
      </c>
      <c r="DT90" s="11">
        <f t="shared" si="17"/>
        <v>14.399999999999999</v>
      </c>
      <c r="DU90" s="10"/>
      <c r="DV90" s="10"/>
      <c r="DW90" s="10"/>
      <c r="DX90" s="11">
        <f t="shared" si="18"/>
        <v>0</v>
      </c>
      <c r="DY90" s="10"/>
      <c r="DZ90" s="11">
        <f t="shared" si="19"/>
        <v>0</v>
      </c>
      <c r="EA90" s="10"/>
      <c r="EB90" s="10"/>
    </row>
    <row r="91" spans="2:132" ht="16.5">
      <c r="B91" s="2">
        <v>79</v>
      </c>
      <c r="C91" s="66" t="s">
        <v>532</v>
      </c>
      <c r="D91" s="49"/>
      <c r="E91" s="71">
        <f t="shared" si="10"/>
        <v>2.4</v>
      </c>
      <c r="F91" s="66">
        <v>2</v>
      </c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67"/>
      <c r="AS91" s="10"/>
      <c r="AT91" s="10"/>
      <c r="AU91" s="10"/>
      <c r="AV91" s="10"/>
      <c r="AW91" s="10"/>
      <c r="AX91" s="10"/>
      <c r="AY91" s="10"/>
      <c r="AZ91" s="10"/>
      <c r="BA91" s="67"/>
      <c r="BB91" s="10"/>
      <c r="BC91" s="10"/>
      <c r="BD91" s="10"/>
      <c r="BE91" s="10"/>
      <c r="BF91" s="10">
        <v>0</v>
      </c>
      <c r="BG91" s="11">
        <f t="shared" si="11"/>
        <v>0</v>
      </c>
      <c r="BH91" s="10"/>
      <c r="BI91" s="10">
        <v>0</v>
      </c>
      <c r="BJ91" s="11">
        <f t="shared" si="12"/>
        <v>0</v>
      </c>
      <c r="BK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66"/>
      <c r="CY91" s="70">
        <f t="shared" si="13"/>
        <v>0</v>
      </c>
      <c r="CZ91" s="10"/>
      <c r="DA91" s="10"/>
      <c r="DB91" s="10"/>
      <c r="DC91" s="10"/>
      <c r="DD91" s="10"/>
      <c r="DE91" s="10"/>
      <c r="DF91" s="10"/>
      <c r="DG91" s="10"/>
      <c r="DH91" s="66"/>
      <c r="DI91" s="70">
        <f t="shared" si="14"/>
        <v>0</v>
      </c>
      <c r="DJ91" s="10"/>
      <c r="DK91" s="10"/>
      <c r="DL91" s="10"/>
      <c r="DM91" s="11">
        <f t="shared" si="15"/>
        <v>0</v>
      </c>
      <c r="DN91" s="10"/>
      <c r="DO91" s="10"/>
      <c r="DP91" s="10">
        <v>1</v>
      </c>
      <c r="DQ91" s="11">
        <f t="shared" si="16"/>
        <v>2.4</v>
      </c>
      <c r="DR91" s="10"/>
      <c r="DS91" s="10">
        <v>1</v>
      </c>
      <c r="DT91" s="11">
        <f t="shared" si="17"/>
        <v>2.4</v>
      </c>
      <c r="DU91" s="10"/>
      <c r="DV91" s="10"/>
      <c r="DW91" s="10"/>
      <c r="DX91" s="11">
        <f t="shared" si="18"/>
        <v>0</v>
      </c>
      <c r="DY91" s="10"/>
      <c r="DZ91" s="11">
        <f t="shared" si="19"/>
        <v>0</v>
      </c>
      <c r="EA91" s="10"/>
      <c r="EB91" s="10"/>
    </row>
    <row r="92" spans="2:132" ht="16.5">
      <c r="B92" s="2">
        <v>80</v>
      </c>
      <c r="C92" s="66" t="s">
        <v>533</v>
      </c>
      <c r="D92" s="49"/>
      <c r="E92" s="71">
        <f t="shared" si="10"/>
        <v>49.199999999999996</v>
      </c>
      <c r="F92" s="66">
        <v>41</v>
      </c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67"/>
      <c r="AS92" s="10"/>
      <c r="AT92" s="10"/>
      <c r="AU92" s="10"/>
      <c r="AV92" s="10"/>
      <c r="AW92" s="10"/>
      <c r="AX92" s="10"/>
      <c r="AY92" s="10"/>
      <c r="AZ92" s="10"/>
      <c r="BA92" s="67"/>
      <c r="BB92" s="10"/>
      <c r="BC92" s="10"/>
      <c r="BD92" s="10"/>
      <c r="BE92" s="10"/>
      <c r="BF92" s="10">
        <v>2</v>
      </c>
      <c r="BG92" s="11">
        <f t="shared" si="11"/>
        <v>98.399999999999991</v>
      </c>
      <c r="BH92" s="10"/>
      <c r="BI92" s="10">
        <v>13</v>
      </c>
      <c r="BJ92" s="11">
        <f t="shared" si="12"/>
        <v>639.59999999999991</v>
      </c>
      <c r="BK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66">
        <v>2</v>
      </c>
      <c r="CY92" s="70">
        <f t="shared" si="13"/>
        <v>98.399999999999991</v>
      </c>
      <c r="CZ92" s="10"/>
      <c r="DA92" s="10"/>
      <c r="DB92" s="10"/>
      <c r="DC92" s="10"/>
      <c r="DD92" s="10"/>
      <c r="DE92" s="10"/>
      <c r="DF92" s="10"/>
      <c r="DG92" s="10"/>
      <c r="DH92" s="66"/>
      <c r="DI92" s="70">
        <f t="shared" si="14"/>
        <v>0</v>
      </c>
      <c r="DJ92" s="10"/>
      <c r="DK92" s="10"/>
      <c r="DL92" s="10"/>
      <c r="DM92" s="11">
        <f t="shared" si="15"/>
        <v>0</v>
      </c>
      <c r="DN92" s="10"/>
      <c r="DO92" s="10"/>
      <c r="DP92" s="10">
        <v>22</v>
      </c>
      <c r="DQ92" s="11">
        <f t="shared" si="16"/>
        <v>1082.3999999999999</v>
      </c>
      <c r="DR92" s="10"/>
      <c r="DS92" s="10">
        <v>2</v>
      </c>
      <c r="DT92" s="11">
        <f t="shared" si="17"/>
        <v>98.399999999999991</v>
      </c>
      <c r="DU92" s="10"/>
      <c r="DV92" s="10"/>
      <c r="DW92" s="10"/>
      <c r="DX92" s="11">
        <f t="shared" si="18"/>
        <v>0</v>
      </c>
      <c r="DY92" s="10"/>
      <c r="DZ92" s="11">
        <f t="shared" si="19"/>
        <v>0</v>
      </c>
      <c r="EA92" s="10"/>
      <c r="EB92" s="10"/>
    </row>
    <row r="93" spans="2:132" ht="16.5">
      <c r="B93" s="2">
        <v>81</v>
      </c>
      <c r="C93" s="66" t="s">
        <v>534</v>
      </c>
      <c r="D93" s="49"/>
      <c r="E93" s="71">
        <f t="shared" si="10"/>
        <v>3.5999999999999996</v>
      </c>
      <c r="F93" s="66">
        <v>3</v>
      </c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67"/>
      <c r="AS93" s="10"/>
      <c r="AT93" s="10"/>
      <c r="AU93" s="10"/>
      <c r="AV93" s="10"/>
      <c r="AW93" s="10"/>
      <c r="AX93" s="10"/>
      <c r="AY93" s="10"/>
      <c r="AZ93" s="10"/>
      <c r="BA93" s="67"/>
      <c r="BB93" s="10"/>
      <c r="BC93" s="10"/>
      <c r="BD93" s="10"/>
      <c r="BE93" s="10"/>
      <c r="BF93" s="10">
        <v>0</v>
      </c>
      <c r="BG93" s="11">
        <f t="shared" si="11"/>
        <v>0</v>
      </c>
      <c r="BH93" s="10"/>
      <c r="BI93" s="10">
        <v>0</v>
      </c>
      <c r="BJ93" s="11">
        <f t="shared" si="12"/>
        <v>0</v>
      </c>
      <c r="BK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66">
        <v>1</v>
      </c>
      <c r="CY93" s="70">
        <f t="shared" si="13"/>
        <v>3.5999999999999996</v>
      </c>
      <c r="CZ93" s="10"/>
      <c r="DA93" s="10"/>
      <c r="DB93" s="10"/>
      <c r="DC93" s="10"/>
      <c r="DD93" s="10"/>
      <c r="DE93" s="10"/>
      <c r="DF93" s="10"/>
      <c r="DG93" s="10"/>
      <c r="DH93" s="66">
        <v>2</v>
      </c>
      <c r="DI93" s="70">
        <f t="shared" si="14"/>
        <v>7.1999999999999993</v>
      </c>
      <c r="DJ93" s="10"/>
      <c r="DK93" s="10"/>
      <c r="DL93" s="10"/>
      <c r="DM93" s="11">
        <f t="shared" si="15"/>
        <v>0</v>
      </c>
      <c r="DN93" s="10"/>
      <c r="DO93" s="10"/>
      <c r="DP93" s="10">
        <v>0</v>
      </c>
      <c r="DQ93" s="11">
        <f t="shared" si="16"/>
        <v>0</v>
      </c>
      <c r="DR93" s="10"/>
      <c r="DS93" s="10"/>
      <c r="DT93" s="11">
        <f t="shared" si="17"/>
        <v>0</v>
      </c>
      <c r="DU93" s="10"/>
      <c r="DV93" s="10"/>
      <c r="DW93" s="10"/>
      <c r="DX93" s="11">
        <f t="shared" si="18"/>
        <v>0</v>
      </c>
      <c r="DY93" s="10"/>
      <c r="DZ93" s="11">
        <f t="shared" si="19"/>
        <v>0</v>
      </c>
      <c r="EA93" s="10"/>
      <c r="EB93" s="10"/>
    </row>
    <row r="94" spans="2:132" ht="16.5">
      <c r="B94" s="2">
        <v>82</v>
      </c>
      <c r="C94" s="66" t="s">
        <v>535</v>
      </c>
      <c r="D94" s="49"/>
      <c r="E94" s="71">
        <f t="shared" si="10"/>
        <v>55.199999999999996</v>
      </c>
      <c r="F94" s="66">
        <v>46</v>
      </c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67"/>
      <c r="AS94" s="10"/>
      <c r="AT94" s="10"/>
      <c r="AU94" s="10"/>
      <c r="AV94" s="10"/>
      <c r="AW94" s="10"/>
      <c r="AX94" s="10"/>
      <c r="AY94" s="10"/>
      <c r="AZ94" s="10"/>
      <c r="BA94" s="67"/>
      <c r="BB94" s="10"/>
      <c r="BC94" s="10"/>
      <c r="BD94" s="10"/>
      <c r="BE94" s="10"/>
      <c r="BF94" s="10">
        <v>0</v>
      </c>
      <c r="BG94" s="11">
        <f t="shared" si="11"/>
        <v>0</v>
      </c>
      <c r="BH94" s="10"/>
      <c r="BI94" s="10">
        <v>4</v>
      </c>
      <c r="BJ94" s="11">
        <f t="shared" si="12"/>
        <v>220.79999999999998</v>
      </c>
      <c r="BK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66">
        <v>1</v>
      </c>
      <c r="CY94" s="70">
        <f t="shared" si="13"/>
        <v>55.199999999999996</v>
      </c>
      <c r="CZ94" s="10"/>
      <c r="DA94" s="10"/>
      <c r="DB94" s="10"/>
      <c r="DC94" s="10"/>
      <c r="DD94" s="10"/>
      <c r="DE94" s="10"/>
      <c r="DF94" s="10"/>
      <c r="DG94" s="10"/>
      <c r="DH94" s="66"/>
      <c r="DI94" s="70">
        <f t="shared" si="14"/>
        <v>0</v>
      </c>
      <c r="DJ94" s="10"/>
      <c r="DK94" s="10"/>
      <c r="DL94" s="10"/>
      <c r="DM94" s="11">
        <f t="shared" si="15"/>
        <v>0</v>
      </c>
      <c r="DN94" s="10"/>
      <c r="DO94" s="10"/>
      <c r="DP94" s="10">
        <v>35</v>
      </c>
      <c r="DQ94" s="11">
        <f t="shared" si="16"/>
        <v>1931.9999999999998</v>
      </c>
      <c r="DR94" s="10"/>
      <c r="DS94" s="10"/>
      <c r="DT94" s="11">
        <f t="shared" si="17"/>
        <v>0</v>
      </c>
      <c r="DU94" s="10"/>
      <c r="DV94" s="10"/>
      <c r="DW94" s="10">
        <v>6</v>
      </c>
      <c r="DX94" s="11">
        <f t="shared" si="18"/>
        <v>331.2</v>
      </c>
      <c r="DY94" s="10"/>
      <c r="DZ94" s="11">
        <f t="shared" si="19"/>
        <v>0</v>
      </c>
      <c r="EA94" s="10"/>
      <c r="EB94" s="10"/>
    </row>
    <row r="95" spans="2:132" ht="16.5">
      <c r="B95" s="2">
        <v>83</v>
      </c>
      <c r="C95" s="66" t="s">
        <v>536</v>
      </c>
      <c r="D95" s="49"/>
      <c r="E95" s="71">
        <f t="shared" si="10"/>
        <v>1.2</v>
      </c>
      <c r="F95" s="66">
        <v>1</v>
      </c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67"/>
      <c r="AS95" s="10"/>
      <c r="AT95" s="10"/>
      <c r="AU95" s="10"/>
      <c r="AV95" s="10"/>
      <c r="AW95" s="10"/>
      <c r="AX95" s="10"/>
      <c r="AY95" s="10"/>
      <c r="AZ95" s="10"/>
      <c r="BA95" s="67"/>
      <c r="BB95" s="10"/>
      <c r="BC95" s="10"/>
      <c r="BD95" s="10"/>
      <c r="BE95" s="10"/>
      <c r="BF95" s="10">
        <v>0</v>
      </c>
      <c r="BG95" s="11">
        <f t="shared" si="11"/>
        <v>0</v>
      </c>
      <c r="BH95" s="10"/>
      <c r="BI95" s="10">
        <v>0</v>
      </c>
      <c r="BJ95" s="11">
        <f t="shared" si="12"/>
        <v>0</v>
      </c>
      <c r="BK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66"/>
      <c r="CY95" s="70">
        <f t="shared" si="13"/>
        <v>0</v>
      </c>
      <c r="CZ95" s="10"/>
      <c r="DA95" s="10"/>
      <c r="DB95" s="10"/>
      <c r="DC95" s="10"/>
      <c r="DD95" s="10"/>
      <c r="DE95" s="10"/>
      <c r="DF95" s="10"/>
      <c r="DG95" s="10"/>
      <c r="DH95" s="66"/>
      <c r="DI95" s="70">
        <f t="shared" si="14"/>
        <v>0</v>
      </c>
      <c r="DJ95" s="10"/>
      <c r="DK95" s="10"/>
      <c r="DL95" s="10"/>
      <c r="DM95" s="11">
        <f t="shared" si="15"/>
        <v>0</v>
      </c>
      <c r="DN95" s="10"/>
      <c r="DO95" s="10"/>
      <c r="DP95" s="10">
        <v>0</v>
      </c>
      <c r="DQ95" s="11">
        <f t="shared" si="16"/>
        <v>0</v>
      </c>
      <c r="DR95" s="10"/>
      <c r="DS95" s="10"/>
      <c r="DT95" s="11">
        <f t="shared" si="17"/>
        <v>0</v>
      </c>
      <c r="DU95" s="10"/>
      <c r="DV95" s="10"/>
      <c r="DW95" s="10">
        <v>1</v>
      </c>
      <c r="DX95" s="11">
        <f t="shared" si="18"/>
        <v>1.2</v>
      </c>
      <c r="DY95" s="10"/>
      <c r="DZ95" s="11">
        <f t="shared" si="19"/>
        <v>0</v>
      </c>
      <c r="EA95" s="10"/>
      <c r="EB95" s="10"/>
    </row>
    <row r="96" spans="2:132" ht="16.5">
      <c r="B96" s="2">
        <v>84</v>
      </c>
      <c r="C96" s="66" t="s">
        <v>537</v>
      </c>
      <c r="D96" s="49"/>
      <c r="E96" s="71">
        <f t="shared" si="10"/>
        <v>4.8</v>
      </c>
      <c r="F96" s="66">
        <v>4</v>
      </c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67"/>
      <c r="AS96" s="10"/>
      <c r="AT96" s="10"/>
      <c r="AU96" s="10"/>
      <c r="AV96" s="10"/>
      <c r="AW96" s="10"/>
      <c r="AX96" s="10"/>
      <c r="AY96" s="10"/>
      <c r="AZ96" s="10"/>
      <c r="BA96" s="67"/>
      <c r="BB96" s="10"/>
      <c r="BC96" s="10"/>
      <c r="BD96" s="10"/>
      <c r="BE96" s="10"/>
      <c r="BF96" s="10">
        <v>0</v>
      </c>
      <c r="BG96" s="11">
        <f t="shared" si="11"/>
        <v>0</v>
      </c>
      <c r="BH96" s="10"/>
      <c r="BI96" s="10">
        <v>0</v>
      </c>
      <c r="BJ96" s="11">
        <f t="shared" si="12"/>
        <v>0</v>
      </c>
      <c r="BK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66"/>
      <c r="CY96" s="70">
        <f t="shared" si="13"/>
        <v>0</v>
      </c>
      <c r="CZ96" s="10"/>
      <c r="DA96" s="10"/>
      <c r="DB96" s="10"/>
      <c r="DC96" s="10"/>
      <c r="DD96" s="10"/>
      <c r="DE96" s="10"/>
      <c r="DF96" s="10"/>
      <c r="DG96" s="10"/>
      <c r="DH96" s="66"/>
      <c r="DI96" s="70">
        <f t="shared" si="14"/>
        <v>0</v>
      </c>
      <c r="DJ96" s="10"/>
      <c r="DK96" s="10"/>
      <c r="DL96" s="10"/>
      <c r="DM96" s="11">
        <f t="shared" si="15"/>
        <v>0</v>
      </c>
      <c r="DN96" s="10"/>
      <c r="DO96" s="10"/>
      <c r="DP96" s="10">
        <v>3</v>
      </c>
      <c r="DQ96" s="11">
        <f t="shared" si="16"/>
        <v>14.399999999999999</v>
      </c>
      <c r="DR96" s="10"/>
      <c r="DS96" s="10">
        <v>1</v>
      </c>
      <c r="DT96" s="11">
        <f t="shared" si="17"/>
        <v>4.8</v>
      </c>
      <c r="DU96" s="10"/>
      <c r="DV96" s="10"/>
      <c r="DW96" s="10"/>
      <c r="DX96" s="11">
        <f t="shared" si="18"/>
        <v>0</v>
      </c>
      <c r="DY96" s="10"/>
      <c r="DZ96" s="11">
        <f t="shared" si="19"/>
        <v>0</v>
      </c>
      <c r="EA96" s="10"/>
      <c r="EB96" s="10"/>
    </row>
    <row r="97" spans="2:132" ht="16.5">
      <c r="B97" s="2">
        <v>85</v>
      </c>
      <c r="C97" s="66" t="s">
        <v>538</v>
      </c>
      <c r="D97" s="49"/>
      <c r="E97" s="71">
        <f t="shared" si="10"/>
        <v>8.4</v>
      </c>
      <c r="F97" s="66">
        <v>7</v>
      </c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67"/>
      <c r="AS97" s="10"/>
      <c r="AT97" s="10"/>
      <c r="AU97" s="10"/>
      <c r="AV97" s="10"/>
      <c r="AW97" s="10"/>
      <c r="AX97" s="10"/>
      <c r="AY97" s="10"/>
      <c r="AZ97" s="10"/>
      <c r="BA97" s="67"/>
      <c r="BB97" s="10"/>
      <c r="BC97" s="10"/>
      <c r="BD97" s="10"/>
      <c r="BE97" s="10"/>
      <c r="BF97" s="10">
        <v>0</v>
      </c>
      <c r="BG97" s="11">
        <f t="shared" si="11"/>
        <v>0</v>
      </c>
      <c r="BH97" s="10"/>
      <c r="BI97" s="10">
        <v>0</v>
      </c>
      <c r="BJ97" s="11">
        <f t="shared" si="12"/>
        <v>0</v>
      </c>
      <c r="BK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66"/>
      <c r="CY97" s="70">
        <f t="shared" si="13"/>
        <v>0</v>
      </c>
      <c r="CZ97" s="10"/>
      <c r="DA97" s="10"/>
      <c r="DB97" s="10"/>
      <c r="DC97" s="10"/>
      <c r="DD97" s="10"/>
      <c r="DE97" s="10"/>
      <c r="DF97" s="10"/>
      <c r="DG97" s="10"/>
      <c r="DH97" s="66"/>
      <c r="DI97" s="70">
        <f t="shared" si="14"/>
        <v>0</v>
      </c>
      <c r="DJ97" s="10"/>
      <c r="DK97" s="10"/>
      <c r="DL97" s="10"/>
      <c r="DM97" s="11">
        <f t="shared" si="15"/>
        <v>0</v>
      </c>
      <c r="DN97" s="10"/>
      <c r="DO97" s="10"/>
      <c r="DP97" s="10">
        <v>0</v>
      </c>
      <c r="DQ97" s="11">
        <f t="shared" si="16"/>
        <v>0</v>
      </c>
      <c r="DR97" s="10"/>
      <c r="DS97" s="10">
        <v>7</v>
      </c>
      <c r="DT97" s="11">
        <f t="shared" si="17"/>
        <v>58.800000000000004</v>
      </c>
      <c r="DU97" s="10"/>
      <c r="DV97" s="10"/>
      <c r="DW97" s="10"/>
      <c r="DX97" s="11">
        <f t="shared" si="18"/>
        <v>0</v>
      </c>
      <c r="DY97" s="10"/>
      <c r="DZ97" s="11">
        <f t="shared" si="19"/>
        <v>0</v>
      </c>
      <c r="EA97" s="10"/>
      <c r="EB97" s="10"/>
    </row>
    <row r="98" spans="2:132" ht="16.5">
      <c r="B98" s="2">
        <v>86</v>
      </c>
      <c r="C98" s="66" t="s">
        <v>539</v>
      </c>
      <c r="D98" s="49"/>
      <c r="E98" s="71">
        <f t="shared" si="10"/>
        <v>3.5999999999999996</v>
      </c>
      <c r="F98" s="66">
        <v>3</v>
      </c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67"/>
      <c r="AS98" s="10"/>
      <c r="AT98" s="10"/>
      <c r="AU98" s="10"/>
      <c r="AV98" s="10"/>
      <c r="AW98" s="10"/>
      <c r="AX98" s="10"/>
      <c r="AY98" s="10"/>
      <c r="AZ98" s="10"/>
      <c r="BA98" s="67"/>
      <c r="BB98" s="10"/>
      <c r="BC98" s="10"/>
      <c r="BD98" s="10"/>
      <c r="BE98" s="10"/>
      <c r="BF98" s="10">
        <v>0</v>
      </c>
      <c r="BG98" s="11">
        <f t="shared" si="11"/>
        <v>0</v>
      </c>
      <c r="BH98" s="10"/>
      <c r="BI98" s="10">
        <v>0</v>
      </c>
      <c r="BJ98" s="11">
        <f t="shared" si="12"/>
        <v>0</v>
      </c>
      <c r="BK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66"/>
      <c r="CY98" s="70">
        <f t="shared" si="13"/>
        <v>0</v>
      </c>
      <c r="CZ98" s="10"/>
      <c r="DA98" s="10"/>
      <c r="DB98" s="10"/>
      <c r="DC98" s="10"/>
      <c r="DD98" s="10"/>
      <c r="DE98" s="10"/>
      <c r="DF98" s="10"/>
      <c r="DG98" s="10"/>
      <c r="DH98" s="66"/>
      <c r="DI98" s="70">
        <f t="shared" si="14"/>
        <v>0</v>
      </c>
      <c r="DJ98" s="10"/>
      <c r="DK98" s="10"/>
      <c r="DL98" s="10"/>
      <c r="DM98" s="11">
        <f t="shared" si="15"/>
        <v>0</v>
      </c>
      <c r="DN98" s="10"/>
      <c r="DO98" s="10"/>
      <c r="DP98" s="10">
        <v>0</v>
      </c>
      <c r="DQ98" s="11">
        <f t="shared" si="16"/>
        <v>0</v>
      </c>
      <c r="DR98" s="10"/>
      <c r="DS98" s="10">
        <v>3</v>
      </c>
      <c r="DT98" s="11">
        <f t="shared" si="17"/>
        <v>10.799999999999999</v>
      </c>
      <c r="DU98" s="10"/>
      <c r="DV98" s="10"/>
      <c r="DW98" s="10"/>
      <c r="DX98" s="11">
        <f t="shared" si="18"/>
        <v>0</v>
      </c>
      <c r="DY98" s="10"/>
      <c r="DZ98" s="11">
        <f t="shared" si="19"/>
        <v>0</v>
      </c>
      <c r="EA98" s="10"/>
      <c r="EB98" s="10"/>
    </row>
    <row r="99" spans="2:132" ht="16.5">
      <c r="B99" s="2">
        <v>87</v>
      </c>
      <c r="C99" s="66" t="s">
        <v>540</v>
      </c>
      <c r="D99" s="49"/>
      <c r="E99" s="71">
        <f t="shared" si="10"/>
        <v>1.2</v>
      </c>
      <c r="F99" s="66">
        <v>1</v>
      </c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67"/>
      <c r="AS99" s="10"/>
      <c r="AT99" s="10"/>
      <c r="AU99" s="10"/>
      <c r="AV99" s="10"/>
      <c r="AW99" s="10"/>
      <c r="AX99" s="10"/>
      <c r="AY99" s="10"/>
      <c r="AZ99" s="10"/>
      <c r="BA99" s="67"/>
      <c r="BB99" s="10"/>
      <c r="BC99" s="10"/>
      <c r="BD99" s="10"/>
      <c r="BE99" s="10"/>
      <c r="BF99" s="10">
        <v>1</v>
      </c>
      <c r="BG99" s="11">
        <f t="shared" si="11"/>
        <v>1.2</v>
      </c>
      <c r="BH99" s="10"/>
      <c r="BI99" s="10">
        <v>0</v>
      </c>
      <c r="BJ99" s="11">
        <f t="shared" si="12"/>
        <v>0</v>
      </c>
      <c r="BK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66"/>
      <c r="CY99" s="70">
        <f t="shared" si="13"/>
        <v>0</v>
      </c>
      <c r="CZ99" s="10"/>
      <c r="DA99" s="10"/>
      <c r="DB99" s="10"/>
      <c r="DC99" s="10"/>
      <c r="DD99" s="10"/>
      <c r="DE99" s="10"/>
      <c r="DF99" s="10"/>
      <c r="DG99" s="10"/>
      <c r="DH99" s="66"/>
      <c r="DI99" s="70">
        <f t="shared" si="14"/>
        <v>0</v>
      </c>
      <c r="DJ99" s="10"/>
      <c r="DK99" s="10"/>
      <c r="DL99" s="10"/>
      <c r="DM99" s="11">
        <f t="shared" si="15"/>
        <v>0</v>
      </c>
      <c r="DN99" s="10"/>
      <c r="DO99" s="10"/>
      <c r="DP99" s="10">
        <v>0</v>
      </c>
      <c r="DQ99" s="11">
        <f t="shared" si="16"/>
        <v>0</v>
      </c>
      <c r="DR99" s="10"/>
      <c r="DS99" s="10"/>
      <c r="DT99" s="11">
        <f t="shared" si="17"/>
        <v>0</v>
      </c>
      <c r="DU99" s="10"/>
      <c r="DV99" s="10"/>
      <c r="DW99" s="10"/>
      <c r="DX99" s="11">
        <f t="shared" si="18"/>
        <v>0</v>
      </c>
      <c r="DY99" s="10"/>
      <c r="DZ99" s="11">
        <f t="shared" si="19"/>
        <v>0</v>
      </c>
      <c r="EA99" s="10"/>
      <c r="EB99" s="10"/>
    </row>
    <row r="100" spans="2:132" ht="16.5">
      <c r="B100" s="2">
        <v>88</v>
      </c>
      <c r="C100" s="66" t="s">
        <v>541</v>
      </c>
      <c r="D100" s="49"/>
      <c r="E100" s="71">
        <f t="shared" si="10"/>
        <v>3.5999999999999996</v>
      </c>
      <c r="F100" s="66">
        <v>3</v>
      </c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67"/>
      <c r="AS100" s="10"/>
      <c r="AT100" s="10"/>
      <c r="AU100" s="10"/>
      <c r="AV100" s="10"/>
      <c r="AW100" s="10"/>
      <c r="AX100" s="10"/>
      <c r="AY100" s="10"/>
      <c r="AZ100" s="10"/>
      <c r="BA100" s="67"/>
      <c r="BB100" s="10"/>
      <c r="BC100" s="10"/>
      <c r="BD100" s="10"/>
      <c r="BE100" s="10"/>
      <c r="BF100" s="10">
        <v>0</v>
      </c>
      <c r="BG100" s="11">
        <f t="shared" si="11"/>
        <v>0</v>
      </c>
      <c r="BH100" s="10"/>
      <c r="BI100" s="10">
        <v>3</v>
      </c>
      <c r="BJ100" s="11">
        <f t="shared" si="12"/>
        <v>10.799999999999999</v>
      </c>
      <c r="BK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66"/>
      <c r="CY100" s="70">
        <f t="shared" si="13"/>
        <v>0</v>
      </c>
      <c r="CZ100" s="10"/>
      <c r="DA100" s="10"/>
      <c r="DB100" s="10"/>
      <c r="DC100" s="10"/>
      <c r="DD100" s="10"/>
      <c r="DE100" s="10"/>
      <c r="DF100" s="10"/>
      <c r="DG100" s="10"/>
      <c r="DH100" s="66"/>
      <c r="DI100" s="70">
        <f t="shared" si="14"/>
        <v>0</v>
      </c>
      <c r="DJ100" s="10"/>
      <c r="DK100" s="10"/>
      <c r="DL100" s="10"/>
      <c r="DM100" s="11">
        <f t="shared" si="15"/>
        <v>0</v>
      </c>
      <c r="DN100" s="10"/>
      <c r="DO100" s="10"/>
      <c r="DP100" s="10">
        <v>0</v>
      </c>
      <c r="DQ100" s="11">
        <f t="shared" si="16"/>
        <v>0</v>
      </c>
      <c r="DR100" s="10"/>
      <c r="DS100" s="10"/>
      <c r="DT100" s="11">
        <f t="shared" si="17"/>
        <v>0</v>
      </c>
      <c r="DU100" s="10"/>
      <c r="DV100" s="10"/>
      <c r="DW100" s="10"/>
      <c r="DX100" s="11">
        <f t="shared" si="18"/>
        <v>0</v>
      </c>
      <c r="DY100" s="10"/>
      <c r="DZ100" s="11">
        <f t="shared" si="19"/>
        <v>0</v>
      </c>
      <c r="EA100" s="10"/>
      <c r="EB100" s="10"/>
    </row>
    <row r="101" spans="2:132" ht="16.5">
      <c r="B101" s="2">
        <v>89</v>
      </c>
      <c r="C101" s="66" t="s">
        <v>542</v>
      </c>
      <c r="D101" s="49"/>
      <c r="E101" s="71">
        <f t="shared" si="10"/>
        <v>4.8</v>
      </c>
      <c r="F101" s="66">
        <v>4</v>
      </c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67"/>
      <c r="AS101" s="10"/>
      <c r="AT101" s="10"/>
      <c r="AU101" s="10"/>
      <c r="AV101" s="10"/>
      <c r="AW101" s="10"/>
      <c r="AX101" s="10"/>
      <c r="AY101" s="10"/>
      <c r="AZ101" s="10"/>
      <c r="BA101" s="67"/>
      <c r="BB101" s="10"/>
      <c r="BC101" s="10"/>
      <c r="BD101" s="10"/>
      <c r="BE101" s="10"/>
      <c r="BF101" s="10">
        <v>0</v>
      </c>
      <c r="BG101" s="11">
        <f t="shared" si="11"/>
        <v>0</v>
      </c>
      <c r="BH101" s="10"/>
      <c r="BI101" s="10">
        <v>3</v>
      </c>
      <c r="BJ101" s="11">
        <f t="shared" si="12"/>
        <v>14.399999999999999</v>
      </c>
      <c r="BK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66"/>
      <c r="CY101" s="70">
        <f t="shared" si="13"/>
        <v>0</v>
      </c>
      <c r="CZ101" s="10"/>
      <c r="DA101" s="10"/>
      <c r="DB101" s="10"/>
      <c r="DC101" s="10"/>
      <c r="DD101" s="10"/>
      <c r="DE101" s="10"/>
      <c r="DF101" s="10"/>
      <c r="DG101" s="10"/>
      <c r="DH101" s="66"/>
      <c r="DI101" s="70">
        <f t="shared" si="14"/>
        <v>0</v>
      </c>
      <c r="DJ101" s="10"/>
      <c r="DK101" s="10"/>
      <c r="DL101" s="10"/>
      <c r="DM101" s="11">
        <f t="shared" si="15"/>
        <v>0</v>
      </c>
      <c r="DN101" s="10"/>
      <c r="DO101" s="10"/>
      <c r="DP101" s="10">
        <v>1</v>
      </c>
      <c r="DQ101" s="11">
        <f t="shared" si="16"/>
        <v>4.8</v>
      </c>
      <c r="DR101" s="10"/>
      <c r="DS101" s="10"/>
      <c r="DT101" s="11">
        <f t="shared" si="17"/>
        <v>0</v>
      </c>
      <c r="DU101" s="10"/>
      <c r="DV101" s="10"/>
      <c r="DW101" s="10"/>
      <c r="DX101" s="11">
        <f t="shared" si="18"/>
        <v>0</v>
      </c>
      <c r="DY101" s="10"/>
      <c r="DZ101" s="11">
        <f t="shared" si="19"/>
        <v>0</v>
      </c>
      <c r="EA101" s="10"/>
      <c r="EB101" s="10"/>
    </row>
    <row r="102" spans="2:132" ht="16.5">
      <c r="B102" s="2">
        <v>90</v>
      </c>
      <c r="C102" s="66" t="s">
        <v>543</v>
      </c>
      <c r="D102" s="49"/>
      <c r="E102" s="71">
        <f t="shared" si="10"/>
        <v>2.4</v>
      </c>
      <c r="F102" s="66">
        <v>2</v>
      </c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67"/>
      <c r="AS102" s="10"/>
      <c r="AT102" s="10"/>
      <c r="AU102" s="10"/>
      <c r="AV102" s="10"/>
      <c r="AW102" s="10"/>
      <c r="AX102" s="10"/>
      <c r="AY102" s="10"/>
      <c r="AZ102" s="10"/>
      <c r="BA102" s="67"/>
      <c r="BB102" s="10"/>
      <c r="BC102" s="10"/>
      <c r="BD102" s="10"/>
      <c r="BE102" s="10"/>
      <c r="BF102" s="10">
        <v>0</v>
      </c>
      <c r="BG102" s="11">
        <f t="shared" si="11"/>
        <v>0</v>
      </c>
      <c r="BH102" s="10"/>
      <c r="BI102" s="10">
        <v>0</v>
      </c>
      <c r="BJ102" s="11">
        <f t="shared" si="12"/>
        <v>0</v>
      </c>
      <c r="BK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66">
        <v>1</v>
      </c>
      <c r="CY102" s="70">
        <f t="shared" si="13"/>
        <v>2.4</v>
      </c>
      <c r="CZ102" s="10"/>
      <c r="DA102" s="10"/>
      <c r="DB102" s="10"/>
      <c r="DC102" s="10"/>
      <c r="DD102" s="10"/>
      <c r="DE102" s="10"/>
      <c r="DF102" s="10"/>
      <c r="DG102" s="10"/>
      <c r="DH102" s="66"/>
      <c r="DI102" s="70">
        <f t="shared" si="14"/>
        <v>0</v>
      </c>
      <c r="DJ102" s="10"/>
      <c r="DK102" s="10"/>
      <c r="DL102" s="10"/>
      <c r="DM102" s="11">
        <f t="shared" si="15"/>
        <v>0</v>
      </c>
      <c r="DN102" s="10"/>
      <c r="DO102" s="10"/>
      <c r="DP102" s="10">
        <v>0</v>
      </c>
      <c r="DQ102" s="11">
        <f t="shared" si="16"/>
        <v>0</v>
      </c>
      <c r="DR102" s="10"/>
      <c r="DS102" s="10">
        <v>1</v>
      </c>
      <c r="DT102" s="11">
        <f t="shared" si="17"/>
        <v>2.4</v>
      </c>
      <c r="DU102" s="10"/>
      <c r="DV102" s="10"/>
      <c r="DW102" s="10"/>
      <c r="DX102" s="11">
        <f t="shared" si="18"/>
        <v>0</v>
      </c>
      <c r="DY102" s="10"/>
      <c r="DZ102" s="11">
        <f t="shared" si="19"/>
        <v>0</v>
      </c>
      <c r="EA102" s="10"/>
      <c r="EB102" s="10"/>
    </row>
    <row r="103" spans="2:132" ht="16.5">
      <c r="B103" s="2">
        <v>91</v>
      </c>
      <c r="C103" s="66" t="s">
        <v>544</v>
      </c>
      <c r="D103" s="49"/>
      <c r="E103" s="71">
        <f t="shared" si="10"/>
        <v>2.4</v>
      </c>
      <c r="F103" s="66">
        <v>2</v>
      </c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67"/>
      <c r="AS103" s="10"/>
      <c r="AT103" s="10"/>
      <c r="AU103" s="10"/>
      <c r="AV103" s="10"/>
      <c r="AW103" s="10"/>
      <c r="AX103" s="10"/>
      <c r="AY103" s="10"/>
      <c r="AZ103" s="10"/>
      <c r="BA103" s="67"/>
      <c r="BB103" s="10"/>
      <c r="BC103" s="10"/>
      <c r="BD103" s="10"/>
      <c r="BE103" s="10"/>
      <c r="BF103" s="10">
        <v>2</v>
      </c>
      <c r="BG103" s="11">
        <f t="shared" si="11"/>
        <v>4.8</v>
      </c>
      <c r="BH103" s="10"/>
      <c r="BI103" s="10">
        <v>0</v>
      </c>
      <c r="BJ103" s="11">
        <f t="shared" si="12"/>
        <v>0</v>
      </c>
      <c r="BK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66"/>
      <c r="CY103" s="70">
        <f t="shared" si="13"/>
        <v>0</v>
      </c>
      <c r="CZ103" s="10"/>
      <c r="DA103" s="10"/>
      <c r="DB103" s="10"/>
      <c r="DC103" s="10"/>
      <c r="DD103" s="10"/>
      <c r="DE103" s="10"/>
      <c r="DF103" s="10"/>
      <c r="DG103" s="10"/>
      <c r="DH103" s="66"/>
      <c r="DI103" s="70">
        <f t="shared" si="14"/>
        <v>0</v>
      </c>
      <c r="DJ103" s="10"/>
      <c r="DK103" s="10"/>
      <c r="DL103" s="10"/>
      <c r="DM103" s="11">
        <f t="shared" si="15"/>
        <v>0</v>
      </c>
      <c r="DN103" s="10"/>
      <c r="DO103" s="10"/>
      <c r="DP103" s="10">
        <v>0</v>
      </c>
      <c r="DQ103" s="11">
        <f t="shared" si="16"/>
        <v>0</v>
      </c>
      <c r="DR103" s="10"/>
      <c r="DS103" s="10"/>
      <c r="DT103" s="11">
        <f t="shared" si="17"/>
        <v>0</v>
      </c>
      <c r="DU103" s="10"/>
      <c r="DV103" s="10"/>
      <c r="DW103" s="10"/>
      <c r="DX103" s="11">
        <f t="shared" si="18"/>
        <v>0</v>
      </c>
      <c r="DY103" s="10"/>
      <c r="DZ103" s="11">
        <f t="shared" si="19"/>
        <v>0</v>
      </c>
      <c r="EA103" s="10"/>
      <c r="EB103" s="10"/>
    </row>
    <row r="104" spans="2:132" ht="16.5">
      <c r="B104" s="2">
        <v>92</v>
      </c>
      <c r="C104" s="66" t="s">
        <v>545</v>
      </c>
      <c r="D104" s="49"/>
      <c r="E104" s="71">
        <f t="shared" si="10"/>
        <v>27.599999999999998</v>
      </c>
      <c r="F104" s="66">
        <v>23</v>
      </c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67"/>
      <c r="AS104" s="10"/>
      <c r="AT104" s="10"/>
      <c r="AU104" s="10"/>
      <c r="AV104" s="10"/>
      <c r="AW104" s="10"/>
      <c r="AX104" s="10"/>
      <c r="AY104" s="10"/>
      <c r="AZ104" s="10"/>
      <c r="BA104" s="67"/>
      <c r="BB104" s="10"/>
      <c r="BC104" s="10"/>
      <c r="BD104" s="10"/>
      <c r="BE104" s="10"/>
      <c r="BF104" s="10">
        <v>4</v>
      </c>
      <c r="BG104" s="11">
        <f t="shared" si="11"/>
        <v>110.39999999999999</v>
      </c>
      <c r="BH104" s="10"/>
      <c r="BI104" s="10">
        <v>0</v>
      </c>
      <c r="BJ104" s="11">
        <f t="shared" si="12"/>
        <v>0</v>
      </c>
      <c r="BK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66"/>
      <c r="CY104" s="70">
        <f t="shared" si="13"/>
        <v>0</v>
      </c>
      <c r="CZ104" s="10"/>
      <c r="DA104" s="10"/>
      <c r="DB104" s="10"/>
      <c r="DC104" s="10"/>
      <c r="DD104" s="10"/>
      <c r="DE104" s="10"/>
      <c r="DF104" s="10"/>
      <c r="DG104" s="10"/>
      <c r="DH104" s="66"/>
      <c r="DI104" s="70">
        <f t="shared" si="14"/>
        <v>0</v>
      </c>
      <c r="DJ104" s="10"/>
      <c r="DK104" s="10"/>
      <c r="DL104" s="10"/>
      <c r="DM104" s="11">
        <f t="shared" si="15"/>
        <v>0</v>
      </c>
      <c r="DN104" s="10"/>
      <c r="DO104" s="10"/>
      <c r="DP104" s="10">
        <v>7</v>
      </c>
      <c r="DQ104" s="11">
        <f t="shared" si="16"/>
        <v>193.2</v>
      </c>
      <c r="DR104" s="10"/>
      <c r="DS104" s="10">
        <v>12</v>
      </c>
      <c r="DT104" s="11">
        <f t="shared" si="17"/>
        <v>331.2</v>
      </c>
      <c r="DU104" s="10"/>
      <c r="DV104" s="10"/>
      <c r="DW104" s="10"/>
      <c r="DX104" s="11">
        <f t="shared" si="18"/>
        <v>0</v>
      </c>
      <c r="DY104" s="10"/>
      <c r="DZ104" s="11">
        <f t="shared" si="19"/>
        <v>0</v>
      </c>
      <c r="EA104" s="10"/>
      <c r="EB104" s="10"/>
    </row>
    <row r="105" spans="2:132" ht="16.5">
      <c r="B105" s="2">
        <v>93</v>
      </c>
      <c r="C105" s="66" t="s">
        <v>546</v>
      </c>
      <c r="D105" s="49"/>
      <c r="E105" s="71">
        <f t="shared" si="10"/>
        <v>15.6</v>
      </c>
      <c r="F105" s="66">
        <v>13</v>
      </c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67"/>
      <c r="AS105" s="10"/>
      <c r="AT105" s="10"/>
      <c r="AU105" s="10"/>
      <c r="AV105" s="10"/>
      <c r="AW105" s="10"/>
      <c r="AX105" s="10"/>
      <c r="AY105" s="10"/>
      <c r="AZ105" s="10"/>
      <c r="BA105" s="67"/>
      <c r="BB105" s="10"/>
      <c r="BC105" s="10"/>
      <c r="BD105" s="10"/>
      <c r="BE105" s="10"/>
      <c r="BF105" s="10">
        <v>0</v>
      </c>
      <c r="BG105" s="11">
        <f t="shared" si="11"/>
        <v>0</v>
      </c>
      <c r="BH105" s="10"/>
      <c r="BI105" s="10">
        <v>7</v>
      </c>
      <c r="BJ105" s="11">
        <f t="shared" si="12"/>
        <v>109.2</v>
      </c>
      <c r="BK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66">
        <v>2</v>
      </c>
      <c r="CY105" s="70">
        <f t="shared" si="13"/>
        <v>31.2</v>
      </c>
      <c r="CZ105" s="10"/>
      <c r="DA105" s="10"/>
      <c r="DB105" s="10"/>
      <c r="DC105" s="10"/>
      <c r="DD105" s="10"/>
      <c r="DE105" s="10"/>
      <c r="DF105" s="10"/>
      <c r="DG105" s="10"/>
      <c r="DH105" s="66"/>
      <c r="DI105" s="70">
        <f t="shared" si="14"/>
        <v>0</v>
      </c>
      <c r="DJ105" s="10"/>
      <c r="DK105" s="10"/>
      <c r="DL105" s="10"/>
      <c r="DM105" s="11">
        <f t="shared" si="15"/>
        <v>0</v>
      </c>
      <c r="DN105" s="10"/>
      <c r="DO105" s="10"/>
      <c r="DP105" s="10">
        <v>1</v>
      </c>
      <c r="DQ105" s="11">
        <f t="shared" si="16"/>
        <v>15.6</v>
      </c>
      <c r="DR105" s="10"/>
      <c r="DS105" s="10">
        <v>2</v>
      </c>
      <c r="DT105" s="11">
        <f t="shared" si="17"/>
        <v>31.2</v>
      </c>
      <c r="DU105" s="10"/>
      <c r="DV105" s="10"/>
      <c r="DW105" s="10">
        <v>1</v>
      </c>
      <c r="DX105" s="11">
        <f t="shared" si="18"/>
        <v>15.6</v>
      </c>
      <c r="DY105" s="10"/>
      <c r="DZ105" s="11">
        <f t="shared" si="19"/>
        <v>0</v>
      </c>
      <c r="EA105" s="10"/>
      <c r="EB105" s="10"/>
    </row>
    <row r="106" spans="2:132" ht="16.5">
      <c r="B106" s="2">
        <v>94</v>
      </c>
      <c r="C106" s="66" t="s">
        <v>547</v>
      </c>
      <c r="D106" s="49"/>
      <c r="E106" s="71">
        <f t="shared" si="10"/>
        <v>1.2</v>
      </c>
      <c r="F106" s="66">
        <v>1</v>
      </c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67"/>
      <c r="AS106" s="10"/>
      <c r="AT106" s="10"/>
      <c r="AU106" s="10"/>
      <c r="AV106" s="10"/>
      <c r="AW106" s="10"/>
      <c r="AX106" s="10"/>
      <c r="AY106" s="10"/>
      <c r="AZ106" s="10"/>
      <c r="BA106" s="67"/>
      <c r="BB106" s="10"/>
      <c r="BC106" s="10"/>
      <c r="BD106" s="10"/>
      <c r="BE106" s="10"/>
      <c r="BF106" s="10">
        <v>0</v>
      </c>
      <c r="BG106" s="11">
        <f t="shared" si="11"/>
        <v>0</v>
      </c>
      <c r="BH106" s="10"/>
      <c r="BI106" s="10">
        <v>0</v>
      </c>
      <c r="BJ106" s="11">
        <f t="shared" si="12"/>
        <v>0</v>
      </c>
      <c r="BK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66"/>
      <c r="CY106" s="70">
        <f t="shared" si="13"/>
        <v>0</v>
      </c>
      <c r="CZ106" s="10"/>
      <c r="DA106" s="10"/>
      <c r="DB106" s="10"/>
      <c r="DC106" s="10"/>
      <c r="DD106" s="10"/>
      <c r="DE106" s="10"/>
      <c r="DF106" s="10"/>
      <c r="DG106" s="10"/>
      <c r="DH106" s="66"/>
      <c r="DI106" s="70">
        <f t="shared" si="14"/>
        <v>0</v>
      </c>
      <c r="DJ106" s="10"/>
      <c r="DK106" s="10"/>
      <c r="DL106" s="10"/>
      <c r="DM106" s="11">
        <f t="shared" si="15"/>
        <v>0</v>
      </c>
      <c r="DN106" s="10"/>
      <c r="DO106" s="10"/>
      <c r="DP106" s="10">
        <v>1</v>
      </c>
      <c r="DQ106" s="11">
        <f t="shared" si="16"/>
        <v>1.2</v>
      </c>
      <c r="DR106" s="10"/>
      <c r="DS106" s="10"/>
      <c r="DT106" s="11">
        <f t="shared" si="17"/>
        <v>0</v>
      </c>
      <c r="DU106" s="10"/>
      <c r="DV106" s="10"/>
      <c r="DW106" s="10"/>
      <c r="DX106" s="11">
        <f t="shared" si="18"/>
        <v>0</v>
      </c>
      <c r="DY106" s="10"/>
      <c r="DZ106" s="11">
        <f t="shared" si="19"/>
        <v>0</v>
      </c>
      <c r="EA106" s="10"/>
      <c r="EB106" s="10"/>
    </row>
    <row r="107" spans="2:132" ht="16.5">
      <c r="B107" s="2">
        <v>95</v>
      </c>
      <c r="C107" s="66" t="s">
        <v>548</v>
      </c>
      <c r="D107" s="49"/>
      <c r="E107" s="71">
        <f t="shared" si="10"/>
        <v>1.2</v>
      </c>
      <c r="F107" s="66">
        <v>1</v>
      </c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67"/>
      <c r="AS107" s="10"/>
      <c r="AT107" s="10"/>
      <c r="AU107" s="10"/>
      <c r="AV107" s="10"/>
      <c r="AW107" s="10"/>
      <c r="AX107" s="10"/>
      <c r="AY107" s="10"/>
      <c r="AZ107" s="10"/>
      <c r="BA107" s="67"/>
      <c r="BB107" s="10"/>
      <c r="BC107" s="10"/>
      <c r="BD107" s="10"/>
      <c r="BE107" s="10"/>
      <c r="BF107" s="10">
        <v>0</v>
      </c>
      <c r="BG107" s="11">
        <f t="shared" si="11"/>
        <v>0</v>
      </c>
      <c r="BH107" s="10"/>
      <c r="BI107" s="10">
        <v>0</v>
      </c>
      <c r="BJ107" s="11">
        <f t="shared" si="12"/>
        <v>0</v>
      </c>
      <c r="BK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66"/>
      <c r="CY107" s="70">
        <f t="shared" si="13"/>
        <v>0</v>
      </c>
      <c r="CZ107" s="10"/>
      <c r="DA107" s="10"/>
      <c r="DB107" s="10"/>
      <c r="DC107" s="10"/>
      <c r="DD107" s="10"/>
      <c r="DE107" s="10"/>
      <c r="DF107" s="10"/>
      <c r="DG107" s="10"/>
      <c r="DH107" s="66"/>
      <c r="DI107" s="70">
        <f t="shared" si="14"/>
        <v>0</v>
      </c>
      <c r="DJ107" s="10"/>
      <c r="DK107" s="10"/>
      <c r="DL107" s="10"/>
      <c r="DM107" s="11">
        <f t="shared" si="15"/>
        <v>0</v>
      </c>
      <c r="DN107" s="10"/>
      <c r="DO107" s="10"/>
      <c r="DP107" s="10">
        <v>1</v>
      </c>
      <c r="DQ107" s="11">
        <f t="shared" si="16"/>
        <v>1.2</v>
      </c>
      <c r="DR107" s="10"/>
      <c r="DS107" s="10"/>
      <c r="DT107" s="11">
        <f t="shared" si="17"/>
        <v>0</v>
      </c>
      <c r="DU107" s="10"/>
      <c r="DV107" s="10"/>
      <c r="DW107" s="10"/>
      <c r="DX107" s="11">
        <f t="shared" si="18"/>
        <v>0</v>
      </c>
      <c r="DY107" s="10"/>
      <c r="DZ107" s="11">
        <f t="shared" si="19"/>
        <v>0</v>
      </c>
      <c r="EA107" s="10"/>
      <c r="EB107" s="10"/>
    </row>
    <row r="108" spans="2:132" ht="16.5">
      <c r="B108" s="2">
        <v>96</v>
      </c>
      <c r="C108" s="66" t="s">
        <v>549</v>
      </c>
      <c r="D108" s="49"/>
      <c r="E108" s="71">
        <f t="shared" si="10"/>
        <v>181.2</v>
      </c>
      <c r="F108" s="66">
        <v>151</v>
      </c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67"/>
      <c r="AS108" s="10"/>
      <c r="AT108" s="10"/>
      <c r="AU108" s="10"/>
      <c r="AV108" s="10"/>
      <c r="AW108" s="10"/>
      <c r="AX108" s="10"/>
      <c r="AY108" s="10"/>
      <c r="AZ108" s="10"/>
      <c r="BA108" s="67"/>
      <c r="BB108" s="10"/>
      <c r="BC108" s="10"/>
      <c r="BD108" s="10"/>
      <c r="BE108" s="10"/>
      <c r="BF108" s="10">
        <v>16</v>
      </c>
      <c r="BG108" s="11">
        <f t="shared" si="11"/>
        <v>2899.2</v>
      </c>
      <c r="BH108" s="10"/>
      <c r="BI108" s="10">
        <v>83</v>
      </c>
      <c r="BJ108" s="11">
        <f t="shared" si="12"/>
        <v>15039.599999999999</v>
      </c>
      <c r="BK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66">
        <v>3</v>
      </c>
      <c r="CY108" s="70">
        <f t="shared" si="13"/>
        <v>543.59999999999991</v>
      </c>
      <c r="CZ108" s="10"/>
      <c r="DA108" s="10"/>
      <c r="DB108" s="10"/>
      <c r="DC108" s="10"/>
      <c r="DD108" s="10"/>
      <c r="DE108" s="10"/>
      <c r="DF108" s="10"/>
      <c r="DG108" s="10"/>
      <c r="DH108" s="66"/>
      <c r="DI108" s="70">
        <f t="shared" si="14"/>
        <v>0</v>
      </c>
      <c r="DJ108" s="10"/>
      <c r="DK108" s="10"/>
      <c r="DL108" s="10"/>
      <c r="DM108" s="11">
        <f t="shared" si="15"/>
        <v>0</v>
      </c>
      <c r="DN108" s="10"/>
      <c r="DO108" s="10"/>
      <c r="DP108" s="10">
        <v>10</v>
      </c>
      <c r="DQ108" s="11">
        <f t="shared" si="16"/>
        <v>1812</v>
      </c>
      <c r="DR108" s="10"/>
      <c r="DS108" s="10">
        <v>34</v>
      </c>
      <c r="DT108" s="11">
        <f t="shared" si="17"/>
        <v>6160.7999999999993</v>
      </c>
      <c r="DU108" s="10"/>
      <c r="DV108" s="10"/>
      <c r="DW108" s="10">
        <v>5</v>
      </c>
      <c r="DX108" s="11">
        <f t="shared" si="18"/>
        <v>906</v>
      </c>
      <c r="DY108" s="10"/>
      <c r="DZ108" s="11">
        <f t="shared" si="19"/>
        <v>0</v>
      </c>
      <c r="EA108" s="10"/>
      <c r="EB108" s="10"/>
    </row>
    <row r="109" spans="2:132" ht="16.5">
      <c r="B109" s="2">
        <v>97</v>
      </c>
      <c r="C109" s="66" t="s">
        <v>550</v>
      </c>
      <c r="D109" s="49"/>
      <c r="E109" s="71">
        <f t="shared" si="10"/>
        <v>9.6</v>
      </c>
      <c r="F109" s="66">
        <v>8</v>
      </c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67"/>
      <c r="AS109" s="10"/>
      <c r="AT109" s="10"/>
      <c r="AU109" s="10"/>
      <c r="AV109" s="10"/>
      <c r="AW109" s="10"/>
      <c r="AX109" s="10"/>
      <c r="AY109" s="10"/>
      <c r="AZ109" s="10"/>
      <c r="BA109" s="67"/>
      <c r="BB109" s="10"/>
      <c r="BC109" s="10"/>
      <c r="BD109" s="10"/>
      <c r="BE109" s="10"/>
      <c r="BF109" s="10">
        <v>0</v>
      </c>
      <c r="BG109" s="11">
        <f t="shared" si="11"/>
        <v>0</v>
      </c>
      <c r="BH109" s="10"/>
      <c r="BI109" s="10">
        <v>8</v>
      </c>
      <c r="BJ109" s="11">
        <f t="shared" si="12"/>
        <v>76.8</v>
      </c>
      <c r="BK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66"/>
      <c r="CY109" s="70">
        <f t="shared" si="13"/>
        <v>0</v>
      </c>
      <c r="CZ109" s="10"/>
      <c r="DA109" s="10"/>
      <c r="DB109" s="10"/>
      <c r="DC109" s="10"/>
      <c r="DD109" s="10"/>
      <c r="DE109" s="10"/>
      <c r="DF109" s="10"/>
      <c r="DG109" s="10"/>
      <c r="DH109" s="66"/>
      <c r="DI109" s="70">
        <f t="shared" si="14"/>
        <v>0</v>
      </c>
      <c r="DJ109" s="10"/>
      <c r="DK109" s="10"/>
      <c r="DL109" s="10"/>
      <c r="DM109" s="11">
        <f t="shared" si="15"/>
        <v>0</v>
      </c>
      <c r="DN109" s="10"/>
      <c r="DO109" s="10"/>
      <c r="DP109" s="10">
        <v>0</v>
      </c>
      <c r="DQ109" s="11">
        <f t="shared" si="16"/>
        <v>0</v>
      </c>
      <c r="DR109" s="10"/>
      <c r="DS109" s="10"/>
      <c r="DT109" s="11">
        <f t="shared" si="17"/>
        <v>0</v>
      </c>
      <c r="DU109" s="10"/>
      <c r="DV109" s="10"/>
      <c r="DW109" s="10"/>
      <c r="DX109" s="11">
        <f t="shared" si="18"/>
        <v>0</v>
      </c>
      <c r="DY109" s="10"/>
      <c r="DZ109" s="11">
        <f t="shared" si="19"/>
        <v>0</v>
      </c>
      <c r="EA109" s="10"/>
      <c r="EB109" s="10"/>
    </row>
    <row r="110" spans="2:132" ht="16.5">
      <c r="B110" s="2">
        <v>98</v>
      </c>
      <c r="C110" s="66" t="s">
        <v>551</v>
      </c>
      <c r="D110" s="49"/>
      <c r="E110" s="71">
        <f t="shared" si="10"/>
        <v>22.8</v>
      </c>
      <c r="F110" s="66">
        <v>19</v>
      </c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67"/>
      <c r="AS110" s="10"/>
      <c r="AT110" s="10"/>
      <c r="AU110" s="10"/>
      <c r="AV110" s="10"/>
      <c r="AW110" s="10"/>
      <c r="AX110" s="10"/>
      <c r="AY110" s="10"/>
      <c r="AZ110" s="10"/>
      <c r="BA110" s="67"/>
      <c r="BB110" s="10"/>
      <c r="BC110" s="10"/>
      <c r="BD110" s="10"/>
      <c r="BE110" s="10"/>
      <c r="BF110" s="10">
        <v>1</v>
      </c>
      <c r="BG110" s="11">
        <f t="shared" si="11"/>
        <v>22.8</v>
      </c>
      <c r="BH110" s="10"/>
      <c r="BI110" s="10">
        <v>16</v>
      </c>
      <c r="BJ110" s="11">
        <f t="shared" si="12"/>
        <v>364.8</v>
      </c>
      <c r="BK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66"/>
      <c r="CY110" s="70">
        <f t="shared" si="13"/>
        <v>0</v>
      </c>
      <c r="CZ110" s="10"/>
      <c r="DA110" s="10"/>
      <c r="DB110" s="10"/>
      <c r="DC110" s="10"/>
      <c r="DD110" s="10"/>
      <c r="DE110" s="10"/>
      <c r="DF110" s="10"/>
      <c r="DG110" s="10"/>
      <c r="DH110" s="66"/>
      <c r="DI110" s="70">
        <f t="shared" si="14"/>
        <v>0</v>
      </c>
      <c r="DJ110" s="10"/>
      <c r="DK110" s="10"/>
      <c r="DL110" s="10"/>
      <c r="DM110" s="11">
        <f t="shared" si="15"/>
        <v>0</v>
      </c>
      <c r="DN110" s="10"/>
      <c r="DO110" s="10"/>
      <c r="DP110" s="10">
        <v>0</v>
      </c>
      <c r="DQ110" s="11">
        <f t="shared" si="16"/>
        <v>0</v>
      </c>
      <c r="DR110" s="10"/>
      <c r="DS110" s="10">
        <v>1</v>
      </c>
      <c r="DT110" s="11">
        <f t="shared" si="17"/>
        <v>22.8</v>
      </c>
      <c r="DU110" s="10"/>
      <c r="DV110" s="10"/>
      <c r="DW110" s="10">
        <v>1</v>
      </c>
      <c r="DX110" s="11">
        <f t="shared" si="18"/>
        <v>22.8</v>
      </c>
      <c r="DY110" s="10"/>
      <c r="DZ110" s="11">
        <f t="shared" si="19"/>
        <v>0</v>
      </c>
      <c r="EA110" s="10"/>
      <c r="EB110" s="10"/>
    </row>
    <row r="111" spans="2:132" ht="16.5">
      <c r="B111" s="2">
        <v>99</v>
      </c>
      <c r="C111" s="66" t="s">
        <v>552</v>
      </c>
      <c r="D111" s="49"/>
      <c r="E111" s="71">
        <f t="shared" si="10"/>
        <v>1.2</v>
      </c>
      <c r="F111" s="66">
        <v>1</v>
      </c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67"/>
      <c r="AS111" s="10"/>
      <c r="AT111" s="10"/>
      <c r="AU111" s="10"/>
      <c r="AV111" s="10"/>
      <c r="AW111" s="10"/>
      <c r="AX111" s="10"/>
      <c r="AY111" s="10"/>
      <c r="AZ111" s="10"/>
      <c r="BA111" s="67"/>
      <c r="BB111" s="10"/>
      <c r="BC111" s="10"/>
      <c r="BD111" s="10"/>
      <c r="BE111" s="10"/>
      <c r="BF111" s="10">
        <v>0</v>
      </c>
      <c r="BG111" s="11">
        <f t="shared" si="11"/>
        <v>0</v>
      </c>
      <c r="BH111" s="10"/>
      <c r="BI111" s="10">
        <v>0</v>
      </c>
      <c r="BJ111" s="11">
        <f t="shared" si="12"/>
        <v>0</v>
      </c>
      <c r="BK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66"/>
      <c r="CY111" s="70">
        <f t="shared" si="13"/>
        <v>0</v>
      </c>
      <c r="CZ111" s="10"/>
      <c r="DA111" s="10"/>
      <c r="DB111" s="10"/>
      <c r="DC111" s="10"/>
      <c r="DD111" s="10"/>
      <c r="DE111" s="10"/>
      <c r="DF111" s="10"/>
      <c r="DG111" s="10"/>
      <c r="DH111" s="66"/>
      <c r="DI111" s="70">
        <f t="shared" si="14"/>
        <v>0</v>
      </c>
      <c r="DJ111" s="10"/>
      <c r="DK111" s="10"/>
      <c r="DL111" s="10"/>
      <c r="DM111" s="11">
        <f t="shared" si="15"/>
        <v>0</v>
      </c>
      <c r="DN111" s="10"/>
      <c r="DO111" s="10"/>
      <c r="DP111" s="10">
        <v>1</v>
      </c>
      <c r="DQ111" s="11">
        <f t="shared" si="16"/>
        <v>1.2</v>
      </c>
      <c r="DR111" s="10"/>
      <c r="DS111" s="10"/>
      <c r="DT111" s="11">
        <f t="shared" si="17"/>
        <v>0</v>
      </c>
      <c r="DU111" s="10"/>
      <c r="DV111" s="10"/>
      <c r="DW111" s="10"/>
      <c r="DX111" s="11">
        <f t="shared" si="18"/>
        <v>0</v>
      </c>
      <c r="DY111" s="10"/>
      <c r="DZ111" s="11">
        <f t="shared" si="19"/>
        <v>0</v>
      </c>
      <c r="EA111" s="10"/>
      <c r="EB111" s="10"/>
    </row>
    <row r="112" spans="2:132" ht="16.5">
      <c r="B112" s="2">
        <v>100</v>
      </c>
      <c r="C112" s="66" t="s">
        <v>553</v>
      </c>
      <c r="D112" s="49"/>
      <c r="E112" s="71">
        <f t="shared" si="10"/>
        <v>10.799999999999999</v>
      </c>
      <c r="F112" s="66">
        <v>9</v>
      </c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67"/>
      <c r="AS112" s="10"/>
      <c r="AT112" s="10"/>
      <c r="AU112" s="10"/>
      <c r="AV112" s="10"/>
      <c r="AW112" s="10"/>
      <c r="AX112" s="10"/>
      <c r="AY112" s="10"/>
      <c r="AZ112" s="10"/>
      <c r="BA112" s="67"/>
      <c r="BB112" s="10"/>
      <c r="BC112" s="10"/>
      <c r="BD112" s="10"/>
      <c r="BE112" s="10"/>
      <c r="BF112" s="10">
        <v>0</v>
      </c>
      <c r="BG112" s="11">
        <f t="shared" si="11"/>
        <v>0</v>
      </c>
      <c r="BH112" s="10"/>
      <c r="BI112" s="10">
        <v>8</v>
      </c>
      <c r="BJ112" s="11">
        <f t="shared" si="12"/>
        <v>86.399999999999991</v>
      </c>
      <c r="BK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66"/>
      <c r="CY112" s="70">
        <f t="shared" si="13"/>
        <v>0</v>
      </c>
      <c r="CZ112" s="10"/>
      <c r="DA112" s="10"/>
      <c r="DB112" s="10"/>
      <c r="DC112" s="10"/>
      <c r="DD112" s="10"/>
      <c r="DE112" s="10"/>
      <c r="DF112" s="10"/>
      <c r="DG112" s="10"/>
      <c r="DH112" s="66"/>
      <c r="DI112" s="70">
        <f t="shared" si="14"/>
        <v>0</v>
      </c>
      <c r="DJ112" s="10"/>
      <c r="DK112" s="10"/>
      <c r="DL112" s="10"/>
      <c r="DM112" s="11">
        <f t="shared" si="15"/>
        <v>0</v>
      </c>
      <c r="DN112" s="10"/>
      <c r="DO112" s="10"/>
      <c r="DP112" s="10">
        <v>0</v>
      </c>
      <c r="DQ112" s="11">
        <f t="shared" si="16"/>
        <v>0</v>
      </c>
      <c r="DR112" s="10"/>
      <c r="DS112" s="10">
        <v>1</v>
      </c>
      <c r="DT112" s="11">
        <f t="shared" si="17"/>
        <v>10.799999999999999</v>
      </c>
      <c r="DU112" s="10"/>
      <c r="DV112" s="10"/>
      <c r="DW112" s="10"/>
      <c r="DX112" s="11">
        <f t="shared" si="18"/>
        <v>0</v>
      </c>
      <c r="DY112" s="10"/>
      <c r="DZ112" s="11">
        <f t="shared" si="19"/>
        <v>0</v>
      </c>
      <c r="EA112" s="10"/>
      <c r="EB112" s="10"/>
    </row>
    <row r="113" spans="2:132" ht="16.5">
      <c r="B113" s="2">
        <v>101</v>
      </c>
      <c r="C113" s="66" t="s">
        <v>554</v>
      </c>
      <c r="D113" s="49"/>
      <c r="E113" s="71">
        <f t="shared" si="10"/>
        <v>6</v>
      </c>
      <c r="F113" s="66">
        <v>5</v>
      </c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67"/>
      <c r="AS113" s="10"/>
      <c r="AT113" s="10"/>
      <c r="AU113" s="10"/>
      <c r="AV113" s="10"/>
      <c r="AW113" s="10"/>
      <c r="AX113" s="10"/>
      <c r="AY113" s="10"/>
      <c r="AZ113" s="10"/>
      <c r="BA113" s="67"/>
      <c r="BB113" s="10"/>
      <c r="BC113" s="10"/>
      <c r="BD113" s="10"/>
      <c r="BE113" s="10"/>
      <c r="BF113" s="10">
        <v>4</v>
      </c>
      <c r="BG113" s="11">
        <f t="shared" si="11"/>
        <v>24</v>
      </c>
      <c r="BH113" s="10"/>
      <c r="BI113" s="10">
        <v>0</v>
      </c>
      <c r="BJ113" s="11">
        <f t="shared" si="12"/>
        <v>0</v>
      </c>
      <c r="BK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66"/>
      <c r="CY113" s="70">
        <f t="shared" si="13"/>
        <v>0</v>
      </c>
      <c r="CZ113" s="10"/>
      <c r="DA113" s="10"/>
      <c r="DB113" s="10"/>
      <c r="DC113" s="10"/>
      <c r="DD113" s="10"/>
      <c r="DE113" s="10"/>
      <c r="DF113" s="10"/>
      <c r="DG113" s="10"/>
      <c r="DH113" s="66"/>
      <c r="DI113" s="70">
        <f t="shared" si="14"/>
        <v>0</v>
      </c>
      <c r="DJ113" s="10"/>
      <c r="DK113" s="10"/>
      <c r="DL113" s="10"/>
      <c r="DM113" s="11">
        <f t="shared" si="15"/>
        <v>0</v>
      </c>
      <c r="DN113" s="10"/>
      <c r="DO113" s="10"/>
      <c r="DP113" s="10">
        <v>0</v>
      </c>
      <c r="DQ113" s="11">
        <f t="shared" si="16"/>
        <v>0</v>
      </c>
      <c r="DR113" s="10"/>
      <c r="DS113" s="10">
        <v>1</v>
      </c>
      <c r="DT113" s="11">
        <f t="shared" si="17"/>
        <v>6</v>
      </c>
      <c r="DU113" s="10"/>
      <c r="DV113" s="10"/>
      <c r="DW113" s="10"/>
      <c r="DX113" s="11">
        <f t="shared" si="18"/>
        <v>0</v>
      </c>
      <c r="DY113" s="10"/>
      <c r="DZ113" s="11">
        <f t="shared" si="19"/>
        <v>0</v>
      </c>
      <c r="EA113" s="10"/>
      <c r="EB113" s="10"/>
    </row>
    <row r="114" spans="2:132" ht="16.5">
      <c r="B114" s="2">
        <v>102</v>
      </c>
      <c r="C114" s="66" t="s">
        <v>555</v>
      </c>
      <c r="D114" s="49"/>
      <c r="E114" s="71">
        <f t="shared" si="10"/>
        <v>1.2</v>
      </c>
      <c r="F114" s="66">
        <v>1</v>
      </c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67"/>
      <c r="AS114" s="10"/>
      <c r="AT114" s="10"/>
      <c r="AU114" s="10"/>
      <c r="AV114" s="10"/>
      <c r="AW114" s="10"/>
      <c r="AX114" s="10"/>
      <c r="AY114" s="10"/>
      <c r="AZ114" s="10"/>
      <c r="BA114" s="67"/>
      <c r="BB114" s="10"/>
      <c r="BC114" s="10"/>
      <c r="BD114" s="10"/>
      <c r="BE114" s="10"/>
      <c r="BF114" s="10">
        <v>1</v>
      </c>
      <c r="BG114" s="11">
        <f t="shared" si="11"/>
        <v>1.2</v>
      </c>
      <c r="BH114" s="10"/>
      <c r="BI114" s="10">
        <v>0</v>
      </c>
      <c r="BJ114" s="11">
        <f t="shared" si="12"/>
        <v>0</v>
      </c>
      <c r="BK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66"/>
      <c r="CY114" s="70">
        <f t="shared" si="13"/>
        <v>0</v>
      </c>
      <c r="CZ114" s="10"/>
      <c r="DA114" s="10"/>
      <c r="DB114" s="10"/>
      <c r="DC114" s="10"/>
      <c r="DD114" s="10"/>
      <c r="DE114" s="10"/>
      <c r="DF114" s="10"/>
      <c r="DG114" s="10"/>
      <c r="DH114" s="66"/>
      <c r="DI114" s="70">
        <f t="shared" si="14"/>
        <v>0</v>
      </c>
      <c r="DJ114" s="10"/>
      <c r="DK114" s="10"/>
      <c r="DL114" s="10"/>
      <c r="DM114" s="11">
        <f t="shared" si="15"/>
        <v>0</v>
      </c>
      <c r="DN114" s="10"/>
      <c r="DO114" s="10"/>
      <c r="DP114" s="10">
        <v>0</v>
      </c>
      <c r="DQ114" s="11">
        <f t="shared" si="16"/>
        <v>0</v>
      </c>
      <c r="DR114" s="10"/>
      <c r="DS114" s="10"/>
      <c r="DT114" s="11">
        <f t="shared" si="17"/>
        <v>0</v>
      </c>
      <c r="DU114" s="10"/>
      <c r="DV114" s="10"/>
      <c r="DW114" s="10"/>
      <c r="DX114" s="11">
        <f t="shared" si="18"/>
        <v>0</v>
      </c>
      <c r="DY114" s="10"/>
      <c r="DZ114" s="11">
        <f t="shared" si="19"/>
        <v>0</v>
      </c>
      <c r="EA114" s="10"/>
      <c r="EB114" s="10"/>
    </row>
    <row r="115" spans="2:132" ht="16.5">
      <c r="B115" s="2">
        <v>103</v>
      </c>
      <c r="C115" s="66" t="s">
        <v>556</v>
      </c>
      <c r="D115" s="49"/>
      <c r="E115" s="71">
        <f t="shared" si="10"/>
        <v>3.5999999999999996</v>
      </c>
      <c r="F115" s="66">
        <v>3</v>
      </c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67"/>
      <c r="AS115" s="10"/>
      <c r="AT115" s="10"/>
      <c r="AU115" s="10"/>
      <c r="AV115" s="10"/>
      <c r="AW115" s="10"/>
      <c r="AX115" s="10"/>
      <c r="AY115" s="10"/>
      <c r="AZ115" s="10"/>
      <c r="BA115" s="67"/>
      <c r="BB115" s="10"/>
      <c r="BC115" s="10"/>
      <c r="BD115" s="10"/>
      <c r="BE115" s="10"/>
      <c r="BF115" s="10">
        <v>0</v>
      </c>
      <c r="BG115" s="11">
        <f t="shared" si="11"/>
        <v>0</v>
      </c>
      <c r="BH115" s="10"/>
      <c r="BI115" s="10">
        <v>0</v>
      </c>
      <c r="BJ115" s="11">
        <f t="shared" si="12"/>
        <v>0</v>
      </c>
      <c r="BK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66"/>
      <c r="CY115" s="70">
        <f t="shared" si="13"/>
        <v>0</v>
      </c>
      <c r="CZ115" s="10"/>
      <c r="DA115" s="10"/>
      <c r="DB115" s="10"/>
      <c r="DC115" s="10"/>
      <c r="DD115" s="10"/>
      <c r="DE115" s="10"/>
      <c r="DF115" s="10"/>
      <c r="DG115" s="10"/>
      <c r="DH115" s="66"/>
      <c r="DI115" s="70">
        <f t="shared" si="14"/>
        <v>0</v>
      </c>
      <c r="DJ115" s="10"/>
      <c r="DK115" s="10"/>
      <c r="DL115" s="10"/>
      <c r="DM115" s="11">
        <f t="shared" si="15"/>
        <v>0</v>
      </c>
      <c r="DN115" s="10"/>
      <c r="DO115" s="10"/>
      <c r="DP115" s="10">
        <v>1</v>
      </c>
      <c r="DQ115" s="11">
        <f t="shared" si="16"/>
        <v>3.5999999999999996</v>
      </c>
      <c r="DR115" s="10"/>
      <c r="DS115" s="10">
        <v>2</v>
      </c>
      <c r="DT115" s="11">
        <f t="shared" si="17"/>
        <v>7.1999999999999993</v>
      </c>
      <c r="DU115" s="10"/>
      <c r="DV115" s="10"/>
      <c r="DW115" s="10"/>
      <c r="DX115" s="11">
        <f t="shared" si="18"/>
        <v>0</v>
      </c>
      <c r="DY115" s="10"/>
      <c r="DZ115" s="11">
        <f t="shared" si="19"/>
        <v>0</v>
      </c>
      <c r="EA115" s="10"/>
      <c r="EB115" s="10"/>
    </row>
    <row r="116" spans="2:132" ht="16.5">
      <c r="B116" s="2">
        <v>104</v>
      </c>
      <c r="C116" s="66" t="s">
        <v>557</v>
      </c>
      <c r="D116" s="49"/>
      <c r="E116" s="71">
        <f t="shared" si="10"/>
        <v>1.2</v>
      </c>
      <c r="F116" s="66">
        <v>1</v>
      </c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67"/>
      <c r="AS116" s="10"/>
      <c r="AT116" s="10"/>
      <c r="AU116" s="10"/>
      <c r="AV116" s="10"/>
      <c r="AW116" s="10"/>
      <c r="AX116" s="10"/>
      <c r="AY116" s="10"/>
      <c r="AZ116" s="10"/>
      <c r="BA116" s="67"/>
      <c r="BB116" s="10"/>
      <c r="BC116" s="10"/>
      <c r="BD116" s="10"/>
      <c r="BE116" s="10"/>
      <c r="BF116" s="10">
        <v>0</v>
      </c>
      <c r="BG116" s="11">
        <f t="shared" si="11"/>
        <v>0</v>
      </c>
      <c r="BH116" s="10"/>
      <c r="BI116" s="10">
        <v>1</v>
      </c>
      <c r="BJ116" s="11">
        <f t="shared" si="12"/>
        <v>1.2</v>
      </c>
      <c r="BK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66"/>
      <c r="CY116" s="70">
        <f t="shared" si="13"/>
        <v>0</v>
      </c>
      <c r="CZ116" s="10"/>
      <c r="DA116" s="10"/>
      <c r="DB116" s="10"/>
      <c r="DC116" s="10"/>
      <c r="DD116" s="10"/>
      <c r="DE116" s="10"/>
      <c r="DF116" s="10"/>
      <c r="DG116" s="10"/>
      <c r="DH116" s="66"/>
      <c r="DI116" s="70">
        <f t="shared" si="14"/>
        <v>0</v>
      </c>
      <c r="DJ116" s="10"/>
      <c r="DK116" s="10"/>
      <c r="DL116" s="10"/>
      <c r="DM116" s="11">
        <f t="shared" si="15"/>
        <v>0</v>
      </c>
      <c r="DN116" s="10"/>
      <c r="DO116" s="10"/>
      <c r="DP116" s="10">
        <v>0</v>
      </c>
      <c r="DQ116" s="11">
        <f t="shared" si="16"/>
        <v>0</v>
      </c>
      <c r="DR116" s="10"/>
      <c r="DS116" s="10"/>
      <c r="DT116" s="11">
        <f t="shared" si="17"/>
        <v>0</v>
      </c>
      <c r="DU116" s="10"/>
      <c r="DV116" s="10"/>
      <c r="DW116" s="10"/>
      <c r="DX116" s="11">
        <f t="shared" si="18"/>
        <v>0</v>
      </c>
      <c r="DY116" s="10"/>
      <c r="DZ116" s="11">
        <f t="shared" si="19"/>
        <v>0</v>
      </c>
      <c r="EA116" s="10"/>
      <c r="EB116" s="10"/>
    </row>
    <row r="117" spans="2:132" ht="16.5">
      <c r="B117" s="2">
        <v>105</v>
      </c>
      <c r="C117" s="66" t="s">
        <v>558</v>
      </c>
      <c r="D117" s="49"/>
      <c r="E117" s="71">
        <f t="shared" si="10"/>
        <v>1.2</v>
      </c>
      <c r="F117" s="66">
        <v>1</v>
      </c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67"/>
      <c r="AS117" s="10"/>
      <c r="AT117" s="10"/>
      <c r="AU117" s="10"/>
      <c r="AV117" s="10"/>
      <c r="AW117" s="10"/>
      <c r="AX117" s="10"/>
      <c r="AY117" s="10"/>
      <c r="AZ117" s="10"/>
      <c r="BA117" s="67"/>
      <c r="BB117" s="10"/>
      <c r="BC117" s="10"/>
      <c r="BD117" s="10"/>
      <c r="BE117" s="10"/>
      <c r="BF117" s="10">
        <v>0</v>
      </c>
      <c r="BG117" s="11">
        <f t="shared" si="11"/>
        <v>0</v>
      </c>
      <c r="BH117" s="10"/>
      <c r="BI117" s="10">
        <v>0</v>
      </c>
      <c r="BJ117" s="11">
        <f t="shared" si="12"/>
        <v>0</v>
      </c>
      <c r="BK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66"/>
      <c r="CY117" s="70">
        <f t="shared" si="13"/>
        <v>0</v>
      </c>
      <c r="CZ117" s="10"/>
      <c r="DA117" s="10"/>
      <c r="DB117" s="10"/>
      <c r="DC117" s="10"/>
      <c r="DD117" s="10"/>
      <c r="DE117" s="10"/>
      <c r="DF117" s="10"/>
      <c r="DG117" s="10"/>
      <c r="DH117" s="66"/>
      <c r="DI117" s="70">
        <f t="shared" si="14"/>
        <v>0</v>
      </c>
      <c r="DJ117" s="10"/>
      <c r="DK117" s="10"/>
      <c r="DL117" s="10"/>
      <c r="DM117" s="11">
        <f t="shared" si="15"/>
        <v>0</v>
      </c>
      <c r="DN117" s="10"/>
      <c r="DO117" s="10"/>
      <c r="DP117" s="10">
        <v>0</v>
      </c>
      <c r="DQ117" s="11">
        <f t="shared" si="16"/>
        <v>0</v>
      </c>
      <c r="DR117" s="10"/>
      <c r="DS117" s="10"/>
      <c r="DT117" s="11">
        <f t="shared" si="17"/>
        <v>0</v>
      </c>
      <c r="DU117" s="10"/>
      <c r="DV117" s="10"/>
      <c r="DW117" s="10">
        <v>1</v>
      </c>
      <c r="DX117" s="11">
        <f t="shared" si="18"/>
        <v>1.2</v>
      </c>
      <c r="DY117" s="10"/>
      <c r="DZ117" s="11">
        <f t="shared" si="19"/>
        <v>0</v>
      </c>
      <c r="EA117" s="10"/>
      <c r="EB117" s="10"/>
    </row>
    <row r="118" spans="2:132" ht="16.5">
      <c r="B118" s="2">
        <v>106</v>
      </c>
      <c r="C118" s="66" t="s">
        <v>559</v>
      </c>
      <c r="D118" s="49"/>
      <c r="E118" s="71">
        <f t="shared" si="10"/>
        <v>1.2</v>
      </c>
      <c r="F118" s="66">
        <v>1</v>
      </c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67"/>
      <c r="AS118" s="10"/>
      <c r="AT118" s="10"/>
      <c r="AU118" s="10"/>
      <c r="AV118" s="10"/>
      <c r="AW118" s="10"/>
      <c r="AX118" s="10"/>
      <c r="AY118" s="10"/>
      <c r="AZ118" s="10"/>
      <c r="BA118" s="67"/>
      <c r="BB118" s="10"/>
      <c r="BC118" s="10"/>
      <c r="BD118" s="10"/>
      <c r="BE118" s="10"/>
      <c r="BF118" s="10">
        <v>0</v>
      </c>
      <c r="BG118" s="11">
        <f t="shared" si="11"/>
        <v>0</v>
      </c>
      <c r="BH118" s="10"/>
      <c r="BI118" s="10">
        <v>0</v>
      </c>
      <c r="BJ118" s="11">
        <f t="shared" si="12"/>
        <v>0</v>
      </c>
      <c r="BK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66"/>
      <c r="CY118" s="70">
        <f t="shared" si="13"/>
        <v>0</v>
      </c>
      <c r="CZ118" s="10"/>
      <c r="DA118" s="10"/>
      <c r="DB118" s="10"/>
      <c r="DC118" s="10"/>
      <c r="DD118" s="10"/>
      <c r="DE118" s="10"/>
      <c r="DF118" s="10"/>
      <c r="DG118" s="10"/>
      <c r="DH118" s="66"/>
      <c r="DI118" s="70">
        <f t="shared" si="14"/>
        <v>0</v>
      </c>
      <c r="DJ118" s="10"/>
      <c r="DK118" s="10"/>
      <c r="DL118" s="10"/>
      <c r="DM118" s="11">
        <f t="shared" si="15"/>
        <v>0</v>
      </c>
      <c r="DN118" s="10"/>
      <c r="DO118" s="10"/>
      <c r="DP118" s="10">
        <v>0</v>
      </c>
      <c r="DQ118" s="11">
        <f t="shared" si="16"/>
        <v>0</v>
      </c>
      <c r="DR118" s="10"/>
      <c r="DS118" s="10">
        <v>1</v>
      </c>
      <c r="DT118" s="11">
        <f t="shared" si="17"/>
        <v>1.2</v>
      </c>
      <c r="DU118" s="10"/>
      <c r="DV118" s="10"/>
      <c r="DW118" s="10"/>
      <c r="DX118" s="11">
        <f t="shared" si="18"/>
        <v>0</v>
      </c>
      <c r="DY118" s="10"/>
      <c r="DZ118" s="11">
        <f t="shared" si="19"/>
        <v>0</v>
      </c>
      <c r="EA118" s="10"/>
      <c r="EB118" s="10"/>
    </row>
    <row r="119" spans="2:132" ht="16.5">
      <c r="B119" s="2">
        <v>107</v>
      </c>
      <c r="C119" s="66" t="s">
        <v>560</v>
      </c>
      <c r="D119" s="49"/>
      <c r="E119" s="71">
        <f t="shared" si="10"/>
        <v>1.2</v>
      </c>
      <c r="F119" s="66">
        <v>1</v>
      </c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67"/>
      <c r="AS119" s="10"/>
      <c r="AT119" s="10"/>
      <c r="AU119" s="10"/>
      <c r="AV119" s="10"/>
      <c r="AW119" s="10"/>
      <c r="AX119" s="10"/>
      <c r="AY119" s="10"/>
      <c r="AZ119" s="10"/>
      <c r="BA119" s="67"/>
      <c r="BB119" s="10"/>
      <c r="BC119" s="10"/>
      <c r="BD119" s="10"/>
      <c r="BE119" s="10"/>
      <c r="BF119" s="10">
        <v>0</v>
      </c>
      <c r="BG119" s="11">
        <f t="shared" si="11"/>
        <v>0</v>
      </c>
      <c r="BH119" s="10"/>
      <c r="BI119" s="10">
        <v>0</v>
      </c>
      <c r="BJ119" s="11">
        <f t="shared" si="12"/>
        <v>0</v>
      </c>
      <c r="BK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66"/>
      <c r="CY119" s="70">
        <f t="shared" si="13"/>
        <v>0</v>
      </c>
      <c r="CZ119" s="10"/>
      <c r="DA119" s="10"/>
      <c r="DB119" s="10"/>
      <c r="DC119" s="10"/>
      <c r="DD119" s="10"/>
      <c r="DE119" s="10"/>
      <c r="DF119" s="10"/>
      <c r="DG119" s="10"/>
      <c r="DH119" s="66"/>
      <c r="DI119" s="70">
        <f t="shared" si="14"/>
        <v>0</v>
      </c>
      <c r="DJ119" s="10"/>
      <c r="DK119" s="10"/>
      <c r="DL119" s="10"/>
      <c r="DM119" s="11">
        <f t="shared" si="15"/>
        <v>0</v>
      </c>
      <c r="DN119" s="10"/>
      <c r="DO119" s="10"/>
      <c r="DP119" s="10">
        <v>1</v>
      </c>
      <c r="DQ119" s="11">
        <f t="shared" si="16"/>
        <v>1.2</v>
      </c>
      <c r="DR119" s="10"/>
      <c r="DS119" s="10"/>
      <c r="DT119" s="11">
        <f t="shared" si="17"/>
        <v>0</v>
      </c>
      <c r="DU119" s="10"/>
      <c r="DV119" s="10"/>
      <c r="DW119" s="10"/>
      <c r="DX119" s="11">
        <f t="shared" si="18"/>
        <v>0</v>
      </c>
      <c r="DY119" s="10"/>
      <c r="DZ119" s="11">
        <f t="shared" si="19"/>
        <v>0</v>
      </c>
      <c r="EA119" s="10"/>
      <c r="EB119" s="10"/>
    </row>
    <row r="120" spans="2:132" ht="16.5">
      <c r="B120" s="2">
        <v>108</v>
      </c>
      <c r="C120" s="66" t="s">
        <v>561</v>
      </c>
      <c r="D120" s="49"/>
      <c r="E120" s="71">
        <f t="shared" si="10"/>
        <v>10.799999999999999</v>
      </c>
      <c r="F120" s="66">
        <v>9</v>
      </c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67"/>
      <c r="AS120" s="10"/>
      <c r="AT120" s="10"/>
      <c r="AU120" s="10"/>
      <c r="AV120" s="10"/>
      <c r="AW120" s="10"/>
      <c r="AX120" s="10"/>
      <c r="AY120" s="10"/>
      <c r="AZ120" s="10"/>
      <c r="BA120" s="67"/>
      <c r="BB120" s="10"/>
      <c r="BC120" s="10"/>
      <c r="BD120" s="10"/>
      <c r="BE120" s="10"/>
      <c r="BF120" s="10">
        <v>0</v>
      </c>
      <c r="BG120" s="11">
        <f t="shared" si="11"/>
        <v>0</v>
      </c>
      <c r="BH120" s="10"/>
      <c r="BI120" s="10">
        <v>0</v>
      </c>
      <c r="BJ120" s="11">
        <f t="shared" si="12"/>
        <v>0</v>
      </c>
      <c r="BK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66"/>
      <c r="CY120" s="70">
        <f t="shared" si="13"/>
        <v>0</v>
      </c>
      <c r="CZ120" s="10"/>
      <c r="DA120" s="10"/>
      <c r="DB120" s="10"/>
      <c r="DC120" s="10"/>
      <c r="DD120" s="10"/>
      <c r="DE120" s="10"/>
      <c r="DF120" s="10"/>
      <c r="DG120" s="10"/>
      <c r="DH120" s="66"/>
      <c r="DI120" s="70">
        <f t="shared" si="14"/>
        <v>0</v>
      </c>
      <c r="DJ120" s="10"/>
      <c r="DK120" s="10"/>
      <c r="DL120" s="10"/>
      <c r="DM120" s="11">
        <f t="shared" si="15"/>
        <v>0</v>
      </c>
      <c r="DN120" s="10"/>
      <c r="DO120" s="10"/>
      <c r="DP120" s="10">
        <v>8</v>
      </c>
      <c r="DQ120" s="11">
        <f t="shared" si="16"/>
        <v>86.399999999999991</v>
      </c>
      <c r="DR120" s="10"/>
      <c r="DS120" s="10"/>
      <c r="DT120" s="11">
        <f t="shared" si="17"/>
        <v>0</v>
      </c>
      <c r="DU120" s="10"/>
      <c r="DV120" s="10"/>
      <c r="DW120" s="10">
        <v>1</v>
      </c>
      <c r="DX120" s="11">
        <f t="shared" si="18"/>
        <v>10.799999999999999</v>
      </c>
      <c r="DY120" s="10"/>
      <c r="DZ120" s="11">
        <f t="shared" si="19"/>
        <v>0</v>
      </c>
      <c r="EA120" s="10"/>
      <c r="EB120" s="10"/>
    </row>
    <row r="121" spans="2:132" ht="16.5">
      <c r="B121" s="2">
        <v>109</v>
      </c>
      <c r="C121" s="66" t="s">
        <v>562</v>
      </c>
      <c r="D121" s="49"/>
      <c r="E121" s="71">
        <f t="shared" si="10"/>
        <v>21.599999999999998</v>
      </c>
      <c r="F121" s="66">
        <v>18</v>
      </c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67"/>
      <c r="AS121" s="10"/>
      <c r="AT121" s="10"/>
      <c r="AU121" s="10"/>
      <c r="AV121" s="10"/>
      <c r="AW121" s="10"/>
      <c r="AX121" s="10"/>
      <c r="AY121" s="10"/>
      <c r="AZ121" s="10"/>
      <c r="BA121" s="67"/>
      <c r="BB121" s="10"/>
      <c r="BC121" s="10"/>
      <c r="BD121" s="10"/>
      <c r="BE121" s="10"/>
      <c r="BF121" s="10">
        <v>0</v>
      </c>
      <c r="BG121" s="11">
        <f t="shared" si="11"/>
        <v>0</v>
      </c>
      <c r="BH121" s="10"/>
      <c r="BI121" s="10">
        <v>0</v>
      </c>
      <c r="BJ121" s="11">
        <f t="shared" si="12"/>
        <v>0</v>
      </c>
      <c r="BK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66">
        <v>12</v>
      </c>
      <c r="CY121" s="70">
        <f t="shared" si="13"/>
        <v>259.2</v>
      </c>
      <c r="CZ121" s="10"/>
      <c r="DA121" s="10"/>
      <c r="DB121" s="10"/>
      <c r="DC121" s="10"/>
      <c r="DD121" s="10"/>
      <c r="DE121" s="10"/>
      <c r="DF121" s="10"/>
      <c r="DG121" s="10"/>
      <c r="DH121" s="66"/>
      <c r="DI121" s="70">
        <f t="shared" si="14"/>
        <v>0</v>
      </c>
      <c r="DJ121" s="10"/>
      <c r="DK121" s="10"/>
      <c r="DL121" s="10"/>
      <c r="DM121" s="11">
        <f t="shared" si="15"/>
        <v>0</v>
      </c>
      <c r="DN121" s="10"/>
      <c r="DO121" s="10"/>
      <c r="DP121" s="10">
        <v>1</v>
      </c>
      <c r="DQ121" s="11">
        <f t="shared" si="16"/>
        <v>21.599999999999998</v>
      </c>
      <c r="DR121" s="10"/>
      <c r="DS121" s="10">
        <v>1</v>
      </c>
      <c r="DT121" s="11">
        <f t="shared" si="17"/>
        <v>21.599999999999998</v>
      </c>
      <c r="DU121" s="10"/>
      <c r="DV121" s="10"/>
      <c r="DW121" s="10">
        <v>4</v>
      </c>
      <c r="DX121" s="11">
        <f t="shared" si="18"/>
        <v>86.399999999999991</v>
      </c>
      <c r="DY121" s="10"/>
      <c r="DZ121" s="11">
        <f t="shared" si="19"/>
        <v>0</v>
      </c>
      <c r="EA121" s="10"/>
      <c r="EB121" s="10"/>
    </row>
    <row r="122" spans="2:132" ht="16.5">
      <c r="B122" s="2">
        <v>110</v>
      </c>
      <c r="C122" s="66" t="s">
        <v>563</v>
      </c>
      <c r="D122" s="49"/>
      <c r="E122" s="71">
        <f t="shared" si="10"/>
        <v>22.8</v>
      </c>
      <c r="F122" s="66">
        <v>19</v>
      </c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67"/>
      <c r="AS122" s="10"/>
      <c r="AT122" s="10"/>
      <c r="AU122" s="10"/>
      <c r="AV122" s="10"/>
      <c r="AW122" s="10"/>
      <c r="AX122" s="10"/>
      <c r="AY122" s="10"/>
      <c r="AZ122" s="10"/>
      <c r="BA122" s="67"/>
      <c r="BB122" s="10"/>
      <c r="BC122" s="10"/>
      <c r="BD122" s="10"/>
      <c r="BE122" s="10"/>
      <c r="BF122" s="10">
        <v>17</v>
      </c>
      <c r="BG122" s="11">
        <f t="shared" si="11"/>
        <v>387.6</v>
      </c>
      <c r="BH122" s="10"/>
      <c r="BI122" s="10">
        <v>0</v>
      </c>
      <c r="BJ122" s="11">
        <f t="shared" si="12"/>
        <v>0</v>
      </c>
      <c r="BK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66"/>
      <c r="CY122" s="70">
        <f t="shared" si="13"/>
        <v>0</v>
      </c>
      <c r="CZ122" s="10"/>
      <c r="DA122" s="10"/>
      <c r="DB122" s="10"/>
      <c r="DC122" s="10"/>
      <c r="DD122" s="10"/>
      <c r="DE122" s="10"/>
      <c r="DF122" s="10"/>
      <c r="DG122" s="10"/>
      <c r="DH122" s="66"/>
      <c r="DI122" s="70">
        <f t="shared" si="14"/>
        <v>0</v>
      </c>
      <c r="DJ122" s="10"/>
      <c r="DK122" s="10"/>
      <c r="DL122" s="10"/>
      <c r="DM122" s="11">
        <f t="shared" si="15"/>
        <v>0</v>
      </c>
      <c r="DN122" s="10"/>
      <c r="DO122" s="10"/>
      <c r="DP122" s="10">
        <v>2</v>
      </c>
      <c r="DQ122" s="11">
        <f t="shared" si="16"/>
        <v>45.6</v>
      </c>
      <c r="DR122" s="10"/>
      <c r="DS122" s="10"/>
      <c r="DT122" s="11">
        <f t="shared" si="17"/>
        <v>0</v>
      </c>
      <c r="DU122" s="10"/>
      <c r="DV122" s="10"/>
      <c r="DW122" s="10"/>
      <c r="DX122" s="11">
        <f t="shared" si="18"/>
        <v>0</v>
      </c>
      <c r="DY122" s="10"/>
      <c r="DZ122" s="11">
        <f t="shared" si="19"/>
        <v>0</v>
      </c>
      <c r="EA122" s="10"/>
      <c r="EB122" s="10"/>
    </row>
    <row r="123" spans="2:132" ht="16.5">
      <c r="B123" s="2">
        <v>111</v>
      </c>
      <c r="C123" s="66" t="s">
        <v>564</v>
      </c>
      <c r="D123" s="49"/>
      <c r="E123" s="71">
        <f t="shared" si="10"/>
        <v>8.4</v>
      </c>
      <c r="F123" s="66">
        <v>7</v>
      </c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67"/>
      <c r="AS123" s="10"/>
      <c r="AT123" s="10"/>
      <c r="AU123" s="10"/>
      <c r="AV123" s="10"/>
      <c r="AW123" s="10"/>
      <c r="AX123" s="10"/>
      <c r="AY123" s="10"/>
      <c r="AZ123" s="10"/>
      <c r="BA123" s="67"/>
      <c r="BB123" s="10"/>
      <c r="BC123" s="10"/>
      <c r="BD123" s="10"/>
      <c r="BE123" s="10"/>
      <c r="BF123" s="10">
        <v>0</v>
      </c>
      <c r="BG123" s="11">
        <f t="shared" si="11"/>
        <v>0</v>
      </c>
      <c r="BH123" s="10"/>
      <c r="BI123" s="10">
        <v>0</v>
      </c>
      <c r="BJ123" s="11">
        <f t="shared" si="12"/>
        <v>0</v>
      </c>
      <c r="BK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66"/>
      <c r="CY123" s="70">
        <f t="shared" si="13"/>
        <v>0</v>
      </c>
      <c r="CZ123" s="10"/>
      <c r="DA123" s="10"/>
      <c r="DB123" s="10"/>
      <c r="DC123" s="10"/>
      <c r="DD123" s="10"/>
      <c r="DE123" s="10"/>
      <c r="DF123" s="10"/>
      <c r="DG123" s="10"/>
      <c r="DH123" s="66"/>
      <c r="DI123" s="70">
        <f t="shared" si="14"/>
        <v>0</v>
      </c>
      <c r="DJ123" s="10"/>
      <c r="DK123" s="10"/>
      <c r="DL123" s="10"/>
      <c r="DM123" s="11">
        <f t="shared" si="15"/>
        <v>0</v>
      </c>
      <c r="DN123" s="10"/>
      <c r="DO123" s="10"/>
      <c r="DP123" s="10">
        <v>0</v>
      </c>
      <c r="DQ123" s="11">
        <f t="shared" si="16"/>
        <v>0</v>
      </c>
      <c r="DR123" s="10"/>
      <c r="DS123" s="10">
        <v>7</v>
      </c>
      <c r="DT123" s="11">
        <f t="shared" si="17"/>
        <v>58.800000000000004</v>
      </c>
      <c r="DU123" s="10"/>
      <c r="DV123" s="10"/>
      <c r="DW123" s="10"/>
      <c r="DX123" s="11">
        <f t="shared" si="18"/>
        <v>0</v>
      </c>
      <c r="DY123" s="10"/>
      <c r="DZ123" s="11">
        <f t="shared" si="19"/>
        <v>0</v>
      </c>
      <c r="EA123" s="10"/>
      <c r="EB123" s="10"/>
    </row>
    <row r="124" spans="2:132" ht="16.5">
      <c r="B124" s="2">
        <v>112</v>
      </c>
      <c r="C124" s="66" t="s">
        <v>565</v>
      </c>
      <c r="D124" s="49"/>
      <c r="E124" s="71">
        <f t="shared" si="10"/>
        <v>6</v>
      </c>
      <c r="F124" s="66">
        <v>5</v>
      </c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67"/>
      <c r="AS124" s="10"/>
      <c r="AT124" s="10"/>
      <c r="AU124" s="10"/>
      <c r="AV124" s="10"/>
      <c r="AW124" s="10"/>
      <c r="AX124" s="10"/>
      <c r="AY124" s="10"/>
      <c r="AZ124" s="10"/>
      <c r="BA124" s="67"/>
      <c r="BB124" s="10"/>
      <c r="BC124" s="10"/>
      <c r="BD124" s="10"/>
      <c r="BE124" s="10"/>
      <c r="BF124" s="10">
        <v>0</v>
      </c>
      <c r="BG124" s="11">
        <f t="shared" si="11"/>
        <v>0</v>
      </c>
      <c r="BH124" s="10"/>
      <c r="BI124" s="10">
        <v>1</v>
      </c>
      <c r="BJ124" s="11">
        <f t="shared" si="12"/>
        <v>6</v>
      </c>
      <c r="BK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66"/>
      <c r="CY124" s="70">
        <f t="shared" si="13"/>
        <v>0</v>
      </c>
      <c r="CZ124" s="10"/>
      <c r="DA124" s="10"/>
      <c r="DB124" s="10"/>
      <c r="DC124" s="10"/>
      <c r="DD124" s="10"/>
      <c r="DE124" s="10"/>
      <c r="DF124" s="10"/>
      <c r="DG124" s="10"/>
      <c r="DH124" s="66"/>
      <c r="DI124" s="70">
        <f t="shared" si="14"/>
        <v>0</v>
      </c>
      <c r="DJ124" s="10"/>
      <c r="DK124" s="10"/>
      <c r="DL124" s="10"/>
      <c r="DM124" s="11">
        <f t="shared" si="15"/>
        <v>0</v>
      </c>
      <c r="DN124" s="10"/>
      <c r="DO124" s="10"/>
      <c r="DP124" s="10">
        <v>3</v>
      </c>
      <c r="DQ124" s="11">
        <f t="shared" si="16"/>
        <v>18</v>
      </c>
      <c r="DR124" s="10"/>
      <c r="DS124" s="10">
        <v>1</v>
      </c>
      <c r="DT124" s="11">
        <f t="shared" si="17"/>
        <v>6</v>
      </c>
      <c r="DU124" s="10"/>
      <c r="DV124" s="10"/>
      <c r="DW124" s="10"/>
      <c r="DX124" s="11">
        <f t="shared" si="18"/>
        <v>0</v>
      </c>
      <c r="DY124" s="10"/>
      <c r="DZ124" s="11">
        <f t="shared" si="19"/>
        <v>0</v>
      </c>
      <c r="EA124" s="10"/>
      <c r="EB124" s="10"/>
    </row>
    <row r="125" spans="2:132" ht="16.5">
      <c r="B125" s="2">
        <v>113</v>
      </c>
      <c r="C125" s="66" t="s">
        <v>566</v>
      </c>
      <c r="D125" s="49"/>
      <c r="E125" s="71">
        <f t="shared" si="10"/>
        <v>2.4</v>
      </c>
      <c r="F125" s="66">
        <v>2</v>
      </c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67"/>
      <c r="AS125" s="10"/>
      <c r="AT125" s="10"/>
      <c r="AU125" s="10"/>
      <c r="AV125" s="10"/>
      <c r="AW125" s="10"/>
      <c r="AX125" s="10"/>
      <c r="AY125" s="10"/>
      <c r="AZ125" s="10"/>
      <c r="BA125" s="67"/>
      <c r="BB125" s="10"/>
      <c r="BC125" s="10"/>
      <c r="BD125" s="10"/>
      <c r="BE125" s="10"/>
      <c r="BF125" s="10">
        <v>0</v>
      </c>
      <c r="BG125" s="11">
        <f t="shared" si="11"/>
        <v>0</v>
      </c>
      <c r="BH125" s="10"/>
      <c r="BI125" s="10">
        <v>0</v>
      </c>
      <c r="BJ125" s="11">
        <f t="shared" si="12"/>
        <v>0</v>
      </c>
      <c r="BK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66"/>
      <c r="CY125" s="70">
        <f t="shared" si="13"/>
        <v>0</v>
      </c>
      <c r="CZ125" s="10"/>
      <c r="DA125" s="10"/>
      <c r="DB125" s="10"/>
      <c r="DC125" s="10"/>
      <c r="DD125" s="10"/>
      <c r="DE125" s="10"/>
      <c r="DF125" s="10"/>
      <c r="DG125" s="10"/>
      <c r="DH125" s="66"/>
      <c r="DI125" s="70">
        <f t="shared" si="14"/>
        <v>0</v>
      </c>
      <c r="DJ125" s="10"/>
      <c r="DK125" s="10"/>
      <c r="DL125" s="10"/>
      <c r="DM125" s="11">
        <f t="shared" si="15"/>
        <v>0</v>
      </c>
      <c r="DN125" s="10"/>
      <c r="DO125" s="10"/>
      <c r="DP125" s="10">
        <v>0</v>
      </c>
      <c r="DQ125" s="11">
        <f t="shared" si="16"/>
        <v>0</v>
      </c>
      <c r="DR125" s="10"/>
      <c r="DS125" s="10">
        <v>2</v>
      </c>
      <c r="DT125" s="11">
        <f t="shared" si="17"/>
        <v>4.8</v>
      </c>
      <c r="DU125" s="10"/>
      <c r="DV125" s="10"/>
      <c r="DW125" s="10"/>
      <c r="DX125" s="11">
        <f t="shared" si="18"/>
        <v>0</v>
      </c>
      <c r="DY125" s="10"/>
      <c r="DZ125" s="11">
        <f t="shared" si="19"/>
        <v>0</v>
      </c>
      <c r="EA125" s="10"/>
      <c r="EB125" s="10"/>
    </row>
    <row r="126" spans="2:132" ht="16.5">
      <c r="B126" s="2">
        <v>114</v>
      </c>
      <c r="C126" s="66" t="s">
        <v>567</v>
      </c>
      <c r="D126" s="49"/>
      <c r="E126" s="71">
        <f t="shared" si="10"/>
        <v>9.6</v>
      </c>
      <c r="F126" s="66">
        <v>8</v>
      </c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67"/>
      <c r="AS126" s="10"/>
      <c r="AT126" s="10"/>
      <c r="AU126" s="10"/>
      <c r="AV126" s="10"/>
      <c r="AW126" s="10"/>
      <c r="AX126" s="10"/>
      <c r="AY126" s="10"/>
      <c r="AZ126" s="10"/>
      <c r="BA126" s="67"/>
      <c r="BB126" s="10"/>
      <c r="BC126" s="10"/>
      <c r="BD126" s="10"/>
      <c r="BE126" s="10"/>
      <c r="BF126" s="10">
        <v>0</v>
      </c>
      <c r="BG126" s="11">
        <f t="shared" si="11"/>
        <v>0</v>
      </c>
      <c r="BH126" s="10"/>
      <c r="BI126" s="10">
        <v>0</v>
      </c>
      <c r="BJ126" s="11">
        <f t="shared" si="12"/>
        <v>0</v>
      </c>
      <c r="BK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66">
        <v>1</v>
      </c>
      <c r="CY126" s="70">
        <f t="shared" si="13"/>
        <v>9.6</v>
      </c>
      <c r="CZ126" s="10"/>
      <c r="DA126" s="10"/>
      <c r="DB126" s="10"/>
      <c r="DC126" s="10"/>
      <c r="DD126" s="10"/>
      <c r="DE126" s="10"/>
      <c r="DF126" s="10"/>
      <c r="DG126" s="10"/>
      <c r="DH126" s="66"/>
      <c r="DI126" s="70">
        <f t="shared" si="14"/>
        <v>0</v>
      </c>
      <c r="DJ126" s="10"/>
      <c r="DK126" s="10"/>
      <c r="DL126" s="10"/>
      <c r="DM126" s="11">
        <f t="shared" si="15"/>
        <v>0</v>
      </c>
      <c r="DN126" s="10"/>
      <c r="DO126" s="10"/>
      <c r="DP126" s="10">
        <v>2</v>
      </c>
      <c r="DQ126" s="11">
        <f t="shared" si="16"/>
        <v>19.2</v>
      </c>
      <c r="DR126" s="10"/>
      <c r="DS126" s="10">
        <v>5</v>
      </c>
      <c r="DT126" s="11">
        <f t="shared" si="17"/>
        <v>48</v>
      </c>
      <c r="DU126" s="10"/>
      <c r="DV126" s="10"/>
      <c r="DW126" s="10"/>
      <c r="DX126" s="11">
        <f t="shared" si="18"/>
        <v>0</v>
      </c>
      <c r="DY126" s="10"/>
      <c r="DZ126" s="11">
        <f t="shared" si="19"/>
        <v>0</v>
      </c>
      <c r="EA126" s="10"/>
      <c r="EB126" s="10"/>
    </row>
    <row r="127" spans="2:132" ht="16.5">
      <c r="B127" s="2">
        <v>115</v>
      </c>
      <c r="C127" s="66" t="s">
        <v>568</v>
      </c>
      <c r="D127" s="49"/>
      <c r="E127" s="71">
        <f t="shared" si="10"/>
        <v>7.1999999999999993</v>
      </c>
      <c r="F127" s="66">
        <v>6</v>
      </c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67"/>
      <c r="AS127" s="10"/>
      <c r="AT127" s="10"/>
      <c r="AU127" s="10"/>
      <c r="AV127" s="10"/>
      <c r="AW127" s="10"/>
      <c r="AX127" s="10"/>
      <c r="AY127" s="10"/>
      <c r="AZ127" s="10"/>
      <c r="BA127" s="67"/>
      <c r="BB127" s="10"/>
      <c r="BC127" s="10"/>
      <c r="BD127" s="10"/>
      <c r="BE127" s="10"/>
      <c r="BF127" s="10">
        <v>0</v>
      </c>
      <c r="BG127" s="11">
        <f t="shared" si="11"/>
        <v>0</v>
      </c>
      <c r="BH127" s="10"/>
      <c r="BI127" s="10">
        <v>2</v>
      </c>
      <c r="BJ127" s="11">
        <f t="shared" si="12"/>
        <v>14.399999999999999</v>
      </c>
      <c r="BK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66"/>
      <c r="CY127" s="70">
        <f t="shared" si="13"/>
        <v>0</v>
      </c>
      <c r="CZ127" s="10"/>
      <c r="DA127" s="10"/>
      <c r="DB127" s="10"/>
      <c r="DC127" s="10"/>
      <c r="DD127" s="10"/>
      <c r="DE127" s="10"/>
      <c r="DF127" s="10"/>
      <c r="DG127" s="10"/>
      <c r="DH127" s="66"/>
      <c r="DI127" s="70">
        <f t="shared" si="14"/>
        <v>0</v>
      </c>
      <c r="DJ127" s="10"/>
      <c r="DK127" s="10"/>
      <c r="DL127" s="10"/>
      <c r="DM127" s="11">
        <f t="shared" si="15"/>
        <v>0</v>
      </c>
      <c r="DN127" s="10"/>
      <c r="DO127" s="10"/>
      <c r="DP127" s="10">
        <v>4</v>
      </c>
      <c r="DQ127" s="11">
        <f t="shared" si="16"/>
        <v>28.799999999999997</v>
      </c>
      <c r="DR127" s="10"/>
      <c r="DS127" s="10"/>
      <c r="DT127" s="11">
        <f t="shared" si="17"/>
        <v>0</v>
      </c>
      <c r="DU127" s="10"/>
      <c r="DV127" s="10"/>
      <c r="DW127" s="10"/>
      <c r="DX127" s="11">
        <f t="shared" si="18"/>
        <v>0</v>
      </c>
      <c r="DY127" s="10"/>
      <c r="DZ127" s="11">
        <f t="shared" si="19"/>
        <v>0</v>
      </c>
      <c r="EA127" s="10"/>
      <c r="EB127" s="10"/>
    </row>
    <row r="128" spans="2:132" ht="16.5">
      <c r="B128" s="2">
        <v>116</v>
      </c>
      <c r="C128" s="66" t="s">
        <v>569</v>
      </c>
      <c r="D128" s="49"/>
      <c r="E128" s="71">
        <f t="shared" si="10"/>
        <v>7.1999999999999993</v>
      </c>
      <c r="F128" s="66">
        <v>6</v>
      </c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67"/>
      <c r="AS128" s="10"/>
      <c r="AT128" s="10"/>
      <c r="AU128" s="10"/>
      <c r="AV128" s="10"/>
      <c r="AW128" s="10"/>
      <c r="AX128" s="10"/>
      <c r="AY128" s="10"/>
      <c r="AZ128" s="10"/>
      <c r="BA128" s="67"/>
      <c r="BB128" s="10"/>
      <c r="BC128" s="10"/>
      <c r="BD128" s="10"/>
      <c r="BE128" s="10"/>
      <c r="BF128" s="10">
        <v>0</v>
      </c>
      <c r="BG128" s="11">
        <f t="shared" si="11"/>
        <v>0</v>
      </c>
      <c r="BH128" s="10"/>
      <c r="BI128" s="10">
        <v>2</v>
      </c>
      <c r="BJ128" s="11">
        <f t="shared" si="12"/>
        <v>14.399999999999999</v>
      </c>
      <c r="BK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66"/>
      <c r="CY128" s="70">
        <f t="shared" si="13"/>
        <v>0</v>
      </c>
      <c r="CZ128" s="10"/>
      <c r="DA128" s="10"/>
      <c r="DB128" s="10"/>
      <c r="DC128" s="10"/>
      <c r="DD128" s="10"/>
      <c r="DE128" s="10"/>
      <c r="DF128" s="10"/>
      <c r="DG128" s="10"/>
      <c r="DH128" s="66"/>
      <c r="DI128" s="70">
        <f t="shared" si="14"/>
        <v>0</v>
      </c>
      <c r="DJ128" s="10"/>
      <c r="DK128" s="10"/>
      <c r="DL128" s="10"/>
      <c r="DM128" s="11">
        <f t="shared" si="15"/>
        <v>0</v>
      </c>
      <c r="DN128" s="10"/>
      <c r="DO128" s="10"/>
      <c r="DP128" s="10">
        <v>1</v>
      </c>
      <c r="DQ128" s="11">
        <f t="shared" si="16"/>
        <v>7.1999999999999993</v>
      </c>
      <c r="DR128" s="10"/>
      <c r="DS128" s="10">
        <v>2</v>
      </c>
      <c r="DT128" s="11">
        <f t="shared" si="17"/>
        <v>14.399999999999999</v>
      </c>
      <c r="DU128" s="10"/>
      <c r="DV128" s="10"/>
      <c r="DW128" s="10">
        <v>1</v>
      </c>
      <c r="DX128" s="11">
        <f t="shared" si="18"/>
        <v>7.1999999999999993</v>
      </c>
      <c r="DY128" s="10"/>
      <c r="DZ128" s="11">
        <f t="shared" si="19"/>
        <v>0</v>
      </c>
      <c r="EA128" s="10"/>
      <c r="EB128" s="10"/>
    </row>
    <row r="129" spans="2:132" ht="16.5">
      <c r="B129" s="2">
        <v>117</v>
      </c>
      <c r="C129" s="66" t="s">
        <v>570</v>
      </c>
      <c r="D129" s="49"/>
      <c r="E129" s="71">
        <f t="shared" si="10"/>
        <v>36</v>
      </c>
      <c r="F129" s="66">
        <v>30</v>
      </c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67"/>
      <c r="AS129" s="10"/>
      <c r="AT129" s="10"/>
      <c r="AU129" s="10"/>
      <c r="AV129" s="10"/>
      <c r="AW129" s="10"/>
      <c r="AX129" s="10"/>
      <c r="AY129" s="10"/>
      <c r="AZ129" s="10"/>
      <c r="BA129" s="67"/>
      <c r="BB129" s="10"/>
      <c r="BC129" s="10"/>
      <c r="BD129" s="10"/>
      <c r="BE129" s="10"/>
      <c r="BF129" s="10">
        <v>0</v>
      </c>
      <c r="BG129" s="11">
        <f t="shared" si="11"/>
        <v>0</v>
      </c>
      <c r="BH129" s="10"/>
      <c r="BI129" s="10">
        <v>17</v>
      </c>
      <c r="BJ129" s="11">
        <f t="shared" si="12"/>
        <v>612</v>
      </c>
      <c r="BK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66">
        <v>1</v>
      </c>
      <c r="CY129" s="70">
        <f t="shared" si="13"/>
        <v>36</v>
      </c>
      <c r="CZ129" s="10"/>
      <c r="DA129" s="10"/>
      <c r="DB129" s="10"/>
      <c r="DC129" s="10"/>
      <c r="DD129" s="10"/>
      <c r="DE129" s="10"/>
      <c r="DF129" s="10"/>
      <c r="DG129" s="10"/>
      <c r="DH129" s="66"/>
      <c r="DI129" s="70">
        <f t="shared" si="14"/>
        <v>0</v>
      </c>
      <c r="DJ129" s="10"/>
      <c r="DK129" s="10"/>
      <c r="DL129" s="10"/>
      <c r="DM129" s="11">
        <f t="shared" si="15"/>
        <v>0</v>
      </c>
      <c r="DN129" s="10"/>
      <c r="DO129" s="10"/>
      <c r="DP129" s="10">
        <v>7</v>
      </c>
      <c r="DQ129" s="11">
        <f t="shared" si="16"/>
        <v>252</v>
      </c>
      <c r="DR129" s="10"/>
      <c r="DS129" s="10">
        <v>5</v>
      </c>
      <c r="DT129" s="11">
        <f t="shared" si="17"/>
        <v>180</v>
      </c>
      <c r="DU129" s="10"/>
      <c r="DV129" s="10"/>
      <c r="DW129" s="10"/>
      <c r="DX129" s="11">
        <f t="shared" si="18"/>
        <v>0</v>
      </c>
      <c r="DY129" s="10"/>
      <c r="DZ129" s="11">
        <f t="shared" si="19"/>
        <v>0</v>
      </c>
      <c r="EA129" s="10"/>
      <c r="EB129" s="10"/>
    </row>
    <row r="130" spans="2:132" ht="16.5">
      <c r="B130" s="2">
        <v>118</v>
      </c>
      <c r="C130" s="66" t="s">
        <v>571</v>
      </c>
      <c r="D130" s="49"/>
      <c r="E130" s="71">
        <f t="shared" si="10"/>
        <v>31.2</v>
      </c>
      <c r="F130" s="66">
        <v>26</v>
      </c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67"/>
      <c r="AS130" s="10"/>
      <c r="AT130" s="10"/>
      <c r="AU130" s="10"/>
      <c r="AV130" s="10"/>
      <c r="AW130" s="10"/>
      <c r="AX130" s="10"/>
      <c r="AY130" s="10"/>
      <c r="AZ130" s="10"/>
      <c r="BA130" s="67"/>
      <c r="BB130" s="10"/>
      <c r="BC130" s="10"/>
      <c r="BD130" s="10"/>
      <c r="BE130" s="10"/>
      <c r="BF130" s="10">
        <v>0</v>
      </c>
      <c r="BG130" s="11">
        <f t="shared" si="11"/>
        <v>0</v>
      </c>
      <c r="BH130" s="10"/>
      <c r="BI130" s="10">
        <v>1</v>
      </c>
      <c r="BJ130" s="11">
        <f t="shared" si="12"/>
        <v>31.2</v>
      </c>
      <c r="BK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  <c r="CQ130" s="10"/>
      <c r="CR130" s="10"/>
      <c r="CS130" s="10"/>
      <c r="CT130" s="10"/>
      <c r="CU130" s="10"/>
      <c r="CV130" s="10"/>
      <c r="CW130" s="10"/>
      <c r="CX130" s="66">
        <v>21</v>
      </c>
      <c r="CY130" s="70">
        <f t="shared" si="13"/>
        <v>655.19999999999993</v>
      </c>
      <c r="CZ130" s="10"/>
      <c r="DA130" s="10"/>
      <c r="DB130" s="10"/>
      <c r="DC130" s="10"/>
      <c r="DD130" s="10"/>
      <c r="DE130" s="10"/>
      <c r="DF130" s="10"/>
      <c r="DG130" s="10"/>
      <c r="DH130" s="66"/>
      <c r="DI130" s="70">
        <f t="shared" si="14"/>
        <v>0</v>
      </c>
      <c r="DJ130" s="10"/>
      <c r="DK130" s="10"/>
      <c r="DL130" s="10">
        <v>1</v>
      </c>
      <c r="DM130" s="11">
        <f t="shared" si="15"/>
        <v>31.2</v>
      </c>
      <c r="DN130" s="10"/>
      <c r="DO130" s="10"/>
      <c r="DP130" s="10">
        <v>3</v>
      </c>
      <c r="DQ130" s="11">
        <f t="shared" si="16"/>
        <v>93.6</v>
      </c>
      <c r="DR130" s="10"/>
      <c r="DS130" s="10"/>
      <c r="DT130" s="11">
        <f t="shared" si="17"/>
        <v>0</v>
      </c>
      <c r="DU130" s="10"/>
      <c r="DV130" s="10"/>
      <c r="DW130" s="10"/>
      <c r="DX130" s="11">
        <f t="shared" si="18"/>
        <v>0</v>
      </c>
      <c r="DY130" s="10"/>
      <c r="DZ130" s="11">
        <f t="shared" si="19"/>
        <v>0</v>
      </c>
      <c r="EA130" s="10"/>
      <c r="EB130" s="10"/>
    </row>
    <row r="131" spans="2:132" ht="16.5">
      <c r="B131" s="2">
        <v>119</v>
      </c>
      <c r="C131" s="66" t="s">
        <v>572</v>
      </c>
      <c r="D131" s="49"/>
      <c r="E131" s="71">
        <f t="shared" si="10"/>
        <v>8.4</v>
      </c>
      <c r="F131" s="66">
        <v>7</v>
      </c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67"/>
      <c r="AS131" s="10"/>
      <c r="AT131" s="10"/>
      <c r="AU131" s="10"/>
      <c r="AV131" s="10"/>
      <c r="AW131" s="10"/>
      <c r="AX131" s="10"/>
      <c r="AY131" s="10"/>
      <c r="AZ131" s="10"/>
      <c r="BA131" s="67"/>
      <c r="BB131" s="10"/>
      <c r="BC131" s="10"/>
      <c r="BD131" s="10"/>
      <c r="BE131" s="10"/>
      <c r="BF131" s="10">
        <v>0</v>
      </c>
      <c r="BG131" s="11">
        <f t="shared" si="11"/>
        <v>0</v>
      </c>
      <c r="BH131" s="10"/>
      <c r="BI131" s="10">
        <v>0</v>
      </c>
      <c r="BJ131" s="11">
        <f t="shared" si="12"/>
        <v>0</v>
      </c>
      <c r="BK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66">
        <v>1</v>
      </c>
      <c r="CY131" s="70">
        <f t="shared" si="13"/>
        <v>8.4</v>
      </c>
      <c r="CZ131" s="10"/>
      <c r="DA131" s="10"/>
      <c r="DB131" s="10"/>
      <c r="DC131" s="10"/>
      <c r="DD131" s="10"/>
      <c r="DE131" s="10"/>
      <c r="DF131" s="10"/>
      <c r="DG131" s="10"/>
      <c r="DH131" s="66"/>
      <c r="DI131" s="70">
        <f t="shared" si="14"/>
        <v>0</v>
      </c>
      <c r="DJ131" s="10"/>
      <c r="DK131" s="10"/>
      <c r="DL131" s="10"/>
      <c r="DM131" s="11">
        <f t="shared" si="15"/>
        <v>0</v>
      </c>
      <c r="DN131" s="10"/>
      <c r="DO131" s="10"/>
      <c r="DP131" s="10">
        <v>6</v>
      </c>
      <c r="DQ131" s="11">
        <f t="shared" si="16"/>
        <v>50.400000000000006</v>
      </c>
      <c r="DR131" s="10"/>
      <c r="DS131" s="10"/>
      <c r="DT131" s="11">
        <f t="shared" si="17"/>
        <v>0</v>
      </c>
      <c r="DU131" s="10"/>
      <c r="DV131" s="10"/>
      <c r="DW131" s="10"/>
      <c r="DX131" s="11">
        <f t="shared" si="18"/>
        <v>0</v>
      </c>
      <c r="DY131" s="10"/>
      <c r="DZ131" s="11">
        <f t="shared" si="19"/>
        <v>0</v>
      </c>
      <c r="EA131" s="10"/>
      <c r="EB131" s="10"/>
    </row>
    <row r="132" spans="2:132" ht="16.5">
      <c r="B132" s="2">
        <v>120</v>
      </c>
      <c r="C132" s="66" t="s">
        <v>573</v>
      </c>
      <c r="D132" s="49"/>
      <c r="E132" s="71">
        <f t="shared" si="10"/>
        <v>1.2</v>
      </c>
      <c r="F132" s="66">
        <v>1</v>
      </c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67"/>
      <c r="AS132" s="10"/>
      <c r="AT132" s="10"/>
      <c r="AU132" s="10"/>
      <c r="AV132" s="10"/>
      <c r="AW132" s="10"/>
      <c r="AX132" s="10"/>
      <c r="AY132" s="10"/>
      <c r="AZ132" s="10"/>
      <c r="BA132" s="67"/>
      <c r="BB132" s="10"/>
      <c r="BC132" s="10"/>
      <c r="BD132" s="10"/>
      <c r="BE132" s="10"/>
      <c r="BF132" s="10">
        <v>0</v>
      </c>
      <c r="BG132" s="11">
        <f t="shared" si="11"/>
        <v>0</v>
      </c>
      <c r="BH132" s="10"/>
      <c r="BI132" s="10">
        <v>0</v>
      </c>
      <c r="BJ132" s="11">
        <f t="shared" si="12"/>
        <v>0</v>
      </c>
      <c r="BK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66"/>
      <c r="CY132" s="70">
        <f t="shared" si="13"/>
        <v>0</v>
      </c>
      <c r="CZ132" s="10"/>
      <c r="DA132" s="10"/>
      <c r="DB132" s="10"/>
      <c r="DC132" s="10"/>
      <c r="DD132" s="10"/>
      <c r="DE132" s="10"/>
      <c r="DF132" s="10"/>
      <c r="DG132" s="10"/>
      <c r="DH132" s="66"/>
      <c r="DI132" s="70">
        <f t="shared" si="14"/>
        <v>0</v>
      </c>
      <c r="DJ132" s="10"/>
      <c r="DK132" s="10"/>
      <c r="DL132" s="10"/>
      <c r="DM132" s="11">
        <f t="shared" si="15"/>
        <v>0</v>
      </c>
      <c r="DN132" s="10"/>
      <c r="DO132" s="10"/>
      <c r="DP132" s="10">
        <v>1</v>
      </c>
      <c r="DQ132" s="11">
        <f t="shared" si="16"/>
        <v>1.2</v>
      </c>
      <c r="DR132" s="10"/>
      <c r="DS132" s="10"/>
      <c r="DT132" s="11">
        <f t="shared" si="17"/>
        <v>0</v>
      </c>
      <c r="DU132" s="10"/>
      <c r="DV132" s="10"/>
      <c r="DW132" s="10"/>
      <c r="DX132" s="11">
        <f t="shared" si="18"/>
        <v>0</v>
      </c>
      <c r="DY132" s="10"/>
      <c r="DZ132" s="11">
        <f t="shared" si="19"/>
        <v>0</v>
      </c>
      <c r="EA132" s="10"/>
      <c r="EB132" s="10"/>
    </row>
    <row r="133" spans="2:132" ht="16.5">
      <c r="B133" s="2">
        <v>121</v>
      </c>
      <c r="C133" s="66" t="s">
        <v>574</v>
      </c>
      <c r="D133" s="49"/>
      <c r="E133" s="71">
        <f t="shared" si="10"/>
        <v>1.2</v>
      </c>
      <c r="F133" s="66">
        <v>1</v>
      </c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67"/>
      <c r="AS133" s="10"/>
      <c r="AT133" s="10"/>
      <c r="AU133" s="10"/>
      <c r="AV133" s="10"/>
      <c r="AW133" s="10"/>
      <c r="AX133" s="10"/>
      <c r="AY133" s="10"/>
      <c r="AZ133" s="10"/>
      <c r="BA133" s="67"/>
      <c r="BB133" s="10"/>
      <c r="BC133" s="10"/>
      <c r="BD133" s="10"/>
      <c r="BE133" s="10"/>
      <c r="BF133" s="10">
        <v>0</v>
      </c>
      <c r="BG133" s="11">
        <f t="shared" si="11"/>
        <v>0</v>
      </c>
      <c r="BH133" s="10"/>
      <c r="BI133" s="10">
        <v>1</v>
      </c>
      <c r="BJ133" s="11">
        <f t="shared" si="12"/>
        <v>1.2</v>
      </c>
      <c r="BK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66"/>
      <c r="CY133" s="70">
        <f t="shared" si="13"/>
        <v>0</v>
      </c>
      <c r="CZ133" s="10"/>
      <c r="DA133" s="10"/>
      <c r="DB133" s="10"/>
      <c r="DC133" s="10"/>
      <c r="DD133" s="10"/>
      <c r="DE133" s="10"/>
      <c r="DF133" s="10"/>
      <c r="DG133" s="10"/>
      <c r="DH133" s="66"/>
      <c r="DI133" s="70">
        <f t="shared" si="14"/>
        <v>0</v>
      </c>
      <c r="DJ133" s="10"/>
      <c r="DK133" s="10"/>
      <c r="DL133" s="10"/>
      <c r="DM133" s="11">
        <f t="shared" si="15"/>
        <v>0</v>
      </c>
      <c r="DN133" s="10"/>
      <c r="DO133" s="10"/>
      <c r="DP133" s="10">
        <v>0</v>
      </c>
      <c r="DQ133" s="11">
        <f t="shared" si="16"/>
        <v>0</v>
      </c>
      <c r="DR133" s="10"/>
      <c r="DS133" s="10"/>
      <c r="DT133" s="11">
        <f t="shared" si="17"/>
        <v>0</v>
      </c>
      <c r="DU133" s="10"/>
      <c r="DV133" s="10"/>
      <c r="DW133" s="10"/>
      <c r="DX133" s="11">
        <f t="shared" si="18"/>
        <v>0</v>
      </c>
      <c r="DY133" s="10"/>
      <c r="DZ133" s="11">
        <f t="shared" si="19"/>
        <v>0</v>
      </c>
      <c r="EA133" s="10"/>
      <c r="EB133" s="10"/>
    </row>
    <row r="134" spans="2:132" ht="16.5">
      <c r="B134" s="2">
        <v>122</v>
      </c>
      <c r="C134" s="66" t="s">
        <v>575</v>
      </c>
      <c r="D134" s="49"/>
      <c r="E134" s="71">
        <f t="shared" si="10"/>
        <v>4.8</v>
      </c>
      <c r="F134" s="66">
        <v>4</v>
      </c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67"/>
      <c r="AS134" s="10"/>
      <c r="AT134" s="10"/>
      <c r="AU134" s="10"/>
      <c r="AV134" s="10"/>
      <c r="AW134" s="10"/>
      <c r="AX134" s="10"/>
      <c r="AY134" s="10"/>
      <c r="AZ134" s="10"/>
      <c r="BA134" s="67"/>
      <c r="BB134" s="10"/>
      <c r="BC134" s="10"/>
      <c r="BD134" s="10"/>
      <c r="BE134" s="10"/>
      <c r="BF134" s="10">
        <v>0</v>
      </c>
      <c r="BG134" s="11">
        <f t="shared" si="11"/>
        <v>0</v>
      </c>
      <c r="BH134" s="10"/>
      <c r="BI134" s="10">
        <v>0</v>
      </c>
      <c r="BJ134" s="11">
        <f t="shared" si="12"/>
        <v>0</v>
      </c>
      <c r="BK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66"/>
      <c r="CY134" s="70">
        <f t="shared" si="13"/>
        <v>0</v>
      </c>
      <c r="CZ134" s="10"/>
      <c r="DA134" s="10"/>
      <c r="DB134" s="10"/>
      <c r="DC134" s="10"/>
      <c r="DD134" s="10"/>
      <c r="DE134" s="10"/>
      <c r="DF134" s="10"/>
      <c r="DG134" s="10"/>
      <c r="DH134" s="66"/>
      <c r="DI134" s="70">
        <f t="shared" si="14"/>
        <v>0</v>
      </c>
      <c r="DJ134" s="10"/>
      <c r="DK134" s="10"/>
      <c r="DL134" s="10"/>
      <c r="DM134" s="11">
        <f t="shared" si="15"/>
        <v>0</v>
      </c>
      <c r="DN134" s="10"/>
      <c r="DO134" s="10"/>
      <c r="DP134" s="10">
        <v>0</v>
      </c>
      <c r="DQ134" s="11">
        <f t="shared" si="16"/>
        <v>0</v>
      </c>
      <c r="DR134" s="10"/>
      <c r="DS134" s="10">
        <v>4</v>
      </c>
      <c r="DT134" s="11">
        <f t="shared" si="17"/>
        <v>19.2</v>
      </c>
      <c r="DU134" s="10"/>
      <c r="DV134" s="10"/>
      <c r="DW134" s="10"/>
      <c r="DX134" s="11">
        <f t="shared" si="18"/>
        <v>0</v>
      </c>
      <c r="DY134" s="10"/>
      <c r="DZ134" s="11">
        <f t="shared" si="19"/>
        <v>0</v>
      </c>
      <c r="EA134" s="10"/>
      <c r="EB134" s="10"/>
    </row>
    <row r="135" spans="2:132" ht="16.5">
      <c r="B135" s="2">
        <v>123</v>
      </c>
      <c r="C135" s="66" t="s">
        <v>576</v>
      </c>
      <c r="D135" s="49"/>
      <c r="E135" s="71">
        <f t="shared" si="10"/>
        <v>4.8</v>
      </c>
      <c r="F135" s="66">
        <v>4</v>
      </c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67"/>
      <c r="AS135" s="10"/>
      <c r="AT135" s="10"/>
      <c r="AU135" s="10"/>
      <c r="AV135" s="10"/>
      <c r="AW135" s="10"/>
      <c r="AX135" s="10"/>
      <c r="AY135" s="10"/>
      <c r="AZ135" s="10"/>
      <c r="BA135" s="67"/>
      <c r="BB135" s="10"/>
      <c r="BC135" s="10"/>
      <c r="BD135" s="10"/>
      <c r="BE135" s="10"/>
      <c r="BF135" s="10">
        <v>0</v>
      </c>
      <c r="BG135" s="11">
        <f t="shared" si="11"/>
        <v>0</v>
      </c>
      <c r="BH135" s="10"/>
      <c r="BI135" s="10">
        <v>4</v>
      </c>
      <c r="BJ135" s="11">
        <f t="shared" si="12"/>
        <v>19.2</v>
      </c>
      <c r="BK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66"/>
      <c r="CY135" s="70">
        <f t="shared" si="13"/>
        <v>0</v>
      </c>
      <c r="CZ135" s="10"/>
      <c r="DA135" s="10"/>
      <c r="DB135" s="10"/>
      <c r="DC135" s="10"/>
      <c r="DD135" s="10"/>
      <c r="DE135" s="10"/>
      <c r="DF135" s="10"/>
      <c r="DG135" s="10"/>
      <c r="DH135" s="66"/>
      <c r="DI135" s="70">
        <f t="shared" si="14"/>
        <v>0</v>
      </c>
      <c r="DJ135" s="10"/>
      <c r="DK135" s="10"/>
      <c r="DL135" s="10"/>
      <c r="DM135" s="11">
        <f t="shared" si="15"/>
        <v>0</v>
      </c>
      <c r="DN135" s="10"/>
      <c r="DO135" s="10"/>
      <c r="DP135" s="10">
        <v>0</v>
      </c>
      <c r="DQ135" s="11">
        <f t="shared" si="16"/>
        <v>0</v>
      </c>
      <c r="DR135" s="10"/>
      <c r="DS135" s="10"/>
      <c r="DT135" s="11">
        <f t="shared" si="17"/>
        <v>0</v>
      </c>
      <c r="DU135" s="10"/>
      <c r="DV135" s="10"/>
      <c r="DW135" s="10"/>
      <c r="DX135" s="11">
        <f t="shared" si="18"/>
        <v>0</v>
      </c>
      <c r="DY135" s="10"/>
      <c r="DZ135" s="11">
        <f t="shared" si="19"/>
        <v>0</v>
      </c>
      <c r="EA135" s="10"/>
      <c r="EB135" s="10"/>
    </row>
    <row r="136" spans="2:132" ht="16.5">
      <c r="B136" s="2">
        <v>124</v>
      </c>
      <c r="C136" s="66" t="s">
        <v>577</v>
      </c>
      <c r="D136" s="49"/>
      <c r="E136" s="71">
        <f t="shared" si="10"/>
        <v>1.2</v>
      </c>
      <c r="F136" s="66">
        <v>1</v>
      </c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67"/>
      <c r="AS136" s="10"/>
      <c r="AT136" s="10"/>
      <c r="AU136" s="10"/>
      <c r="AV136" s="10"/>
      <c r="AW136" s="10"/>
      <c r="AX136" s="10"/>
      <c r="AY136" s="10"/>
      <c r="AZ136" s="10"/>
      <c r="BA136" s="67"/>
      <c r="BB136" s="10"/>
      <c r="BC136" s="10"/>
      <c r="BD136" s="10"/>
      <c r="BE136" s="10"/>
      <c r="BF136" s="10">
        <v>0</v>
      </c>
      <c r="BG136" s="11">
        <f t="shared" si="11"/>
        <v>0</v>
      </c>
      <c r="BH136" s="10"/>
      <c r="BI136" s="10">
        <v>0</v>
      </c>
      <c r="BJ136" s="11">
        <f t="shared" si="12"/>
        <v>0</v>
      </c>
      <c r="BK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66"/>
      <c r="CY136" s="70">
        <f t="shared" si="13"/>
        <v>0</v>
      </c>
      <c r="CZ136" s="10"/>
      <c r="DA136" s="10"/>
      <c r="DB136" s="10"/>
      <c r="DC136" s="10"/>
      <c r="DD136" s="10"/>
      <c r="DE136" s="10"/>
      <c r="DF136" s="10"/>
      <c r="DG136" s="10"/>
      <c r="DH136" s="66"/>
      <c r="DI136" s="70">
        <f t="shared" si="14"/>
        <v>0</v>
      </c>
      <c r="DJ136" s="10"/>
      <c r="DK136" s="10"/>
      <c r="DL136" s="10"/>
      <c r="DM136" s="11">
        <f t="shared" si="15"/>
        <v>0</v>
      </c>
      <c r="DN136" s="10"/>
      <c r="DO136" s="10"/>
      <c r="DP136" s="10">
        <v>1</v>
      </c>
      <c r="DQ136" s="11">
        <f t="shared" si="16"/>
        <v>1.2</v>
      </c>
      <c r="DR136" s="10"/>
      <c r="DS136" s="10"/>
      <c r="DT136" s="11">
        <f t="shared" si="17"/>
        <v>0</v>
      </c>
      <c r="DU136" s="10"/>
      <c r="DV136" s="10"/>
      <c r="DW136" s="10"/>
      <c r="DX136" s="11">
        <f t="shared" si="18"/>
        <v>0</v>
      </c>
      <c r="DY136" s="10"/>
      <c r="DZ136" s="11">
        <f t="shared" si="19"/>
        <v>0</v>
      </c>
      <c r="EA136" s="10"/>
      <c r="EB136" s="10"/>
    </row>
    <row r="137" spans="2:132" ht="16.5">
      <c r="B137" s="2">
        <v>125</v>
      </c>
      <c r="C137" s="66" t="s">
        <v>578</v>
      </c>
      <c r="D137" s="49"/>
      <c r="E137" s="71">
        <f t="shared" si="10"/>
        <v>3.5999999999999996</v>
      </c>
      <c r="F137" s="66">
        <v>3</v>
      </c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67"/>
      <c r="AS137" s="10"/>
      <c r="AT137" s="10"/>
      <c r="AU137" s="10"/>
      <c r="AV137" s="10"/>
      <c r="AW137" s="10"/>
      <c r="AX137" s="10"/>
      <c r="AY137" s="10"/>
      <c r="AZ137" s="10"/>
      <c r="BA137" s="67"/>
      <c r="BB137" s="10"/>
      <c r="BC137" s="10"/>
      <c r="BD137" s="10"/>
      <c r="BE137" s="10"/>
      <c r="BF137" s="10">
        <v>0</v>
      </c>
      <c r="BG137" s="11">
        <f t="shared" si="11"/>
        <v>0</v>
      </c>
      <c r="BH137" s="10"/>
      <c r="BI137" s="10">
        <v>1</v>
      </c>
      <c r="BJ137" s="11">
        <f t="shared" si="12"/>
        <v>3.5999999999999996</v>
      </c>
      <c r="BK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66"/>
      <c r="CY137" s="70">
        <f t="shared" si="13"/>
        <v>0</v>
      </c>
      <c r="CZ137" s="10"/>
      <c r="DA137" s="10"/>
      <c r="DB137" s="10"/>
      <c r="DC137" s="10"/>
      <c r="DD137" s="10"/>
      <c r="DE137" s="10"/>
      <c r="DF137" s="10"/>
      <c r="DG137" s="10"/>
      <c r="DH137" s="66"/>
      <c r="DI137" s="70">
        <f t="shared" si="14"/>
        <v>0</v>
      </c>
      <c r="DJ137" s="10"/>
      <c r="DK137" s="10"/>
      <c r="DL137" s="10"/>
      <c r="DM137" s="11">
        <f t="shared" si="15"/>
        <v>0</v>
      </c>
      <c r="DN137" s="10"/>
      <c r="DO137" s="10"/>
      <c r="DP137" s="10">
        <v>0</v>
      </c>
      <c r="DQ137" s="11">
        <f t="shared" si="16"/>
        <v>0</v>
      </c>
      <c r="DR137" s="10"/>
      <c r="DS137" s="10">
        <v>2</v>
      </c>
      <c r="DT137" s="11">
        <f t="shared" si="17"/>
        <v>7.1999999999999993</v>
      </c>
      <c r="DU137" s="10"/>
      <c r="DV137" s="10"/>
      <c r="DW137" s="10"/>
      <c r="DX137" s="11">
        <f t="shared" si="18"/>
        <v>0</v>
      </c>
      <c r="DY137" s="10"/>
      <c r="DZ137" s="11">
        <f t="shared" si="19"/>
        <v>0</v>
      </c>
      <c r="EA137" s="10"/>
      <c r="EB137" s="10"/>
    </row>
    <row r="138" spans="2:132" ht="16.5">
      <c r="B138" s="2">
        <v>126</v>
      </c>
      <c r="C138" s="66" t="s">
        <v>579</v>
      </c>
      <c r="D138" s="49"/>
      <c r="E138" s="71">
        <f t="shared" si="10"/>
        <v>12</v>
      </c>
      <c r="F138" s="66">
        <v>10</v>
      </c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67"/>
      <c r="AS138" s="10"/>
      <c r="AT138" s="10"/>
      <c r="AU138" s="10"/>
      <c r="AV138" s="10"/>
      <c r="AW138" s="10"/>
      <c r="AX138" s="10"/>
      <c r="AY138" s="10"/>
      <c r="AZ138" s="10"/>
      <c r="BA138" s="67"/>
      <c r="BB138" s="10"/>
      <c r="BC138" s="10"/>
      <c r="BD138" s="10"/>
      <c r="BE138" s="10"/>
      <c r="BF138" s="10">
        <v>0</v>
      </c>
      <c r="BG138" s="11">
        <f t="shared" si="11"/>
        <v>0</v>
      </c>
      <c r="BH138" s="10"/>
      <c r="BI138" s="10">
        <v>0</v>
      </c>
      <c r="BJ138" s="11">
        <f t="shared" si="12"/>
        <v>0</v>
      </c>
      <c r="BK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66">
        <v>7</v>
      </c>
      <c r="CY138" s="70">
        <f t="shared" si="13"/>
        <v>84</v>
      </c>
      <c r="CZ138" s="10"/>
      <c r="DA138" s="10"/>
      <c r="DB138" s="10"/>
      <c r="DC138" s="10"/>
      <c r="DD138" s="10"/>
      <c r="DE138" s="10"/>
      <c r="DF138" s="10"/>
      <c r="DG138" s="10"/>
      <c r="DH138" s="66"/>
      <c r="DI138" s="70">
        <f t="shared" si="14"/>
        <v>0</v>
      </c>
      <c r="DJ138" s="10"/>
      <c r="DK138" s="10"/>
      <c r="DL138" s="10"/>
      <c r="DM138" s="11">
        <f t="shared" si="15"/>
        <v>0</v>
      </c>
      <c r="DN138" s="10"/>
      <c r="DO138" s="10"/>
      <c r="DP138" s="10">
        <v>0</v>
      </c>
      <c r="DQ138" s="11">
        <f t="shared" si="16"/>
        <v>0</v>
      </c>
      <c r="DR138" s="10"/>
      <c r="DS138" s="10">
        <v>3</v>
      </c>
      <c r="DT138" s="11">
        <f t="shared" si="17"/>
        <v>36</v>
      </c>
      <c r="DU138" s="10"/>
      <c r="DV138" s="10"/>
      <c r="DW138" s="10"/>
      <c r="DX138" s="11">
        <f t="shared" si="18"/>
        <v>0</v>
      </c>
      <c r="DY138" s="10"/>
      <c r="DZ138" s="11">
        <f t="shared" si="19"/>
        <v>0</v>
      </c>
      <c r="EA138" s="10"/>
      <c r="EB138" s="10"/>
    </row>
    <row r="139" spans="2:132" ht="16.5">
      <c r="B139" s="2">
        <v>127</v>
      </c>
      <c r="C139" s="66" t="s">
        <v>580</v>
      </c>
      <c r="D139" s="49"/>
      <c r="E139" s="71">
        <f t="shared" si="10"/>
        <v>2.4</v>
      </c>
      <c r="F139" s="66">
        <v>2</v>
      </c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67"/>
      <c r="AS139" s="10"/>
      <c r="AT139" s="10"/>
      <c r="AU139" s="10"/>
      <c r="AV139" s="10"/>
      <c r="AW139" s="10"/>
      <c r="AX139" s="10"/>
      <c r="AY139" s="10"/>
      <c r="AZ139" s="10"/>
      <c r="BA139" s="67"/>
      <c r="BB139" s="10"/>
      <c r="BC139" s="10"/>
      <c r="BD139" s="10"/>
      <c r="BE139" s="10"/>
      <c r="BF139" s="10">
        <v>0</v>
      </c>
      <c r="BG139" s="11">
        <f t="shared" si="11"/>
        <v>0</v>
      </c>
      <c r="BH139" s="10"/>
      <c r="BI139" s="10">
        <v>0</v>
      </c>
      <c r="BJ139" s="11">
        <f t="shared" si="12"/>
        <v>0</v>
      </c>
      <c r="BK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66"/>
      <c r="CY139" s="70">
        <f t="shared" si="13"/>
        <v>0</v>
      </c>
      <c r="CZ139" s="10"/>
      <c r="DA139" s="10"/>
      <c r="DB139" s="10"/>
      <c r="DC139" s="10"/>
      <c r="DD139" s="10"/>
      <c r="DE139" s="10"/>
      <c r="DF139" s="10"/>
      <c r="DG139" s="10"/>
      <c r="DH139" s="66"/>
      <c r="DI139" s="70">
        <f t="shared" si="14"/>
        <v>0</v>
      </c>
      <c r="DJ139" s="10"/>
      <c r="DK139" s="10"/>
      <c r="DL139" s="10"/>
      <c r="DM139" s="11">
        <f t="shared" si="15"/>
        <v>0</v>
      </c>
      <c r="DN139" s="10"/>
      <c r="DO139" s="10"/>
      <c r="DP139" s="10">
        <v>0</v>
      </c>
      <c r="DQ139" s="11">
        <f t="shared" si="16"/>
        <v>0</v>
      </c>
      <c r="DR139" s="10"/>
      <c r="DS139" s="10">
        <v>1</v>
      </c>
      <c r="DT139" s="11">
        <f t="shared" si="17"/>
        <v>2.4</v>
      </c>
      <c r="DU139" s="10"/>
      <c r="DV139" s="10"/>
      <c r="DW139" s="10">
        <v>1</v>
      </c>
      <c r="DX139" s="11">
        <f t="shared" si="18"/>
        <v>2.4</v>
      </c>
      <c r="DY139" s="10"/>
      <c r="DZ139" s="11">
        <f t="shared" si="19"/>
        <v>0</v>
      </c>
      <c r="EA139" s="10"/>
      <c r="EB139" s="10"/>
    </row>
    <row r="140" spans="2:132" ht="16.5">
      <c r="B140" s="2">
        <v>128</v>
      </c>
      <c r="C140" s="66" t="s">
        <v>581</v>
      </c>
      <c r="D140" s="49"/>
      <c r="E140" s="71">
        <f t="shared" si="10"/>
        <v>4.8</v>
      </c>
      <c r="F140" s="66">
        <v>4</v>
      </c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67"/>
      <c r="AS140" s="10"/>
      <c r="AT140" s="10"/>
      <c r="AU140" s="10"/>
      <c r="AV140" s="10"/>
      <c r="AW140" s="10"/>
      <c r="AX140" s="10"/>
      <c r="AY140" s="10"/>
      <c r="AZ140" s="10"/>
      <c r="BA140" s="67"/>
      <c r="BB140" s="10"/>
      <c r="BC140" s="10"/>
      <c r="BD140" s="10"/>
      <c r="BE140" s="10"/>
      <c r="BF140" s="10">
        <v>0</v>
      </c>
      <c r="BG140" s="11">
        <f t="shared" si="11"/>
        <v>0</v>
      </c>
      <c r="BH140" s="10"/>
      <c r="BI140" s="10">
        <v>4</v>
      </c>
      <c r="BJ140" s="11">
        <f t="shared" si="12"/>
        <v>19.2</v>
      </c>
      <c r="BK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66"/>
      <c r="CY140" s="70">
        <f t="shared" si="13"/>
        <v>0</v>
      </c>
      <c r="CZ140" s="10"/>
      <c r="DA140" s="10"/>
      <c r="DB140" s="10"/>
      <c r="DC140" s="10"/>
      <c r="DD140" s="10"/>
      <c r="DE140" s="10"/>
      <c r="DF140" s="10"/>
      <c r="DG140" s="10"/>
      <c r="DH140" s="66"/>
      <c r="DI140" s="70">
        <f t="shared" si="14"/>
        <v>0</v>
      </c>
      <c r="DJ140" s="10"/>
      <c r="DK140" s="10"/>
      <c r="DL140" s="10"/>
      <c r="DM140" s="11">
        <f t="shared" si="15"/>
        <v>0</v>
      </c>
      <c r="DN140" s="10"/>
      <c r="DO140" s="10"/>
      <c r="DP140" s="10">
        <v>0</v>
      </c>
      <c r="DQ140" s="11">
        <f t="shared" si="16"/>
        <v>0</v>
      </c>
      <c r="DR140" s="10"/>
      <c r="DS140" s="10"/>
      <c r="DT140" s="11">
        <f t="shared" si="17"/>
        <v>0</v>
      </c>
      <c r="DU140" s="10"/>
      <c r="DV140" s="10"/>
      <c r="DW140" s="10"/>
      <c r="DX140" s="11">
        <f t="shared" si="18"/>
        <v>0</v>
      </c>
      <c r="DY140" s="10"/>
      <c r="DZ140" s="11">
        <f t="shared" si="19"/>
        <v>0</v>
      </c>
      <c r="EA140" s="10"/>
      <c r="EB140" s="10"/>
    </row>
    <row r="141" spans="2:132" ht="16.5">
      <c r="B141" s="2">
        <v>129</v>
      </c>
      <c r="C141" s="66" t="s">
        <v>582</v>
      </c>
      <c r="D141" s="49"/>
      <c r="E141" s="71">
        <f t="shared" si="10"/>
        <v>7.1999999999999993</v>
      </c>
      <c r="F141" s="66">
        <v>6</v>
      </c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67"/>
      <c r="AS141" s="10"/>
      <c r="AT141" s="10"/>
      <c r="AU141" s="10"/>
      <c r="AV141" s="10"/>
      <c r="AW141" s="10"/>
      <c r="AX141" s="10"/>
      <c r="AY141" s="10"/>
      <c r="AZ141" s="10"/>
      <c r="BA141" s="67"/>
      <c r="BB141" s="10"/>
      <c r="BC141" s="10"/>
      <c r="BD141" s="10"/>
      <c r="BE141" s="10"/>
      <c r="BF141" s="10">
        <v>0</v>
      </c>
      <c r="BG141" s="11">
        <f t="shared" si="11"/>
        <v>0</v>
      </c>
      <c r="BH141" s="10"/>
      <c r="BI141" s="10">
        <v>0</v>
      </c>
      <c r="BJ141" s="11">
        <f t="shared" si="12"/>
        <v>0</v>
      </c>
      <c r="BK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66"/>
      <c r="CY141" s="70">
        <f t="shared" si="13"/>
        <v>0</v>
      </c>
      <c r="CZ141" s="10"/>
      <c r="DA141" s="10"/>
      <c r="DB141" s="10"/>
      <c r="DC141" s="10"/>
      <c r="DD141" s="10"/>
      <c r="DE141" s="10"/>
      <c r="DF141" s="10"/>
      <c r="DG141" s="10"/>
      <c r="DH141" s="66"/>
      <c r="DI141" s="70">
        <f t="shared" si="14"/>
        <v>0</v>
      </c>
      <c r="DJ141" s="10"/>
      <c r="DK141" s="10"/>
      <c r="DL141" s="10"/>
      <c r="DM141" s="11">
        <f t="shared" si="15"/>
        <v>0</v>
      </c>
      <c r="DN141" s="10"/>
      <c r="DO141" s="10"/>
      <c r="DP141" s="10">
        <v>0</v>
      </c>
      <c r="DQ141" s="11">
        <f t="shared" si="16"/>
        <v>0</v>
      </c>
      <c r="DR141" s="10"/>
      <c r="DS141" s="10"/>
      <c r="DT141" s="11">
        <f t="shared" si="17"/>
        <v>0</v>
      </c>
      <c r="DU141" s="10"/>
      <c r="DV141" s="10"/>
      <c r="DW141" s="10">
        <v>6</v>
      </c>
      <c r="DX141" s="11">
        <f t="shared" si="18"/>
        <v>43.199999999999996</v>
      </c>
      <c r="DY141" s="10"/>
      <c r="DZ141" s="11">
        <f t="shared" si="19"/>
        <v>0</v>
      </c>
      <c r="EA141" s="10"/>
      <c r="EB141" s="10"/>
    </row>
    <row r="142" spans="2:132" ht="16.5">
      <c r="B142" s="2">
        <v>130</v>
      </c>
      <c r="C142" s="66" t="s">
        <v>583</v>
      </c>
      <c r="D142" s="49"/>
      <c r="E142" s="71">
        <f t="shared" ref="E142:E205" si="20">F142*1.2</f>
        <v>15.6</v>
      </c>
      <c r="F142" s="66">
        <v>13</v>
      </c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67"/>
      <c r="AS142" s="10"/>
      <c r="AT142" s="10"/>
      <c r="AU142" s="10"/>
      <c r="AV142" s="10"/>
      <c r="AW142" s="10"/>
      <c r="AX142" s="10"/>
      <c r="AY142" s="10"/>
      <c r="AZ142" s="10"/>
      <c r="BA142" s="67"/>
      <c r="BB142" s="10"/>
      <c r="BC142" s="10"/>
      <c r="BD142" s="10"/>
      <c r="BE142" s="10"/>
      <c r="BF142" s="10">
        <v>0</v>
      </c>
      <c r="BG142" s="11">
        <f t="shared" ref="BG142:BG205" si="21">E142*BF142</f>
        <v>0</v>
      </c>
      <c r="BH142" s="10"/>
      <c r="BI142" s="10">
        <v>0</v>
      </c>
      <c r="BJ142" s="11">
        <f t="shared" ref="BJ142:BJ205" si="22">E142*BI142</f>
        <v>0</v>
      </c>
      <c r="BK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66">
        <v>1</v>
      </c>
      <c r="CY142" s="70">
        <f t="shared" ref="CY142:CY205" si="23">CX142*E142</f>
        <v>15.6</v>
      </c>
      <c r="CZ142" s="10"/>
      <c r="DA142" s="10"/>
      <c r="DB142" s="10"/>
      <c r="DC142" s="10"/>
      <c r="DD142" s="10"/>
      <c r="DE142" s="10"/>
      <c r="DF142" s="10"/>
      <c r="DG142" s="10"/>
      <c r="DH142" s="66">
        <v>3</v>
      </c>
      <c r="DI142" s="70">
        <f t="shared" ref="DI142:DI205" si="24">DH142*E142</f>
        <v>46.8</v>
      </c>
      <c r="DJ142" s="10"/>
      <c r="DK142" s="10"/>
      <c r="DL142" s="10"/>
      <c r="DM142" s="11">
        <f t="shared" ref="DM142:DM205" si="25">DL142*E142</f>
        <v>0</v>
      </c>
      <c r="DN142" s="10"/>
      <c r="DO142" s="10"/>
      <c r="DP142" s="10">
        <v>1</v>
      </c>
      <c r="DQ142" s="11">
        <f t="shared" ref="DQ142:DQ205" si="26">DP142*E142</f>
        <v>15.6</v>
      </c>
      <c r="DR142" s="10"/>
      <c r="DS142" s="10">
        <v>7</v>
      </c>
      <c r="DT142" s="11">
        <f t="shared" ref="DT142:DT205" si="27">DS142*E142</f>
        <v>109.2</v>
      </c>
      <c r="DU142" s="10"/>
      <c r="DV142" s="10"/>
      <c r="DW142" s="10">
        <v>1</v>
      </c>
      <c r="DX142" s="11">
        <f t="shared" ref="DX142:DX205" si="28">DW142*E142</f>
        <v>15.6</v>
      </c>
      <c r="DY142" s="10"/>
      <c r="DZ142" s="11">
        <f t="shared" ref="DZ142:DZ205" si="29">DY142*E142</f>
        <v>0</v>
      </c>
      <c r="EA142" s="10"/>
      <c r="EB142" s="10"/>
    </row>
    <row r="143" spans="2:132" ht="16.5">
      <c r="B143" s="2">
        <v>131</v>
      </c>
      <c r="C143" s="66" t="s">
        <v>584</v>
      </c>
      <c r="D143" s="49"/>
      <c r="E143" s="71">
        <f t="shared" si="20"/>
        <v>1.2</v>
      </c>
      <c r="F143" s="66">
        <v>1</v>
      </c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67"/>
      <c r="AS143" s="10"/>
      <c r="AT143" s="10"/>
      <c r="AU143" s="10"/>
      <c r="AV143" s="10"/>
      <c r="AW143" s="10"/>
      <c r="AX143" s="10"/>
      <c r="AY143" s="10"/>
      <c r="AZ143" s="10"/>
      <c r="BA143" s="67"/>
      <c r="BB143" s="10"/>
      <c r="BC143" s="10"/>
      <c r="BD143" s="10"/>
      <c r="BE143" s="10"/>
      <c r="BF143" s="10">
        <v>0</v>
      </c>
      <c r="BG143" s="11">
        <f t="shared" si="21"/>
        <v>0</v>
      </c>
      <c r="BH143" s="10"/>
      <c r="BI143" s="10">
        <v>1</v>
      </c>
      <c r="BJ143" s="11">
        <f t="shared" si="22"/>
        <v>1.2</v>
      </c>
      <c r="BK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66"/>
      <c r="CY143" s="70">
        <f t="shared" si="23"/>
        <v>0</v>
      </c>
      <c r="CZ143" s="10"/>
      <c r="DA143" s="10"/>
      <c r="DB143" s="10"/>
      <c r="DC143" s="10"/>
      <c r="DD143" s="10"/>
      <c r="DE143" s="10"/>
      <c r="DF143" s="10"/>
      <c r="DG143" s="10"/>
      <c r="DH143" s="66"/>
      <c r="DI143" s="70">
        <f t="shared" si="24"/>
        <v>0</v>
      </c>
      <c r="DJ143" s="10"/>
      <c r="DK143" s="10"/>
      <c r="DL143" s="10"/>
      <c r="DM143" s="11">
        <f t="shared" si="25"/>
        <v>0</v>
      </c>
      <c r="DN143" s="10"/>
      <c r="DO143" s="10"/>
      <c r="DP143" s="10">
        <v>0</v>
      </c>
      <c r="DQ143" s="11">
        <f t="shared" si="26"/>
        <v>0</v>
      </c>
      <c r="DR143" s="10"/>
      <c r="DS143" s="10"/>
      <c r="DT143" s="11">
        <f t="shared" si="27"/>
        <v>0</v>
      </c>
      <c r="DU143" s="10"/>
      <c r="DV143" s="10"/>
      <c r="DW143" s="10"/>
      <c r="DX143" s="11">
        <f t="shared" si="28"/>
        <v>0</v>
      </c>
      <c r="DY143" s="10"/>
      <c r="DZ143" s="11">
        <f t="shared" si="29"/>
        <v>0</v>
      </c>
      <c r="EA143" s="10"/>
      <c r="EB143" s="10"/>
    </row>
    <row r="144" spans="2:132" ht="16.5">
      <c r="B144" s="2">
        <v>132</v>
      </c>
      <c r="C144" s="66" t="s">
        <v>585</v>
      </c>
      <c r="D144" s="49"/>
      <c r="E144" s="71">
        <f t="shared" si="20"/>
        <v>12</v>
      </c>
      <c r="F144" s="66">
        <v>10</v>
      </c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67"/>
      <c r="AS144" s="10"/>
      <c r="AT144" s="10"/>
      <c r="AU144" s="10"/>
      <c r="AV144" s="10"/>
      <c r="AW144" s="10"/>
      <c r="AX144" s="10"/>
      <c r="AY144" s="10"/>
      <c r="AZ144" s="10"/>
      <c r="BA144" s="67"/>
      <c r="BB144" s="10"/>
      <c r="BC144" s="10"/>
      <c r="BD144" s="10"/>
      <c r="BE144" s="10"/>
      <c r="BF144" s="10">
        <v>10</v>
      </c>
      <c r="BG144" s="11">
        <f t="shared" si="21"/>
        <v>120</v>
      </c>
      <c r="BH144" s="10"/>
      <c r="BI144" s="10">
        <v>0</v>
      </c>
      <c r="BJ144" s="11">
        <f t="shared" si="22"/>
        <v>0</v>
      </c>
      <c r="BK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66"/>
      <c r="CY144" s="70">
        <f t="shared" si="23"/>
        <v>0</v>
      </c>
      <c r="CZ144" s="10"/>
      <c r="DA144" s="10"/>
      <c r="DB144" s="10"/>
      <c r="DC144" s="10"/>
      <c r="DD144" s="10"/>
      <c r="DE144" s="10"/>
      <c r="DF144" s="10"/>
      <c r="DG144" s="10"/>
      <c r="DH144" s="66"/>
      <c r="DI144" s="70">
        <f t="shared" si="24"/>
        <v>0</v>
      </c>
      <c r="DJ144" s="10"/>
      <c r="DK144" s="10"/>
      <c r="DL144" s="10"/>
      <c r="DM144" s="11">
        <f t="shared" si="25"/>
        <v>0</v>
      </c>
      <c r="DN144" s="10"/>
      <c r="DO144" s="10"/>
      <c r="DP144" s="10">
        <v>0</v>
      </c>
      <c r="DQ144" s="11">
        <f t="shared" si="26"/>
        <v>0</v>
      </c>
      <c r="DR144" s="10"/>
      <c r="DS144" s="10"/>
      <c r="DT144" s="11">
        <f t="shared" si="27"/>
        <v>0</v>
      </c>
      <c r="DU144" s="10"/>
      <c r="DV144" s="10"/>
      <c r="DW144" s="10"/>
      <c r="DX144" s="11">
        <f t="shared" si="28"/>
        <v>0</v>
      </c>
      <c r="DY144" s="10"/>
      <c r="DZ144" s="11">
        <f t="shared" si="29"/>
        <v>0</v>
      </c>
      <c r="EA144" s="10"/>
      <c r="EB144" s="10"/>
    </row>
    <row r="145" spans="2:132" ht="16.5">
      <c r="B145" s="2">
        <v>133</v>
      </c>
      <c r="C145" s="66" t="s">
        <v>284</v>
      </c>
      <c r="D145" s="49"/>
      <c r="E145" s="71">
        <f t="shared" si="20"/>
        <v>111.6</v>
      </c>
      <c r="F145" s="66">
        <v>93</v>
      </c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67"/>
      <c r="AS145" s="10"/>
      <c r="AT145" s="10"/>
      <c r="AU145" s="10"/>
      <c r="AV145" s="10"/>
      <c r="AW145" s="10"/>
      <c r="AX145" s="10"/>
      <c r="AY145" s="10"/>
      <c r="AZ145" s="10"/>
      <c r="BA145" s="67"/>
      <c r="BB145" s="10"/>
      <c r="BC145" s="10"/>
      <c r="BD145" s="10"/>
      <c r="BE145" s="10"/>
      <c r="BF145" s="10">
        <v>2</v>
      </c>
      <c r="BG145" s="11">
        <f t="shared" si="21"/>
        <v>223.2</v>
      </c>
      <c r="BH145" s="10"/>
      <c r="BI145" s="10">
        <v>5</v>
      </c>
      <c r="BJ145" s="11">
        <f t="shared" si="22"/>
        <v>558</v>
      </c>
      <c r="BK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66">
        <v>15</v>
      </c>
      <c r="CY145" s="70">
        <f t="shared" si="23"/>
        <v>1674</v>
      </c>
      <c r="CZ145" s="10"/>
      <c r="DA145" s="10"/>
      <c r="DB145" s="10"/>
      <c r="DC145" s="10"/>
      <c r="DD145" s="10"/>
      <c r="DE145" s="10"/>
      <c r="DF145" s="10"/>
      <c r="DG145" s="10"/>
      <c r="DH145" s="66">
        <v>6</v>
      </c>
      <c r="DI145" s="70">
        <f t="shared" si="24"/>
        <v>669.59999999999991</v>
      </c>
      <c r="DJ145" s="10"/>
      <c r="DK145" s="10"/>
      <c r="DL145" s="10">
        <v>1</v>
      </c>
      <c r="DM145" s="11">
        <f t="shared" si="25"/>
        <v>111.6</v>
      </c>
      <c r="DN145" s="10"/>
      <c r="DO145" s="10"/>
      <c r="DP145" s="10">
        <v>57</v>
      </c>
      <c r="DQ145" s="11">
        <f t="shared" si="26"/>
        <v>6361.2</v>
      </c>
      <c r="DR145" s="10"/>
      <c r="DS145" s="10"/>
      <c r="DT145" s="11">
        <f t="shared" si="27"/>
        <v>0</v>
      </c>
      <c r="DU145" s="10"/>
      <c r="DV145" s="10"/>
      <c r="DW145" s="10">
        <v>2</v>
      </c>
      <c r="DX145" s="11">
        <f t="shared" si="28"/>
        <v>223.2</v>
      </c>
      <c r="DY145" s="10">
        <v>5</v>
      </c>
      <c r="DZ145" s="11">
        <f t="shared" si="29"/>
        <v>558</v>
      </c>
      <c r="EA145" s="10"/>
      <c r="EB145" s="10"/>
    </row>
    <row r="146" spans="2:132" ht="16.5">
      <c r="B146" s="2">
        <v>134</v>
      </c>
      <c r="C146" s="66" t="s">
        <v>586</v>
      </c>
      <c r="D146" s="49"/>
      <c r="E146" s="71">
        <f t="shared" si="20"/>
        <v>1.2</v>
      </c>
      <c r="F146" s="66">
        <v>1</v>
      </c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67"/>
      <c r="AS146" s="10"/>
      <c r="AT146" s="10"/>
      <c r="AU146" s="10"/>
      <c r="AV146" s="10"/>
      <c r="AW146" s="10"/>
      <c r="AX146" s="10"/>
      <c r="AY146" s="10"/>
      <c r="AZ146" s="10"/>
      <c r="BA146" s="67"/>
      <c r="BB146" s="10"/>
      <c r="BC146" s="10"/>
      <c r="BD146" s="10"/>
      <c r="BE146" s="10"/>
      <c r="BF146" s="10">
        <v>0</v>
      </c>
      <c r="BG146" s="11">
        <f t="shared" si="21"/>
        <v>0</v>
      </c>
      <c r="BH146" s="10"/>
      <c r="BI146" s="10">
        <v>0</v>
      </c>
      <c r="BJ146" s="11">
        <f t="shared" si="22"/>
        <v>0</v>
      </c>
      <c r="BK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66"/>
      <c r="CY146" s="70">
        <f t="shared" si="23"/>
        <v>0</v>
      </c>
      <c r="CZ146" s="10"/>
      <c r="DA146" s="10"/>
      <c r="DB146" s="10"/>
      <c r="DC146" s="10"/>
      <c r="DD146" s="10"/>
      <c r="DE146" s="10"/>
      <c r="DF146" s="10"/>
      <c r="DG146" s="10"/>
      <c r="DH146" s="66"/>
      <c r="DI146" s="70">
        <f t="shared" si="24"/>
        <v>0</v>
      </c>
      <c r="DJ146" s="10"/>
      <c r="DK146" s="10"/>
      <c r="DL146" s="10"/>
      <c r="DM146" s="11">
        <f t="shared" si="25"/>
        <v>0</v>
      </c>
      <c r="DN146" s="10"/>
      <c r="DO146" s="10"/>
      <c r="DP146" s="10">
        <v>0</v>
      </c>
      <c r="DQ146" s="11">
        <f t="shared" si="26"/>
        <v>0</v>
      </c>
      <c r="DR146" s="10"/>
      <c r="DS146" s="10">
        <v>1</v>
      </c>
      <c r="DT146" s="11">
        <f t="shared" si="27"/>
        <v>1.2</v>
      </c>
      <c r="DU146" s="10"/>
      <c r="DV146" s="10"/>
      <c r="DW146" s="10"/>
      <c r="DX146" s="11">
        <f t="shared" si="28"/>
        <v>0</v>
      </c>
      <c r="DY146" s="10"/>
      <c r="DZ146" s="11">
        <f t="shared" si="29"/>
        <v>0</v>
      </c>
      <c r="EA146" s="10"/>
      <c r="EB146" s="10"/>
    </row>
    <row r="147" spans="2:132" ht="16.5">
      <c r="B147" s="2">
        <v>135</v>
      </c>
      <c r="C147" s="66" t="s">
        <v>587</v>
      </c>
      <c r="D147" s="49"/>
      <c r="E147" s="71">
        <f t="shared" si="20"/>
        <v>1.2</v>
      </c>
      <c r="F147" s="66">
        <v>1</v>
      </c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67"/>
      <c r="AS147" s="10"/>
      <c r="AT147" s="10"/>
      <c r="AU147" s="10"/>
      <c r="AV147" s="10"/>
      <c r="AW147" s="10"/>
      <c r="AX147" s="10"/>
      <c r="AY147" s="10"/>
      <c r="AZ147" s="10"/>
      <c r="BA147" s="67"/>
      <c r="BB147" s="10"/>
      <c r="BC147" s="10"/>
      <c r="BD147" s="10"/>
      <c r="BE147" s="10"/>
      <c r="BF147" s="10">
        <v>0</v>
      </c>
      <c r="BG147" s="11">
        <f t="shared" si="21"/>
        <v>0</v>
      </c>
      <c r="BH147" s="10"/>
      <c r="BI147" s="10">
        <v>0</v>
      </c>
      <c r="BJ147" s="11">
        <f t="shared" si="22"/>
        <v>0</v>
      </c>
      <c r="BK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  <c r="CQ147" s="10"/>
      <c r="CR147" s="10"/>
      <c r="CS147" s="10"/>
      <c r="CT147" s="10"/>
      <c r="CU147" s="10"/>
      <c r="CV147" s="10"/>
      <c r="CW147" s="10"/>
      <c r="CX147" s="66"/>
      <c r="CY147" s="70">
        <f t="shared" si="23"/>
        <v>0</v>
      </c>
      <c r="CZ147" s="10"/>
      <c r="DA147" s="10"/>
      <c r="DB147" s="10"/>
      <c r="DC147" s="10"/>
      <c r="DD147" s="10"/>
      <c r="DE147" s="10"/>
      <c r="DF147" s="10"/>
      <c r="DG147" s="10"/>
      <c r="DH147" s="66">
        <v>1</v>
      </c>
      <c r="DI147" s="70">
        <f t="shared" si="24"/>
        <v>1.2</v>
      </c>
      <c r="DJ147" s="10"/>
      <c r="DK147" s="10"/>
      <c r="DL147" s="10"/>
      <c r="DM147" s="11">
        <f t="shared" si="25"/>
        <v>0</v>
      </c>
      <c r="DN147" s="10"/>
      <c r="DO147" s="10"/>
      <c r="DP147" s="10">
        <v>0</v>
      </c>
      <c r="DQ147" s="11">
        <f t="shared" si="26"/>
        <v>0</v>
      </c>
      <c r="DR147" s="10"/>
      <c r="DS147" s="10"/>
      <c r="DT147" s="11">
        <f t="shared" si="27"/>
        <v>0</v>
      </c>
      <c r="DU147" s="10"/>
      <c r="DV147" s="10"/>
      <c r="DW147" s="10"/>
      <c r="DX147" s="11">
        <f t="shared" si="28"/>
        <v>0</v>
      </c>
      <c r="DY147" s="10"/>
      <c r="DZ147" s="11">
        <f t="shared" si="29"/>
        <v>0</v>
      </c>
      <c r="EA147" s="10"/>
      <c r="EB147" s="10"/>
    </row>
    <row r="148" spans="2:132" ht="16.5">
      <c r="B148" s="2">
        <v>136</v>
      </c>
      <c r="C148" s="66" t="s">
        <v>588</v>
      </c>
      <c r="D148" s="49"/>
      <c r="E148" s="71">
        <f t="shared" si="20"/>
        <v>205.2</v>
      </c>
      <c r="F148" s="66">
        <v>171</v>
      </c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67"/>
      <c r="AS148" s="10"/>
      <c r="AT148" s="10"/>
      <c r="AU148" s="10"/>
      <c r="AV148" s="10"/>
      <c r="AW148" s="10"/>
      <c r="AX148" s="10"/>
      <c r="AY148" s="10"/>
      <c r="AZ148" s="10"/>
      <c r="BA148" s="67"/>
      <c r="BB148" s="10"/>
      <c r="BC148" s="10"/>
      <c r="BD148" s="10"/>
      <c r="BE148" s="10"/>
      <c r="BF148" s="10">
        <v>0</v>
      </c>
      <c r="BG148" s="11">
        <f t="shared" si="21"/>
        <v>0</v>
      </c>
      <c r="BH148" s="10"/>
      <c r="BI148" s="10">
        <v>53</v>
      </c>
      <c r="BJ148" s="11">
        <f t="shared" si="22"/>
        <v>10875.599999999999</v>
      </c>
      <c r="BK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L148" s="10"/>
      <c r="CM148" s="10"/>
      <c r="CN148" s="10"/>
      <c r="CO148" s="10"/>
      <c r="CP148" s="10"/>
      <c r="CQ148" s="10"/>
      <c r="CR148" s="10"/>
      <c r="CS148" s="10"/>
      <c r="CT148" s="10"/>
      <c r="CU148" s="10"/>
      <c r="CV148" s="10"/>
      <c r="CW148" s="10"/>
      <c r="CX148" s="66">
        <v>10</v>
      </c>
      <c r="CY148" s="70">
        <f t="shared" si="23"/>
        <v>2052</v>
      </c>
      <c r="CZ148" s="10"/>
      <c r="DA148" s="10"/>
      <c r="DB148" s="10"/>
      <c r="DC148" s="10"/>
      <c r="DD148" s="10"/>
      <c r="DE148" s="10"/>
      <c r="DF148" s="10"/>
      <c r="DG148" s="10"/>
      <c r="DH148" s="66">
        <v>10</v>
      </c>
      <c r="DI148" s="70">
        <f t="shared" si="24"/>
        <v>2052</v>
      </c>
      <c r="DJ148" s="10"/>
      <c r="DK148" s="10"/>
      <c r="DL148" s="10">
        <v>7</v>
      </c>
      <c r="DM148" s="11">
        <f t="shared" si="25"/>
        <v>1436.3999999999999</v>
      </c>
      <c r="DN148" s="10"/>
      <c r="DO148" s="10"/>
      <c r="DP148" s="10">
        <v>70</v>
      </c>
      <c r="DQ148" s="11">
        <f t="shared" si="26"/>
        <v>14364</v>
      </c>
      <c r="DR148" s="10"/>
      <c r="DS148" s="10">
        <v>14</v>
      </c>
      <c r="DT148" s="11">
        <f t="shared" si="27"/>
        <v>2872.7999999999997</v>
      </c>
      <c r="DU148" s="10"/>
      <c r="DV148" s="10"/>
      <c r="DW148" s="10">
        <v>6</v>
      </c>
      <c r="DX148" s="11">
        <f t="shared" si="28"/>
        <v>1231.1999999999998</v>
      </c>
      <c r="DY148" s="10">
        <v>1</v>
      </c>
      <c r="DZ148" s="11">
        <f t="shared" si="29"/>
        <v>205.2</v>
      </c>
      <c r="EA148" s="10"/>
      <c r="EB148" s="10"/>
    </row>
    <row r="149" spans="2:132" ht="16.5">
      <c r="B149" s="2">
        <v>137</v>
      </c>
      <c r="C149" s="66" t="s">
        <v>589</v>
      </c>
      <c r="D149" s="49"/>
      <c r="E149" s="71">
        <f t="shared" si="20"/>
        <v>4.8</v>
      </c>
      <c r="F149" s="66">
        <v>4</v>
      </c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67"/>
      <c r="AS149" s="10"/>
      <c r="AT149" s="10"/>
      <c r="AU149" s="10"/>
      <c r="AV149" s="10"/>
      <c r="AW149" s="10"/>
      <c r="AX149" s="10"/>
      <c r="AY149" s="10"/>
      <c r="AZ149" s="10"/>
      <c r="BA149" s="67"/>
      <c r="BB149" s="10"/>
      <c r="BC149" s="10"/>
      <c r="BD149" s="10"/>
      <c r="BE149" s="10"/>
      <c r="BF149" s="10">
        <v>0</v>
      </c>
      <c r="BG149" s="11">
        <f t="shared" si="21"/>
        <v>0</v>
      </c>
      <c r="BH149" s="10"/>
      <c r="BI149" s="10">
        <v>0</v>
      </c>
      <c r="BJ149" s="11">
        <f t="shared" si="22"/>
        <v>0</v>
      </c>
      <c r="BK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66"/>
      <c r="CY149" s="70">
        <f t="shared" si="23"/>
        <v>0</v>
      </c>
      <c r="CZ149" s="10"/>
      <c r="DA149" s="10"/>
      <c r="DB149" s="10"/>
      <c r="DC149" s="10"/>
      <c r="DD149" s="10"/>
      <c r="DE149" s="10"/>
      <c r="DF149" s="10"/>
      <c r="DG149" s="10"/>
      <c r="DH149" s="66"/>
      <c r="DI149" s="70">
        <f t="shared" si="24"/>
        <v>0</v>
      </c>
      <c r="DJ149" s="10"/>
      <c r="DK149" s="10"/>
      <c r="DL149" s="10"/>
      <c r="DM149" s="11">
        <f t="shared" si="25"/>
        <v>0</v>
      </c>
      <c r="DN149" s="10"/>
      <c r="DO149" s="10"/>
      <c r="DP149" s="10">
        <v>1</v>
      </c>
      <c r="DQ149" s="11">
        <f t="shared" si="26"/>
        <v>4.8</v>
      </c>
      <c r="DR149" s="10"/>
      <c r="DS149" s="10">
        <v>2</v>
      </c>
      <c r="DT149" s="11">
        <f t="shared" si="27"/>
        <v>9.6</v>
      </c>
      <c r="DU149" s="10"/>
      <c r="DV149" s="10"/>
      <c r="DW149" s="10">
        <v>1</v>
      </c>
      <c r="DX149" s="11">
        <f t="shared" si="28"/>
        <v>4.8</v>
      </c>
      <c r="DY149" s="10"/>
      <c r="DZ149" s="11">
        <f t="shared" si="29"/>
        <v>0</v>
      </c>
      <c r="EA149" s="10"/>
      <c r="EB149" s="10"/>
    </row>
    <row r="150" spans="2:132" ht="16.5">
      <c r="B150" s="2">
        <v>138</v>
      </c>
      <c r="C150" s="66" t="s">
        <v>590</v>
      </c>
      <c r="D150" s="49"/>
      <c r="E150" s="71">
        <f t="shared" si="20"/>
        <v>1.2</v>
      </c>
      <c r="F150" s="66">
        <v>1</v>
      </c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67"/>
      <c r="AS150" s="10"/>
      <c r="AT150" s="10"/>
      <c r="AU150" s="10"/>
      <c r="AV150" s="10"/>
      <c r="AW150" s="10"/>
      <c r="AX150" s="10"/>
      <c r="AY150" s="10"/>
      <c r="AZ150" s="10"/>
      <c r="BA150" s="67"/>
      <c r="BB150" s="10"/>
      <c r="BC150" s="10"/>
      <c r="BD150" s="10"/>
      <c r="BE150" s="10"/>
      <c r="BF150" s="10">
        <v>0</v>
      </c>
      <c r="BG150" s="11">
        <f t="shared" si="21"/>
        <v>0</v>
      </c>
      <c r="BH150" s="10"/>
      <c r="BI150" s="10">
        <v>0</v>
      </c>
      <c r="BJ150" s="11">
        <f t="shared" si="22"/>
        <v>0</v>
      </c>
      <c r="BK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L150" s="10"/>
      <c r="CM150" s="10"/>
      <c r="CN150" s="10"/>
      <c r="CO150" s="10"/>
      <c r="CP150" s="10"/>
      <c r="CQ150" s="10"/>
      <c r="CR150" s="10"/>
      <c r="CS150" s="10"/>
      <c r="CT150" s="10"/>
      <c r="CU150" s="10"/>
      <c r="CV150" s="10"/>
      <c r="CW150" s="10"/>
      <c r="CX150" s="66"/>
      <c r="CY150" s="70">
        <f t="shared" si="23"/>
        <v>0</v>
      </c>
      <c r="CZ150" s="10"/>
      <c r="DA150" s="10"/>
      <c r="DB150" s="10"/>
      <c r="DC150" s="10"/>
      <c r="DD150" s="10"/>
      <c r="DE150" s="10"/>
      <c r="DF150" s="10"/>
      <c r="DG150" s="10"/>
      <c r="DH150" s="66"/>
      <c r="DI150" s="70">
        <f t="shared" si="24"/>
        <v>0</v>
      </c>
      <c r="DJ150" s="10"/>
      <c r="DK150" s="10"/>
      <c r="DL150" s="10"/>
      <c r="DM150" s="11">
        <f t="shared" si="25"/>
        <v>0</v>
      </c>
      <c r="DN150" s="10"/>
      <c r="DO150" s="10"/>
      <c r="DP150" s="10">
        <v>0</v>
      </c>
      <c r="DQ150" s="11">
        <f t="shared" si="26"/>
        <v>0</v>
      </c>
      <c r="DR150" s="10"/>
      <c r="DS150" s="10">
        <v>1</v>
      </c>
      <c r="DT150" s="11">
        <f t="shared" si="27"/>
        <v>1.2</v>
      </c>
      <c r="DU150" s="10"/>
      <c r="DV150" s="10"/>
      <c r="DW150" s="10"/>
      <c r="DX150" s="11">
        <f t="shared" si="28"/>
        <v>0</v>
      </c>
      <c r="DY150" s="10"/>
      <c r="DZ150" s="11">
        <f t="shared" si="29"/>
        <v>0</v>
      </c>
      <c r="EA150" s="10"/>
      <c r="EB150" s="10"/>
    </row>
    <row r="151" spans="2:132" ht="16.5">
      <c r="B151" s="2">
        <v>139</v>
      </c>
      <c r="C151" s="66" t="s">
        <v>591</v>
      </c>
      <c r="D151" s="49"/>
      <c r="E151" s="71">
        <f t="shared" si="20"/>
        <v>1.2</v>
      </c>
      <c r="F151" s="66">
        <v>1</v>
      </c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67"/>
      <c r="AS151" s="10"/>
      <c r="AT151" s="10"/>
      <c r="AU151" s="10"/>
      <c r="AV151" s="10"/>
      <c r="AW151" s="10"/>
      <c r="AX151" s="10"/>
      <c r="AY151" s="10"/>
      <c r="AZ151" s="10"/>
      <c r="BA151" s="67"/>
      <c r="BB151" s="10"/>
      <c r="BC151" s="10"/>
      <c r="BD151" s="10"/>
      <c r="BE151" s="10"/>
      <c r="BF151" s="10">
        <v>0</v>
      </c>
      <c r="BG151" s="11">
        <f t="shared" si="21"/>
        <v>0</v>
      </c>
      <c r="BH151" s="10"/>
      <c r="BI151" s="10">
        <v>0</v>
      </c>
      <c r="BJ151" s="11">
        <f t="shared" si="22"/>
        <v>0</v>
      </c>
      <c r="BK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  <c r="CQ151" s="10"/>
      <c r="CR151" s="10"/>
      <c r="CS151" s="10"/>
      <c r="CT151" s="10"/>
      <c r="CU151" s="10"/>
      <c r="CV151" s="10"/>
      <c r="CW151" s="10"/>
      <c r="CX151" s="66"/>
      <c r="CY151" s="70">
        <f t="shared" si="23"/>
        <v>0</v>
      </c>
      <c r="CZ151" s="10"/>
      <c r="DA151" s="10"/>
      <c r="DB151" s="10"/>
      <c r="DC151" s="10"/>
      <c r="DD151" s="10"/>
      <c r="DE151" s="10"/>
      <c r="DF151" s="10"/>
      <c r="DG151" s="10"/>
      <c r="DH151" s="66"/>
      <c r="DI151" s="70">
        <f t="shared" si="24"/>
        <v>0</v>
      </c>
      <c r="DJ151" s="10"/>
      <c r="DK151" s="10"/>
      <c r="DL151" s="10"/>
      <c r="DM151" s="11">
        <f t="shared" si="25"/>
        <v>0</v>
      </c>
      <c r="DN151" s="10"/>
      <c r="DO151" s="10"/>
      <c r="DP151" s="10">
        <v>1</v>
      </c>
      <c r="DQ151" s="11">
        <f t="shared" si="26"/>
        <v>1.2</v>
      </c>
      <c r="DR151" s="10"/>
      <c r="DS151" s="10"/>
      <c r="DT151" s="11">
        <f t="shared" si="27"/>
        <v>0</v>
      </c>
      <c r="DU151" s="10"/>
      <c r="DV151" s="10"/>
      <c r="DW151" s="10"/>
      <c r="DX151" s="11">
        <f t="shared" si="28"/>
        <v>0</v>
      </c>
      <c r="DY151" s="10"/>
      <c r="DZ151" s="11">
        <f t="shared" si="29"/>
        <v>0</v>
      </c>
      <c r="EA151" s="10"/>
      <c r="EB151" s="10"/>
    </row>
    <row r="152" spans="2:132" ht="16.5">
      <c r="B152" s="2">
        <v>140</v>
      </c>
      <c r="C152" s="66" t="s">
        <v>592</v>
      </c>
      <c r="D152" s="49"/>
      <c r="E152" s="71">
        <f t="shared" si="20"/>
        <v>1.2</v>
      </c>
      <c r="F152" s="66">
        <v>1</v>
      </c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67"/>
      <c r="AS152" s="10"/>
      <c r="AT152" s="10"/>
      <c r="AU152" s="10"/>
      <c r="AV152" s="10"/>
      <c r="AW152" s="10"/>
      <c r="AX152" s="10"/>
      <c r="AY152" s="10"/>
      <c r="AZ152" s="10"/>
      <c r="BA152" s="67"/>
      <c r="BB152" s="10"/>
      <c r="BC152" s="10"/>
      <c r="BD152" s="10"/>
      <c r="BE152" s="10"/>
      <c r="BF152" s="10">
        <v>0</v>
      </c>
      <c r="BG152" s="11">
        <f t="shared" si="21"/>
        <v>0</v>
      </c>
      <c r="BH152" s="10"/>
      <c r="BI152" s="10">
        <v>0</v>
      </c>
      <c r="BJ152" s="11">
        <f t="shared" si="22"/>
        <v>0</v>
      </c>
      <c r="BK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66">
        <v>1</v>
      </c>
      <c r="CY152" s="70">
        <f t="shared" si="23"/>
        <v>1.2</v>
      </c>
      <c r="CZ152" s="10"/>
      <c r="DA152" s="10"/>
      <c r="DB152" s="10"/>
      <c r="DC152" s="10"/>
      <c r="DD152" s="10"/>
      <c r="DE152" s="10"/>
      <c r="DF152" s="10"/>
      <c r="DG152" s="10"/>
      <c r="DH152" s="66"/>
      <c r="DI152" s="70">
        <f t="shared" si="24"/>
        <v>0</v>
      </c>
      <c r="DJ152" s="10"/>
      <c r="DK152" s="10"/>
      <c r="DL152" s="10"/>
      <c r="DM152" s="11">
        <f t="shared" si="25"/>
        <v>0</v>
      </c>
      <c r="DN152" s="10"/>
      <c r="DO152" s="10"/>
      <c r="DP152" s="10">
        <v>0</v>
      </c>
      <c r="DQ152" s="11">
        <f t="shared" si="26"/>
        <v>0</v>
      </c>
      <c r="DR152" s="10"/>
      <c r="DS152" s="10"/>
      <c r="DT152" s="11">
        <f t="shared" si="27"/>
        <v>0</v>
      </c>
      <c r="DU152" s="10"/>
      <c r="DV152" s="10"/>
      <c r="DW152" s="10"/>
      <c r="DX152" s="11">
        <f t="shared" si="28"/>
        <v>0</v>
      </c>
      <c r="DY152" s="10"/>
      <c r="DZ152" s="11">
        <f t="shared" si="29"/>
        <v>0</v>
      </c>
      <c r="EA152" s="10"/>
      <c r="EB152" s="10"/>
    </row>
    <row r="153" spans="2:132" ht="16.5">
      <c r="B153" s="2">
        <v>141</v>
      </c>
      <c r="C153" s="66" t="s">
        <v>593</v>
      </c>
      <c r="D153" s="49"/>
      <c r="E153" s="71">
        <f t="shared" si="20"/>
        <v>1.2</v>
      </c>
      <c r="F153" s="66">
        <v>1</v>
      </c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67"/>
      <c r="AS153" s="10"/>
      <c r="AT153" s="10"/>
      <c r="AU153" s="10"/>
      <c r="AV153" s="10"/>
      <c r="AW153" s="10"/>
      <c r="AX153" s="10"/>
      <c r="AY153" s="10"/>
      <c r="AZ153" s="10"/>
      <c r="BA153" s="67"/>
      <c r="BB153" s="10"/>
      <c r="BC153" s="10"/>
      <c r="BD153" s="10"/>
      <c r="BE153" s="10"/>
      <c r="BF153" s="10">
        <v>0</v>
      </c>
      <c r="BG153" s="11">
        <f t="shared" si="21"/>
        <v>0</v>
      </c>
      <c r="BH153" s="10"/>
      <c r="BI153" s="10">
        <v>0</v>
      </c>
      <c r="BJ153" s="11">
        <f t="shared" si="22"/>
        <v>0</v>
      </c>
      <c r="BK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  <c r="CQ153" s="10"/>
      <c r="CR153" s="10"/>
      <c r="CS153" s="10"/>
      <c r="CT153" s="10"/>
      <c r="CU153" s="10"/>
      <c r="CV153" s="10"/>
      <c r="CW153" s="10"/>
      <c r="CX153" s="66"/>
      <c r="CY153" s="70">
        <f t="shared" si="23"/>
        <v>0</v>
      </c>
      <c r="CZ153" s="10"/>
      <c r="DA153" s="10"/>
      <c r="DB153" s="10"/>
      <c r="DC153" s="10"/>
      <c r="DD153" s="10"/>
      <c r="DE153" s="10"/>
      <c r="DF153" s="10"/>
      <c r="DG153" s="10"/>
      <c r="DH153" s="66"/>
      <c r="DI153" s="70">
        <f t="shared" si="24"/>
        <v>0</v>
      </c>
      <c r="DJ153" s="10"/>
      <c r="DK153" s="10"/>
      <c r="DL153" s="10"/>
      <c r="DM153" s="11">
        <f t="shared" si="25"/>
        <v>0</v>
      </c>
      <c r="DN153" s="10"/>
      <c r="DO153" s="10"/>
      <c r="DP153" s="10">
        <v>0</v>
      </c>
      <c r="DQ153" s="11">
        <f t="shared" si="26"/>
        <v>0</v>
      </c>
      <c r="DR153" s="10"/>
      <c r="DS153" s="10">
        <v>1</v>
      </c>
      <c r="DT153" s="11">
        <f t="shared" si="27"/>
        <v>1.2</v>
      </c>
      <c r="DU153" s="10"/>
      <c r="DV153" s="10"/>
      <c r="DW153" s="10"/>
      <c r="DX153" s="11">
        <f t="shared" si="28"/>
        <v>0</v>
      </c>
      <c r="DY153" s="10"/>
      <c r="DZ153" s="11">
        <f t="shared" si="29"/>
        <v>0</v>
      </c>
      <c r="EA153" s="10"/>
      <c r="EB153" s="10"/>
    </row>
    <row r="154" spans="2:132" ht="16.5">
      <c r="B154" s="2">
        <v>142</v>
      </c>
      <c r="C154" s="66" t="s">
        <v>594</v>
      </c>
      <c r="D154" s="49"/>
      <c r="E154" s="71">
        <f t="shared" si="20"/>
        <v>1.2</v>
      </c>
      <c r="F154" s="66">
        <v>1</v>
      </c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67"/>
      <c r="AS154" s="10"/>
      <c r="AT154" s="10"/>
      <c r="AU154" s="10"/>
      <c r="AV154" s="10"/>
      <c r="AW154" s="10"/>
      <c r="AX154" s="10"/>
      <c r="AY154" s="10"/>
      <c r="AZ154" s="10"/>
      <c r="BA154" s="67"/>
      <c r="BB154" s="10"/>
      <c r="BC154" s="10"/>
      <c r="BD154" s="10"/>
      <c r="BE154" s="10"/>
      <c r="BF154" s="10">
        <v>0</v>
      </c>
      <c r="BG154" s="11">
        <f t="shared" si="21"/>
        <v>0</v>
      </c>
      <c r="BH154" s="10"/>
      <c r="BI154" s="10">
        <v>0</v>
      </c>
      <c r="BJ154" s="11">
        <f t="shared" si="22"/>
        <v>0</v>
      </c>
      <c r="BK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66"/>
      <c r="CY154" s="70">
        <f t="shared" si="23"/>
        <v>0</v>
      </c>
      <c r="CZ154" s="10"/>
      <c r="DA154" s="10"/>
      <c r="DB154" s="10"/>
      <c r="DC154" s="10"/>
      <c r="DD154" s="10"/>
      <c r="DE154" s="10"/>
      <c r="DF154" s="10"/>
      <c r="DG154" s="10"/>
      <c r="DH154" s="66"/>
      <c r="DI154" s="70">
        <f t="shared" si="24"/>
        <v>0</v>
      </c>
      <c r="DJ154" s="10"/>
      <c r="DK154" s="10"/>
      <c r="DL154" s="10"/>
      <c r="DM154" s="11">
        <f t="shared" si="25"/>
        <v>0</v>
      </c>
      <c r="DN154" s="10"/>
      <c r="DO154" s="10"/>
      <c r="DP154" s="10">
        <v>0</v>
      </c>
      <c r="DQ154" s="11">
        <f t="shared" si="26"/>
        <v>0</v>
      </c>
      <c r="DR154" s="10"/>
      <c r="DS154" s="10"/>
      <c r="DT154" s="11">
        <f t="shared" si="27"/>
        <v>0</v>
      </c>
      <c r="DU154" s="10"/>
      <c r="DV154" s="10"/>
      <c r="DW154" s="10">
        <v>1</v>
      </c>
      <c r="DX154" s="11">
        <f t="shared" si="28"/>
        <v>1.2</v>
      </c>
      <c r="DY154" s="10"/>
      <c r="DZ154" s="11">
        <f t="shared" si="29"/>
        <v>0</v>
      </c>
      <c r="EA154" s="10"/>
      <c r="EB154" s="10"/>
    </row>
    <row r="155" spans="2:132" ht="16.5">
      <c r="B155" s="2">
        <v>143</v>
      </c>
      <c r="C155" s="66" t="s">
        <v>595</v>
      </c>
      <c r="D155" s="49"/>
      <c r="E155" s="71">
        <f t="shared" si="20"/>
        <v>3.5999999999999996</v>
      </c>
      <c r="F155" s="66">
        <v>3</v>
      </c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67"/>
      <c r="AS155" s="10"/>
      <c r="AT155" s="10"/>
      <c r="AU155" s="10"/>
      <c r="AV155" s="10"/>
      <c r="AW155" s="10"/>
      <c r="AX155" s="10"/>
      <c r="AY155" s="10"/>
      <c r="AZ155" s="10"/>
      <c r="BA155" s="67"/>
      <c r="BB155" s="10"/>
      <c r="BC155" s="10"/>
      <c r="BD155" s="10"/>
      <c r="BE155" s="10"/>
      <c r="BF155" s="10">
        <v>3</v>
      </c>
      <c r="BG155" s="11">
        <f t="shared" si="21"/>
        <v>10.799999999999999</v>
      </c>
      <c r="BH155" s="10"/>
      <c r="BI155" s="10">
        <v>0</v>
      </c>
      <c r="BJ155" s="11">
        <f t="shared" si="22"/>
        <v>0</v>
      </c>
      <c r="BK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  <c r="CQ155" s="10"/>
      <c r="CR155" s="10"/>
      <c r="CS155" s="10"/>
      <c r="CT155" s="10"/>
      <c r="CU155" s="10"/>
      <c r="CV155" s="10"/>
      <c r="CW155" s="10"/>
      <c r="CX155" s="66"/>
      <c r="CY155" s="70">
        <f t="shared" si="23"/>
        <v>0</v>
      </c>
      <c r="CZ155" s="10"/>
      <c r="DA155" s="10"/>
      <c r="DB155" s="10"/>
      <c r="DC155" s="10"/>
      <c r="DD155" s="10"/>
      <c r="DE155" s="10"/>
      <c r="DF155" s="10"/>
      <c r="DG155" s="10"/>
      <c r="DH155" s="66"/>
      <c r="DI155" s="70">
        <f t="shared" si="24"/>
        <v>0</v>
      </c>
      <c r="DJ155" s="10"/>
      <c r="DK155" s="10"/>
      <c r="DL155" s="10"/>
      <c r="DM155" s="11">
        <f t="shared" si="25"/>
        <v>0</v>
      </c>
      <c r="DN155" s="10"/>
      <c r="DO155" s="10"/>
      <c r="DP155" s="10">
        <v>0</v>
      </c>
      <c r="DQ155" s="11">
        <f t="shared" si="26"/>
        <v>0</v>
      </c>
      <c r="DR155" s="10"/>
      <c r="DS155" s="10"/>
      <c r="DT155" s="11">
        <f t="shared" si="27"/>
        <v>0</v>
      </c>
      <c r="DU155" s="10"/>
      <c r="DV155" s="10"/>
      <c r="DW155" s="10"/>
      <c r="DX155" s="11">
        <f t="shared" si="28"/>
        <v>0</v>
      </c>
      <c r="DY155" s="10"/>
      <c r="DZ155" s="11">
        <f t="shared" si="29"/>
        <v>0</v>
      </c>
      <c r="EA155" s="10"/>
      <c r="EB155" s="10"/>
    </row>
    <row r="156" spans="2:132" ht="16.5">
      <c r="B156" s="2">
        <v>144</v>
      </c>
      <c r="C156" s="66" t="s">
        <v>596</v>
      </c>
      <c r="D156" s="49"/>
      <c r="E156" s="71">
        <f t="shared" si="20"/>
        <v>6</v>
      </c>
      <c r="F156" s="66">
        <v>5</v>
      </c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67"/>
      <c r="AS156" s="10"/>
      <c r="AT156" s="10"/>
      <c r="AU156" s="10"/>
      <c r="AV156" s="10"/>
      <c r="AW156" s="10"/>
      <c r="AX156" s="10"/>
      <c r="AY156" s="10"/>
      <c r="AZ156" s="10"/>
      <c r="BA156" s="67"/>
      <c r="BB156" s="10"/>
      <c r="BC156" s="10"/>
      <c r="BD156" s="10"/>
      <c r="BE156" s="10"/>
      <c r="BF156" s="10">
        <v>0</v>
      </c>
      <c r="BG156" s="11">
        <f t="shared" si="21"/>
        <v>0</v>
      </c>
      <c r="BH156" s="10"/>
      <c r="BI156" s="10">
        <v>0</v>
      </c>
      <c r="BJ156" s="11">
        <f t="shared" si="22"/>
        <v>0</v>
      </c>
      <c r="BK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66"/>
      <c r="CY156" s="70">
        <f t="shared" si="23"/>
        <v>0</v>
      </c>
      <c r="CZ156" s="10"/>
      <c r="DA156" s="10"/>
      <c r="DB156" s="10"/>
      <c r="DC156" s="10"/>
      <c r="DD156" s="10"/>
      <c r="DE156" s="10"/>
      <c r="DF156" s="10"/>
      <c r="DG156" s="10"/>
      <c r="DH156" s="66"/>
      <c r="DI156" s="70">
        <f t="shared" si="24"/>
        <v>0</v>
      </c>
      <c r="DJ156" s="10"/>
      <c r="DK156" s="10"/>
      <c r="DL156" s="10"/>
      <c r="DM156" s="11">
        <f t="shared" si="25"/>
        <v>0</v>
      </c>
      <c r="DN156" s="10"/>
      <c r="DO156" s="10"/>
      <c r="DP156" s="10">
        <v>5</v>
      </c>
      <c r="DQ156" s="11">
        <f t="shared" si="26"/>
        <v>30</v>
      </c>
      <c r="DR156" s="10"/>
      <c r="DS156" s="10"/>
      <c r="DT156" s="11">
        <f t="shared" si="27"/>
        <v>0</v>
      </c>
      <c r="DU156" s="10"/>
      <c r="DV156" s="10"/>
      <c r="DW156" s="10"/>
      <c r="DX156" s="11">
        <f t="shared" si="28"/>
        <v>0</v>
      </c>
      <c r="DY156" s="10"/>
      <c r="DZ156" s="11">
        <f t="shared" si="29"/>
        <v>0</v>
      </c>
      <c r="EA156" s="10"/>
      <c r="EB156" s="10"/>
    </row>
    <row r="157" spans="2:132" ht="16.5">
      <c r="B157" s="2">
        <v>145</v>
      </c>
      <c r="C157" s="66" t="s">
        <v>597</v>
      </c>
      <c r="D157" s="49"/>
      <c r="E157" s="71">
        <f t="shared" si="20"/>
        <v>6</v>
      </c>
      <c r="F157" s="66">
        <v>5</v>
      </c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67"/>
      <c r="AS157" s="10"/>
      <c r="AT157" s="10"/>
      <c r="AU157" s="10"/>
      <c r="AV157" s="10"/>
      <c r="AW157" s="10"/>
      <c r="AX157" s="10"/>
      <c r="AY157" s="10"/>
      <c r="AZ157" s="10"/>
      <c r="BA157" s="67"/>
      <c r="BB157" s="10"/>
      <c r="BC157" s="10"/>
      <c r="BD157" s="10"/>
      <c r="BE157" s="10"/>
      <c r="BF157" s="10">
        <v>0</v>
      </c>
      <c r="BG157" s="11">
        <f t="shared" si="21"/>
        <v>0</v>
      </c>
      <c r="BH157" s="10"/>
      <c r="BI157" s="10">
        <v>0</v>
      </c>
      <c r="BJ157" s="11">
        <f t="shared" si="22"/>
        <v>0</v>
      </c>
      <c r="BK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  <c r="CQ157" s="10"/>
      <c r="CR157" s="10"/>
      <c r="CS157" s="10"/>
      <c r="CT157" s="10"/>
      <c r="CU157" s="10"/>
      <c r="CV157" s="10"/>
      <c r="CW157" s="10"/>
      <c r="CX157" s="66"/>
      <c r="CY157" s="70">
        <f t="shared" si="23"/>
        <v>0</v>
      </c>
      <c r="CZ157" s="10"/>
      <c r="DA157" s="10"/>
      <c r="DB157" s="10"/>
      <c r="DC157" s="10"/>
      <c r="DD157" s="10"/>
      <c r="DE157" s="10"/>
      <c r="DF157" s="10"/>
      <c r="DG157" s="10"/>
      <c r="DH157" s="66"/>
      <c r="DI157" s="70">
        <f t="shared" si="24"/>
        <v>0</v>
      </c>
      <c r="DJ157" s="10"/>
      <c r="DK157" s="10"/>
      <c r="DL157" s="10">
        <v>1</v>
      </c>
      <c r="DM157" s="11">
        <f t="shared" si="25"/>
        <v>6</v>
      </c>
      <c r="DN157" s="10"/>
      <c r="DO157" s="10"/>
      <c r="DP157" s="10">
        <v>4</v>
      </c>
      <c r="DQ157" s="11">
        <f t="shared" si="26"/>
        <v>24</v>
      </c>
      <c r="DR157" s="10"/>
      <c r="DS157" s="10"/>
      <c r="DT157" s="11">
        <f t="shared" si="27"/>
        <v>0</v>
      </c>
      <c r="DU157" s="10"/>
      <c r="DV157" s="10"/>
      <c r="DW157" s="10"/>
      <c r="DX157" s="11">
        <f t="shared" si="28"/>
        <v>0</v>
      </c>
      <c r="DY157" s="10"/>
      <c r="DZ157" s="11">
        <f t="shared" si="29"/>
        <v>0</v>
      </c>
      <c r="EA157" s="10"/>
      <c r="EB157" s="10"/>
    </row>
    <row r="158" spans="2:132" ht="16.5">
      <c r="B158" s="2">
        <v>146</v>
      </c>
      <c r="C158" s="66" t="s">
        <v>598</v>
      </c>
      <c r="D158" s="49"/>
      <c r="E158" s="71">
        <f t="shared" si="20"/>
        <v>1.2</v>
      </c>
      <c r="F158" s="66">
        <v>1</v>
      </c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67"/>
      <c r="AS158" s="10"/>
      <c r="AT158" s="10"/>
      <c r="AU158" s="10"/>
      <c r="AV158" s="10"/>
      <c r="AW158" s="10"/>
      <c r="AX158" s="10"/>
      <c r="AY158" s="10"/>
      <c r="AZ158" s="10"/>
      <c r="BA158" s="67"/>
      <c r="BB158" s="10"/>
      <c r="BC158" s="10"/>
      <c r="BD158" s="10"/>
      <c r="BE158" s="10"/>
      <c r="BF158" s="10">
        <v>1</v>
      </c>
      <c r="BG158" s="11">
        <f t="shared" si="21"/>
        <v>1.2</v>
      </c>
      <c r="BH158" s="10"/>
      <c r="BI158" s="10">
        <v>0</v>
      </c>
      <c r="BJ158" s="11">
        <f t="shared" si="22"/>
        <v>0</v>
      </c>
      <c r="BK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L158" s="10"/>
      <c r="CM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66"/>
      <c r="CY158" s="70">
        <f t="shared" si="23"/>
        <v>0</v>
      </c>
      <c r="CZ158" s="10"/>
      <c r="DA158" s="10"/>
      <c r="DB158" s="10"/>
      <c r="DC158" s="10"/>
      <c r="DD158" s="10"/>
      <c r="DE158" s="10"/>
      <c r="DF158" s="10"/>
      <c r="DG158" s="10"/>
      <c r="DH158" s="66"/>
      <c r="DI158" s="70">
        <f t="shared" si="24"/>
        <v>0</v>
      </c>
      <c r="DJ158" s="10"/>
      <c r="DK158" s="10"/>
      <c r="DL158" s="10"/>
      <c r="DM158" s="11">
        <f t="shared" si="25"/>
        <v>0</v>
      </c>
      <c r="DN158" s="10"/>
      <c r="DO158" s="10"/>
      <c r="DP158" s="10">
        <v>0</v>
      </c>
      <c r="DQ158" s="11">
        <f t="shared" si="26"/>
        <v>0</v>
      </c>
      <c r="DR158" s="10"/>
      <c r="DS158" s="10"/>
      <c r="DT158" s="11">
        <f t="shared" si="27"/>
        <v>0</v>
      </c>
      <c r="DU158" s="10"/>
      <c r="DV158" s="10"/>
      <c r="DW158" s="10"/>
      <c r="DX158" s="11">
        <f t="shared" si="28"/>
        <v>0</v>
      </c>
      <c r="DY158" s="10"/>
      <c r="DZ158" s="11">
        <f t="shared" si="29"/>
        <v>0</v>
      </c>
      <c r="EA158" s="10"/>
      <c r="EB158" s="10"/>
    </row>
    <row r="159" spans="2:132" ht="16.5">
      <c r="B159" s="2">
        <v>147</v>
      </c>
      <c r="C159" s="66" t="s">
        <v>599</v>
      </c>
      <c r="D159" s="49"/>
      <c r="E159" s="71">
        <f t="shared" si="20"/>
        <v>1.2</v>
      </c>
      <c r="F159" s="66">
        <v>1</v>
      </c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67"/>
      <c r="AS159" s="10"/>
      <c r="AT159" s="10"/>
      <c r="AU159" s="10"/>
      <c r="AV159" s="10"/>
      <c r="AW159" s="10"/>
      <c r="AX159" s="10"/>
      <c r="AY159" s="10"/>
      <c r="AZ159" s="10"/>
      <c r="BA159" s="67"/>
      <c r="BB159" s="10"/>
      <c r="BC159" s="10"/>
      <c r="BD159" s="10"/>
      <c r="BE159" s="10"/>
      <c r="BF159" s="10">
        <v>0</v>
      </c>
      <c r="BG159" s="11">
        <f t="shared" si="21"/>
        <v>0</v>
      </c>
      <c r="BH159" s="10"/>
      <c r="BI159" s="10">
        <v>0</v>
      </c>
      <c r="BJ159" s="11">
        <f t="shared" si="22"/>
        <v>0</v>
      </c>
      <c r="BK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66"/>
      <c r="CY159" s="70">
        <f t="shared" si="23"/>
        <v>0</v>
      </c>
      <c r="CZ159" s="10"/>
      <c r="DA159" s="10"/>
      <c r="DB159" s="10"/>
      <c r="DC159" s="10"/>
      <c r="DD159" s="10"/>
      <c r="DE159" s="10"/>
      <c r="DF159" s="10"/>
      <c r="DG159" s="10"/>
      <c r="DH159" s="66"/>
      <c r="DI159" s="70">
        <f t="shared" si="24"/>
        <v>0</v>
      </c>
      <c r="DJ159" s="10"/>
      <c r="DK159" s="10"/>
      <c r="DL159" s="10"/>
      <c r="DM159" s="11">
        <f t="shared" si="25"/>
        <v>0</v>
      </c>
      <c r="DN159" s="10"/>
      <c r="DO159" s="10"/>
      <c r="DP159" s="10">
        <v>0</v>
      </c>
      <c r="DQ159" s="11">
        <f t="shared" si="26"/>
        <v>0</v>
      </c>
      <c r="DR159" s="10"/>
      <c r="DS159" s="10">
        <v>1</v>
      </c>
      <c r="DT159" s="11">
        <f t="shared" si="27"/>
        <v>1.2</v>
      </c>
      <c r="DU159" s="10"/>
      <c r="DV159" s="10"/>
      <c r="DW159" s="10"/>
      <c r="DX159" s="11">
        <f t="shared" si="28"/>
        <v>0</v>
      </c>
      <c r="DY159" s="10"/>
      <c r="DZ159" s="11">
        <f t="shared" si="29"/>
        <v>0</v>
      </c>
      <c r="EA159" s="10"/>
      <c r="EB159" s="10"/>
    </row>
    <row r="160" spans="2:132" ht="16.5">
      <c r="B160" s="2">
        <v>148</v>
      </c>
      <c r="C160" s="66" t="s">
        <v>600</v>
      </c>
      <c r="D160" s="49"/>
      <c r="E160" s="71">
        <f t="shared" si="20"/>
        <v>1.2</v>
      </c>
      <c r="F160" s="66">
        <v>1</v>
      </c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67"/>
      <c r="AS160" s="10"/>
      <c r="AT160" s="10"/>
      <c r="AU160" s="10"/>
      <c r="AV160" s="10"/>
      <c r="AW160" s="10"/>
      <c r="AX160" s="10"/>
      <c r="AY160" s="10"/>
      <c r="AZ160" s="10"/>
      <c r="BA160" s="67"/>
      <c r="BB160" s="10"/>
      <c r="BC160" s="10"/>
      <c r="BD160" s="10"/>
      <c r="BE160" s="10"/>
      <c r="BF160" s="10">
        <v>0</v>
      </c>
      <c r="BG160" s="11">
        <f t="shared" si="21"/>
        <v>0</v>
      </c>
      <c r="BH160" s="10"/>
      <c r="BI160" s="10">
        <v>0</v>
      </c>
      <c r="BJ160" s="11">
        <f t="shared" si="22"/>
        <v>0</v>
      </c>
      <c r="BK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66"/>
      <c r="CY160" s="70">
        <f t="shared" si="23"/>
        <v>0</v>
      </c>
      <c r="CZ160" s="10"/>
      <c r="DA160" s="10"/>
      <c r="DB160" s="10"/>
      <c r="DC160" s="10"/>
      <c r="DD160" s="10"/>
      <c r="DE160" s="10"/>
      <c r="DF160" s="10"/>
      <c r="DG160" s="10"/>
      <c r="DH160" s="66"/>
      <c r="DI160" s="70">
        <f t="shared" si="24"/>
        <v>0</v>
      </c>
      <c r="DJ160" s="10"/>
      <c r="DK160" s="10"/>
      <c r="DL160" s="10"/>
      <c r="DM160" s="11">
        <f t="shared" si="25"/>
        <v>0</v>
      </c>
      <c r="DN160" s="10"/>
      <c r="DO160" s="10"/>
      <c r="DP160" s="10">
        <v>1</v>
      </c>
      <c r="DQ160" s="11">
        <f t="shared" si="26"/>
        <v>1.2</v>
      </c>
      <c r="DR160" s="10"/>
      <c r="DS160" s="10"/>
      <c r="DT160" s="11">
        <f t="shared" si="27"/>
        <v>0</v>
      </c>
      <c r="DU160" s="10"/>
      <c r="DV160" s="10"/>
      <c r="DW160" s="10"/>
      <c r="DX160" s="11">
        <f t="shared" si="28"/>
        <v>0</v>
      </c>
      <c r="DY160" s="10"/>
      <c r="DZ160" s="11">
        <f t="shared" si="29"/>
        <v>0</v>
      </c>
      <c r="EA160" s="10"/>
      <c r="EB160" s="10"/>
    </row>
    <row r="161" spans="2:132" ht="16.5">
      <c r="B161" s="2">
        <v>149</v>
      </c>
      <c r="C161" s="66" t="s">
        <v>601</v>
      </c>
      <c r="D161" s="49"/>
      <c r="E161" s="71">
        <f t="shared" si="20"/>
        <v>112.8</v>
      </c>
      <c r="F161" s="66">
        <v>94</v>
      </c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67"/>
      <c r="AS161" s="10"/>
      <c r="AT161" s="10"/>
      <c r="AU161" s="10"/>
      <c r="AV161" s="10"/>
      <c r="AW161" s="10"/>
      <c r="AX161" s="10"/>
      <c r="AY161" s="10"/>
      <c r="AZ161" s="10"/>
      <c r="BA161" s="67"/>
      <c r="BB161" s="10"/>
      <c r="BC161" s="10"/>
      <c r="BD161" s="10"/>
      <c r="BE161" s="10"/>
      <c r="BF161" s="10">
        <v>1</v>
      </c>
      <c r="BG161" s="11">
        <f t="shared" si="21"/>
        <v>112.8</v>
      </c>
      <c r="BH161" s="10"/>
      <c r="BI161" s="10">
        <v>23</v>
      </c>
      <c r="BJ161" s="11">
        <f t="shared" si="22"/>
        <v>2594.4</v>
      </c>
      <c r="BK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  <c r="CQ161" s="10"/>
      <c r="CR161" s="10"/>
      <c r="CS161" s="10"/>
      <c r="CT161" s="10"/>
      <c r="CU161" s="10"/>
      <c r="CV161" s="10"/>
      <c r="CW161" s="10"/>
      <c r="CX161" s="66">
        <v>5</v>
      </c>
      <c r="CY161" s="70">
        <f t="shared" si="23"/>
        <v>564</v>
      </c>
      <c r="CZ161" s="10"/>
      <c r="DA161" s="10"/>
      <c r="DB161" s="10"/>
      <c r="DC161" s="10"/>
      <c r="DD161" s="10"/>
      <c r="DE161" s="10"/>
      <c r="DF161" s="10"/>
      <c r="DG161" s="10"/>
      <c r="DH161" s="66">
        <v>2</v>
      </c>
      <c r="DI161" s="70">
        <f t="shared" si="24"/>
        <v>225.6</v>
      </c>
      <c r="DJ161" s="10"/>
      <c r="DK161" s="10"/>
      <c r="DL161" s="10"/>
      <c r="DM161" s="11">
        <f t="shared" si="25"/>
        <v>0</v>
      </c>
      <c r="DN161" s="10"/>
      <c r="DO161" s="10"/>
      <c r="DP161" s="10">
        <v>49</v>
      </c>
      <c r="DQ161" s="11">
        <f t="shared" si="26"/>
        <v>5527.2</v>
      </c>
      <c r="DR161" s="10"/>
      <c r="DS161" s="10">
        <v>13</v>
      </c>
      <c r="DT161" s="11">
        <f t="shared" si="27"/>
        <v>1466.3999999999999</v>
      </c>
      <c r="DU161" s="10"/>
      <c r="DV161" s="10"/>
      <c r="DW161" s="10">
        <v>1</v>
      </c>
      <c r="DX161" s="11">
        <f t="shared" si="28"/>
        <v>112.8</v>
      </c>
      <c r="DY161" s="10"/>
      <c r="DZ161" s="11">
        <f t="shared" si="29"/>
        <v>0</v>
      </c>
      <c r="EA161" s="10"/>
      <c r="EB161" s="10"/>
    </row>
    <row r="162" spans="2:132" ht="16.5">
      <c r="B162" s="2">
        <v>150</v>
      </c>
      <c r="C162" s="66" t="s">
        <v>602</v>
      </c>
      <c r="D162" s="49"/>
      <c r="E162" s="71">
        <f t="shared" si="20"/>
        <v>1.2</v>
      </c>
      <c r="F162" s="66">
        <v>1</v>
      </c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67"/>
      <c r="AS162" s="10"/>
      <c r="AT162" s="10"/>
      <c r="AU162" s="10"/>
      <c r="AV162" s="10"/>
      <c r="AW162" s="10"/>
      <c r="AX162" s="10"/>
      <c r="AY162" s="10"/>
      <c r="AZ162" s="10"/>
      <c r="BA162" s="67"/>
      <c r="BB162" s="10"/>
      <c r="BC162" s="10"/>
      <c r="BD162" s="10"/>
      <c r="BE162" s="10"/>
      <c r="BF162" s="10">
        <v>0</v>
      </c>
      <c r="BG162" s="11">
        <f t="shared" si="21"/>
        <v>0</v>
      </c>
      <c r="BH162" s="10"/>
      <c r="BI162" s="10">
        <v>0</v>
      </c>
      <c r="BJ162" s="11">
        <f t="shared" si="22"/>
        <v>0</v>
      </c>
      <c r="BK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  <c r="CQ162" s="10"/>
      <c r="CR162" s="10"/>
      <c r="CS162" s="10"/>
      <c r="CT162" s="10"/>
      <c r="CU162" s="10"/>
      <c r="CV162" s="10"/>
      <c r="CW162" s="10"/>
      <c r="CX162" s="66">
        <v>1</v>
      </c>
      <c r="CY162" s="70">
        <f t="shared" si="23"/>
        <v>1.2</v>
      </c>
      <c r="CZ162" s="10"/>
      <c r="DA162" s="10"/>
      <c r="DB162" s="10"/>
      <c r="DC162" s="10"/>
      <c r="DD162" s="10"/>
      <c r="DE162" s="10"/>
      <c r="DF162" s="10"/>
      <c r="DG162" s="10"/>
      <c r="DH162" s="66"/>
      <c r="DI162" s="70">
        <f t="shared" si="24"/>
        <v>0</v>
      </c>
      <c r="DJ162" s="10"/>
      <c r="DK162" s="10"/>
      <c r="DL162" s="10"/>
      <c r="DM162" s="11">
        <f t="shared" si="25"/>
        <v>0</v>
      </c>
      <c r="DN162" s="10"/>
      <c r="DO162" s="10"/>
      <c r="DP162" s="10">
        <v>0</v>
      </c>
      <c r="DQ162" s="11">
        <f t="shared" si="26"/>
        <v>0</v>
      </c>
      <c r="DR162" s="10"/>
      <c r="DS162" s="10"/>
      <c r="DT162" s="11">
        <f t="shared" si="27"/>
        <v>0</v>
      </c>
      <c r="DU162" s="10"/>
      <c r="DV162" s="10"/>
      <c r="DW162" s="10"/>
      <c r="DX162" s="11">
        <f t="shared" si="28"/>
        <v>0</v>
      </c>
      <c r="DY162" s="10"/>
      <c r="DZ162" s="11">
        <f t="shared" si="29"/>
        <v>0</v>
      </c>
      <c r="EA162" s="10"/>
      <c r="EB162" s="10"/>
    </row>
    <row r="163" spans="2:132" ht="16.5">
      <c r="B163" s="2">
        <v>151</v>
      </c>
      <c r="C163" s="66" t="s">
        <v>603</v>
      </c>
      <c r="D163" s="49"/>
      <c r="E163" s="71">
        <f t="shared" si="20"/>
        <v>1.2</v>
      </c>
      <c r="F163" s="66">
        <v>1</v>
      </c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67"/>
      <c r="AS163" s="10"/>
      <c r="AT163" s="10"/>
      <c r="AU163" s="10"/>
      <c r="AV163" s="10"/>
      <c r="AW163" s="10"/>
      <c r="AX163" s="10"/>
      <c r="AY163" s="10"/>
      <c r="AZ163" s="10"/>
      <c r="BA163" s="67"/>
      <c r="BB163" s="10"/>
      <c r="BC163" s="10"/>
      <c r="BD163" s="10"/>
      <c r="BE163" s="10"/>
      <c r="BF163" s="10">
        <v>0</v>
      </c>
      <c r="BG163" s="11">
        <f t="shared" si="21"/>
        <v>0</v>
      </c>
      <c r="BH163" s="10"/>
      <c r="BI163" s="10">
        <v>0</v>
      </c>
      <c r="BJ163" s="11">
        <f t="shared" si="22"/>
        <v>0</v>
      </c>
      <c r="BK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10"/>
      <c r="CR163" s="10"/>
      <c r="CS163" s="10"/>
      <c r="CT163" s="10"/>
      <c r="CU163" s="10"/>
      <c r="CV163" s="10"/>
      <c r="CW163" s="10"/>
      <c r="CX163" s="66"/>
      <c r="CY163" s="70">
        <f t="shared" si="23"/>
        <v>0</v>
      </c>
      <c r="CZ163" s="10"/>
      <c r="DA163" s="10"/>
      <c r="DB163" s="10"/>
      <c r="DC163" s="10"/>
      <c r="DD163" s="10"/>
      <c r="DE163" s="10"/>
      <c r="DF163" s="10"/>
      <c r="DG163" s="10"/>
      <c r="DH163" s="66"/>
      <c r="DI163" s="70">
        <f t="shared" si="24"/>
        <v>0</v>
      </c>
      <c r="DJ163" s="10"/>
      <c r="DK163" s="10"/>
      <c r="DL163" s="10"/>
      <c r="DM163" s="11">
        <f t="shared" si="25"/>
        <v>0</v>
      </c>
      <c r="DN163" s="10"/>
      <c r="DO163" s="10"/>
      <c r="DP163" s="10">
        <v>1</v>
      </c>
      <c r="DQ163" s="11">
        <f t="shared" si="26"/>
        <v>1.2</v>
      </c>
      <c r="DR163" s="10"/>
      <c r="DS163" s="10"/>
      <c r="DT163" s="11">
        <f t="shared" si="27"/>
        <v>0</v>
      </c>
      <c r="DU163" s="10"/>
      <c r="DV163" s="10"/>
      <c r="DW163" s="10"/>
      <c r="DX163" s="11">
        <f t="shared" si="28"/>
        <v>0</v>
      </c>
      <c r="DY163" s="10"/>
      <c r="DZ163" s="11">
        <f t="shared" si="29"/>
        <v>0</v>
      </c>
      <c r="EA163" s="10"/>
      <c r="EB163" s="10"/>
    </row>
    <row r="164" spans="2:132" ht="16.5">
      <c r="B164" s="2">
        <v>152</v>
      </c>
      <c r="C164" s="66" t="s">
        <v>604</v>
      </c>
      <c r="D164" s="49"/>
      <c r="E164" s="71">
        <f t="shared" si="20"/>
        <v>18</v>
      </c>
      <c r="F164" s="66">
        <v>15</v>
      </c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67"/>
      <c r="AS164" s="10"/>
      <c r="AT164" s="10"/>
      <c r="AU164" s="10"/>
      <c r="AV164" s="10"/>
      <c r="AW164" s="10"/>
      <c r="AX164" s="10"/>
      <c r="AY164" s="10"/>
      <c r="AZ164" s="10"/>
      <c r="BA164" s="67"/>
      <c r="BB164" s="10"/>
      <c r="BC164" s="10"/>
      <c r="BD164" s="10"/>
      <c r="BE164" s="10"/>
      <c r="BF164" s="10">
        <v>8</v>
      </c>
      <c r="BG164" s="11">
        <f t="shared" si="21"/>
        <v>144</v>
      </c>
      <c r="BH164" s="10"/>
      <c r="BI164" s="10">
        <v>1</v>
      </c>
      <c r="BJ164" s="11">
        <f t="shared" si="22"/>
        <v>18</v>
      </c>
      <c r="BK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66"/>
      <c r="CY164" s="70">
        <f t="shared" si="23"/>
        <v>0</v>
      </c>
      <c r="CZ164" s="10"/>
      <c r="DA164" s="10"/>
      <c r="DB164" s="10"/>
      <c r="DC164" s="10"/>
      <c r="DD164" s="10"/>
      <c r="DE164" s="10"/>
      <c r="DF164" s="10"/>
      <c r="DG164" s="10"/>
      <c r="DH164" s="66"/>
      <c r="DI164" s="70">
        <f t="shared" si="24"/>
        <v>0</v>
      </c>
      <c r="DJ164" s="10"/>
      <c r="DK164" s="10"/>
      <c r="DL164" s="10"/>
      <c r="DM164" s="11">
        <f t="shared" si="25"/>
        <v>0</v>
      </c>
      <c r="DN164" s="10"/>
      <c r="DO164" s="10"/>
      <c r="DP164" s="10">
        <v>6</v>
      </c>
      <c r="DQ164" s="11">
        <f t="shared" si="26"/>
        <v>108</v>
      </c>
      <c r="DR164" s="10"/>
      <c r="DS164" s="10"/>
      <c r="DT164" s="11">
        <f t="shared" si="27"/>
        <v>0</v>
      </c>
      <c r="DU164" s="10"/>
      <c r="DV164" s="10"/>
      <c r="DW164" s="10"/>
      <c r="DX164" s="11">
        <f t="shared" si="28"/>
        <v>0</v>
      </c>
      <c r="DY164" s="10"/>
      <c r="DZ164" s="11">
        <f t="shared" si="29"/>
        <v>0</v>
      </c>
      <c r="EA164" s="10"/>
      <c r="EB164" s="10"/>
    </row>
    <row r="165" spans="2:132" ht="16.5">
      <c r="B165" s="2">
        <v>153</v>
      </c>
      <c r="C165" s="66" t="s">
        <v>605</v>
      </c>
      <c r="D165" s="49"/>
      <c r="E165" s="71">
        <f t="shared" si="20"/>
        <v>3.5999999999999996</v>
      </c>
      <c r="F165" s="66">
        <v>3</v>
      </c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67"/>
      <c r="AS165" s="10"/>
      <c r="AT165" s="10"/>
      <c r="AU165" s="10"/>
      <c r="AV165" s="10"/>
      <c r="AW165" s="10"/>
      <c r="AX165" s="10"/>
      <c r="AY165" s="10"/>
      <c r="AZ165" s="10"/>
      <c r="BA165" s="67"/>
      <c r="BB165" s="10"/>
      <c r="BC165" s="10"/>
      <c r="BD165" s="10"/>
      <c r="BE165" s="10"/>
      <c r="BF165" s="10">
        <v>0</v>
      </c>
      <c r="BG165" s="11">
        <f t="shared" si="21"/>
        <v>0</v>
      </c>
      <c r="BH165" s="10"/>
      <c r="BI165" s="10">
        <v>0</v>
      </c>
      <c r="BJ165" s="11">
        <f t="shared" si="22"/>
        <v>0</v>
      </c>
      <c r="BK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  <c r="CQ165" s="10"/>
      <c r="CR165" s="10"/>
      <c r="CS165" s="10"/>
      <c r="CT165" s="10"/>
      <c r="CU165" s="10"/>
      <c r="CV165" s="10"/>
      <c r="CW165" s="10"/>
      <c r="CX165" s="66"/>
      <c r="CY165" s="70">
        <f t="shared" si="23"/>
        <v>0</v>
      </c>
      <c r="CZ165" s="10"/>
      <c r="DA165" s="10"/>
      <c r="DB165" s="10"/>
      <c r="DC165" s="10"/>
      <c r="DD165" s="10"/>
      <c r="DE165" s="10"/>
      <c r="DF165" s="10"/>
      <c r="DG165" s="10"/>
      <c r="DH165" s="66"/>
      <c r="DI165" s="70">
        <f t="shared" si="24"/>
        <v>0</v>
      </c>
      <c r="DJ165" s="10"/>
      <c r="DK165" s="10"/>
      <c r="DL165" s="10"/>
      <c r="DM165" s="11">
        <f t="shared" si="25"/>
        <v>0</v>
      </c>
      <c r="DN165" s="10"/>
      <c r="DO165" s="10"/>
      <c r="DP165" s="10">
        <v>2</v>
      </c>
      <c r="DQ165" s="11">
        <f t="shared" si="26"/>
        <v>7.1999999999999993</v>
      </c>
      <c r="DR165" s="10"/>
      <c r="DS165" s="10">
        <v>1</v>
      </c>
      <c r="DT165" s="11">
        <f t="shared" si="27"/>
        <v>3.5999999999999996</v>
      </c>
      <c r="DU165" s="10"/>
      <c r="DV165" s="10"/>
      <c r="DW165" s="10"/>
      <c r="DX165" s="11">
        <f t="shared" si="28"/>
        <v>0</v>
      </c>
      <c r="DY165" s="10"/>
      <c r="DZ165" s="11">
        <f t="shared" si="29"/>
        <v>0</v>
      </c>
      <c r="EA165" s="10"/>
      <c r="EB165" s="10"/>
    </row>
    <row r="166" spans="2:132" ht="16.5">
      <c r="B166" s="2">
        <v>154</v>
      </c>
      <c r="C166" s="66" t="s">
        <v>606</v>
      </c>
      <c r="D166" s="49"/>
      <c r="E166" s="71">
        <f t="shared" si="20"/>
        <v>9.6</v>
      </c>
      <c r="F166" s="66">
        <v>8</v>
      </c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67"/>
      <c r="AS166" s="10"/>
      <c r="AT166" s="10"/>
      <c r="AU166" s="10"/>
      <c r="AV166" s="10"/>
      <c r="AW166" s="10"/>
      <c r="AX166" s="10"/>
      <c r="AY166" s="10"/>
      <c r="AZ166" s="10"/>
      <c r="BA166" s="67"/>
      <c r="BB166" s="10"/>
      <c r="BC166" s="10"/>
      <c r="BD166" s="10"/>
      <c r="BE166" s="10"/>
      <c r="BF166" s="10">
        <v>0</v>
      </c>
      <c r="BG166" s="11">
        <f t="shared" si="21"/>
        <v>0</v>
      </c>
      <c r="BH166" s="10"/>
      <c r="BI166" s="10">
        <v>1</v>
      </c>
      <c r="BJ166" s="11">
        <f t="shared" si="22"/>
        <v>9.6</v>
      </c>
      <c r="BK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  <c r="CQ166" s="10"/>
      <c r="CR166" s="10"/>
      <c r="CS166" s="10"/>
      <c r="CT166" s="10"/>
      <c r="CU166" s="10"/>
      <c r="CV166" s="10"/>
      <c r="CW166" s="10"/>
      <c r="CX166" s="66"/>
      <c r="CY166" s="70">
        <f t="shared" si="23"/>
        <v>0</v>
      </c>
      <c r="CZ166" s="10"/>
      <c r="DA166" s="10"/>
      <c r="DB166" s="10"/>
      <c r="DC166" s="10"/>
      <c r="DD166" s="10"/>
      <c r="DE166" s="10"/>
      <c r="DF166" s="10"/>
      <c r="DG166" s="10"/>
      <c r="DH166" s="66">
        <v>1</v>
      </c>
      <c r="DI166" s="70">
        <f t="shared" si="24"/>
        <v>9.6</v>
      </c>
      <c r="DJ166" s="10"/>
      <c r="DK166" s="10"/>
      <c r="DL166" s="10"/>
      <c r="DM166" s="11">
        <f t="shared" si="25"/>
        <v>0</v>
      </c>
      <c r="DN166" s="10"/>
      <c r="DO166" s="10"/>
      <c r="DP166" s="10">
        <v>5</v>
      </c>
      <c r="DQ166" s="11">
        <f t="shared" si="26"/>
        <v>48</v>
      </c>
      <c r="DR166" s="10"/>
      <c r="DS166" s="10">
        <v>1</v>
      </c>
      <c r="DT166" s="11">
        <f t="shared" si="27"/>
        <v>9.6</v>
      </c>
      <c r="DU166" s="10"/>
      <c r="DV166" s="10"/>
      <c r="DW166" s="10"/>
      <c r="DX166" s="11">
        <f t="shared" si="28"/>
        <v>0</v>
      </c>
      <c r="DY166" s="10"/>
      <c r="DZ166" s="11">
        <f t="shared" si="29"/>
        <v>0</v>
      </c>
      <c r="EA166" s="10"/>
      <c r="EB166" s="10"/>
    </row>
    <row r="167" spans="2:132" ht="16.5">
      <c r="B167" s="2">
        <v>155</v>
      </c>
      <c r="C167" s="66" t="s">
        <v>607</v>
      </c>
      <c r="D167" s="49"/>
      <c r="E167" s="71">
        <f t="shared" si="20"/>
        <v>2.4</v>
      </c>
      <c r="F167" s="66">
        <v>2</v>
      </c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67"/>
      <c r="AS167" s="10"/>
      <c r="AT167" s="10"/>
      <c r="AU167" s="10"/>
      <c r="AV167" s="10"/>
      <c r="AW167" s="10"/>
      <c r="AX167" s="10"/>
      <c r="AY167" s="10"/>
      <c r="AZ167" s="10"/>
      <c r="BA167" s="67"/>
      <c r="BB167" s="10"/>
      <c r="BC167" s="10"/>
      <c r="BD167" s="10"/>
      <c r="BE167" s="10"/>
      <c r="BF167" s="10">
        <v>2</v>
      </c>
      <c r="BG167" s="11">
        <f t="shared" si="21"/>
        <v>4.8</v>
      </c>
      <c r="BH167" s="10"/>
      <c r="BI167" s="10">
        <v>0</v>
      </c>
      <c r="BJ167" s="11">
        <f t="shared" si="22"/>
        <v>0</v>
      </c>
      <c r="BK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  <c r="CQ167" s="10"/>
      <c r="CR167" s="10"/>
      <c r="CS167" s="10"/>
      <c r="CT167" s="10"/>
      <c r="CU167" s="10"/>
      <c r="CV167" s="10"/>
      <c r="CW167" s="10"/>
      <c r="CX167" s="66"/>
      <c r="CY167" s="70">
        <f t="shared" si="23"/>
        <v>0</v>
      </c>
      <c r="CZ167" s="10"/>
      <c r="DA167" s="10"/>
      <c r="DB167" s="10"/>
      <c r="DC167" s="10"/>
      <c r="DD167" s="10"/>
      <c r="DE167" s="10"/>
      <c r="DF167" s="10"/>
      <c r="DG167" s="10"/>
      <c r="DH167" s="66"/>
      <c r="DI167" s="70">
        <f t="shared" si="24"/>
        <v>0</v>
      </c>
      <c r="DJ167" s="10"/>
      <c r="DK167" s="10"/>
      <c r="DL167" s="10"/>
      <c r="DM167" s="11">
        <f t="shared" si="25"/>
        <v>0</v>
      </c>
      <c r="DN167" s="10"/>
      <c r="DO167" s="10"/>
      <c r="DP167" s="10">
        <v>0</v>
      </c>
      <c r="DQ167" s="11">
        <f t="shared" si="26"/>
        <v>0</v>
      </c>
      <c r="DR167" s="10"/>
      <c r="DS167" s="10"/>
      <c r="DT167" s="11">
        <f t="shared" si="27"/>
        <v>0</v>
      </c>
      <c r="DU167" s="10"/>
      <c r="DV167" s="10"/>
      <c r="DW167" s="10"/>
      <c r="DX167" s="11">
        <f t="shared" si="28"/>
        <v>0</v>
      </c>
      <c r="DY167" s="10"/>
      <c r="DZ167" s="11">
        <f t="shared" si="29"/>
        <v>0</v>
      </c>
      <c r="EA167" s="10"/>
      <c r="EB167" s="10"/>
    </row>
    <row r="168" spans="2:132" ht="16.5">
      <c r="B168" s="2">
        <v>156</v>
      </c>
      <c r="C168" s="66" t="s">
        <v>608</v>
      </c>
      <c r="D168" s="49"/>
      <c r="E168" s="71">
        <f t="shared" si="20"/>
        <v>16.8</v>
      </c>
      <c r="F168" s="66">
        <v>14</v>
      </c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67"/>
      <c r="AS168" s="10"/>
      <c r="AT168" s="10"/>
      <c r="AU168" s="10"/>
      <c r="AV168" s="10"/>
      <c r="AW168" s="10"/>
      <c r="AX168" s="10"/>
      <c r="AY168" s="10"/>
      <c r="AZ168" s="10"/>
      <c r="BA168" s="67"/>
      <c r="BB168" s="10"/>
      <c r="BC168" s="10"/>
      <c r="BD168" s="10"/>
      <c r="BE168" s="10"/>
      <c r="BF168" s="10">
        <v>0</v>
      </c>
      <c r="BG168" s="11">
        <f t="shared" si="21"/>
        <v>0</v>
      </c>
      <c r="BH168" s="10"/>
      <c r="BI168" s="10">
        <v>0</v>
      </c>
      <c r="BJ168" s="11">
        <f t="shared" si="22"/>
        <v>0</v>
      </c>
      <c r="BK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  <c r="CQ168" s="10"/>
      <c r="CR168" s="10"/>
      <c r="CS168" s="10"/>
      <c r="CT168" s="10"/>
      <c r="CU168" s="10"/>
      <c r="CV168" s="10"/>
      <c r="CW168" s="10"/>
      <c r="CX168" s="66"/>
      <c r="CY168" s="70">
        <f t="shared" si="23"/>
        <v>0</v>
      </c>
      <c r="CZ168" s="10"/>
      <c r="DA168" s="10"/>
      <c r="DB168" s="10"/>
      <c r="DC168" s="10"/>
      <c r="DD168" s="10"/>
      <c r="DE168" s="10"/>
      <c r="DF168" s="10"/>
      <c r="DG168" s="10"/>
      <c r="DH168" s="66"/>
      <c r="DI168" s="70">
        <f t="shared" si="24"/>
        <v>0</v>
      </c>
      <c r="DJ168" s="10"/>
      <c r="DK168" s="10"/>
      <c r="DL168" s="10"/>
      <c r="DM168" s="11">
        <f t="shared" si="25"/>
        <v>0</v>
      </c>
      <c r="DN168" s="10"/>
      <c r="DO168" s="10"/>
      <c r="DP168" s="10">
        <v>0</v>
      </c>
      <c r="DQ168" s="11">
        <f t="shared" si="26"/>
        <v>0</v>
      </c>
      <c r="DR168" s="10"/>
      <c r="DS168" s="10">
        <v>14</v>
      </c>
      <c r="DT168" s="11">
        <f t="shared" si="27"/>
        <v>235.20000000000002</v>
      </c>
      <c r="DU168" s="10"/>
      <c r="DV168" s="10"/>
      <c r="DW168" s="10"/>
      <c r="DX168" s="11">
        <f t="shared" si="28"/>
        <v>0</v>
      </c>
      <c r="DY168" s="10"/>
      <c r="DZ168" s="11">
        <f t="shared" si="29"/>
        <v>0</v>
      </c>
      <c r="EA168" s="10"/>
      <c r="EB168" s="10"/>
    </row>
    <row r="169" spans="2:132" ht="16.5">
      <c r="B169" s="2">
        <v>157</v>
      </c>
      <c r="C169" s="66" t="s">
        <v>609</v>
      </c>
      <c r="D169" s="49"/>
      <c r="E169" s="71">
        <f t="shared" si="20"/>
        <v>1.2</v>
      </c>
      <c r="F169" s="66">
        <v>1</v>
      </c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67"/>
      <c r="AS169" s="10"/>
      <c r="AT169" s="10"/>
      <c r="AU169" s="10"/>
      <c r="AV169" s="10"/>
      <c r="AW169" s="10"/>
      <c r="AX169" s="10"/>
      <c r="AY169" s="10"/>
      <c r="AZ169" s="10"/>
      <c r="BA169" s="67"/>
      <c r="BB169" s="10"/>
      <c r="BC169" s="10"/>
      <c r="BD169" s="10"/>
      <c r="BE169" s="10"/>
      <c r="BF169" s="10">
        <v>0</v>
      </c>
      <c r="BG169" s="11">
        <f t="shared" si="21"/>
        <v>0</v>
      </c>
      <c r="BH169" s="10"/>
      <c r="BI169" s="10">
        <v>0</v>
      </c>
      <c r="BJ169" s="11">
        <f t="shared" si="22"/>
        <v>0</v>
      </c>
      <c r="BK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66"/>
      <c r="CY169" s="70">
        <f t="shared" si="23"/>
        <v>0</v>
      </c>
      <c r="CZ169" s="10"/>
      <c r="DA169" s="10"/>
      <c r="DB169" s="10"/>
      <c r="DC169" s="10"/>
      <c r="DD169" s="10"/>
      <c r="DE169" s="10"/>
      <c r="DF169" s="10"/>
      <c r="DG169" s="10"/>
      <c r="DH169" s="66"/>
      <c r="DI169" s="70">
        <f t="shared" si="24"/>
        <v>0</v>
      </c>
      <c r="DJ169" s="10"/>
      <c r="DK169" s="10"/>
      <c r="DL169" s="10"/>
      <c r="DM169" s="11">
        <f t="shared" si="25"/>
        <v>0</v>
      </c>
      <c r="DN169" s="10"/>
      <c r="DO169" s="10"/>
      <c r="DP169" s="10">
        <v>1</v>
      </c>
      <c r="DQ169" s="11">
        <f t="shared" si="26"/>
        <v>1.2</v>
      </c>
      <c r="DR169" s="10"/>
      <c r="DS169" s="10"/>
      <c r="DT169" s="11">
        <f t="shared" si="27"/>
        <v>0</v>
      </c>
      <c r="DU169" s="10"/>
      <c r="DV169" s="10"/>
      <c r="DW169" s="10"/>
      <c r="DX169" s="11">
        <f t="shared" si="28"/>
        <v>0</v>
      </c>
      <c r="DY169" s="10"/>
      <c r="DZ169" s="11">
        <f t="shared" si="29"/>
        <v>0</v>
      </c>
      <c r="EA169" s="10"/>
      <c r="EB169" s="10"/>
    </row>
    <row r="170" spans="2:132" ht="16.5">
      <c r="B170" s="2">
        <v>158</v>
      </c>
      <c r="C170" s="66" t="s">
        <v>610</v>
      </c>
      <c r="D170" s="49"/>
      <c r="E170" s="71">
        <f t="shared" si="20"/>
        <v>26.4</v>
      </c>
      <c r="F170" s="66">
        <v>22</v>
      </c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67"/>
      <c r="AS170" s="10"/>
      <c r="AT170" s="10"/>
      <c r="AU170" s="10"/>
      <c r="AV170" s="10"/>
      <c r="AW170" s="10"/>
      <c r="AX170" s="10"/>
      <c r="AY170" s="10"/>
      <c r="AZ170" s="10"/>
      <c r="BA170" s="67"/>
      <c r="BB170" s="10"/>
      <c r="BC170" s="10"/>
      <c r="BD170" s="10"/>
      <c r="BE170" s="10"/>
      <c r="BF170" s="10">
        <v>0</v>
      </c>
      <c r="BG170" s="11">
        <f t="shared" si="21"/>
        <v>0</v>
      </c>
      <c r="BH170" s="10"/>
      <c r="BI170" s="10">
        <v>11</v>
      </c>
      <c r="BJ170" s="11">
        <f t="shared" si="22"/>
        <v>290.39999999999998</v>
      </c>
      <c r="BK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10"/>
      <c r="CX170" s="66"/>
      <c r="CY170" s="70">
        <f t="shared" si="23"/>
        <v>0</v>
      </c>
      <c r="CZ170" s="10"/>
      <c r="DA170" s="10"/>
      <c r="DB170" s="10"/>
      <c r="DC170" s="10"/>
      <c r="DD170" s="10"/>
      <c r="DE170" s="10"/>
      <c r="DF170" s="10"/>
      <c r="DG170" s="10"/>
      <c r="DH170" s="66"/>
      <c r="DI170" s="70">
        <f t="shared" si="24"/>
        <v>0</v>
      </c>
      <c r="DJ170" s="10"/>
      <c r="DK170" s="10"/>
      <c r="DL170" s="10"/>
      <c r="DM170" s="11">
        <f t="shared" si="25"/>
        <v>0</v>
      </c>
      <c r="DN170" s="10"/>
      <c r="DO170" s="10"/>
      <c r="DP170" s="10">
        <v>10</v>
      </c>
      <c r="DQ170" s="11">
        <f t="shared" si="26"/>
        <v>264</v>
      </c>
      <c r="DR170" s="10"/>
      <c r="DS170" s="10"/>
      <c r="DT170" s="11">
        <f t="shared" si="27"/>
        <v>0</v>
      </c>
      <c r="DU170" s="10"/>
      <c r="DV170" s="10"/>
      <c r="DW170" s="10">
        <v>1</v>
      </c>
      <c r="DX170" s="11">
        <f t="shared" si="28"/>
        <v>26.4</v>
      </c>
      <c r="DY170" s="10"/>
      <c r="DZ170" s="11">
        <f t="shared" si="29"/>
        <v>0</v>
      </c>
      <c r="EA170" s="10"/>
      <c r="EB170" s="10"/>
    </row>
    <row r="171" spans="2:132" ht="16.5">
      <c r="B171" s="2">
        <v>159</v>
      </c>
      <c r="C171" s="66" t="s">
        <v>611</v>
      </c>
      <c r="D171" s="49"/>
      <c r="E171" s="71">
        <f t="shared" si="20"/>
        <v>1.2</v>
      </c>
      <c r="F171" s="66">
        <v>1</v>
      </c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67"/>
      <c r="AS171" s="10"/>
      <c r="AT171" s="10"/>
      <c r="AU171" s="10"/>
      <c r="AV171" s="10"/>
      <c r="AW171" s="10"/>
      <c r="AX171" s="10"/>
      <c r="AY171" s="10"/>
      <c r="AZ171" s="10"/>
      <c r="BA171" s="67"/>
      <c r="BB171" s="10"/>
      <c r="BC171" s="10"/>
      <c r="BD171" s="10"/>
      <c r="BE171" s="10"/>
      <c r="BF171" s="10">
        <v>0</v>
      </c>
      <c r="BG171" s="11">
        <f t="shared" si="21"/>
        <v>0</v>
      </c>
      <c r="BH171" s="10"/>
      <c r="BI171" s="10">
        <v>0</v>
      </c>
      <c r="BJ171" s="11">
        <f t="shared" si="22"/>
        <v>0</v>
      </c>
      <c r="BK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  <c r="CQ171" s="10"/>
      <c r="CR171" s="10"/>
      <c r="CS171" s="10"/>
      <c r="CT171" s="10"/>
      <c r="CU171" s="10"/>
      <c r="CV171" s="10"/>
      <c r="CW171" s="10"/>
      <c r="CX171" s="66"/>
      <c r="CY171" s="70">
        <f t="shared" si="23"/>
        <v>0</v>
      </c>
      <c r="CZ171" s="10"/>
      <c r="DA171" s="10"/>
      <c r="DB171" s="10"/>
      <c r="DC171" s="10"/>
      <c r="DD171" s="10"/>
      <c r="DE171" s="10"/>
      <c r="DF171" s="10"/>
      <c r="DG171" s="10"/>
      <c r="DH171" s="66"/>
      <c r="DI171" s="70">
        <f t="shared" si="24"/>
        <v>0</v>
      </c>
      <c r="DJ171" s="10"/>
      <c r="DK171" s="10"/>
      <c r="DL171" s="10"/>
      <c r="DM171" s="11">
        <f t="shared" si="25"/>
        <v>0</v>
      </c>
      <c r="DN171" s="10"/>
      <c r="DO171" s="10"/>
      <c r="DP171" s="10">
        <v>0</v>
      </c>
      <c r="DQ171" s="11">
        <f t="shared" si="26"/>
        <v>0</v>
      </c>
      <c r="DR171" s="10"/>
      <c r="DS171" s="10"/>
      <c r="DT171" s="11">
        <f t="shared" si="27"/>
        <v>0</v>
      </c>
      <c r="DU171" s="10"/>
      <c r="DV171" s="10"/>
      <c r="DW171" s="10">
        <v>1</v>
      </c>
      <c r="DX171" s="11">
        <f t="shared" si="28"/>
        <v>1.2</v>
      </c>
      <c r="DY171" s="10"/>
      <c r="DZ171" s="11">
        <f t="shared" si="29"/>
        <v>0</v>
      </c>
      <c r="EA171" s="10"/>
      <c r="EB171" s="10"/>
    </row>
    <row r="172" spans="2:132" ht="16.5">
      <c r="B172" s="2">
        <v>160</v>
      </c>
      <c r="C172" s="66" t="s">
        <v>612</v>
      </c>
      <c r="D172" s="49"/>
      <c r="E172" s="71">
        <f t="shared" si="20"/>
        <v>1.2</v>
      </c>
      <c r="F172" s="66">
        <v>1</v>
      </c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67"/>
      <c r="AS172" s="10"/>
      <c r="AT172" s="10"/>
      <c r="AU172" s="10"/>
      <c r="AV172" s="10"/>
      <c r="AW172" s="10"/>
      <c r="AX172" s="10"/>
      <c r="AY172" s="10"/>
      <c r="AZ172" s="10"/>
      <c r="BA172" s="67"/>
      <c r="BB172" s="10"/>
      <c r="BC172" s="10"/>
      <c r="BD172" s="10"/>
      <c r="BE172" s="10"/>
      <c r="BF172" s="10">
        <v>1</v>
      </c>
      <c r="BG172" s="11">
        <f t="shared" si="21"/>
        <v>1.2</v>
      </c>
      <c r="BH172" s="10"/>
      <c r="BI172" s="10">
        <v>0</v>
      </c>
      <c r="BJ172" s="11">
        <f t="shared" si="22"/>
        <v>0</v>
      </c>
      <c r="BK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  <c r="CQ172" s="10"/>
      <c r="CR172" s="10"/>
      <c r="CS172" s="10"/>
      <c r="CT172" s="10"/>
      <c r="CU172" s="10"/>
      <c r="CV172" s="10"/>
      <c r="CW172" s="10"/>
      <c r="CX172" s="66"/>
      <c r="CY172" s="70">
        <f t="shared" si="23"/>
        <v>0</v>
      </c>
      <c r="CZ172" s="10"/>
      <c r="DA172" s="10"/>
      <c r="DB172" s="10"/>
      <c r="DC172" s="10"/>
      <c r="DD172" s="10"/>
      <c r="DE172" s="10"/>
      <c r="DF172" s="10"/>
      <c r="DG172" s="10"/>
      <c r="DH172" s="66"/>
      <c r="DI172" s="70">
        <f t="shared" si="24"/>
        <v>0</v>
      </c>
      <c r="DJ172" s="10"/>
      <c r="DK172" s="10"/>
      <c r="DL172" s="10"/>
      <c r="DM172" s="11">
        <f t="shared" si="25"/>
        <v>0</v>
      </c>
      <c r="DN172" s="10"/>
      <c r="DO172" s="10"/>
      <c r="DP172" s="10">
        <v>0</v>
      </c>
      <c r="DQ172" s="11">
        <f t="shared" si="26"/>
        <v>0</v>
      </c>
      <c r="DR172" s="10"/>
      <c r="DS172" s="10"/>
      <c r="DT172" s="11">
        <f t="shared" si="27"/>
        <v>0</v>
      </c>
      <c r="DU172" s="10"/>
      <c r="DV172" s="10"/>
      <c r="DW172" s="10"/>
      <c r="DX172" s="11">
        <f t="shared" si="28"/>
        <v>0</v>
      </c>
      <c r="DY172" s="10"/>
      <c r="DZ172" s="11">
        <f t="shared" si="29"/>
        <v>0</v>
      </c>
      <c r="EA172" s="10"/>
      <c r="EB172" s="10"/>
    </row>
    <row r="173" spans="2:132" ht="16.5">
      <c r="B173" s="2">
        <v>161</v>
      </c>
      <c r="C173" s="66" t="s">
        <v>613</v>
      </c>
      <c r="D173" s="49"/>
      <c r="E173" s="71">
        <f t="shared" si="20"/>
        <v>2.4</v>
      </c>
      <c r="F173" s="66">
        <v>2</v>
      </c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67"/>
      <c r="AS173" s="10"/>
      <c r="AT173" s="10"/>
      <c r="AU173" s="10"/>
      <c r="AV173" s="10"/>
      <c r="AW173" s="10"/>
      <c r="AX173" s="10"/>
      <c r="AY173" s="10"/>
      <c r="AZ173" s="10"/>
      <c r="BA173" s="67"/>
      <c r="BB173" s="10"/>
      <c r="BC173" s="10"/>
      <c r="BD173" s="10"/>
      <c r="BE173" s="10"/>
      <c r="BF173" s="10">
        <v>0</v>
      </c>
      <c r="BG173" s="11">
        <f t="shared" si="21"/>
        <v>0</v>
      </c>
      <c r="BH173" s="10"/>
      <c r="BI173" s="10">
        <v>2</v>
      </c>
      <c r="BJ173" s="11">
        <f t="shared" si="22"/>
        <v>4.8</v>
      </c>
      <c r="BK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  <c r="CQ173" s="10"/>
      <c r="CR173" s="10"/>
      <c r="CS173" s="10"/>
      <c r="CT173" s="10"/>
      <c r="CU173" s="10"/>
      <c r="CV173" s="10"/>
      <c r="CW173" s="10"/>
      <c r="CX173" s="66"/>
      <c r="CY173" s="70">
        <f t="shared" si="23"/>
        <v>0</v>
      </c>
      <c r="CZ173" s="10"/>
      <c r="DA173" s="10"/>
      <c r="DB173" s="10"/>
      <c r="DC173" s="10"/>
      <c r="DD173" s="10"/>
      <c r="DE173" s="10"/>
      <c r="DF173" s="10"/>
      <c r="DG173" s="10"/>
      <c r="DH173" s="66"/>
      <c r="DI173" s="70">
        <f t="shared" si="24"/>
        <v>0</v>
      </c>
      <c r="DJ173" s="10"/>
      <c r="DK173" s="10"/>
      <c r="DL173" s="10"/>
      <c r="DM173" s="11">
        <f t="shared" si="25"/>
        <v>0</v>
      </c>
      <c r="DN173" s="10"/>
      <c r="DO173" s="10"/>
      <c r="DP173" s="10">
        <v>0</v>
      </c>
      <c r="DQ173" s="11">
        <f t="shared" si="26"/>
        <v>0</v>
      </c>
      <c r="DR173" s="10"/>
      <c r="DS173" s="10"/>
      <c r="DT173" s="11">
        <f t="shared" si="27"/>
        <v>0</v>
      </c>
      <c r="DU173" s="10"/>
      <c r="DV173" s="10"/>
      <c r="DW173" s="10"/>
      <c r="DX173" s="11">
        <f t="shared" si="28"/>
        <v>0</v>
      </c>
      <c r="DY173" s="10"/>
      <c r="DZ173" s="11">
        <f t="shared" si="29"/>
        <v>0</v>
      </c>
      <c r="EA173" s="10"/>
      <c r="EB173" s="10"/>
    </row>
    <row r="174" spans="2:132" ht="16.5">
      <c r="B174" s="2">
        <v>162</v>
      </c>
      <c r="C174" s="66" t="s">
        <v>614</v>
      </c>
      <c r="D174" s="49"/>
      <c r="E174" s="71">
        <f t="shared" si="20"/>
        <v>6</v>
      </c>
      <c r="F174" s="66">
        <v>5</v>
      </c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67"/>
      <c r="AS174" s="10"/>
      <c r="AT174" s="10"/>
      <c r="AU174" s="10"/>
      <c r="AV174" s="10"/>
      <c r="AW174" s="10"/>
      <c r="AX174" s="10"/>
      <c r="AY174" s="10"/>
      <c r="AZ174" s="10"/>
      <c r="BA174" s="67"/>
      <c r="BB174" s="10"/>
      <c r="BC174" s="10"/>
      <c r="BD174" s="10"/>
      <c r="BE174" s="10"/>
      <c r="BF174" s="10">
        <v>0</v>
      </c>
      <c r="BG174" s="11">
        <f t="shared" si="21"/>
        <v>0</v>
      </c>
      <c r="BH174" s="10"/>
      <c r="BI174" s="10">
        <v>0</v>
      </c>
      <c r="BJ174" s="11">
        <f t="shared" si="22"/>
        <v>0</v>
      </c>
      <c r="BK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66"/>
      <c r="CY174" s="70">
        <f t="shared" si="23"/>
        <v>0</v>
      </c>
      <c r="CZ174" s="10"/>
      <c r="DA174" s="10"/>
      <c r="DB174" s="10"/>
      <c r="DC174" s="10"/>
      <c r="DD174" s="10"/>
      <c r="DE174" s="10"/>
      <c r="DF174" s="10"/>
      <c r="DG174" s="10"/>
      <c r="DH174" s="66"/>
      <c r="DI174" s="70">
        <f t="shared" si="24"/>
        <v>0</v>
      </c>
      <c r="DJ174" s="10"/>
      <c r="DK174" s="10"/>
      <c r="DL174" s="10"/>
      <c r="DM174" s="11">
        <f t="shared" si="25"/>
        <v>0</v>
      </c>
      <c r="DN174" s="10"/>
      <c r="DO174" s="10"/>
      <c r="DP174" s="10">
        <v>1</v>
      </c>
      <c r="DQ174" s="11">
        <f t="shared" si="26"/>
        <v>6</v>
      </c>
      <c r="DR174" s="10"/>
      <c r="DS174" s="10"/>
      <c r="DT174" s="11">
        <f t="shared" si="27"/>
        <v>0</v>
      </c>
      <c r="DU174" s="10"/>
      <c r="DV174" s="10"/>
      <c r="DW174" s="10">
        <v>4</v>
      </c>
      <c r="DX174" s="11">
        <f t="shared" si="28"/>
        <v>24</v>
      </c>
      <c r="DY174" s="10"/>
      <c r="DZ174" s="11">
        <f t="shared" si="29"/>
        <v>0</v>
      </c>
      <c r="EA174" s="10"/>
      <c r="EB174" s="10"/>
    </row>
    <row r="175" spans="2:132" ht="16.5">
      <c r="B175" s="2">
        <v>163</v>
      </c>
      <c r="C175" s="66" t="s">
        <v>615</v>
      </c>
      <c r="D175" s="49"/>
      <c r="E175" s="71">
        <f t="shared" si="20"/>
        <v>3.5999999999999996</v>
      </c>
      <c r="F175" s="66">
        <v>3</v>
      </c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67"/>
      <c r="AS175" s="10"/>
      <c r="AT175" s="10"/>
      <c r="AU175" s="10"/>
      <c r="AV175" s="10"/>
      <c r="AW175" s="10"/>
      <c r="AX175" s="10"/>
      <c r="AY175" s="10"/>
      <c r="AZ175" s="10"/>
      <c r="BA175" s="67"/>
      <c r="BB175" s="10"/>
      <c r="BC175" s="10"/>
      <c r="BD175" s="10"/>
      <c r="BE175" s="10"/>
      <c r="BF175" s="10">
        <v>0</v>
      </c>
      <c r="BG175" s="11">
        <f t="shared" si="21"/>
        <v>0</v>
      </c>
      <c r="BH175" s="10"/>
      <c r="BI175" s="10">
        <v>0</v>
      </c>
      <c r="BJ175" s="11">
        <f t="shared" si="22"/>
        <v>0</v>
      </c>
      <c r="BK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  <c r="CQ175" s="10"/>
      <c r="CR175" s="10"/>
      <c r="CS175" s="10"/>
      <c r="CT175" s="10"/>
      <c r="CU175" s="10"/>
      <c r="CV175" s="10"/>
      <c r="CW175" s="10"/>
      <c r="CX175" s="66"/>
      <c r="CY175" s="70">
        <f t="shared" si="23"/>
        <v>0</v>
      </c>
      <c r="CZ175" s="10"/>
      <c r="DA175" s="10"/>
      <c r="DB175" s="10"/>
      <c r="DC175" s="10"/>
      <c r="DD175" s="10"/>
      <c r="DE175" s="10"/>
      <c r="DF175" s="10"/>
      <c r="DG175" s="10"/>
      <c r="DH175" s="66"/>
      <c r="DI175" s="70">
        <f t="shared" si="24"/>
        <v>0</v>
      </c>
      <c r="DJ175" s="10"/>
      <c r="DK175" s="10"/>
      <c r="DL175" s="10"/>
      <c r="DM175" s="11">
        <f t="shared" si="25"/>
        <v>0</v>
      </c>
      <c r="DN175" s="10"/>
      <c r="DO175" s="10"/>
      <c r="DP175" s="10">
        <v>1</v>
      </c>
      <c r="DQ175" s="11">
        <f t="shared" si="26"/>
        <v>3.5999999999999996</v>
      </c>
      <c r="DR175" s="10"/>
      <c r="DS175" s="10"/>
      <c r="DT175" s="11">
        <f t="shared" si="27"/>
        <v>0</v>
      </c>
      <c r="DU175" s="10"/>
      <c r="DV175" s="10"/>
      <c r="DW175" s="10">
        <v>2</v>
      </c>
      <c r="DX175" s="11">
        <f t="shared" si="28"/>
        <v>7.1999999999999993</v>
      </c>
      <c r="DY175" s="10"/>
      <c r="DZ175" s="11">
        <f t="shared" si="29"/>
        <v>0</v>
      </c>
      <c r="EA175" s="10"/>
      <c r="EB175" s="10"/>
    </row>
    <row r="176" spans="2:132" ht="16.5">
      <c r="B176" s="2">
        <v>164</v>
      </c>
      <c r="C176" s="66" t="s">
        <v>616</v>
      </c>
      <c r="D176" s="49"/>
      <c r="E176" s="71">
        <f t="shared" si="20"/>
        <v>1.2</v>
      </c>
      <c r="F176" s="66">
        <v>1</v>
      </c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67"/>
      <c r="AS176" s="10"/>
      <c r="AT176" s="10"/>
      <c r="AU176" s="10"/>
      <c r="AV176" s="10"/>
      <c r="AW176" s="10"/>
      <c r="AX176" s="10"/>
      <c r="AY176" s="10"/>
      <c r="AZ176" s="10"/>
      <c r="BA176" s="67"/>
      <c r="BB176" s="10"/>
      <c r="BC176" s="10"/>
      <c r="BD176" s="10"/>
      <c r="BE176" s="10"/>
      <c r="BF176" s="10">
        <v>0</v>
      </c>
      <c r="BG176" s="11">
        <f t="shared" si="21"/>
        <v>0</v>
      </c>
      <c r="BH176" s="10"/>
      <c r="BI176" s="10">
        <v>0</v>
      </c>
      <c r="BJ176" s="11">
        <f t="shared" si="22"/>
        <v>0</v>
      </c>
      <c r="BK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  <c r="CQ176" s="10"/>
      <c r="CR176" s="10"/>
      <c r="CS176" s="10"/>
      <c r="CT176" s="10"/>
      <c r="CU176" s="10"/>
      <c r="CV176" s="10"/>
      <c r="CW176" s="10"/>
      <c r="CX176" s="66"/>
      <c r="CY176" s="70">
        <f t="shared" si="23"/>
        <v>0</v>
      </c>
      <c r="CZ176" s="10"/>
      <c r="DA176" s="10"/>
      <c r="DB176" s="10"/>
      <c r="DC176" s="10"/>
      <c r="DD176" s="10"/>
      <c r="DE176" s="10"/>
      <c r="DF176" s="10"/>
      <c r="DG176" s="10"/>
      <c r="DH176" s="66"/>
      <c r="DI176" s="70">
        <f t="shared" si="24"/>
        <v>0</v>
      </c>
      <c r="DJ176" s="10"/>
      <c r="DK176" s="10"/>
      <c r="DL176" s="10"/>
      <c r="DM176" s="11">
        <f t="shared" si="25"/>
        <v>0</v>
      </c>
      <c r="DN176" s="10"/>
      <c r="DO176" s="10"/>
      <c r="DP176" s="10">
        <v>0</v>
      </c>
      <c r="DQ176" s="11">
        <f t="shared" si="26"/>
        <v>0</v>
      </c>
      <c r="DR176" s="10"/>
      <c r="DS176" s="10">
        <v>1</v>
      </c>
      <c r="DT176" s="11">
        <f t="shared" si="27"/>
        <v>1.2</v>
      </c>
      <c r="DU176" s="10"/>
      <c r="DV176" s="10"/>
      <c r="DW176" s="10"/>
      <c r="DX176" s="11">
        <f t="shared" si="28"/>
        <v>0</v>
      </c>
      <c r="DY176" s="10"/>
      <c r="DZ176" s="11">
        <f t="shared" si="29"/>
        <v>0</v>
      </c>
      <c r="EA176" s="10"/>
      <c r="EB176" s="10"/>
    </row>
    <row r="177" spans="2:132" ht="16.5">
      <c r="B177" s="2">
        <v>165</v>
      </c>
      <c r="C177" s="66" t="s">
        <v>617</v>
      </c>
      <c r="D177" s="49"/>
      <c r="E177" s="71">
        <f t="shared" si="20"/>
        <v>3.5999999999999996</v>
      </c>
      <c r="F177" s="66">
        <v>3</v>
      </c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67"/>
      <c r="AS177" s="10"/>
      <c r="AT177" s="10"/>
      <c r="AU177" s="10"/>
      <c r="AV177" s="10"/>
      <c r="AW177" s="10"/>
      <c r="AX177" s="10"/>
      <c r="AY177" s="10"/>
      <c r="AZ177" s="10"/>
      <c r="BA177" s="67"/>
      <c r="BB177" s="10"/>
      <c r="BC177" s="10"/>
      <c r="BD177" s="10"/>
      <c r="BE177" s="10"/>
      <c r="BF177" s="10">
        <v>0</v>
      </c>
      <c r="BG177" s="11">
        <f t="shared" si="21"/>
        <v>0</v>
      </c>
      <c r="BH177" s="10"/>
      <c r="BI177" s="10">
        <v>1</v>
      </c>
      <c r="BJ177" s="11">
        <f t="shared" si="22"/>
        <v>3.5999999999999996</v>
      </c>
      <c r="BK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  <c r="CQ177" s="10"/>
      <c r="CR177" s="10"/>
      <c r="CS177" s="10"/>
      <c r="CT177" s="10"/>
      <c r="CU177" s="10"/>
      <c r="CV177" s="10"/>
      <c r="CW177" s="10"/>
      <c r="CX177" s="66"/>
      <c r="CY177" s="70">
        <f t="shared" si="23"/>
        <v>0</v>
      </c>
      <c r="CZ177" s="10"/>
      <c r="DA177" s="10"/>
      <c r="DB177" s="10"/>
      <c r="DC177" s="10"/>
      <c r="DD177" s="10"/>
      <c r="DE177" s="10"/>
      <c r="DF177" s="10"/>
      <c r="DG177" s="10"/>
      <c r="DH177" s="66"/>
      <c r="DI177" s="70">
        <f t="shared" si="24"/>
        <v>0</v>
      </c>
      <c r="DJ177" s="10"/>
      <c r="DK177" s="10"/>
      <c r="DL177" s="10"/>
      <c r="DM177" s="11">
        <f t="shared" si="25"/>
        <v>0</v>
      </c>
      <c r="DN177" s="10"/>
      <c r="DO177" s="10"/>
      <c r="DP177" s="10">
        <v>0</v>
      </c>
      <c r="DQ177" s="11">
        <f t="shared" si="26"/>
        <v>0</v>
      </c>
      <c r="DR177" s="10"/>
      <c r="DS177" s="10"/>
      <c r="DT177" s="11">
        <f t="shared" si="27"/>
        <v>0</v>
      </c>
      <c r="DU177" s="10"/>
      <c r="DV177" s="10"/>
      <c r="DW177" s="10">
        <v>2</v>
      </c>
      <c r="DX177" s="11">
        <f t="shared" si="28"/>
        <v>7.1999999999999993</v>
      </c>
      <c r="DY177" s="10"/>
      <c r="DZ177" s="11">
        <f t="shared" si="29"/>
        <v>0</v>
      </c>
      <c r="EA177" s="10"/>
      <c r="EB177" s="10"/>
    </row>
    <row r="178" spans="2:132" ht="16.5">
      <c r="B178" s="2">
        <v>166</v>
      </c>
      <c r="C178" s="66" t="s">
        <v>618</v>
      </c>
      <c r="D178" s="49"/>
      <c r="E178" s="71">
        <f t="shared" si="20"/>
        <v>13.2</v>
      </c>
      <c r="F178" s="66">
        <v>11</v>
      </c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67"/>
      <c r="AS178" s="10"/>
      <c r="AT178" s="10"/>
      <c r="AU178" s="10"/>
      <c r="AV178" s="10"/>
      <c r="AW178" s="10"/>
      <c r="AX178" s="10"/>
      <c r="AY178" s="10"/>
      <c r="AZ178" s="10"/>
      <c r="BA178" s="67"/>
      <c r="BB178" s="10"/>
      <c r="BC178" s="10"/>
      <c r="BD178" s="10"/>
      <c r="BE178" s="10"/>
      <c r="BF178" s="10">
        <v>0</v>
      </c>
      <c r="BG178" s="11">
        <f t="shared" si="21"/>
        <v>0</v>
      </c>
      <c r="BH178" s="10"/>
      <c r="BI178" s="10">
        <v>0</v>
      </c>
      <c r="BJ178" s="11">
        <f t="shared" si="22"/>
        <v>0</v>
      </c>
      <c r="BK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  <c r="CQ178" s="10"/>
      <c r="CR178" s="10"/>
      <c r="CS178" s="10"/>
      <c r="CT178" s="10"/>
      <c r="CU178" s="10"/>
      <c r="CV178" s="10"/>
      <c r="CW178" s="10"/>
      <c r="CX178" s="66"/>
      <c r="CY178" s="70">
        <f t="shared" si="23"/>
        <v>0</v>
      </c>
      <c r="CZ178" s="10"/>
      <c r="DA178" s="10"/>
      <c r="DB178" s="10"/>
      <c r="DC178" s="10"/>
      <c r="DD178" s="10"/>
      <c r="DE178" s="10"/>
      <c r="DF178" s="10"/>
      <c r="DG178" s="10"/>
      <c r="DH178" s="66"/>
      <c r="DI178" s="70">
        <f t="shared" si="24"/>
        <v>0</v>
      </c>
      <c r="DJ178" s="10"/>
      <c r="DK178" s="10"/>
      <c r="DL178" s="10"/>
      <c r="DM178" s="11">
        <f t="shared" si="25"/>
        <v>0</v>
      </c>
      <c r="DN178" s="10"/>
      <c r="DO178" s="10"/>
      <c r="DP178" s="10">
        <v>7</v>
      </c>
      <c r="DQ178" s="11">
        <f t="shared" si="26"/>
        <v>92.399999999999991</v>
      </c>
      <c r="DR178" s="10"/>
      <c r="DS178" s="10">
        <v>4</v>
      </c>
      <c r="DT178" s="11">
        <f t="shared" si="27"/>
        <v>52.8</v>
      </c>
      <c r="DU178" s="10"/>
      <c r="DV178" s="10"/>
      <c r="DW178" s="10"/>
      <c r="DX178" s="11">
        <f t="shared" si="28"/>
        <v>0</v>
      </c>
      <c r="DY178" s="10"/>
      <c r="DZ178" s="11">
        <f t="shared" si="29"/>
        <v>0</v>
      </c>
      <c r="EA178" s="10"/>
      <c r="EB178" s="10"/>
    </row>
    <row r="179" spans="2:132" ht="16.5">
      <c r="B179" s="2">
        <v>167</v>
      </c>
      <c r="C179" s="66" t="s">
        <v>619</v>
      </c>
      <c r="D179" s="49"/>
      <c r="E179" s="71">
        <f t="shared" si="20"/>
        <v>1.2</v>
      </c>
      <c r="F179" s="66">
        <v>1</v>
      </c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67"/>
      <c r="AS179" s="10"/>
      <c r="AT179" s="10"/>
      <c r="AU179" s="10"/>
      <c r="AV179" s="10"/>
      <c r="AW179" s="10"/>
      <c r="AX179" s="10"/>
      <c r="AY179" s="10"/>
      <c r="AZ179" s="10"/>
      <c r="BA179" s="67"/>
      <c r="BB179" s="10"/>
      <c r="BC179" s="10"/>
      <c r="BD179" s="10"/>
      <c r="BE179" s="10"/>
      <c r="BF179" s="10">
        <v>0</v>
      </c>
      <c r="BG179" s="11">
        <f t="shared" si="21"/>
        <v>0</v>
      </c>
      <c r="BH179" s="10"/>
      <c r="BI179" s="10">
        <v>0</v>
      </c>
      <c r="BJ179" s="11">
        <f t="shared" si="22"/>
        <v>0</v>
      </c>
      <c r="BK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  <c r="CQ179" s="10"/>
      <c r="CR179" s="10"/>
      <c r="CS179" s="10"/>
      <c r="CT179" s="10"/>
      <c r="CU179" s="10"/>
      <c r="CV179" s="10"/>
      <c r="CW179" s="10"/>
      <c r="CX179" s="66"/>
      <c r="CY179" s="70">
        <f t="shared" si="23"/>
        <v>0</v>
      </c>
      <c r="CZ179" s="10"/>
      <c r="DA179" s="10"/>
      <c r="DB179" s="10"/>
      <c r="DC179" s="10"/>
      <c r="DD179" s="10"/>
      <c r="DE179" s="10"/>
      <c r="DF179" s="10"/>
      <c r="DG179" s="10"/>
      <c r="DH179" s="66"/>
      <c r="DI179" s="70">
        <f t="shared" si="24"/>
        <v>0</v>
      </c>
      <c r="DJ179" s="10"/>
      <c r="DK179" s="10"/>
      <c r="DL179" s="10"/>
      <c r="DM179" s="11">
        <f t="shared" si="25"/>
        <v>0</v>
      </c>
      <c r="DN179" s="10"/>
      <c r="DO179" s="10"/>
      <c r="DP179" s="10">
        <v>0</v>
      </c>
      <c r="DQ179" s="11">
        <f t="shared" si="26"/>
        <v>0</v>
      </c>
      <c r="DR179" s="10"/>
      <c r="DS179" s="10"/>
      <c r="DT179" s="11">
        <f t="shared" si="27"/>
        <v>0</v>
      </c>
      <c r="DU179" s="10"/>
      <c r="DV179" s="10"/>
      <c r="DW179" s="10">
        <v>1</v>
      </c>
      <c r="DX179" s="11">
        <f t="shared" si="28"/>
        <v>1.2</v>
      </c>
      <c r="DY179" s="10"/>
      <c r="DZ179" s="11">
        <f t="shared" si="29"/>
        <v>0</v>
      </c>
      <c r="EA179" s="10"/>
      <c r="EB179" s="10"/>
    </row>
    <row r="180" spans="2:132" ht="16.5">
      <c r="B180" s="2">
        <v>168</v>
      </c>
      <c r="C180" s="66" t="s">
        <v>620</v>
      </c>
      <c r="D180" s="49"/>
      <c r="E180" s="71">
        <f t="shared" si="20"/>
        <v>2.4</v>
      </c>
      <c r="F180" s="66">
        <v>2</v>
      </c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67"/>
      <c r="AS180" s="10"/>
      <c r="AT180" s="10"/>
      <c r="AU180" s="10"/>
      <c r="AV180" s="10"/>
      <c r="AW180" s="10"/>
      <c r="AX180" s="10"/>
      <c r="AY180" s="10"/>
      <c r="AZ180" s="10"/>
      <c r="BA180" s="67"/>
      <c r="BB180" s="10"/>
      <c r="BC180" s="10"/>
      <c r="BD180" s="10"/>
      <c r="BE180" s="10"/>
      <c r="BF180" s="10">
        <v>0</v>
      </c>
      <c r="BG180" s="11">
        <f t="shared" si="21"/>
        <v>0</v>
      </c>
      <c r="BH180" s="10"/>
      <c r="BI180" s="10">
        <v>0</v>
      </c>
      <c r="BJ180" s="11">
        <f t="shared" si="22"/>
        <v>0</v>
      </c>
      <c r="BK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66"/>
      <c r="CY180" s="70">
        <f t="shared" si="23"/>
        <v>0</v>
      </c>
      <c r="CZ180" s="10"/>
      <c r="DA180" s="10"/>
      <c r="DB180" s="10"/>
      <c r="DC180" s="10"/>
      <c r="DD180" s="10"/>
      <c r="DE180" s="10"/>
      <c r="DF180" s="10"/>
      <c r="DG180" s="10"/>
      <c r="DH180" s="66"/>
      <c r="DI180" s="70">
        <f t="shared" si="24"/>
        <v>0</v>
      </c>
      <c r="DJ180" s="10"/>
      <c r="DK180" s="10"/>
      <c r="DL180" s="10"/>
      <c r="DM180" s="11">
        <f t="shared" si="25"/>
        <v>0</v>
      </c>
      <c r="DN180" s="10"/>
      <c r="DO180" s="10"/>
      <c r="DP180" s="10">
        <v>0</v>
      </c>
      <c r="DQ180" s="11">
        <f t="shared" si="26"/>
        <v>0</v>
      </c>
      <c r="DR180" s="10"/>
      <c r="DS180" s="10">
        <v>2</v>
      </c>
      <c r="DT180" s="11">
        <f t="shared" si="27"/>
        <v>4.8</v>
      </c>
      <c r="DU180" s="10"/>
      <c r="DV180" s="10"/>
      <c r="DW180" s="10"/>
      <c r="DX180" s="11">
        <f t="shared" si="28"/>
        <v>0</v>
      </c>
      <c r="DY180" s="10"/>
      <c r="DZ180" s="11">
        <f t="shared" si="29"/>
        <v>0</v>
      </c>
      <c r="EA180" s="10"/>
      <c r="EB180" s="10"/>
    </row>
    <row r="181" spans="2:132" ht="16.5">
      <c r="B181" s="2">
        <v>169</v>
      </c>
      <c r="C181" s="66" t="s">
        <v>621</v>
      </c>
      <c r="D181" s="49"/>
      <c r="E181" s="71">
        <f t="shared" si="20"/>
        <v>4.8</v>
      </c>
      <c r="F181" s="66">
        <v>4</v>
      </c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67"/>
      <c r="AS181" s="10"/>
      <c r="AT181" s="10"/>
      <c r="AU181" s="10"/>
      <c r="AV181" s="10"/>
      <c r="AW181" s="10"/>
      <c r="AX181" s="10"/>
      <c r="AY181" s="10"/>
      <c r="AZ181" s="10"/>
      <c r="BA181" s="67"/>
      <c r="BB181" s="10"/>
      <c r="BC181" s="10"/>
      <c r="BD181" s="10"/>
      <c r="BE181" s="10"/>
      <c r="BF181" s="10">
        <v>0</v>
      </c>
      <c r="BG181" s="11">
        <f t="shared" si="21"/>
        <v>0</v>
      </c>
      <c r="BH181" s="10"/>
      <c r="BI181" s="10">
        <v>0</v>
      </c>
      <c r="BJ181" s="11">
        <f t="shared" si="22"/>
        <v>0</v>
      </c>
      <c r="BK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66"/>
      <c r="CY181" s="70">
        <f t="shared" si="23"/>
        <v>0</v>
      </c>
      <c r="CZ181" s="10"/>
      <c r="DA181" s="10"/>
      <c r="DB181" s="10"/>
      <c r="DC181" s="10"/>
      <c r="DD181" s="10"/>
      <c r="DE181" s="10"/>
      <c r="DF181" s="10"/>
      <c r="DG181" s="10"/>
      <c r="DH181" s="66"/>
      <c r="DI181" s="70">
        <f t="shared" si="24"/>
        <v>0</v>
      </c>
      <c r="DJ181" s="10"/>
      <c r="DK181" s="10"/>
      <c r="DL181" s="10"/>
      <c r="DM181" s="11">
        <f t="shared" si="25"/>
        <v>0</v>
      </c>
      <c r="DN181" s="10"/>
      <c r="DO181" s="10"/>
      <c r="DP181" s="10">
        <v>0</v>
      </c>
      <c r="DQ181" s="11">
        <f t="shared" si="26"/>
        <v>0</v>
      </c>
      <c r="DR181" s="10"/>
      <c r="DS181" s="10">
        <v>4</v>
      </c>
      <c r="DT181" s="11">
        <f t="shared" si="27"/>
        <v>19.2</v>
      </c>
      <c r="DU181" s="10"/>
      <c r="DV181" s="10"/>
      <c r="DW181" s="10"/>
      <c r="DX181" s="11">
        <f t="shared" si="28"/>
        <v>0</v>
      </c>
      <c r="DY181" s="10"/>
      <c r="DZ181" s="11">
        <f t="shared" si="29"/>
        <v>0</v>
      </c>
      <c r="EA181" s="10"/>
      <c r="EB181" s="10"/>
    </row>
    <row r="182" spans="2:132" ht="16.5">
      <c r="B182" s="2">
        <v>170</v>
      </c>
      <c r="C182" s="66" t="s">
        <v>622</v>
      </c>
      <c r="D182" s="49"/>
      <c r="E182" s="71">
        <f t="shared" si="20"/>
        <v>2.4</v>
      </c>
      <c r="F182" s="66">
        <v>2</v>
      </c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67"/>
      <c r="AS182" s="10"/>
      <c r="AT182" s="10"/>
      <c r="AU182" s="10"/>
      <c r="AV182" s="10"/>
      <c r="AW182" s="10"/>
      <c r="AX182" s="10"/>
      <c r="AY182" s="10"/>
      <c r="AZ182" s="10"/>
      <c r="BA182" s="67"/>
      <c r="BB182" s="10"/>
      <c r="BC182" s="10"/>
      <c r="BD182" s="10"/>
      <c r="BE182" s="10"/>
      <c r="BF182" s="10">
        <v>0</v>
      </c>
      <c r="BG182" s="11">
        <f t="shared" si="21"/>
        <v>0</v>
      </c>
      <c r="BH182" s="10"/>
      <c r="BI182" s="10">
        <v>0</v>
      </c>
      <c r="BJ182" s="11">
        <f t="shared" si="22"/>
        <v>0</v>
      </c>
      <c r="BK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66"/>
      <c r="CY182" s="70">
        <f t="shared" si="23"/>
        <v>0</v>
      </c>
      <c r="CZ182" s="10"/>
      <c r="DA182" s="10"/>
      <c r="DB182" s="10"/>
      <c r="DC182" s="10"/>
      <c r="DD182" s="10"/>
      <c r="DE182" s="10"/>
      <c r="DF182" s="10"/>
      <c r="DG182" s="10"/>
      <c r="DH182" s="66"/>
      <c r="DI182" s="70">
        <f t="shared" si="24"/>
        <v>0</v>
      </c>
      <c r="DJ182" s="10"/>
      <c r="DK182" s="10"/>
      <c r="DL182" s="10"/>
      <c r="DM182" s="11">
        <f t="shared" si="25"/>
        <v>0</v>
      </c>
      <c r="DN182" s="10"/>
      <c r="DO182" s="10"/>
      <c r="DP182" s="10">
        <v>0</v>
      </c>
      <c r="DQ182" s="11">
        <f t="shared" si="26"/>
        <v>0</v>
      </c>
      <c r="DR182" s="10"/>
      <c r="DS182" s="10">
        <v>2</v>
      </c>
      <c r="DT182" s="11">
        <f t="shared" si="27"/>
        <v>4.8</v>
      </c>
      <c r="DU182" s="10"/>
      <c r="DV182" s="10"/>
      <c r="DW182" s="10"/>
      <c r="DX182" s="11">
        <f t="shared" si="28"/>
        <v>0</v>
      </c>
      <c r="DY182" s="10"/>
      <c r="DZ182" s="11">
        <f t="shared" si="29"/>
        <v>0</v>
      </c>
      <c r="EA182" s="10"/>
      <c r="EB182" s="10"/>
    </row>
    <row r="183" spans="2:132" ht="16.5">
      <c r="B183" s="2">
        <v>171</v>
      </c>
      <c r="C183" s="66" t="s">
        <v>623</v>
      </c>
      <c r="D183" s="49"/>
      <c r="E183" s="71">
        <f t="shared" si="20"/>
        <v>12</v>
      </c>
      <c r="F183" s="66">
        <v>10</v>
      </c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67"/>
      <c r="AS183" s="10"/>
      <c r="AT183" s="10"/>
      <c r="AU183" s="10"/>
      <c r="AV183" s="10"/>
      <c r="AW183" s="10"/>
      <c r="AX183" s="10"/>
      <c r="AY183" s="10"/>
      <c r="AZ183" s="10"/>
      <c r="BA183" s="67"/>
      <c r="BB183" s="10"/>
      <c r="BC183" s="10"/>
      <c r="BD183" s="10"/>
      <c r="BE183" s="10"/>
      <c r="BF183" s="10">
        <v>10</v>
      </c>
      <c r="BG183" s="11">
        <f t="shared" si="21"/>
        <v>120</v>
      </c>
      <c r="BH183" s="10"/>
      <c r="BI183" s="10">
        <v>0</v>
      </c>
      <c r="BJ183" s="11">
        <f t="shared" si="22"/>
        <v>0</v>
      </c>
      <c r="BK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66"/>
      <c r="CY183" s="70">
        <f t="shared" si="23"/>
        <v>0</v>
      </c>
      <c r="CZ183" s="10"/>
      <c r="DA183" s="10"/>
      <c r="DB183" s="10"/>
      <c r="DC183" s="10"/>
      <c r="DD183" s="10"/>
      <c r="DE183" s="10"/>
      <c r="DF183" s="10"/>
      <c r="DG183" s="10"/>
      <c r="DH183" s="66"/>
      <c r="DI183" s="70">
        <f t="shared" si="24"/>
        <v>0</v>
      </c>
      <c r="DJ183" s="10"/>
      <c r="DK183" s="10"/>
      <c r="DL183" s="10"/>
      <c r="DM183" s="11">
        <f t="shared" si="25"/>
        <v>0</v>
      </c>
      <c r="DN183" s="10"/>
      <c r="DO183" s="10"/>
      <c r="DP183" s="10">
        <v>0</v>
      </c>
      <c r="DQ183" s="11">
        <f t="shared" si="26"/>
        <v>0</v>
      </c>
      <c r="DR183" s="10"/>
      <c r="DS183" s="10"/>
      <c r="DT183" s="11">
        <f t="shared" si="27"/>
        <v>0</v>
      </c>
      <c r="DU183" s="10"/>
      <c r="DV183" s="10"/>
      <c r="DW183" s="10"/>
      <c r="DX183" s="11">
        <f t="shared" si="28"/>
        <v>0</v>
      </c>
      <c r="DY183" s="10"/>
      <c r="DZ183" s="11">
        <f t="shared" si="29"/>
        <v>0</v>
      </c>
      <c r="EA183" s="10"/>
      <c r="EB183" s="10"/>
    </row>
    <row r="184" spans="2:132" ht="16.5">
      <c r="B184" s="2">
        <v>172</v>
      </c>
      <c r="C184" s="66" t="s">
        <v>624</v>
      </c>
      <c r="D184" s="49"/>
      <c r="E184" s="71">
        <f t="shared" si="20"/>
        <v>110.39999999999999</v>
      </c>
      <c r="F184" s="66">
        <v>92</v>
      </c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67"/>
      <c r="AS184" s="10"/>
      <c r="AT184" s="10"/>
      <c r="AU184" s="10"/>
      <c r="AV184" s="10"/>
      <c r="AW184" s="10"/>
      <c r="AX184" s="10"/>
      <c r="AY184" s="10"/>
      <c r="AZ184" s="10"/>
      <c r="BA184" s="67"/>
      <c r="BB184" s="10"/>
      <c r="BC184" s="10"/>
      <c r="BD184" s="10"/>
      <c r="BE184" s="10"/>
      <c r="BF184" s="10">
        <v>3</v>
      </c>
      <c r="BG184" s="11">
        <f t="shared" si="21"/>
        <v>331.2</v>
      </c>
      <c r="BH184" s="10"/>
      <c r="BI184" s="10">
        <v>8</v>
      </c>
      <c r="BJ184" s="11">
        <f t="shared" si="22"/>
        <v>883.19999999999993</v>
      </c>
      <c r="BK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66">
        <v>30</v>
      </c>
      <c r="CY184" s="70">
        <f t="shared" si="23"/>
        <v>3311.9999999999995</v>
      </c>
      <c r="CZ184" s="10"/>
      <c r="DA184" s="10"/>
      <c r="DB184" s="10"/>
      <c r="DC184" s="10"/>
      <c r="DD184" s="10"/>
      <c r="DE184" s="10"/>
      <c r="DF184" s="10"/>
      <c r="DG184" s="10"/>
      <c r="DH184" s="66">
        <v>6</v>
      </c>
      <c r="DI184" s="70">
        <f t="shared" si="24"/>
        <v>662.4</v>
      </c>
      <c r="DJ184" s="10"/>
      <c r="DK184" s="10"/>
      <c r="DL184" s="10">
        <v>2</v>
      </c>
      <c r="DM184" s="11">
        <f t="shared" si="25"/>
        <v>220.79999999999998</v>
      </c>
      <c r="DN184" s="10"/>
      <c r="DO184" s="10"/>
      <c r="DP184" s="10">
        <v>36</v>
      </c>
      <c r="DQ184" s="11">
        <f t="shared" si="26"/>
        <v>3974.3999999999996</v>
      </c>
      <c r="DR184" s="10"/>
      <c r="DS184" s="10">
        <v>5</v>
      </c>
      <c r="DT184" s="11">
        <f t="shared" si="27"/>
        <v>552</v>
      </c>
      <c r="DU184" s="10"/>
      <c r="DV184" s="10"/>
      <c r="DW184" s="10">
        <v>1</v>
      </c>
      <c r="DX184" s="11">
        <f t="shared" si="28"/>
        <v>110.39999999999999</v>
      </c>
      <c r="DY184" s="10">
        <v>1</v>
      </c>
      <c r="DZ184" s="11">
        <f t="shared" si="29"/>
        <v>110.39999999999999</v>
      </c>
      <c r="EA184" s="10"/>
      <c r="EB184" s="10"/>
    </row>
    <row r="185" spans="2:132" ht="16.5">
      <c r="B185" s="2">
        <v>173</v>
      </c>
      <c r="C185" s="66" t="s">
        <v>625</v>
      </c>
      <c r="D185" s="49"/>
      <c r="E185" s="71">
        <f t="shared" si="20"/>
        <v>2.4</v>
      </c>
      <c r="F185" s="66">
        <v>2</v>
      </c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67"/>
      <c r="AS185" s="10"/>
      <c r="AT185" s="10"/>
      <c r="AU185" s="10"/>
      <c r="AV185" s="10"/>
      <c r="AW185" s="10"/>
      <c r="AX185" s="10"/>
      <c r="AY185" s="10"/>
      <c r="AZ185" s="10"/>
      <c r="BA185" s="67"/>
      <c r="BB185" s="10"/>
      <c r="BC185" s="10"/>
      <c r="BD185" s="10"/>
      <c r="BE185" s="10"/>
      <c r="BF185" s="10">
        <v>0</v>
      </c>
      <c r="BG185" s="11">
        <f t="shared" si="21"/>
        <v>0</v>
      </c>
      <c r="BH185" s="10"/>
      <c r="BI185" s="10">
        <v>0</v>
      </c>
      <c r="BJ185" s="11">
        <f t="shared" si="22"/>
        <v>0</v>
      </c>
      <c r="BK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0"/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66"/>
      <c r="CY185" s="70">
        <f t="shared" si="23"/>
        <v>0</v>
      </c>
      <c r="CZ185" s="10"/>
      <c r="DA185" s="10"/>
      <c r="DB185" s="10"/>
      <c r="DC185" s="10"/>
      <c r="DD185" s="10"/>
      <c r="DE185" s="10"/>
      <c r="DF185" s="10"/>
      <c r="DG185" s="10"/>
      <c r="DH185" s="66"/>
      <c r="DI185" s="70">
        <f t="shared" si="24"/>
        <v>0</v>
      </c>
      <c r="DJ185" s="10"/>
      <c r="DK185" s="10"/>
      <c r="DL185" s="10"/>
      <c r="DM185" s="11">
        <f t="shared" si="25"/>
        <v>0</v>
      </c>
      <c r="DN185" s="10"/>
      <c r="DO185" s="10"/>
      <c r="DP185" s="10">
        <v>1</v>
      </c>
      <c r="DQ185" s="11">
        <f t="shared" si="26"/>
        <v>2.4</v>
      </c>
      <c r="DR185" s="10"/>
      <c r="DS185" s="10"/>
      <c r="DT185" s="11">
        <f t="shared" si="27"/>
        <v>0</v>
      </c>
      <c r="DU185" s="10"/>
      <c r="DV185" s="10"/>
      <c r="DW185" s="10">
        <v>1</v>
      </c>
      <c r="DX185" s="11">
        <f t="shared" si="28"/>
        <v>2.4</v>
      </c>
      <c r="DY185" s="10"/>
      <c r="DZ185" s="11">
        <f t="shared" si="29"/>
        <v>0</v>
      </c>
      <c r="EA185" s="10"/>
      <c r="EB185" s="10"/>
    </row>
    <row r="186" spans="2:132" ht="16.5">
      <c r="B186" s="2">
        <v>174</v>
      </c>
      <c r="C186" s="66" t="s">
        <v>626</v>
      </c>
      <c r="D186" s="49"/>
      <c r="E186" s="71">
        <f t="shared" si="20"/>
        <v>1.2</v>
      </c>
      <c r="F186" s="66">
        <v>1</v>
      </c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67"/>
      <c r="AS186" s="10"/>
      <c r="AT186" s="10"/>
      <c r="AU186" s="10"/>
      <c r="AV186" s="10"/>
      <c r="AW186" s="10"/>
      <c r="AX186" s="10"/>
      <c r="AY186" s="10"/>
      <c r="AZ186" s="10"/>
      <c r="BA186" s="67"/>
      <c r="BB186" s="10"/>
      <c r="BC186" s="10"/>
      <c r="BD186" s="10"/>
      <c r="BE186" s="10"/>
      <c r="BF186" s="10">
        <v>0</v>
      </c>
      <c r="BG186" s="11">
        <f t="shared" si="21"/>
        <v>0</v>
      </c>
      <c r="BH186" s="10"/>
      <c r="BI186" s="10">
        <v>1</v>
      </c>
      <c r="BJ186" s="11">
        <f t="shared" si="22"/>
        <v>1.2</v>
      </c>
      <c r="BK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66"/>
      <c r="CY186" s="70">
        <f t="shared" si="23"/>
        <v>0</v>
      </c>
      <c r="CZ186" s="10"/>
      <c r="DA186" s="10"/>
      <c r="DB186" s="10"/>
      <c r="DC186" s="10"/>
      <c r="DD186" s="10"/>
      <c r="DE186" s="10"/>
      <c r="DF186" s="10"/>
      <c r="DG186" s="10"/>
      <c r="DH186" s="66"/>
      <c r="DI186" s="70">
        <f t="shared" si="24"/>
        <v>0</v>
      </c>
      <c r="DJ186" s="10"/>
      <c r="DK186" s="10"/>
      <c r="DL186" s="10"/>
      <c r="DM186" s="11">
        <f t="shared" si="25"/>
        <v>0</v>
      </c>
      <c r="DN186" s="10"/>
      <c r="DO186" s="10"/>
      <c r="DP186" s="10">
        <v>0</v>
      </c>
      <c r="DQ186" s="11">
        <f t="shared" si="26"/>
        <v>0</v>
      </c>
      <c r="DR186" s="10"/>
      <c r="DS186" s="10"/>
      <c r="DT186" s="11">
        <f t="shared" si="27"/>
        <v>0</v>
      </c>
      <c r="DU186" s="10"/>
      <c r="DV186" s="10"/>
      <c r="DW186" s="10"/>
      <c r="DX186" s="11">
        <f t="shared" si="28"/>
        <v>0</v>
      </c>
      <c r="DY186" s="10"/>
      <c r="DZ186" s="11">
        <f t="shared" si="29"/>
        <v>0</v>
      </c>
      <c r="EA186" s="10"/>
      <c r="EB186" s="10"/>
    </row>
    <row r="187" spans="2:132" ht="16.5">
      <c r="B187" s="2">
        <v>175</v>
      </c>
      <c r="C187" s="66" t="s">
        <v>627</v>
      </c>
      <c r="D187" s="49"/>
      <c r="E187" s="71">
        <f t="shared" si="20"/>
        <v>1.2</v>
      </c>
      <c r="F187" s="66">
        <v>1</v>
      </c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67"/>
      <c r="AS187" s="10"/>
      <c r="AT187" s="10"/>
      <c r="AU187" s="10"/>
      <c r="AV187" s="10"/>
      <c r="AW187" s="10"/>
      <c r="AX187" s="10"/>
      <c r="AY187" s="10"/>
      <c r="AZ187" s="10"/>
      <c r="BA187" s="67"/>
      <c r="BB187" s="10"/>
      <c r="BC187" s="10"/>
      <c r="BD187" s="10"/>
      <c r="BE187" s="10"/>
      <c r="BF187" s="10">
        <v>0</v>
      </c>
      <c r="BG187" s="11">
        <f t="shared" si="21"/>
        <v>0</v>
      </c>
      <c r="BH187" s="10"/>
      <c r="BI187" s="10">
        <v>0</v>
      </c>
      <c r="BJ187" s="11">
        <f t="shared" si="22"/>
        <v>0</v>
      </c>
      <c r="BK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66"/>
      <c r="CY187" s="70">
        <f t="shared" si="23"/>
        <v>0</v>
      </c>
      <c r="CZ187" s="10"/>
      <c r="DA187" s="10"/>
      <c r="DB187" s="10"/>
      <c r="DC187" s="10"/>
      <c r="DD187" s="10"/>
      <c r="DE187" s="10"/>
      <c r="DF187" s="10"/>
      <c r="DG187" s="10"/>
      <c r="DH187" s="66"/>
      <c r="DI187" s="70">
        <f t="shared" si="24"/>
        <v>0</v>
      </c>
      <c r="DJ187" s="10"/>
      <c r="DK187" s="10"/>
      <c r="DL187" s="10"/>
      <c r="DM187" s="11">
        <f t="shared" si="25"/>
        <v>0</v>
      </c>
      <c r="DN187" s="10"/>
      <c r="DO187" s="10"/>
      <c r="DP187" s="10">
        <v>0</v>
      </c>
      <c r="DQ187" s="11">
        <f t="shared" si="26"/>
        <v>0</v>
      </c>
      <c r="DR187" s="10"/>
      <c r="DS187" s="10">
        <v>1</v>
      </c>
      <c r="DT187" s="11">
        <f t="shared" si="27"/>
        <v>1.2</v>
      </c>
      <c r="DU187" s="10"/>
      <c r="DV187" s="10"/>
      <c r="DW187" s="10"/>
      <c r="DX187" s="11">
        <f t="shared" si="28"/>
        <v>0</v>
      </c>
      <c r="DY187" s="10"/>
      <c r="DZ187" s="11">
        <f t="shared" si="29"/>
        <v>0</v>
      </c>
      <c r="EA187" s="10"/>
      <c r="EB187" s="10"/>
    </row>
    <row r="188" spans="2:132" ht="16.5">
      <c r="B188" s="2">
        <v>176</v>
      </c>
      <c r="C188" s="66" t="s">
        <v>628</v>
      </c>
      <c r="D188" s="49"/>
      <c r="E188" s="71">
        <f t="shared" si="20"/>
        <v>1.2</v>
      </c>
      <c r="F188" s="66">
        <v>1</v>
      </c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67"/>
      <c r="AS188" s="10"/>
      <c r="AT188" s="10"/>
      <c r="AU188" s="10"/>
      <c r="AV188" s="10"/>
      <c r="AW188" s="10"/>
      <c r="AX188" s="10"/>
      <c r="AY188" s="10"/>
      <c r="AZ188" s="10"/>
      <c r="BA188" s="67"/>
      <c r="BB188" s="10"/>
      <c r="BC188" s="10"/>
      <c r="BD188" s="10"/>
      <c r="BE188" s="10"/>
      <c r="BF188" s="10">
        <v>0</v>
      </c>
      <c r="BG188" s="11">
        <f t="shared" si="21"/>
        <v>0</v>
      </c>
      <c r="BH188" s="10"/>
      <c r="BI188" s="10">
        <v>0</v>
      </c>
      <c r="BJ188" s="11">
        <f t="shared" si="22"/>
        <v>0</v>
      </c>
      <c r="BK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66"/>
      <c r="CY188" s="70">
        <f t="shared" si="23"/>
        <v>0</v>
      </c>
      <c r="CZ188" s="10"/>
      <c r="DA188" s="10"/>
      <c r="DB188" s="10"/>
      <c r="DC188" s="10"/>
      <c r="DD188" s="10"/>
      <c r="DE188" s="10"/>
      <c r="DF188" s="10"/>
      <c r="DG188" s="10"/>
      <c r="DH188" s="66"/>
      <c r="DI188" s="70">
        <f t="shared" si="24"/>
        <v>0</v>
      </c>
      <c r="DJ188" s="10"/>
      <c r="DK188" s="10"/>
      <c r="DL188" s="10"/>
      <c r="DM188" s="11">
        <f t="shared" si="25"/>
        <v>0</v>
      </c>
      <c r="DN188" s="10"/>
      <c r="DO188" s="10"/>
      <c r="DP188" s="10">
        <v>1</v>
      </c>
      <c r="DQ188" s="11">
        <f t="shared" si="26"/>
        <v>1.2</v>
      </c>
      <c r="DR188" s="10"/>
      <c r="DS188" s="10"/>
      <c r="DT188" s="11">
        <f t="shared" si="27"/>
        <v>0</v>
      </c>
      <c r="DU188" s="10"/>
      <c r="DV188" s="10"/>
      <c r="DW188" s="10"/>
      <c r="DX188" s="11">
        <f t="shared" si="28"/>
        <v>0</v>
      </c>
      <c r="DY188" s="10"/>
      <c r="DZ188" s="11">
        <f t="shared" si="29"/>
        <v>0</v>
      </c>
      <c r="EA188" s="10"/>
      <c r="EB188" s="10"/>
    </row>
    <row r="189" spans="2:132" ht="16.5">
      <c r="B189" s="2">
        <v>177</v>
      </c>
      <c r="C189" s="66" t="s">
        <v>629</v>
      </c>
      <c r="D189" s="49"/>
      <c r="E189" s="71">
        <f t="shared" si="20"/>
        <v>2.4</v>
      </c>
      <c r="F189" s="66">
        <v>2</v>
      </c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67"/>
      <c r="AS189" s="10"/>
      <c r="AT189" s="10"/>
      <c r="AU189" s="10"/>
      <c r="AV189" s="10"/>
      <c r="AW189" s="10"/>
      <c r="AX189" s="10"/>
      <c r="AY189" s="10"/>
      <c r="AZ189" s="10"/>
      <c r="BA189" s="67"/>
      <c r="BB189" s="10"/>
      <c r="BC189" s="10"/>
      <c r="BD189" s="10"/>
      <c r="BE189" s="10"/>
      <c r="BF189" s="10">
        <v>0</v>
      </c>
      <c r="BG189" s="11">
        <f t="shared" si="21"/>
        <v>0</v>
      </c>
      <c r="BH189" s="10"/>
      <c r="BI189" s="10">
        <v>0</v>
      </c>
      <c r="BJ189" s="11">
        <f t="shared" si="22"/>
        <v>0</v>
      </c>
      <c r="BK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66"/>
      <c r="CY189" s="70">
        <f t="shared" si="23"/>
        <v>0</v>
      </c>
      <c r="CZ189" s="10"/>
      <c r="DA189" s="10"/>
      <c r="DB189" s="10"/>
      <c r="DC189" s="10"/>
      <c r="DD189" s="10"/>
      <c r="DE189" s="10"/>
      <c r="DF189" s="10"/>
      <c r="DG189" s="10"/>
      <c r="DH189" s="66"/>
      <c r="DI189" s="70">
        <f t="shared" si="24"/>
        <v>0</v>
      </c>
      <c r="DJ189" s="10"/>
      <c r="DK189" s="10"/>
      <c r="DL189" s="10"/>
      <c r="DM189" s="11">
        <f t="shared" si="25"/>
        <v>0</v>
      </c>
      <c r="DN189" s="10"/>
      <c r="DO189" s="10"/>
      <c r="DP189" s="10">
        <v>0</v>
      </c>
      <c r="DQ189" s="11">
        <f t="shared" si="26"/>
        <v>0</v>
      </c>
      <c r="DR189" s="10"/>
      <c r="DS189" s="10">
        <v>2</v>
      </c>
      <c r="DT189" s="11">
        <f t="shared" si="27"/>
        <v>4.8</v>
      </c>
      <c r="DU189" s="10"/>
      <c r="DV189" s="10"/>
      <c r="DW189" s="10"/>
      <c r="DX189" s="11">
        <f t="shared" si="28"/>
        <v>0</v>
      </c>
      <c r="DY189" s="10"/>
      <c r="DZ189" s="11">
        <f t="shared" si="29"/>
        <v>0</v>
      </c>
      <c r="EA189" s="10"/>
      <c r="EB189" s="10"/>
    </row>
    <row r="190" spans="2:132" ht="16.5">
      <c r="B190" s="2">
        <v>178</v>
      </c>
      <c r="C190" s="66" t="s">
        <v>630</v>
      </c>
      <c r="D190" s="49"/>
      <c r="E190" s="71">
        <f t="shared" si="20"/>
        <v>7.1999999999999993</v>
      </c>
      <c r="F190" s="66">
        <v>6</v>
      </c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67"/>
      <c r="AS190" s="10"/>
      <c r="AT190" s="10"/>
      <c r="AU190" s="10"/>
      <c r="AV190" s="10"/>
      <c r="AW190" s="10"/>
      <c r="AX190" s="10"/>
      <c r="AY190" s="10"/>
      <c r="AZ190" s="10"/>
      <c r="BA190" s="67"/>
      <c r="BB190" s="10"/>
      <c r="BC190" s="10"/>
      <c r="BD190" s="10"/>
      <c r="BE190" s="10"/>
      <c r="BF190" s="10">
        <v>0</v>
      </c>
      <c r="BG190" s="11">
        <f t="shared" si="21"/>
        <v>0</v>
      </c>
      <c r="BH190" s="10"/>
      <c r="BI190" s="10">
        <v>3</v>
      </c>
      <c r="BJ190" s="11">
        <f t="shared" si="22"/>
        <v>21.599999999999998</v>
      </c>
      <c r="BK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66"/>
      <c r="CY190" s="70">
        <f t="shared" si="23"/>
        <v>0</v>
      </c>
      <c r="CZ190" s="10"/>
      <c r="DA190" s="10"/>
      <c r="DB190" s="10"/>
      <c r="DC190" s="10"/>
      <c r="DD190" s="10"/>
      <c r="DE190" s="10"/>
      <c r="DF190" s="10"/>
      <c r="DG190" s="10"/>
      <c r="DH190" s="66"/>
      <c r="DI190" s="70">
        <f t="shared" si="24"/>
        <v>0</v>
      </c>
      <c r="DJ190" s="10"/>
      <c r="DK190" s="10"/>
      <c r="DL190" s="10"/>
      <c r="DM190" s="11">
        <f t="shared" si="25"/>
        <v>0</v>
      </c>
      <c r="DN190" s="10"/>
      <c r="DO190" s="10"/>
      <c r="DP190" s="10">
        <v>1</v>
      </c>
      <c r="DQ190" s="11">
        <f t="shared" si="26"/>
        <v>7.1999999999999993</v>
      </c>
      <c r="DR190" s="10"/>
      <c r="DS190" s="10">
        <v>1</v>
      </c>
      <c r="DT190" s="11">
        <f t="shared" si="27"/>
        <v>7.1999999999999993</v>
      </c>
      <c r="DU190" s="10"/>
      <c r="DV190" s="10"/>
      <c r="DW190" s="10">
        <v>1</v>
      </c>
      <c r="DX190" s="11">
        <f t="shared" si="28"/>
        <v>7.1999999999999993</v>
      </c>
      <c r="DY190" s="10"/>
      <c r="DZ190" s="11">
        <f t="shared" si="29"/>
        <v>0</v>
      </c>
      <c r="EA190" s="10"/>
      <c r="EB190" s="10"/>
    </row>
    <row r="191" spans="2:132" ht="16.5">
      <c r="B191" s="2">
        <v>179</v>
      </c>
      <c r="C191" s="66" t="s">
        <v>631</v>
      </c>
      <c r="D191" s="49"/>
      <c r="E191" s="71">
        <f t="shared" si="20"/>
        <v>9.6</v>
      </c>
      <c r="F191" s="66">
        <v>8</v>
      </c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67"/>
      <c r="AS191" s="10"/>
      <c r="AT191" s="10"/>
      <c r="AU191" s="10"/>
      <c r="AV191" s="10"/>
      <c r="AW191" s="10"/>
      <c r="AX191" s="10"/>
      <c r="AY191" s="10"/>
      <c r="AZ191" s="10"/>
      <c r="BA191" s="67"/>
      <c r="BB191" s="10"/>
      <c r="BC191" s="10"/>
      <c r="BD191" s="10"/>
      <c r="BE191" s="10"/>
      <c r="BF191" s="10">
        <v>0</v>
      </c>
      <c r="BG191" s="11">
        <f t="shared" si="21"/>
        <v>0</v>
      </c>
      <c r="BH191" s="10"/>
      <c r="BI191" s="10">
        <v>3</v>
      </c>
      <c r="BJ191" s="11">
        <f t="shared" si="22"/>
        <v>28.799999999999997</v>
      </c>
      <c r="BK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66"/>
      <c r="CY191" s="70">
        <f t="shared" si="23"/>
        <v>0</v>
      </c>
      <c r="CZ191" s="10"/>
      <c r="DA191" s="10"/>
      <c r="DB191" s="10"/>
      <c r="DC191" s="10"/>
      <c r="DD191" s="10"/>
      <c r="DE191" s="10"/>
      <c r="DF191" s="10"/>
      <c r="DG191" s="10"/>
      <c r="DH191" s="66"/>
      <c r="DI191" s="70">
        <f t="shared" si="24"/>
        <v>0</v>
      </c>
      <c r="DJ191" s="10"/>
      <c r="DK191" s="10"/>
      <c r="DL191" s="10"/>
      <c r="DM191" s="11">
        <f t="shared" si="25"/>
        <v>0</v>
      </c>
      <c r="DN191" s="10"/>
      <c r="DO191" s="10"/>
      <c r="DP191" s="10">
        <v>2</v>
      </c>
      <c r="DQ191" s="11">
        <f t="shared" si="26"/>
        <v>19.2</v>
      </c>
      <c r="DR191" s="10"/>
      <c r="DS191" s="10">
        <v>1</v>
      </c>
      <c r="DT191" s="11">
        <f t="shared" si="27"/>
        <v>9.6</v>
      </c>
      <c r="DU191" s="10"/>
      <c r="DV191" s="10"/>
      <c r="DW191" s="10">
        <v>2</v>
      </c>
      <c r="DX191" s="11">
        <f t="shared" si="28"/>
        <v>19.2</v>
      </c>
      <c r="DY191" s="10"/>
      <c r="DZ191" s="11">
        <f t="shared" si="29"/>
        <v>0</v>
      </c>
      <c r="EA191" s="10"/>
      <c r="EB191" s="10"/>
    </row>
    <row r="192" spans="2:132" ht="16.5">
      <c r="B192" s="2">
        <v>180</v>
      </c>
      <c r="C192" s="66" t="s">
        <v>632</v>
      </c>
      <c r="D192" s="49"/>
      <c r="E192" s="71">
        <f t="shared" si="20"/>
        <v>100.8</v>
      </c>
      <c r="F192" s="66">
        <v>84</v>
      </c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67"/>
      <c r="AS192" s="10"/>
      <c r="AT192" s="10"/>
      <c r="AU192" s="10"/>
      <c r="AV192" s="10"/>
      <c r="AW192" s="10"/>
      <c r="AX192" s="10"/>
      <c r="AY192" s="10"/>
      <c r="AZ192" s="10"/>
      <c r="BA192" s="67"/>
      <c r="BB192" s="10"/>
      <c r="BC192" s="10"/>
      <c r="BD192" s="10"/>
      <c r="BE192" s="10"/>
      <c r="BF192" s="10">
        <v>1</v>
      </c>
      <c r="BG192" s="11">
        <f t="shared" si="21"/>
        <v>100.8</v>
      </c>
      <c r="BH192" s="10"/>
      <c r="BI192" s="10">
        <v>26</v>
      </c>
      <c r="BJ192" s="11">
        <f t="shared" si="22"/>
        <v>2620.7999999999997</v>
      </c>
      <c r="BK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66">
        <v>10</v>
      </c>
      <c r="CY192" s="70">
        <f t="shared" si="23"/>
        <v>1008</v>
      </c>
      <c r="CZ192" s="10"/>
      <c r="DA192" s="10"/>
      <c r="DB192" s="10"/>
      <c r="DC192" s="10"/>
      <c r="DD192" s="10"/>
      <c r="DE192" s="10"/>
      <c r="DF192" s="10"/>
      <c r="DG192" s="10"/>
      <c r="DH192" s="66">
        <v>8</v>
      </c>
      <c r="DI192" s="70">
        <f t="shared" si="24"/>
        <v>806.4</v>
      </c>
      <c r="DJ192" s="10"/>
      <c r="DK192" s="10"/>
      <c r="DL192" s="10"/>
      <c r="DM192" s="11">
        <f t="shared" si="25"/>
        <v>0</v>
      </c>
      <c r="DN192" s="10"/>
      <c r="DO192" s="10"/>
      <c r="DP192" s="10">
        <v>37</v>
      </c>
      <c r="DQ192" s="11">
        <f t="shared" si="26"/>
        <v>3729.6</v>
      </c>
      <c r="DR192" s="10"/>
      <c r="DS192" s="10">
        <v>1</v>
      </c>
      <c r="DT192" s="11">
        <f t="shared" si="27"/>
        <v>100.8</v>
      </c>
      <c r="DU192" s="10"/>
      <c r="DV192" s="10"/>
      <c r="DW192" s="10">
        <v>1</v>
      </c>
      <c r="DX192" s="11">
        <f t="shared" si="28"/>
        <v>100.8</v>
      </c>
      <c r="DY192" s="10"/>
      <c r="DZ192" s="11">
        <f t="shared" si="29"/>
        <v>0</v>
      </c>
      <c r="EA192" s="10"/>
      <c r="EB192" s="10"/>
    </row>
    <row r="193" spans="2:132" ht="16.5">
      <c r="B193" s="2">
        <v>181</v>
      </c>
      <c r="C193" s="66" t="s">
        <v>633</v>
      </c>
      <c r="D193" s="49"/>
      <c r="E193" s="71">
        <f t="shared" si="20"/>
        <v>15.6</v>
      </c>
      <c r="F193" s="66">
        <v>13</v>
      </c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67"/>
      <c r="AS193" s="10"/>
      <c r="AT193" s="10"/>
      <c r="AU193" s="10"/>
      <c r="AV193" s="10"/>
      <c r="AW193" s="10"/>
      <c r="AX193" s="10"/>
      <c r="AY193" s="10"/>
      <c r="AZ193" s="10"/>
      <c r="BA193" s="67"/>
      <c r="BB193" s="10"/>
      <c r="BC193" s="10"/>
      <c r="BD193" s="10"/>
      <c r="BE193" s="10"/>
      <c r="BF193" s="10">
        <v>2</v>
      </c>
      <c r="BG193" s="11">
        <f t="shared" si="21"/>
        <v>31.2</v>
      </c>
      <c r="BH193" s="10"/>
      <c r="BI193" s="10">
        <v>3</v>
      </c>
      <c r="BJ193" s="11">
        <f t="shared" si="22"/>
        <v>46.8</v>
      </c>
      <c r="BK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CX193" s="66"/>
      <c r="CY193" s="70">
        <f t="shared" si="23"/>
        <v>0</v>
      </c>
      <c r="CZ193" s="10"/>
      <c r="DA193" s="10"/>
      <c r="DB193" s="10"/>
      <c r="DC193" s="10"/>
      <c r="DD193" s="10"/>
      <c r="DE193" s="10"/>
      <c r="DF193" s="10"/>
      <c r="DG193" s="10"/>
      <c r="DH193" s="66"/>
      <c r="DI193" s="70">
        <f t="shared" si="24"/>
        <v>0</v>
      </c>
      <c r="DJ193" s="10"/>
      <c r="DK193" s="10"/>
      <c r="DL193" s="10"/>
      <c r="DM193" s="11">
        <f t="shared" si="25"/>
        <v>0</v>
      </c>
      <c r="DN193" s="10"/>
      <c r="DO193" s="10"/>
      <c r="DP193" s="10">
        <v>7</v>
      </c>
      <c r="DQ193" s="11">
        <f t="shared" si="26"/>
        <v>109.2</v>
      </c>
      <c r="DR193" s="10"/>
      <c r="DS193" s="10">
        <v>1</v>
      </c>
      <c r="DT193" s="11">
        <f t="shared" si="27"/>
        <v>15.6</v>
      </c>
      <c r="DU193" s="10"/>
      <c r="DV193" s="10"/>
      <c r="DW193" s="10"/>
      <c r="DX193" s="11">
        <f t="shared" si="28"/>
        <v>0</v>
      </c>
      <c r="DY193" s="10"/>
      <c r="DZ193" s="11">
        <f t="shared" si="29"/>
        <v>0</v>
      </c>
      <c r="EA193" s="10"/>
      <c r="EB193" s="10"/>
    </row>
    <row r="194" spans="2:132" ht="16.5">
      <c r="B194" s="2">
        <v>182</v>
      </c>
      <c r="C194" s="66" t="s">
        <v>634</v>
      </c>
      <c r="D194" s="49"/>
      <c r="E194" s="71">
        <f t="shared" si="20"/>
        <v>20.399999999999999</v>
      </c>
      <c r="F194" s="66">
        <v>17</v>
      </c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67"/>
      <c r="AS194" s="10"/>
      <c r="AT194" s="10"/>
      <c r="AU194" s="10"/>
      <c r="AV194" s="10"/>
      <c r="AW194" s="10"/>
      <c r="AX194" s="10"/>
      <c r="AY194" s="10"/>
      <c r="AZ194" s="10"/>
      <c r="BA194" s="67"/>
      <c r="BB194" s="10"/>
      <c r="BC194" s="10"/>
      <c r="BD194" s="10"/>
      <c r="BE194" s="10"/>
      <c r="BF194" s="10">
        <v>17</v>
      </c>
      <c r="BG194" s="11">
        <f t="shared" si="21"/>
        <v>346.79999999999995</v>
      </c>
      <c r="BH194" s="10"/>
      <c r="BI194" s="10">
        <v>0</v>
      </c>
      <c r="BJ194" s="11">
        <f t="shared" si="22"/>
        <v>0</v>
      </c>
      <c r="BK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66"/>
      <c r="CY194" s="70">
        <f t="shared" si="23"/>
        <v>0</v>
      </c>
      <c r="CZ194" s="10"/>
      <c r="DA194" s="10"/>
      <c r="DB194" s="10"/>
      <c r="DC194" s="10"/>
      <c r="DD194" s="10"/>
      <c r="DE194" s="10"/>
      <c r="DF194" s="10"/>
      <c r="DG194" s="10"/>
      <c r="DH194" s="66"/>
      <c r="DI194" s="70">
        <f t="shared" si="24"/>
        <v>0</v>
      </c>
      <c r="DJ194" s="10"/>
      <c r="DK194" s="10"/>
      <c r="DL194" s="10"/>
      <c r="DM194" s="11">
        <f t="shared" si="25"/>
        <v>0</v>
      </c>
      <c r="DN194" s="10"/>
      <c r="DO194" s="10"/>
      <c r="DP194" s="10">
        <v>0</v>
      </c>
      <c r="DQ194" s="11">
        <f t="shared" si="26"/>
        <v>0</v>
      </c>
      <c r="DR194" s="10"/>
      <c r="DS194" s="10"/>
      <c r="DT194" s="11">
        <f t="shared" si="27"/>
        <v>0</v>
      </c>
      <c r="DU194" s="10"/>
      <c r="DV194" s="10"/>
      <c r="DW194" s="10"/>
      <c r="DX194" s="11">
        <f t="shared" si="28"/>
        <v>0</v>
      </c>
      <c r="DY194" s="10"/>
      <c r="DZ194" s="11">
        <f t="shared" si="29"/>
        <v>0</v>
      </c>
      <c r="EA194" s="10"/>
      <c r="EB194" s="10"/>
    </row>
    <row r="195" spans="2:132" ht="16.5">
      <c r="B195" s="2">
        <v>183</v>
      </c>
      <c r="C195" s="66" t="s">
        <v>635</v>
      </c>
      <c r="D195" s="49"/>
      <c r="E195" s="71">
        <f t="shared" si="20"/>
        <v>4.8</v>
      </c>
      <c r="F195" s="66">
        <v>4</v>
      </c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67"/>
      <c r="AS195" s="10"/>
      <c r="AT195" s="10"/>
      <c r="AU195" s="10"/>
      <c r="AV195" s="10"/>
      <c r="AW195" s="10"/>
      <c r="AX195" s="10"/>
      <c r="AY195" s="10"/>
      <c r="AZ195" s="10"/>
      <c r="BA195" s="67"/>
      <c r="BB195" s="10"/>
      <c r="BC195" s="10"/>
      <c r="BD195" s="10"/>
      <c r="BE195" s="10"/>
      <c r="BF195" s="10">
        <v>0</v>
      </c>
      <c r="BG195" s="11">
        <f t="shared" si="21"/>
        <v>0</v>
      </c>
      <c r="BH195" s="10"/>
      <c r="BI195" s="10">
        <v>0</v>
      </c>
      <c r="BJ195" s="11">
        <f t="shared" si="22"/>
        <v>0</v>
      </c>
      <c r="BK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  <c r="CQ195" s="10"/>
      <c r="CR195" s="10"/>
      <c r="CS195" s="10"/>
      <c r="CT195" s="10"/>
      <c r="CU195" s="10"/>
      <c r="CV195" s="10"/>
      <c r="CW195" s="10"/>
      <c r="CX195" s="66">
        <v>1</v>
      </c>
      <c r="CY195" s="70">
        <f t="shared" si="23"/>
        <v>4.8</v>
      </c>
      <c r="CZ195" s="10"/>
      <c r="DA195" s="10"/>
      <c r="DB195" s="10"/>
      <c r="DC195" s="10"/>
      <c r="DD195" s="10"/>
      <c r="DE195" s="10"/>
      <c r="DF195" s="10"/>
      <c r="DG195" s="10"/>
      <c r="DH195" s="66">
        <v>1</v>
      </c>
      <c r="DI195" s="70">
        <f t="shared" si="24"/>
        <v>4.8</v>
      </c>
      <c r="DJ195" s="10"/>
      <c r="DK195" s="10"/>
      <c r="DL195" s="10"/>
      <c r="DM195" s="11">
        <f t="shared" si="25"/>
        <v>0</v>
      </c>
      <c r="DN195" s="10"/>
      <c r="DO195" s="10"/>
      <c r="DP195" s="10">
        <v>2</v>
      </c>
      <c r="DQ195" s="11">
        <f t="shared" si="26"/>
        <v>9.6</v>
      </c>
      <c r="DR195" s="10"/>
      <c r="DS195" s="10"/>
      <c r="DT195" s="11">
        <f t="shared" si="27"/>
        <v>0</v>
      </c>
      <c r="DU195" s="10"/>
      <c r="DV195" s="10"/>
      <c r="DW195" s="10"/>
      <c r="DX195" s="11">
        <f t="shared" si="28"/>
        <v>0</v>
      </c>
      <c r="DY195" s="10"/>
      <c r="DZ195" s="11">
        <f t="shared" si="29"/>
        <v>0</v>
      </c>
      <c r="EA195" s="10"/>
      <c r="EB195" s="10"/>
    </row>
    <row r="196" spans="2:132" ht="16.5">
      <c r="B196" s="2">
        <v>184</v>
      </c>
      <c r="C196" s="66" t="s">
        <v>636</v>
      </c>
      <c r="D196" s="49"/>
      <c r="E196" s="71">
        <f t="shared" si="20"/>
        <v>6</v>
      </c>
      <c r="F196" s="66">
        <v>5</v>
      </c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67"/>
      <c r="AS196" s="10"/>
      <c r="AT196" s="10"/>
      <c r="AU196" s="10"/>
      <c r="AV196" s="10"/>
      <c r="AW196" s="10"/>
      <c r="AX196" s="10"/>
      <c r="AY196" s="10"/>
      <c r="AZ196" s="10"/>
      <c r="BA196" s="67"/>
      <c r="BB196" s="10"/>
      <c r="BC196" s="10"/>
      <c r="BD196" s="10"/>
      <c r="BE196" s="10"/>
      <c r="BF196" s="10">
        <v>0</v>
      </c>
      <c r="BG196" s="11">
        <f t="shared" si="21"/>
        <v>0</v>
      </c>
      <c r="BH196" s="10"/>
      <c r="BI196" s="10">
        <v>0</v>
      </c>
      <c r="BJ196" s="11">
        <f t="shared" si="22"/>
        <v>0</v>
      </c>
      <c r="BK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  <c r="CQ196" s="10"/>
      <c r="CR196" s="10"/>
      <c r="CS196" s="10"/>
      <c r="CT196" s="10"/>
      <c r="CU196" s="10"/>
      <c r="CV196" s="10"/>
      <c r="CW196" s="10"/>
      <c r="CX196" s="66"/>
      <c r="CY196" s="70">
        <f t="shared" si="23"/>
        <v>0</v>
      </c>
      <c r="CZ196" s="10"/>
      <c r="DA196" s="10"/>
      <c r="DB196" s="10"/>
      <c r="DC196" s="10"/>
      <c r="DD196" s="10"/>
      <c r="DE196" s="10"/>
      <c r="DF196" s="10"/>
      <c r="DG196" s="10"/>
      <c r="DH196" s="66"/>
      <c r="DI196" s="70">
        <f t="shared" si="24"/>
        <v>0</v>
      </c>
      <c r="DJ196" s="10"/>
      <c r="DK196" s="10"/>
      <c r="DL196" s="10"/>
      <c r="DM196" s="11">
        <f t="shared" si="25"/>
        <v>0</v>
      </c>
      <c r="DN196" s="10"/>
      <c r="DO196" s="10"/>
      <c r="DP196" s="10">
        <v>5</v>
      </c>
      <c r="DQ196" s="11">
        <f t="shared" si="26"/>
        <v>30</v>
      </c>
      <c r="DR196" s="10"/>
      <c r="DS196" s="10"/>
      <c r="DT196" s="11">
        <f t="shared" si="27"/>
        <v>0</v>
      </c>
      <c r="DU196" s="10"/>
      <c r="DV196" s="10"/>
      <c r="DW196" s="10"/>
      <c r="DX196" s="11">
        <f t="shared" si="28"/>
        <v>0</v>
      </c>
      <c r="DY196" s="10"/>
      <c r="DZ196" s="11">
        <f t="shared" si="29"/>
        <v>0</v>
      </c>
      <c r="EA196" s="10"/>
      <c r="EB196" s="10"/>
    </row>
    <row r="197" spans="2:132" ht="16.5">
      <c r="B197" s="2">
        <v>185</v>
      </c>
      <c r="C197" s="66" t="s">
        <v>637</v>
      </c>
      <c r="D197" s="49"/>
      <c r="E197" s="71">
        <f t="shared" si="20"/>
        <v>3.5999999999999996</v>
      </c>
      <c r="F197" s="66">
        <v>3</v>
      </c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67"/>
      <c r="AS197" s="10"/>
      <c r="AT197" s="10"/>
      <c r="AU197" s="10"/>
      <c r="AV197" s="10"/>
      <c r="AW197" s="10"/>
      <c r="AX197" s="10"/>
      <c r="AY197" s="10"/>
      <c r="AZ197" s="10"/>
      <c r="BA197" s="67"/>
      <c r="BB197" s="10"/>
      <c r="BC197" s="10"/>
      <c r="BD197" s="10"/>
      <c r="BE197" s="10"/>
      <c r="BF197" s="10">
        <v>3</v>
      </c>
      <c r="BG197" s="11">
        <f t="shared" si="21"/>
        <v>10.799999999999999</v>
      </c>
      <c r="BH197" s="10"/>
      <c r="BI197" s="10">
        <v>0</v>
      </c>
      <c r="BJ197" s="11">
        <f t="shared" si="22"/>
        <v>0</v>
      </c>
      <c r="BK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  <c r="CQ197" s="10"/>
      <c r="CR197" s="10"/>
      <c r="CS197" s="10"/>
      <c r="CT197" s="10"/>
      <c r="CU197" s="10"/>
      <c r="CV197" s="10"/>
      <c r="CW197" s="10"/>
      <c r="CX197" s="66"/>
      <c r="CY197" s="70">
        <f t="shared" si="23"/>
        <v>0</v>
      </c>
      <c r="CZ197" s="10"/>
      <c r="DA197" s="10"/>
      <c r="DB197" s="10"/>
      <c r="DC197" s="10"/>
      <c r="DD197" s="10"/>
      <c r="DE197" s="10"/>
      <c r="DF197" s="10"/>
      <c r="DG197" s="10"/>
      <c r="DH197" s="66"/>
      <c r="DI197" s="70">
        <f t="shared" si="24"/>
        <v>0</v>
      </c>
      <c r="DJ197" s="10"/>
      <c r="DK197" s="10"/>
      <c r="DL197" s="10"/>
      <c r="DM197" s="11">
        <f t="shared" si="25"/>
        <v>0</v>
      </c>
      <c r="DN197" s="10"/>
      <c r="DO197" s="10"/>
      <c r="DP197" s="10">
        <v>0</v>
      </c>
      <c r="DQ197" s="11">
        <f t="shared" si="26"/>
        <v>0</v>
      </c>
      <c r="DR197" s="10"/>
      <c r="DS197" s="10"/>
      <c r="DT197" s="11">
        <f t="shared" si="27"/>
        <v>0</v>
      </c>
      <c r="DU197" s="10"/>
      <c r="DV197" s="10"/>
      <c r="DW197" s="10"/>
      <c r="DX197" s="11">
        <f t="shared" si="28"/>
        <v>0</v>
      </c>
      <c r="DY197" s="10"/>
      <c r="DZ197" s="11">
        <f t="shared" si="29"/>
        <v>0</v>
      </c>
      <c r="EA197" s="10"/>
      <c r="EB197" s="10"/>
    </row>
    <row r="198" spans="2:132" ht="16.5">
      <c r="B198" s="2">
        <v>186</v>
      </c>
      <c r="C198" s="66" t="s">
        <v>638</v>
      </c>
      <c r="D198" s="49"/>
      <c r="E198" s="71">
        <f t="shared" si="20"/>
        <v>3.5999999999999996</v>
      </c>
      <c r="F198" s="66">
        <v>3</v>
      </c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67"/>
      <c r="AS198" s="10"/>
      <c r="AT198" s="10"/>
      <c r="AU198" s="10"/>
      <c r="AV198" s="10"/>
      <c r="AW198" s="10"/>
      <c r="AX198" s="10"/>
      <c r="AY198" s="10"/>
      <c r="AZ198" s="10"/>
      <c r="BA198" s="67"/>
      <c r="BB198" s="10"/>
      <c r="BC198" s="10"/>
      <c r="BD198" s="10"/>
      <c r="BE198" s="10"/>
      <c r="BF198" s="10">
        <v>0</v>
      </c>
      <c r="BG198" s="11">
        <f t="shared" si="21"/>
        <v>0</v>
      </c>
      <c r="BH198" s="10"/>
      <c r="BI198" s="10">
        <v>3</v>
      </c>
      <c r="BJ198" s="11">
        <f t="shared" si="22"/>
        <v>10.799999999999999</v>
      </c>
      <c r="BK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  <c r="CQ198" s="10"/>
      <c r="CR198" s="10"/>
      <c r="CS198" s="10"/>
      <c r="CT198" s="10"/>
      <c r="CU198" s="10"/>
      <c r="CV198" s="10"/>
      <c r="CW198" s="10"/>
      <c r="CX198" s="66"/>
      <c r="CY198" s="70">
        <f t="shared" si="23"/>
        <v>0</v>
      </c>
      <c r="CZ198" s="10"/>
      <c r="DA198" s="10"/>
      <c r="DB198" s="10"/>
      <c r="DC198" s="10"/>
      <c r="DD198" s="10"/>
      <c r="DE198" s="10"/>
      <c r="DF198" s="10"/>
      <c r="DG198" s="10"/>
      <c r="DH198" s="66"/>
      <c r="DI198" s="70">
        <f t="shared" si="24"/>
        <v>0</v>
      </c>
      <c r="DJ198" s="10"/>
      <c r="DK198" s="10"/>
      <c r="DL198" s="10"/>
      <c r="DM198" s="11">
        <f t="shared" si="25"/>
        <v>0</v>
      </c>
      <c r="DN198" s="10"/>
      <c r="DO198" s="10"/>
      <c r="DP198" s="10">
        <v>0</v>
      </c>
      <c r="DQ198" s="11">
        <f t="shared" si="26"/>
        <v>0</v>
      </c>
      <c r="DR198" s="10"/>
      <c r="DS198" s="10"/>
      <c r="DT198" s="11">
        <f t="shared" si="27"/>
        <v>0</v>
      </c>
      <c r="DU198" s="10"/>
      <c r="DV198" s="10"/>
      <c r="DW198" s="10"/>
      <c r="DX198" s="11">
        <f t="shared" si="28"/>
        <v>0</v>
      </c>
      <c r="DY198" s="10"/>
      <c r="DZ198" s="11">
        <f t="shared" si="29"/>
        <v>0</v>
      </c>
      <c r="EA198" s="10"/>
      <c r="EB198" s="10"/>
    </row>
    <row r="199" spans="2:132" ht="16.5">
      <c r="B199" s="2">
        <v>187</v>
      </c>
      <c r="C199" s="66" t="s">
        <v>639</v>
      </c>
      <c r="D199" s="49"/>
      <c r="E199" s="71">
        <f t="shared" si="20"/>
        <v>3.5999999999999996</v>
      </c>
      <c r="F199" s="66">
        <v>3</v>
      </c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67"/>
      <c r="AS199" s="10"/>
      <c r="AT199" s="10"/>
      <c r="AU199" s="10"/>
      <c r="AV199" s="10"/>
      <c r="AW199" s="10"/>
      <c r="AX199" s="10"/>
      <c r="AY199" s="10"/>
      <c r="AZ199" s="10"/>
      <c r="BA199" s="67"/>
      <c r="BB199" s="10"/>
      <c r="BC199" s="10"/>
      <c r="BD199" s="10"/>
      <c r="BE199" s="10"/>
      <c r="BF199" s="10">
        <v>0</v>
      </c>
      <c r="BG199" s="11">
        <f t="shared" si="21"/>
        <v>0</v>
      </c>
      <c r="BH199" s="10"/>
      <c r="BI199" s="10">
        <v>3</v>
      </c>
      <c r="BJ199" s="11">
        <f t="shared" si="22"/>
        <v>10.799999999999999</v>
      </c>
      <c r="BK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66"/>
      <c r="CY199" s="70">
        <f t="shared" si="23"/>
        <v>0</v>
      </c>
      <c r="CZ199" s="10"/>
      <c r="DA199" s="10"/>
      <c r="DB199" s="10"/>
      <c r="DC199" s="10"/>
      <c r="DD199" s="10"/>
      <c r="DE199" s="10"/>
      <c r="DF199" s="10"/>
      <c r="DG199" s="10"/>
      <c r="DH199" s="66"/>
      <c r="DI199" s="70">
        <f t="shared" si="24"/>
        <v>0</v>
      </c>
      <c r="DJ199" s="10"/>
      <c r="DK199" s="10"/>
      <c r="DL199" s="10"/>
      <c r="DM199" s="11">
        <f t="shared" si="25"/>
        <v>0</v>
      </c>
      <c r="DN199" s="10"/>
      <c r="DO199" s="10"/>
      <c r="DP199" s="10">
        <v>0</v>
      </c>
      <c r="DQ199" s="11">
        <f t="shared" si="26"/>
        <v>0</v>
      </c>
      <c r="DR199" s="10"/>
      <c r="DS199" s="10"/>
      <c r="DT199" s="11">
        <f t="shared" si="27"/>
        <v>0</v>
      </c>
      <c r="DU199" s="10"/>
      <c r="DV199" s="10"/>
      <c r="DW199" s="10"/>
      <c r="DX199" s="11">
        <f t="shared" si="28"/>
        <v>0</v>
      </c>
      <c r="DY199" s="10"/>
      <c r="DZ199" s="11">
        <f t="shared" si="29"/>
        <v>0</v>
      </c>
      <c r="EA199" s="10"/>
      <c r="EB199" s="10"/>
    </row>
    <row r="200" spans="2:132" ht="16.5">
      <c r="B200" s="2">
        <v>188</v>
      </c>
      <c r="C200" s="66" t="s">
        <v>640</v>
      </c>
      <c r="D200" s="49"/>
      <c r="E200" s="71">
        <f t="shared" si="20"/>
        <v>1.2</v>
      </c>
      <c r="F200" s="66">
        <v>1</v>
      </c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67"/>
      <c r="AS200" s="10"/>
      <c r="AT200" s="10"/>
      <c r="AU200" s="10"/>
      <c r="AV200" s="10"/>
      <c r="AW200" s="10"/>
      <c r="AX200" s="10"/>
      <c r="AY200" s="10"/>
      <c r="AZ200" s="10"/>
      <c r="BA200" s="67"/>
      <c r="BB200" s="10"/>
      <c r="BC200" s="10"/>
      <c r="BD200" s="10"/>
      <c r="BE200" s="10"/>
      <c r="BF200" s="10">
        <v>0</v>
      </c>
      <c r="BG200" s="11">
        <f t="shared" si="21"/>
        <v>0</v>
      </c>
      <c r="BH200" s="10"/>
      <c r="BI200" s="10">
        <v>0</v>
      </c>
      <c r="BJ200" s="11">
        <f t="shared" si="22"/>
        <v>0</v>
      </c>
      <c r="BK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  <c r="CQ200" s="10"/>
      <c r="CR200" s="10"/>
      <c r="CS200" s="10"/>
      <c r="CT200" s="10"/>
      <c r="CU200" s="10"/>
      <c r="CV200" s="10"/>
      <c r="CW200" s="10"/>
      <c r="CX200" s="66"/>
      <c r="CY200" s="70">
        <f t="shared" si="23"/>
        <v>0</v>
      </c>
      <c r="CZ200" s="10"/>
      <c r="DA200" s="10"/>
      <c r="DB200" s="10"/>
      <c r="DC200" s="10"/>
      <c r="DD200" s="10"/>
      <c r="DE200" s="10"/>
      <c r="DF200" s="10"/>
      <c r="DG200" s="10"/>
      <c r="DH200" s="66"/>
      <c r="DI200" s="70">
        <f t="shared" si="24"/>
        <v>0</v>
      </c>
      <c r="DJ200" s="10"/>
      <c r="DK200" s="10"/>
      <c r="DL200" s="10"/>
      <c r="DM200" s="11">
        <f t="shared" si="25"/>
        <v>0</v>
      </c>
      <c r="DN200" s="10"/>
      <c r="DO200" s="10"/>
      <c r="DP200" s="10">
        <v>0</v>
      </c>
      <c r="DQ200" s="11">
        <f t="shared" si="26"/>
        <v>0</v>
      </c>
      <c r="DR200" s="10"/>
      <c r="DS200" s="10">
        <v>1</v>
      </c>
      <c r="DT200" s="11">
        <f t="shared" si="27"/>
        <v>1.2</v>
      </c>
      <c r="DU200" s="10"/>
      <c r="DV200" s="10"/>
      <c r="DW200" s="10"/>
      <c r="DX200" s="11">
        <f t="shared" si="28"/>
        <v>0</v>
      </c>
      <c r="DY200" s="10"/>
      <c r="DZ200" s="11">
        <f t="shared" si="29"/>
        <v>0</v>
      </c>
      <c r="EA200" s="10"/>
      <c r="EB200" s="10"/>
    </row>
    <row r="201" spans="2:132" ht="16.5">
      <c r="B201" s="2">
        <v>189</v>
      </c>
      <c r="C201" s="66" t="s">
        <v>641</v>
      </c>
      <c r="D201" s="49"/>
      <c r="E201" s="71">
        <f t="shared" si="20"/>
        <v>2.4</v>
      </c>
      <c r="F201" s="66">
        <v>2</v>
      </c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67"/>
      <c r="AS201" s="10"/>
      <c r="AT201" s="10"/>
      <c r="AU201" s="10"/>
      <c r="AV201" s="10"/>
      <c r="AW201" s="10"/>
      <c r="AX201" s="10"/>
      <c r="AY201" s="10"/>
      <c r="AZ201" s="10"/>
      <c r="BA201" s="67"/>
      <c r="BB201" s="10"/>
      <c r="BC201" s="10"/>
      <c r="BD201" s="10"/>
      <c r="BE201" s="10"/>
      <c r="BF201" s="10">
        <v>2</v>
      </c>
      <c r="BG201" s="11">
        <f t="shared" si="21"/>
        <v>4.8</v>
      </c>
      <c r="BH201" s="10"/>
      <c r="BI201" s="10">
        <v>0</v>
      </c>
      <c r="BJ201" s="11">
        <f t="shared" si="22"/>
        <v>0</v>
      </c>
      <c r="BK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  <c r="CD201" s="10"/>
      <c r="CE201" s="10"/>
      <c r="CF201" s="10"/>
      <c r="CG201" s="10"/>
      <c r="CH201" s="10"/>
      <c r="CI201" s="10"/>
      <c r="CJ201" s="10"/>
      <c r="CK201" s="10"/>
      <c r="CL201" s="10"/>
      <c r="CM201" s="10"/>
      <c r="CN201" s="10"/>
      <c r="CO201" s="10"/>
      <c r="CP201" s="10"/>
      <c r="CQ201" s="10"/>
      <c r="CR201" s="10"/>
      <c r="CS201" s="10"/>
      <c r="CT201" s="10"/>
      <c r="CU201" s="10"/>
      <c r="CV201" s="10"/>
      <c r="CW201" s="10"/>
      <c r="CX201" s="66"/>
      <c r="CY201" s="70">
        <f t="shared" si="23"/>
        <v>0</v>
      </c>
      <c r="CZ201" s="10"/>
      <c r="DA201" s="10"/>
      <c r="DB201" s="10"/>
      <c r="DC201" s="10"/>
      <c r="DD201" s="10"/>
      <c r="DE201" s="10"/>
      <c r="DF201" s="10"/>
      <c r="DG201" s="10"/>
      <c r="DH201" s="66"/>
      <c r="DI201" s="70">
        <f t="shared" si="24"/>
        <v>0</v>
      </c>
      <c r="DJ201" s="10"/>
      <c r="DK201" s="10"/>
      <c r="DL201" s="10"/>
      <c r="DM201" s="11">
        <f t="shared" si="25"/>
        <v>0</v>
      </c>
      <c r="DN201" s="10"/>
      <c r="DO201" s="10"/>
      <c r="DP201" s="10">
        <v>0</v>
      </c>
      <c r="DQ201" s="11">
        <f t="shared" si="26"/>
        <v>0</v>
      </c>
      <c r="DR201" s="10"/>
      <c r="DS201" s="10"/>
      <c r="DT201" s="11">
        <f t="shared" si="27"/>
        <v>0</v>
      </c>
      <c r="DU201" s="10"/>
      <c r="DV201" s="10"/>
      <c r="DW201" s="10"/>
      <c r="DX201" s="11">
        <f t="shared" si="28"/>
        <v>0</v>
      </c>
      <c r="DY201" s="10"/>
      <c r="DZ201" s="11">
        <f t="shared" si="29"/>
        <v>0</v>
      </c>
      <c r="EA201" s="10"/>
      <c r="EB201" s="10"/>
    </row>
    <row r="202" spans="2:132" ht="16.5">
      <c r="B202" s="2">
        <v>190</v>
      </c>
      <c r="C202" s="66" t="s">
        <v>642</v>
      </c>
      <c r="D202" s="49"/>
      <c r="E202" s="71">
        <f t="shared" si="20"/>
        <v>1.2</v>
      </c>
      <c r="F202" s="66">
        <v>1</v>
      </c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67"/>
      <c r="AS202" s="10"/>
      <c r="AT202" s="10"/>
      <c r="AU202" s="10"/>
      <c r="AV202" s="10"/>
      <c r="AW202" s="10"/>
      <c r="AX202" s="10"/>
      <c r="AY202" s="10"/>
      <c r="AZ202" s="10"/>
      <c r="BA202" s="67"/>
      <c r="BB202" s="10"/>
      <c r="BC202" s="10"/>
      <c r="BD202" s="10"/>
      <c r="BE202" s="10"/>
      <c r="BF202" s="10">
        <v>0</v>
      </c>
      <c r="BG202" s="11">
        <f t="shared" si="21"/>
        <v>0</v>
      </c>
      <c r="BH202" s="10"/>
      <c r="BI202" s="10">
        <v>0</v>
      </c>
      <c r="BJ202" s="11">
        <f t="shared" si="22"/>
        <v>0</v>
      </c>
      <c r="BK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  <c r="CG202" s="10"/>
      <c r="CH202" s="10"/>
      <c r="CI202" s="10"/>
      <c r="CJ202" s="10"/>
      <c r="CK202" s="10"/>
      <c r="CL202" s="10"/>
      <c r="CM202" s="10"/>
      <c r="CN202" s="10"/>
      <c r="CO202" s="10"/>
      <c r="CP202" s="10"/>
      <c r="CQ202" s="10"/>
      <c r="CR202" s="10"/>
      <c r="CS202" s="10"/>
      <c r="CT202" s="10"/>
      <c r="CU202" s="10"/>
      <c r="CV202" s="10"/>
      <c r="CW202" s="10"/>
      <c r="CX202" s="66"/>
      <c r="CY202" s="70">
        <f t="shared" si="23"/>
        <v>0</v>
      </c>
      <c r="CZ202" s="10"/>
      <c r="DA202" s="10"/>
      <c r="DB202" s="10"/>
      <c r="DC202" s="10"/>
      <c r="DD202" s="10"/>
      <c r="DE202" s="10"/>
      <c r="DF202" s="10"/>
      <c r="DG202" s="10"/>
      <c r="DH202" s="66"/>
      <c r="DI202" s="70">
        <f t="shared" si="24"/>
        <v>0</v>
      </c>
      <c r="DJ202" s="10"/>
      <c r="DK202" s="10"/>
      <c r="DL202" s="10"/>
      <c r="DM202" s="11">
        <f t="shared" si="25"/>
        <v>0</v>
      </c>
      <c r="DN202" s="10"/>
      <c r="DO202" s="10"/>
      <c r="DP202" s="10">
        <v>1</v>
      </c>
      <c r="DQ202" s="11">
        <f t="shared" si="26"/>
        <v>1.2</v>
      </c>
      <c r="DR202" s="10"/>
      <c r="DS202" s="10"/>
      <c r="DT202" s="11">
        <f t="shared" si="27"/>
        <v>0</v>
      </c>
      <c r="DU202" s="10"/>
      <c r="DV202" s="10"/>
      <c r="DW202" s="10"/>
      <c r="DX202" s="11">
        <f t="shared" si="28"/>
        <v>0</v>
      </c>
      <c r="DY202" s="10"/>
      <c r="DZ202" s="11">
        <f t="shared" si="29"/>
        <v>0</v>
      </c>
      <c r="EA202" s="10"/>
      <c r="EB202" s="10"/>
    </row>
    <row r="203" spans="2:132" ht="16.5">
      <c r="B203" s="2">
        <v>191</v>
      </c>
      <c r="C203" s="66" t="s">
        <v>643</v>
      </c>
      <c r="D203" s="49"/>
      <c r="E203" s="71">
        <f t="shared" si="20"/>
        <v>82.8</v>
      </c>
      <c r="F203" s="66">
        <v>69</v>
      </c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67"/>
      <c r="AS203" s="10"/>
      <c r="AT203" s="10"/>
      <c r="AU203" s="10"/>
      <c r="AV203" s="10"/>
      <c r="AW203" s="10"/>
      <c r="AX203" s="10"/>
      <c r="AY203" s="10"/>
      <c r="AZ203" s="10"/>
      <c r="BA203" s="67"/>
      <c r="BB203" s="10"/>
      <c r="BC203" s="10"/>
      <c r="BD203" s="10"/>
      <c r="BE203" s="10"/>
      <c r="BF203" s="10">
        <v>0</v>
      </c>
      <c r="BG203" s="11">
        <f t="shared" si="21"/>
        <v>0</v>
      </c>
      <c r="BH203" s="10"/>
      <c r="BI203" s="10">
        <v>35</v>
      </c>
      <c r="BJ203" s="11">
        <f t="shared" si="22"/>
        <v>2898</v>
      </c>
      <c r="BK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  <c r="CG203" s="10"/>
      <c r="CH203" s="10"/>
      <c r="CI203" s="10"/>
      <c r="CJ203" s="10"/>
      <c r="CK203" s="10"/>
      <c r="CL203" s="10"/>
      <c r="CM203" s="10"/>
      <c r="CN203" s="10"/>
      <c r="CO203" s="10"/>
      <c r="CP203" s="10"/>
      <c r="CQ203" s="10"/>
      <c r="CR203" s="10"/>
      <c r="CS203" s="10"/>
      <c r="CT203" s="10"/>
      <c r="CU203" s="10"/>
      <c r="CV203" s="10"/>
      <c r="CW203" s="10"/>
      <c r="CX203" s="66">
        <v>4</v>
      </c>
      <c r="CY203" s="70">
        <f t="shared" si="23"/>
        <v>331.2</v>
      </c>
      <c r="CZ203" s="10"/>
      <c r="DA203" s="10"/>
      <c r="DB203" s="10"/>
      <c r="DC203" s="10"/>
      <c r="DD203" s="10"/>
      <c r="DE203" s="10"/>
      <c r="DF203" s="10"/>
      <c r="DG203" s="10"/>
      <c r="DH203" s="66"/>
      <c r="DI203" s="70">
        <f t="shared" si="24"/>
        <v>0</v>
      </c>
      <c r="DJ203" s="10"/>
      <c r="DK203" s="10"/>
      <c r="DL203" s="10"/>
      <c r="DM203" s="11">
        <f t="shared" si="25"/>
        <v>0</v>
      </c>
      <c r="DN203" s="10"/>
      <c r="DO203" s="10"/>
      <c r="DP203" s="10">
        <v>16</v>
      </c>
      <c r="DQ203" s="11">
        <f t="shared" si="26"/>
        <v>1324.8</v>
      </c>
      <c r="DR203" s="10"/>
      <c r="DS203" s="10">
        <v>14</v>
      </c>
      <c r="DT203" s="11">
        <f t="shared" si="27"/>
        <v>1159.2</v>
      </c>
      <c r="DU203" s="10"/>
      <c r="DV203" s="10"/>
      <c r="DW203" s="10"/>
      <c r="DX203" s="11">
        <f t="shared" si="28"/>
        <v>0</v>
      </c>
      <c r="DY203" s="10"/>
      <c r="DZ203" s="11">
        <f t="shared" si="29"/>
        <v>0</v>
      </c>
      <c r="EA203" s="10"/>
      <c r="EB203" s="10"/>
    </row>
    <row r="204" spans="2:132" ht="16.5">
      <c r="B204" s="2">
        <v>192</v>
      </c>
      <c r="C204" s="66" t="s">
        <v>644</v>
      </c>
      <c r="D204" s="49"/>
      <c r="E204" s="71">
        <f t="shared" si="20"/>
        <v>24</v>
      </c>
      <c r="F204" s="66">
        <v>20</v>
      </c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67"/>
      <c r="AS204" s="10"/>
      <c r="AT204" s="10"/>
      <c r="AU204" s="10"/>
      <c r="AV204" s="10"/>
      <c r="AW204" s="10"/>
      <c r="AX204" s="10"/>
      <c r="AY204" s="10"/>
      <c r="AZ204" s="10"/>
      <c r="BA204" s="67"/>
      <c r="BB204" s="10"/>
      <c r="BC204" s="10"/>
      <c r="BD204" s="10"/>
      <c r="BE204" s="10"/>
      <c r="BF204" s="10">
        <v>1</v>
      </c>
      <c r="BG204" s="11">
        <f t="shared" si="21"/>
        <v>24</v>
      </c>
      <c r="BH204" s="10"/>
      <c r="BI204" s="10">
        <v>2</v>
      </c>
      <c r="BJ204" s="11">
        <f t="shared" si="22"/>
        <v>48</v>
      </c>
      <c r="BK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L204" s="10"/>
      <c r="CM204" s="10"/>
      <c r="CN204" s="10"/>
      <c r="CO204" s="10"/>
      <c r="CP204" s="10"/>
      <c r="CQ204" s="10"/>
      <c r="CR204" s="10"/>
      <c r="CS204" s="10"/>
      <c r="CT204" s="10"/>
      <c r="CU204" s="10"/>
      <c r="CV204" s="10"/>
      <c r="CW204" s="10"/>
      <c r="CX204" s="66"/>
      <c r="CY204" s="70">
        <f t="shared" si="23"/>
        <v>0</v>
      </c>
      <c r="CZ204" s="10"/>
      <c r="DA204" s="10"/>
      <c r="DB204" s="10"/>
      <c r="DC204" s="10"/>
      <c r="DD204" s="10"/>
      <c r="DE204" s="10"/>
      <c r="DF204" s="10"/>
      <c r="DG204" s="10"/>
      <c r="DH204" s="66">
        <v>3</v>
      </c>
      <c r="DI204" s="70">
        <f t="shared" si="24"/>
        <v>72</v>
      </c>
      <c r="DJ204" s="10"/>
      <c r="DK204" s="10"/>
      <c r="DL204" s="10"/>
      <c r="DM204" s="11">
        <f t="shared" si="25"/>
        <v>0</v>
      </c>
      <c r="DN204" s="10"/>
      <c r="DO204" s="10"/>
      <c r="DP204" s="10">
        <v>6</v>
      </c>
      <c r="DQ204" s="11">
        <f t="shared" si="26"/>
        <v>144</v>
      </c>
      <c r="DR204" s="10"/>
      <c r="DS204" s="10">
        <v>6</v>
      </c>
      <c r="DT204" s="11">
        <f t="shared" si="27"/>
        <v>144</v>
      </c>
      <c r="DU204" s="10"/>
      <c r="DV204" s="10"/>
      <c r="DW204" s="10">
        <v>2</v>
      </c>
      <c r="DX204" s="11">
        <f t="shared" si="28"/>
        <v>48</v>
      </c>
      <c r="DY204" s="10"/>
      <c r="DZ204" s="11">
        <f t="shared" si="29"/>
        <v>0</v>
      </c>
      <c r="EA204" s="10"/>
      <c r="EB204" s="10"/>
    </row>
    <row r="205" spans="2:132" ht="16.5">
      <c r="B205" s="2">
        <v>193</v>
      </c>
      <c r="C205" s="66" t="s">
        <v>645</v>
      </c>
      <c r="D205" s="49"/>
      <c r="E205" s="71">
        <f t="shared" si="20"/>
        <v>1.2</v>
      </c>
      <c r="F205" s="66">
        <v>1</v>
      </c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67"/>
      <c r="AS205" s="10"/>
      <c r="AT205" s="10"/>
      <c r="AU205" s="10"/>
      <c r="AV205" s="10"/>
      <c r="AW205" s="10"/>
      <c r="AX205" s="10"/>
      <c r="AY205" s="10"/>
      <c r="AZ205" s="10"/>
      <c r="BA205" s="67"/>
      <c r="BB205" s="10"/>
      <c r="BC205" s="10"/>
      <c r="BD205" s="10"/>
      <c r="BE205" s="10"/>
      <c r="BF205" s="10">
        <v>0</v>
      </c>
      <c r="BG205" s="11">
        <f t="shared" si="21"/>
        <v>0</v>
      </c>
      <c r="BH205" s="10"/>
      <c r="BI205" s="10">
        <v>0</v>
      </c>
      <c r="BJ205" s="11">
        <f t="shared" si="22"/>
        <v>0</v>
      </c>
      <c r="BK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L205" s="10"/>
      <c r="CM205" s="10"/>
      <c r="CN205" s="10"/>
      <c r="CO205" s="10"/>
      <c r="CP205" s="10"/>
      <c r="CQ205" s="10"/>
      <c r="CR205" s="10"/>
      <c r="CS205" s="10"/>
      <c r="CT205" s="10"/>
      <c r="CU205" s="10"/>
      <c r="CV205" s="10"/>
      <c r="CW205" s="10"/>
      <c r="CX205" s="66"/>
      <c r="CY205" s="70">
        <f t="shared" si="23"/>
        <v>0</v>
      </c>
      <c r="CZ205" s="10"/>
      <c r="DA205" s="10"/>
      <c r="DB205" s="10"/>
      <c r="DC205" s="10"/>
      <c r="DD205" s="10"/>
      <c r="DE205" s="10"/>
      <c r="DF205" s="10"/>
      <c r="DG205" s="10"/>
      <c r="DH205" s="66"/>
      <c r="DI205" s="70">
        <f t="shared" si="24"/>
        <v>0</v>
      </c>
      <c r="DJ205" s="10"/>
      <c r="DK205" s="10"/>
      <c r="DL205" s="10"/>
      <c r="DM205" s="11">
        <f t="shared" si="25"/>
        <v>0</v>
      </c>
      <c r="DN205" s="10"/>
      <c r="DO205" s="10"/>
      <c r="DP205" s="10">
        <v>0</v>
      </c>
      <c r="DQ205" s="11">
        <f t="shared" si="26"/>
        <v>0</v>
      </c>
      <c r="DR205" s="10"/>
      <c r="DS205" s="10">
        <v>1</v>
      </c>
      <c r="DT205" s="11">
        <f t="shared" si="27"/>
        <v>1.2</v>
      </c>
      <c r="DU205" s="10"/>
      <c r="DV205" s="10"/>
      <c r="DW205" s="10"/>
      <c r="DX205" s="11">
        <f t="shared" si="28"/>
        <v>0</v>
      </c>
      <c r="DY205" s="10"/>
      <c r="DZ205" s="11">
        <f t="shared" si="29"/>
        <v>0</v>
      </c>
      <c r="EA205" s="10"/>
      <c r="EB205" s="10"/>
    </row>
    <row r="206" spans="2:132" ht="16.5">
      <c r="B206" s="2">
        <v>194</v>
      </c>
      <c r="C206" s="66" t="s">
        <v>646</v>
      </c>
      <c r="D206" s="49"/>
      <c r="E206" s="71">
        <f t="shared" ref="E206:E224" si="30">F206*1.2</f>
        <v>9.6</v>
      </c>
      <c r="F206" s="66">
        <v>8</v>
      </c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67"/>
      <c r="AS206" s="10"/>
      <c r="AT206" s="10"/>
      <c r="AU206" s="10"/>
      <c r="AV206" s="10"/>
      <c r="AW206" s="10"/>
      <c r="AX206" s="10"/>
      <c r="AY206" s="10"/>
      <c r="AZ206" s="10"/>
      <c r="BA206" s="67"/>
      <c r="BB206" s="10"/>
      <c r="BC206" s="10"/>
      <c r="BD206" s="10"/>
      <c r="BE206" s="10"/>
      <c r="BF206" s="10">
        <v>0</v>
      </c>
      <c r="BG206" s="11">
        <f t="shared" ref="BG206:BG242" si="31">E206*BF206</f>
        <v>0</v>
      </c>
      <c r="BH206" s="10"/>
      <c r="BI206" s="10">
        <v>0</v>
      </c>
      <c r="BJ206" s="11">
        <f t="shared" ref="BJ206:BJ242" si="32">E206*BI206</f>
        <v>0</v>
      </c>
      <c r="BK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0"/>
      <c r="CN206" s="10"/>
      <c r="CO206" s="10"/>
      <c r="CP206" s="10"/>
      <c r="CQ206" s="10"/>
      <c r="CR206" s="10"/>
      <c r="CS206" s="10"/>
      <c r="CT206" s="10"/>
      <c r="CU206" s="10"/>
      <c r="CV206" s="10"/>
      <c r="CW206" s="10"/>
      <c r="CX206" s="66"/>
      <c r="CY206" s="70">
        <f t="shared" ref="CY206:CY242" si="33">CX206*E206</f>
        <v>0</v>
      </c>
      <c r="CZ206" s="10"/>
      <c r="DA206" s="10"/>
      <c r="DB206" s="10"/>
      <c r="DC206" s="10"/>
      <c r="DD206" s="10"/>
      <c r="DE206" s="10"/>
      <c r="DF206" s="10"/>
      <c r="DG206" s="10"/>
      <c r="DH206" s="66"/>
      <c r="DI206" s="70">
        <f t="shared" ref="DI206:DI242" si="34">DH206*E206</f>
        <v>0</v>
      </c>
      <c r="DJ206" s="10"/>
      <c r="DK206" s="10"/>
      <c r="DL206" s="10"/>
      <c r="DM206" s="11">
        <f t="shared" ref="DM206:DM242" si="35">DL206*E206</f>
        <v>0</v>
      </c>
      <c r="DN206" s="10"/>
      <c r="DO206" s="10"/>
      <c r="DP206" s="10">
        <v>0</v>
      </c>
      <c r="DQ206" s="11">
        <f t="shared" ref="DQ206:DQ242" si="36">DP206*E206</f>
        <v>0</v>
      </c>
      <c r="DR206" s="10"/>
      <c r="DS206" s="10">
        <v>8</v>
      </c>
      <c r="DT206" s="11">
        <f t="shared" ref="DT206:DT242" si="37">DS206*E206</f>
        <v>76.8</v>
      </c>
      <c r="DU206" s="10"/>
      <c r="DV206" s="10"/>
      <c r="DW206" s="10"/>
      <c r="DX206" s="11">
        <f t="shared" ref="DX206:DX242" si="38">DW206*E206</f>
        <v>0</v>
      </c>
      <c r="DY206" s="10"/>
      <c r="DZ206" s="11">
        <f t="shared" ref="DZ206:DZ242" si="39">DY206*E206</f>
        <v>0</v>
      </c>
      <c r="EA206" s="10"/>
      <c r="EB206" s="10"/>
    </row>
    <row r="207" spans="2:132" ht="16.5">
      <c r="B207" s="2">
        <v>195</v>
      </c>
      <c r="C207" s="66" t="s">
        <v>647</v>
      </c>
      <c r="D207" s="49"/>
      <c r="E207" s="71">
        <f t="shared" si="30"/>
        <v>8.4</v>
      </c>
      <c r="F207" s="66">
        <v>7</v>
      </c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67"/>
      <c r="AS207" s="10"/>
      <c r="AT207" s="10"/>
      <c r="AU207" s="10"/>
      <c r="AV207" s="10"/>
      <c r="AW207" s="10"/>
      <c r="AX207" s="10"/>
      <c r="AY207" s="10"/>
      <c r="AZ207" s="10"/>
      <c r="BA207" s="67"/>
      <c r="BB207" s="10"/>
      <c r="BC207" s="10"/>
      <c r="BD207" s="10"/>
      <c r="BE207" s="10"/>
      <c r="BF207" s="10">
        <v>0</v>
      </c>
      <c r="BG207" s="11">
        <f t="shared" si="31"/>
        <v>0</v>
      </c>
      <c r="BH207" s="10"/>
      <c r="BI207" s="10">
        <v>0</v>
      </c>
      <c r="BJ207" s="11">
        <f t="shared" si="32"/>
        <v>0</v>
      </c>
      <c r="BK207" s="10"/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  <c r="CG207" s="10"/>
      <c r="CH207" s="10"/>
      <c r="CI207" s="10"/>
      <c r="CJ207" s="10"/>
      <c r="CK207" s="10"/>
      <c r="CL207" s="10"/>
      <c r="CM207" s="10"/>
      <c r="CN207" s="10"/>
      <c r="CO207" s="10"/>
      <c r="CP207" s="10"/>
      <c r="CQ207" s="10"/>
      <c r="CR207" s="10"/>
      <c r="CS207" s="10"/>
      <c r="CT207" s="10"/>
      <c r="CU207" s="10"/>
      <c r="CV207" s="10"/>
      <c r="CW207" s="10"/>
      <c r="CX207" s="66"/>
      <c r="CY207" s="70">
        <f t="shared" si="33"/>
        <v>0</v>
      </c>
      <c r="CZ207" s="10"/>
      <c r="DA207" s="10"/>
      <c r="DB207" s="10"/>
      <c r="DC207" s="10"/>
      <c r="DD207" s="10"/>
      <c r="DE207" s="10"/>
      <c r="DF207" s="10"/>
      <c r="DG207" s="10"/>
      <c r="DH207" s="66">
        <v>5</v>
      </c>
      <c r="DI207" s="70">
        <f t="shared" si="34"/>
        <v>42</v>
      </c>
      <c r="DJ207" s="10"/>
      <c r="DK207" s="10"/>
      <c r="DL207" s="10"/>
      <c r="DM207" s="11">
        <f t="shared" si="35"/>
        <v>0</v>
      </c>
      <c r="DN207" s="10"/>
      <c r="DO207" s="10"/>
      <c r="DP207" s="10">
        <v>2</v>
      </c>
      <c r="DQ207" s="11">
        <f t="shared" si="36"/>
        <v>16.8</v>
      </c>
      <c r="DR207" s="10"/>
      <c r="DS207" s="10"/>
      <c r="DT207" s="11">
        <f t="shared" si="37"/>
        <v>0</v>
      </c>
      <c r="DU207" s="10"/>
      <c r="DV207" s="10"/>
      <c r="DW207" s="10"/>
      <c r="DX207" s="11">
        <f t="shared" si="38"/>
        <v>0</v>
      </c>
      <c r="DY207" s="10"/>
      <c r="DZ207" s="11">
        <f t="shared" si="39"/>
        <v>0</v>
      </c>
      <c r="EA207" s="10"/>
      <c r="EB207" s="10"/>
    </row>
    <row r="208" spans="2:132" ht="16.5">
      <c r="B208" s="2">
        <v>196</v>
      </c>
      <c r="C208" s="66" t="s">
        <v>648</v>
      </c>
      <c r="D208" s="49"/>
      <c r="E208" s="71">
        <f t="shared" si="30"/>
        <v>3.5999999999999996</v>
      </c>
      <c r="F208" s="66">
        <v>3</v>
      </c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67"/>
      <c r="AS208" s="10"/>
      <c r="AT208" s="10"/>
      <c r="AU208" s="10"/>
      <c r="AV208" s="10"/>
      <c r="AW208" s="10"/>
      <c r="AX208" s="10"/>
      <c r="AY208" s="10"/>
      <c r="AZ208" s="10"/>
      <c r="BA208" s="67"/>
      <c r="BB208" s="10"/>
      <c r="BC208" s="10"/>
      <c r="BD208" s="10"/>
      <c r="BE208" s="10"/>
      <c r="BF208" s="10">
        <v>0</v>
      </c>
      <c r="BG208" s="11">
        <f t="shared" si="31"/>
        <v>0</v>
      </c>
      <c r="BH208" s="10"/>
      <c r="BI208" s="10">
        <v>0</v>
      </c>
      <c r="BJ208" s="11">
        <f t="shared" si="32"/>
        <v>0</v>
      </c>
      <c r="BK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  <c r="CG208" s="10"/>
      <c r="CH208" s="10"/>
      <c r="CI208" s="10"/>
      <c r="CJ208" s="10"/>
      <c r="CK208" s="10"/>
      <c r="CL208" s="10"/>
      <c r="CM208" s="10"/>
      <c r="CN208" s="10"/>
      <c r="CO208" s="10"/>
      <c r="CP208" s="10"/>
      <c r="CQ208" s="10"/>
      <c r="CR208" s="10"/>
      <c r="CS208" s="10"/>
      <c r="CT208" s="10"/>
      <c r="CU208" s="10"/>
      <c r="CV208" s="10"/>
      <c r="CW208" s="10"/>
      <c r="CX208" s="66"/>
      <c r="CY208" s="70">
        <f t="shared" si="33"/>
        <v>0</v>
      </c>
      <c r="CZ208" s="10"/>
      <c r="DA208" s="10"/>
      <c r="DB208" s="10"/>
      <c r="DC208" s="10"/>
      <c r="DD208" s="10"/>
      <c r="DE208" s="10"/>
      <c r="DF208" s="10"/>
      <c r="DG208" s="10"/>
      <c r="DH208" s="66"/>
      <c r="DI208" s="70">
        <f t="shared" si="34"/>
        <v>0</v>
      </c>
      <c r="DJ208" s="10"/>
      <c r="DK208" s="10"/>
      <c r="DL208" s="10"/>
      <c r="DM208" s="11">
        <f t="shared" si="35"/>
        <v>0</v>
      </c>
      <c r="DN208" s="10"/>
      <c r="DO208" s="10"/>
      <c r="DP208" s="10">
        <v>0</v>
      </c>
      <c r="DQ208" s="11">
        <f t="shared" si="36"/>
        <v>0</v>
      </c>
      <c r="DR208" s="10"/>
      <c r="DS208" s="10">
        <v>3</v>
      </c>
      <c r="DT208" s="11">
        <f t="shared" si="37"/>
        <v>10.799999999999999</v>
      </c>
      <c r="DU208" s="10"/>
      <c r="DV208" s="10"/>
      <c r="DW208" s="10"/>
      <c r="DX208" s="11">
        <f t="shared" si="38"/>
        <v>0</v>
      </c>
      <c r="DY208" s="10"/>
      <c r="DZ208" s="11">
        <f t="shared" si="39"/>
        <v>0</v>
      </c>
      <c r="EA208" s="10"/>
      <c r="EB208" s="10"/>
    </row>
    <row r="209" spans="2:132" ht="16.5">
      <c r="B209" s="2">
        <v>197</v>
      </c>
      <c r="C209" s="66" t="s">
        <v>649</v>
      </c>
      <c r="D209" s="49"/>
      <c r="E209" s="71">
        <f t="shared" si="30"/>
        <v>25.2</v>
      </c>
      <c r="F209" s="66">
        <v>21</v>
      </c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67"/>
      <c r="AS209" s="10"/>
      <c r="AT209" s="10"/>
      <c r="AU209" s="10"/>
      <c r="AV209" s="10"/>
      <c r="AW209" s="10"/>
      <c r="AX209" s="10"/>
      <c r="AY209" s="10"/>
      <c r="AZ209" s="10"/>
      <c r="BA209" s="67"/>
      <c r="BB209" s="10"/>
      <c r="BC209" s="10"/>
      <c r="BD209" s="10"/>
      <c r="BE209" s="10"/>
      <c r="BF209" s="10">
        <v>21</v>
      </c>
      <c r="BG209" s="11">
        <f t="shared" si="31"/>
        <v>529.19999999999993</v>
      </c>
      <c r="BH209" s="10"/>
      <c r="BI209" s="10">
        <v>0</v>
      </c>
      <c r="BJ209" s="11">
        <f t="shared" si="32"/>
        <v>0</v>
      </c>
      <c r="BK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66"/>
      <c r="CY209" s="70">
        <f t="shared" si="33"/>
        <v>0</v>
      </c>
      <c r="CZ209" s="10"/>
      <c r="DA209" s="10"/>
      <c r="DB209" s="10"/>
      <c r="DC209" s="10"/>
      <c r="DD209" s="10"/>
      <c r="DE209" s="10"/>
      <c r="DF209" s="10"/>
      <c r="DG209" s="10"/>
      <c r="DH209" s="66"/>
      <c r="DI209" s="70">
        <f t="shared" si="34"/>
        <v>0</v>
      </c>
      <c r="DJ209" s="10"/>
      <c r="DK209" s="10"/>
      <c r="DL209" s="10"/>
      <c r="DM209" s="11">
        <f t="shared" si="35"/>
        <v>0</v>
      </c>
      <c r="DN209" s="10"/>
      <c r="DO209" s="10"/>
      <c r="DP209" s="10">
        <v>0</v>
      </c>
      <c r="DQ209" s="11">
        <f t="shared" si="36"/>
        <v>0</v>
      </c>
      <c r="DR209" s="10"/>
      <c r="DS209" s="10"/>
      <c r="DT209" s="11">
        <f t="shared" si="37"/>
        <v>0</v>
      </c>
      <c r="DU209" s="10"/>
      <c r="DV209" s="10"/>
      <c r="DW209" s="10"/>
      <c r="DX209" s="11">
        <f t="shared" si="38"/>
        <v>0</v>
      </c>
      <c r="DY209" s="10"/>
      <c r="DZ209" s="11">
        <f t="shared" si="39"/>
        <v>0</v>
      </c>
      <c r="EA209" s="10"/>
      <c r="EB209" s="10"/>
    </row>
    <row r="210" spans="2:132" ht="16.5">
      <c r="B210" s="2">
        <v>198</v>
      </c>
      <c r="C210" s="66" t="s">
        <v>650</v>
      </c>
      <c r="D210" s="49"/>
      <c r="E210" s="71">
        <f t="shared" si="30"/>
        <v>192</v>
      </c>
      <c r="F210" s="66">
        <v>160</v>
      </c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67"/>
      <c r="AS210" s="10"/>
      <c r="AT210" s="10"/>
      <c r="AU210" s="10"/>
      <c r="AV210" s="10"/>
      <c r="AW210" s="10"/>
      <c r="AX210" s="10"/>
      <c r="AY210" s="10"/>
      <c r="AZ210" s="10"/>
      <c r="BA210" s="67"/>
      <c r="BB210" s="10"/>
      <c r="BC210" s="10"/>
      <c r="BD210" s="10"/>
      <c r="BE210" s="10"/>
      <c r="BF210" s="10">
        <v>1</v>
      </c>
      <c r="BG210" s="11">
        <f t="shared" si="31"/>
        <v>192</v>
      </c>
      <c r="BH210" s="10"/>
      <c r="BI210" s="10">
        <v>28</v>
      </c>
      <c r="BJ210" s="11">
        <f t="shared" si="32"/>
        <v>5376</v>
      </c>
      <c r="BK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  <c r="CG210" s="10"/>
      <c r="CH210" s="10"/>
      <c r="CI210" s="10"/>
      <c r="CJ210" s="10"/>
      <c r="CK210" s="10"/>
      <c r="CL210" s="10"/>
      <c r="CM210" s="10"/>
      <c r="CN210" s="10"/>
      <c r="CO210" s="10"/>
      <c r="CP210" s="10"/>
      <c r="CQ210" s="10"/>
      <c r="CR210" s="10"/>
      <c r="CS210" s="10"/>
      <c r="CT210" s="10"/>
      <c r="CU210" s="10"/>
      <c r="CV210" s="10"/>
      <c r="CW210" s="10"/>
      <c r="CX210" s="66">
        <v>31</v>
      </c>
      <c r="CY210" s="70">
        <f t="shared" si="33"/>
        <v>5952</v>
      </c>
      <c r="CZ210" s="10"/>
      <c r="DA210" s="10"/>
      <c r="DB210" s="10"/>
      <c r="DC210" s="10"/>
      <c r="DD210" s="10"/>
      <c r="DE210" s="10"/>
      <c r="DF210" s="10"/>
      <c r="DG210" s="10"/>
      <c r="DH210" s="66">
        <v>56</v>
      </c>
      <c r="DI210" s="70">
        <f t="shared" si="34"/>
        <v>10752</v>
      </c>
      <c r="DJ210" s="10"/>
      <c r="DK210" s="10"/>
      <c r="DL210" s="10"/>
      <c r="DM210" s="11">
        <f t="shared" si="35"/>
        <v>0</v>
      </c>
      <c r="DN210" s="10"/>
      <c r="DO210" s="10"/>
      <c r="DP210" s="10">
        <v>35</v>
      </c>
      <c r="DQ210" s="11">
        <f t="shared" si="36"/>
        <v>6720</v>
      </c>
      <c r="DR210" s="10"/>
      <c r="DS210" s="10">
        <v>7</v>
      </c>
      <c r="DT210" s="11">
        <f t="shared" si="37"/>
        <v>1344</v>
      </c>
      <c r="DU210" s="10"/>
      <c r="DV210" s="10"/>
      <c r="DW210" s="10">
        <v>2</v>
      </c>
      <c r="DX210" s="11">
        <f t="shared" si="38"/>
        <v>384</v>
      </c>
      <c r="DY210" s="10"/>
      <c r="DZ210" s="11">
        <f t="shared" si="39"/>
        <v>0</v>
      </c>
      <c r="EA210" s="10"/>
      <c r="EB210" s="10"/>
    </row>
    <row r="211" spans="2:132" ht="16.5">
      <c r="B211" s="2">
        <v>199</v>
      </c>
      <c r="C211" s="66" t="s">
        <v>651</v>
      </c>
      <c r="D211" s="49"/>
      <c r="E211" s="71">
        <f t="shared" si="30"/>
        <v>27.599999999999998</v>
      </c>
      <c r="F211" s="66">
        <v>23</v>
      </c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67"/>
      <c r="AS211" s="10"/>
      <c r="AT211" s="10"/>
      <c r="AU211" s="10"/>
      <c r="AV211" s="10"/>
      <c r="AW211" s="10"/>
      <c r="AX211" s="10"/>
      <c r="AY211" s="10"/>
      <c r="AZ211" s="10"/>
      <c r="BA211" s="67"/>
      <c r="BB211" s="10"/>
      <c r="BC211" s="10"/>
      <c r="BD211" s="10"/>
      <c r="BE211" s="10"/>
      <c r="BF211" s="10">
        <v>0</v>
      </c>
      <c r="BG211" s="11">
        <f t="shared" si="31"/>
        <v>0</v>
      </c>
      <c r="BH211" s="10"/>
      <c r="BI211" s="10">
        <v>0</v>
      </c>
      <c r="BJ211" s="11">
        <f t="shared" si="32"/>
        <v>0</v>
      </c>
      <c r="BK211" s="10"/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  <c r="CG211" s="10"/>
      <c r="CH211" s="10"/>
      <c r="CI211" s="10"/>
      <c r="CJ211" s="10"/>
      <c r="CK211" s="10"/>
      <c r="CL211" s="10"/>
      <c r="CM211" s="10"/>
      <c r="CN211" s="10"/>
      <c r="CO211" s="10"/>
      <c r="CP211" s="10"/>
      <c r="CQ211" s="10"/>
      <c r="CR211" s="10"/>
      <c r="CS211" s="10"/>
      <c r="CT211" s="10"/>
      <c r="CU211" s="10"/>
      <c r="CV211" s="10"/>
      <c r="CW211" s="10"/>
      <c r="CX211" s="66">
        <v>1</v>
      </c>
      <c r="CY211" s="70">
        <f t="shared" si="33"/>
        <v>27.599999999999998</v>
      </c>
      <c r="CZ211" s="10"/>
      <c r="DA211" s="10"/>
      <c r="DB211" s="10"/>
      <c r="DC211" s="10"/>
      <c r="DD211" s="10"/>
      <c r="DE211" s="10"/>
      <c r="DF211" s="10"/>
      <c r="DG211" s="10"/>
      <c r="DH211" s="66"/>
      <c r="DI211" s="70">
        <f t="shared" si="34"/>
        <v>0</v>
      </c>
      <c r="DJ211" s="10"/>
      <c r="DK211" s="10"/>
      <c r="DL211" s="10">
        <v>1</v>
      </c>
      <c r="DM211" s="11">
        <f t="shared" si="35"/>
        <v>27.599999999999998</v>
      </c>
      <c r="DN211" s="10"/>
      <c r="DO211" s="10"/>
      <c r="DP211" s="10">
        <v>18</v>
      </c>
      <c r="DQ211" s="11">
        <f t="shared" si="36"/>
        <v>496.79999999999995</v>
      </c>
      <c r="DR211" s="10"/>
      <c r="DS211" s="10">
        <v>2</v>
      </c>
      <c r="DT211" s="11">
        <f t="shared" si="37"/>
        <v>55.199999999999996</v>
      </c>
      <c r="DU211" s="10"/>
      <c r="DV211" s="10"/>
      <c r="DW211" s="10">
        <v>1</v>
      </c>
      <c r="DX211" s="11">
        <f t="shared" si="38"/>
        <v>27.599999999999998</v>
      </c>
      <c r="DY211" s="10"/>
      <c r="DZ211" s="11">
        <f t="shared" si="39"/>
        <v>0</v>
      </c>
      <c r="EA211" s="10"/>
      <c r="EB211" s="10"/>
    </row>
    <row r="212" spans="2:132" ht="16.5">
      <c r="B212" s="2">
        <v>200</v>
      </c>
      <c r="C212" s="66" t="s">
        <v>652</v>
      </c>
      <c r="D212" s="49"/>
      <c r="E212" s="71">
        <f t="shared" si="30"/>
        <v>56.4</v>
      </c>
      <c r="F212" s="66">
        <v>47</v>
      </c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67"/>
      <c r="AS212" s="10"/>
      <c r="AT212" s="10"/>
      <c r="AU212" s="10"/>
      <c r="AV212" s="10"/>
      <c r="AW212" s="10"/>
      <c r="AX212" s="10"/>
      <c r="AY212" s="10"/>
      <c r="AZ212" s="10"/>
      <c r="BA212" s="67"/>
      <c r="BB212" s="10"/>
      <c r="BC212" s="10"/>
      <c r="BD212" s="10"/>
      <c r="BE212" s="10"/>
      <c r="BF212" s="10">
        <v>0</v>
      </c>
      <c r="BG212" s="11">
        <f t="shared" si="31"/>
        <v>0</v>
      </c>
      <c r="BH212" s="10"/>
      <c r="BI212" s="10">
        <v>0</v>
      </c>
      <c r="BJ212" s="11">
        <f t="shared" si="32"/>
        <v>0</v>
      </c>
      <c r="BK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66">
        <v>10</v>
      </c>
      <c r="CY212" s="70">
        <f t="shared" si="33"/>
        <v>564</v>
      </c>
      <c r="CZ212" s="10"/>
      <c r="DA212" s="10"/>
      <c r="DB212" s="10"/>
      <c r="DC212" s="10"/>
      <c r="DD212" s="10"/>
      <c r="DE212" s="10"/>
      <c r="DF212" s="10"/>
      <c r="DG212" s="10"/>
      <c r="DH212" s="66">
        <v>13</v>
      </c>
      <c r="DI212" s="70">
        <f t="shared" si="34"/>
        <v>733.19999999999993</v>
      </c>
      <c r="DJ212" s="10"/>
      <c r="DK212" s="10"/>
      <c r="DL212" s="10"/>
      <c r="DM212" s="11">
        <f t="shared" si="35"/>
        <v>0</v>
      </c>
      <c r="DN212" s="10"/>
      <c r="DO212" s="10"/>
      <c r="DP212" s="10">
        <v>24</v>
      </c>
      <c r="DQ212" s="11">
        <f t="shared" si="36"/>
        <v>1353.6</v>
      </c>
      <c r="DR212" s="10"/>
      <c r="DS212" s="10"/>
      <c r="DT212" s="11">
        <f t="shared" si="37"/>
        <v>0</v>
      </c>
      <c r="DU212" s="10"/>
      <c r="DV212" s="10"/>
      <c r="DW212" s="10"/>
      <c r="DX212" s="11">
        <f t="shared" si="38"/>
        <v>0</v>
      </c>
      <c r="DY212" s="10"/>
      <c r="DZ212" s="11">
        <f t="shared" si="39"/>
        <v>0</v>
      </c>
      <c r="EA212" s="10"/>
      <c r="EB212" s="10"/>
    </row>
    <row r="213" spans="2:132" ht="16.5">
      <c r="B213" s="2">
        <v>201</v>
      </c>
      <c r="C213" s="66" t="s">
        <v>653</v>
      </c>
      <c r="D213" s="49"/>
      <c r="E213" s="71">
        <f t="shared" si="30"/>
        <v>4.8</v>
      </c>
      <c r="F213" s="66">
        <v>4</v>
      </c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67"/>
      <c r="AS213" s="10"/>
      <c r="AT213" s="10"/>
      <c r="AU213" s="10"/>
      <c r="AV213" s="10"/>
      <c r="AW213" s="10"/>
      <c r="AX213" s="10"/>
      <c r="AY213" s="10"/>
      <c r="AZ213" s="10"/>
      <c r="BA213" s="67"/>
      <c r="BB213" s="10"/>
      <c r="BC213" s="10"/>
      <c r="BD213" s="10"/>
      <c r="BE213" s="10"/>
      <c r="BF213" s="10">
        <v>0</v>
      </c>
      <c r="BG213" s="11">
        <f t="shared" si="31"/>
        <v>0</v>
      </c>
      <c r="BH213" s="10"/>
      <c r="BI213" s="10">
        <v>1</v>
      </c>
      <c r="BJ213" s="11">
        <f t="shared" si="32"/>
        <v>4.8</v>
      </c>
      <c r="BK213" s="10"/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  <c r="CG213" s="10"/>
      <c r="CH213" s="10"/>
      <c r="CI213" s="10"/>
      <c r="CJ213" s="10"/>
      <c r="CK213" s="10"/>
      <c r="CL213" s="10"/>
      <c r="CM213" s="10"/>
      <c r="CN213" s="10"/>
      <c r="CO213" s="10"/>
      <c r="CP213" s="10"/>
      <c r="CQ213" s="10"/>
      <c r="CR213" s="10"/>
      <c r="CS213" s="10"/>
      <c r="CT213" s="10"/>
      <c r="CU213" s="10"/>
      <c r="CV213" s="10"/>
      <c r="CW213" s="10"/>
      <c r="CX213" s="66"/>
      <c r="CY213" s="70">
        <f t="shared" si="33"/>
        <v>0</v>
      </c>
      <c r="CZ213" s="10"/>
      <c r="DA213" s="10"/>
      <c r="DB213" s="10"/>
      <c r="DC213" s="10"/>
      <c r="DD213" s="10"/>
      <c r="DE213" s="10"/>
      <c r="DF213" s="10"/>
      <c r="DG213" s="10"/>
      <c r="DH213" s="66"/>
      <c r="DI213" s="70">
        <f t="shared" si="34"/>
        <v>0</v>
      </c>
      <c r="DJ213" s="10"/>
      <c r="DK213" s="10"/>
      <c r="DL213" s="10"/>
      <c r="DM213" s="11">
        <f t="shared" si="35"/>
        <v>0</v>
      </c>
      <c r="DN213" s="10"/>
      <c r="DO213" s="10"/>
      <c r="DP213" s="10">
        <v>3</v>
      </c>
      <c r="DQ213" s="11">
        <f t="shared" si="36"/>
        <v>14.399999999999999</v>
      </c>
      <c r="DR213" s="10"/>
      <c r="DS213" s="10"/>
      <c r="DT213" s="11">
        <f t="shared" si="37"/>
        <v>0</v>
      </c>
      <c r="DU213" s="10"/>
      <c r="DV213" s="10"/>
      <c r="DW213" s="10"/>
      <c r="DX213" s="11">
        <f t="shared" si="38"/>
        <v>0</v>
      </c>
      <c r="DY213" s="10"/>
      <c r="DZ213" s="11">
        <f t="shared" si="39"/>
        <v>0</v>
      </c>
      <c r="EA213" s="10"/>
      <c r="EB213" s="10"/>
    </row>
    <row r="214" spans="2:132" ht="16.5">
      <c r="B214" s="2">
        <v>202</v>
      </c>
      <c r="C214" s="66" t="s">
        <v>654</v>
      </c>
      <c r="D214" s="49"/>
      <c r="E214" s="71">
        <f t="shared" si="30"/>
        <v>2.4</v>
      </c>
      <c r="F214" s="66">
        <v>2</v>
      </c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67"/>
      <c r="AS214" s="10"/>
      <c r="AT214" s="10"/>
      <c r="AU214" s="10"/>
      <c r="AV214" s="10"/>
      <c r="AW214" s="10"/>
      <c r="AX214" s="10"/>
      <c r="AY214" s="10"/>
      <c r="AZ214" s="10"/>
      <c r="BA214" s="67"/>
      <c r="BB214" s="10"/>
      <c r="BC214" s="10"/>
      <c r="BD214" s="10"/>
      <c r="BE214" s="10"/>
      <c r="BF214" s="10">
        <v>0</v>
      </c>
      <c r="BG214" s="11">
        <f t="shared" si="31"/>
        <v>0</v>
      </c>
      <c r="BH214" s="10"/>
      <c r="BI214" s="10">
        <v>1</v>
      </c>
      <c r="BJ214" s="11">
        <f t="shared" si="32"/>
        <v>2.4</v>
      </c>
      <c r="BK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0"/>
      <c r="CR214" s="10"/>
      <c r="CS214" s="10"/>
      <c r="CT214" s="10"/>
      <c r="CU214" s="10"/>
      <c r="CV214" s="10"/>
      <c r="CW214" s="10"/>
      <c r="CX214" s="66"/>
      <c r="CY214" s="70">
        <f t="shared" si="33"/>
        <v>0</v>
      </c>
      <c r="CZ214" s="10"/>
      <c r="DA214" s="10"/>
      <c r="DB214" s="10"/>
      <c r="DC214" s="10"/>
      <c r="DD214" s="10"/>
      <c r="DE214" s="10"/>
      <c r="DF214" s="10"/>
      <c r="DG214" s="10"/>
      <c r="DH214" s="66"/>
      <c r="DI214" s="70">
        <f t="shared" si="34"/>
        <v>0</v>
      </c>
      <c r="DJ214" s="10"/>
      <c r="DK214" s="10"/>
      <c r="DL214" s="10"/>
      <c r="DM214" s="11">
        <f t="shared" si="35"/>
        <v>0</v>
      </c>
      <c r="DN214" s="10"/>
      <c r="DO214" s="10"/>
      <c r="DP214" s="10">
        <v>1</v>
      </c>
      <c r="DQ214" s="11">
        <f t="shared" si="36"/>
        <v>2.4</v>
      </c>
      <c r="DR214" s="10"/>
      <c r="DS214" s="10"/>
      <c r="DT214" s="11">
        <f t="shared" si="37"/>
        <v>0</v>
      </c>
      <c r="DU214" s="10"/>
      <c r="DV214" s="10"/>
      <c r="DW214" s="10"/>
      <c r="DX214" s="11">
        <f t="shared" si="38"/>
        <v>0</v>
      </c>
      <c r="DY214" s="10"/>
      <c r="DZ214" s="11">
        <f t="shared" si="39"/>
        <v>0</v>
      </c>
      <c r="EA214" s="10"/>
      <c r="EB214" s="10"/>
    </row>
    <row r="215" spans="2:132" ht="16.5">
      <c r="B215" s="2">
        <v>203</v>
      </c>
      <c r="C215" s="66" t="s">
        <v>655</v>
      </c>
      <c r="D215" s="49"/>
      <c r="E215" s="71">
        <f t="shared" si="30"/>
        <v>22.8</v>
      </c>
      <c r="F215" s="66">
        <v>19</v>
      </c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67"/>
      <c r="AS215" s="10"/>
      <c r="AT215" s="10"/>
      <c r="AU215" s="10"/>
      <c r="AV215" s="10"/>
      <c r="AW215" s="10"/>
      <c r="AX215" s="10"/>
      <c r="AY215" s="10"/>
      <c r="AZ215" s="10"/>
      <c r="BA215" s="67"/>
      <c r="BB215" s="10"/>
      <c r="BC215" s="10"/>
      <c r="BD215" s="10"/>
      <c r="BE215" s="10"/>
      <c r="BF215" s="10">
        <v>0</v>
      </c>
      <c r="BG215" s="11">
        <f t="shared" si="31"/>
        <v>0</v>
      </c>
      <c r="BH215" s="10"/>
      <c r="BI215" s="10">
        <v>18</v>
      </c>
      <c r="BJ215" s="11">
        <f t="shared" si="32"/>
        <v>410.40000000000003</v>
      </c>
      <c r="BK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0"/>
      <c r="CQ215" s="10"/>
      <c r="CR215" s="10"/>
      <c r="CS215" s="10"/>
      <c r="CT215" s="10"/>
      <c r="CU215" s="10"/>
      <c r="CV215" s="10"/>
      <c r="CW215" s="10"/>
      <c r="CX215" s="66"/>
      <c r="CY215" s="70">
        <f t="shared" si="33"/>
        <v>0</v>
      </c>
      <c r="CZ215" s="10"/>
      <c r="DA215" s="10"/>
      <c r="DB215" s="10"/>
      <c r="DC215" s="10"/>
      <c r="DD215" s="10"/>
      <c r="DE215" s="10"/>
      <c r="DF215" s="10"/>
      <c r="DG215" s="10"/>
      <c r="DH215" s="66"/>
      <c r="DI215" s="70">
        <f t="shared" si="34"/>
        <v>0</v>
      </c>
      <c r="DJ215" s="10"/>
      <c r="DK215" s="10"/>
      <c r="DL215" s="10"/>
      <c r="DM215" s="11">
        <f t="shared" si="35"/>
        <v>0</v>
      </c>
      <c r="DN215" s="10"/>
      <c r="DO215" s="10"/>
      <c r="DP215" s="10">
        <v>0</v>
      </c>
      <c r="DQ215" s="11">
        <f t="shared" si="36"/>
        <v>0</v>
      </c>
      <c r="DR215" s="10"/>
      <c r="DS215" s="10">
        <v>1</v>
      </c>
      <c r="DT215" s="11">
        <f t="shared" si="37"/>
        <v>22.8</v>
      </c>
      <c r="DU215" s="10"/>
      <c r="DV215" s="10"/>
      <c r="DW215" s="10"/>
      <c r="DX215" s="11">
        <f t="shared" si="38"/>
        <v>0</v>
      </c>
      <c r="DY215" s="10"/>
      <c r="DZ215" s="11">
        <f t="shared" si="39"/>
        <v>0</v>
      </c>
      <c r="EA215" s="10"/>
      <c r="EB215" s="10"/>
    </row>
    <row r="216" spans="2:132" ht="16.5">
      <c r="B216" s="2">
        <v>204</v>
      </c>
      <c r="C216" s="66" t="s">
        <v>656</v>
      </c>
      <c r="D216" s="49"/>
      <c r="E216" s="71">
        <f t="shared" si="30"/>
        <v>96</v>
      </c>
      <c r="F216" s="66">
        <v>80</v>
      </c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67"/>
      <c r="AS216" s="10"/>
      <c r="AT216" s="10"/>
      <c r="AU216" s="10"/>
      <c r="AV216" s="10"/>
      <c r="AW216" s="10"/>
      <c r="AX216" s="10"/>
      <c r="AY216" s="10"/>
      <c r="AZ216" s="10"/>
      <c r="BA216" s="67"/>
      <c r="BB216" s="10"/>
      <c r="BC216" s="10"/>
      <c r="BD216" s="10"/>
      <c r="BE216" s="10"/>
      <c r="BF216" s="10">
        <v>1</v>
      </c>
      <c r="BG216" s="11">
        <f t="shared" si="31"/>
        <v>96</v>
      </c>
      <c r="BH216" s="10"/>
      <c r="BI216" s="10">
        <v>17</v>
      </c>
      <c r="BJ216" s="11">
        <f t="shared" si="32"/>
        <v>1632</v>
      </c>
      <c r="BK216" s="10"/>
      <c r="BM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  <c r="CD216" s="10"/>
      <c r="CE216" s="10"/>
      <c r="CF216" s="10"/>
      <c r="CG216" s="10"/>
      <c r="CH216" s="10"/>
      <c r="CI216" s="10"/>
      <c r="CJ216" s="10"/>
      <c r="CK216" s="10"/>
      <c r="CL216" s="10"/>
      <c r="CM216" s="10"/>
      <c r="CN216" s="10"/>
      <c r="CO216" s="10"/>
      <c r="CP216" s="10"/>
      <c r="CQ216" s="10"/>
      <c r="CR216" s="10"/>
      <c r="CS216" s="10"/>
      <c r="CT216" s="10"/>
      <c r="CU216" s="10"/>
      <c r="CV216" s="10"/>
      <c r="CW216" s="10"/>
      <c r="CX216" s="66">
        <v>9</v>
      </c>
      <c r="CY216" s="70">
        <f t="shared" si="33"/>
        <v>864</v>
      </c>
      <c r="CZ216" s="10"/>
      <c r="DA216" s="10"/>
      <c r="DB216" s="10"/>
      <c r="DC216" s="10"/>
      <c r="DD216" s="10"/>
      <c r="DE216" s="10"/>
      <c r="DF216" s="10"/>
      <c r="DG216" s="10"/>
      <c r="DH216" s="66"/>
      <c r="DI216" s="70">
        <f t="shared" si="34"/>
        <v>0</v>
      </c>
      <c r="DJ216" s="10"/>
      <c r="DK216" s="10"/>
      <c r="DL216" s="10"/>
      <c r="DM216" s="11">
        <f t="shared" si="35"/>
        <v>0</v>
      </c>
      <c r="DN216" s="10"/>
      <c r="DO216" s="10"/>
      <c r="DP216" s="10">
        <v>19</v>
      </c>
      <c r="DQ216" s="11">
        <f t="shared" si="36"/>
        <v>1824</v>
      </c>
      <c r="DR216" s="10"/>
      <c r="DS216" s="10">
        <v>34</v>
      </c>
      <c r="DT216" s="11">
        <f t="shared" si="37"/>
        <v>3264</v>
      </c>
      <c r="DU216" s="10"/>
      <c r="DV216" s="10"/>
      <c r="DW216" s="10"/>
      <c r="DX216" s="11">
        <f t="shared" si="38"/>
        <v>0</v>
      </c>
      <c r="DY216" s="10"/>
      <c r="DZ216" s="11">
        <f t="shared" si="39"/>
        <v>0</v>
      </c>
      <c r="EA216" s="10"/>
      <c r="EB216" s="10"/>
    </row>
    <row r="217" spans="2:132" ht="16.5">
      <c r="B217" s="2">
        <v>205</v>
      </c>
      <c r="C217" s="66" t="s">
        <v>657</v>
      </c>
      <c r="D217" s="49"/>
      <c r="E217" s="71">
        <f t="shared" si="30"/>
        <v>2.4</v>
      </c>
      <c r="F217" s="66">
        <v>2</v>
      </c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67"/>
      <c r="AS217" s="10"/>
      <c r="AT217" s="10"/>
      <c r="AU217" s="10"/>
      <c r="AV217" s="10"/>
      <c r="AW217" s="10"/>
      <c r="AX217" s="10"/>
      <c r="AY217" s="10"/>
      <c r="AZ217" s="10"/>
      <c r="BA217" s="67"/>
      <c r="BB217" s="10"/>
      <c r="BC217" s="10"/>
      <c r="BD217" s="10"/>
      <c r="BE217" s="10"/>
      <c r="BF217" s="10">
        <v>0</v>
      </c>
      <c r="BG217" s="11">
        <f t="shared" si="31"/>
        <v>0</v>
      </c>
      <c r="BH217" s="10"/>
      <c r="BI217" s="10">
        <v>2</v>
      </c>
      <c r="BJ217" s="11">
        <f t="shared" si="32"/>
        <v>4.8</v>
      </c>
      <c r="BK217" s="10"/>
      <c r="BM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  <c r="CD217" s="10"/>
      <c r="CE217" s="10"/>
      <c r="CF217" s="10"/>
      <c r="CG217" s="10"/>
      <c r="CH217" s="10"/>
      <c r="CI217" s="10"/>
      <c r="CJ217" s="10"/>
      <c r="CK217" s="10"/>
      <c r="CL217" s="10"/>
      <c r="CM217" s="10"/>
      <c r="CN217" s="10"/>
      <c r="CO217" s="10"/>
      <c r="CP217" s="10"/>
      <c r="CQ217" s="10"/>
      <c r="CR217" s="10"/>
      <c r="CS217" s="10"/>
      <c r="CT217" s="10"/>
      <c r="CU217" s="10"/>
      <c r="CV217" s="10"/>
      <c r="CW217" s="10"/>
      <c r="CX217" s="66"/>
      <c r="CY217" s="70">
        <f t="shared" si="33"/>
        <v>0</v>
      </c>
      <c r="CZ217" s="10"/>
      <c r="DA217" s="10"/>
      <c r="DB217" s="10"/>
      <c r="DC217" s="10"/>
      <c r="DD217" s="10"/>
      <c r="DE217" s="10"/>
      <c r="DF217" s="10"/>
      <c r="DG217" s="10"/>
      <c r="DH217" s="66"/>
      <c r="DI217" s="70">
        <f t="shared" si="34"/>
        <v>0</v>
      </c>
      <c r="DJ217" s="10"/>
      <c r="DK217" s="10"/>
      <c r="DL217" s="10"/>
      <c r="DM217" s="11">
        <f t="shared" si="35"/>
        <v>0</v>
      </c>
      <c r="DN217" s="10"/>
      <c r="DO217" s="10"/>
      <c r="DP217" s="10">
        <v>0</v>
      </c>
      <c r="DQ217" s="11">
        <f t="shared" si="36"/>
        <v>0</v>
      </c>
      <c r="DR217" s="10"/>
      <c r="DS217" s="10"/>
      <c r="DT217" s="11">
        <f t="shared" si="37"/>
        <v>0</v>
      </c>
      <c r="DU217" s="10"/>
      <c r="DV217" s="10"/>
      <c r="DW217" s="10"/>
      <c r="DX217" s="11">
        <f t="shared" si="38"/>
        <v>0</v>
      </c>
      <c r="DY217" s="10"/>
      <c r="DZ217" s="11">
        <f t="shared" si="39"/>
        <v>0</v>
      </c>
      <c r="EA217" s="10"/>
      <c r="EB217" s="10"/>
    </row>
    <row r="218" spans="2:132" ht="16.5">
      <c r="B218" s="2">
        <v>206</v>
      </c>
      <c r="C218" s="66" t="s">
        <v>658</v>
      </c>
      <c r="D218" s="49"/>
      <c r="E218" s="71">
        <f t="shared" si="30"/>
        <v>15.6</v>
      </c>
      <c r="F218" s="66">
        <v>13</v>
      </c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67"/>
      <c r="AS218" s="10"/>
      <c r="AT218" s="10"/>
      <c r="AU218" s="10"/>
      <c r="AV218" s="10"/>
      <c r="AW218" s="10"/>
      <c r="AX218" s="10"/>
      <c r="AY218" s="10"/>
      <c r="AZ218" s="10"/>
      <c r="BA218" s="67"/>
      <c r="BB218" s="10"/>
      <c r="BC218" s="10"/>
      <c r="BD218" s="10"/>
      <c r="BE218" s="10"/>
      <c r="BF218" s="10">
        <v>0</v>
      </c>
      <c r="BG218" s="11">
        <f t="shared" si="31"/>
        <v>0</v>
      </c>
      <c r="BH218" s="10"/>
      <c r="BI218" s="10">
        <v>10</v>
      </c>
      <c r="BJ218" s="11">
        <f t="shared" si="32"/>
        <v>156</v>
      </c>
      <c r="BK218" s="10"/>
      <c r="BM218" s="10"/>
      <c r="BN218" s="10"/>
      <c r="BO218" s="10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  <c r="CD218" s="10"/>
      <c r="CE218" s="10"/>
      <c r="CF218" s="10"/>
      <c r="CG218" s="10"/>
      <c r="CH218" s="10"/>
      <c r="CI218" s="10"/>
      <c r="CJ218" s="10"/>
      <c r="CK218" s="10"/>
      <c r="CL218" s="10"/>
      <c r="CM218" s="10"/>
      <c r="CN218" s="10"/>
      <c r="CO218" s="10"/>
      <c r="CP218" s="10"/>
      <c r="CQ218" s="10"/>
      <c r="CR218" s="10"/>
      <c r="CS218" s="10"/>
      <c r="CT218" s="10"/>
      <c r="CU218" s="10"/>
      <c r="CV218" s="10"/>
      <c r="CW218" s="10"/>
      <c r="CX218" s="66"/>
      <c r="CY218" s="70">
        <f t="shared" si="33"/>
        <v>0</v>
      </c>
      <c r="CZ218" s="10"/>
      <c r="DA218" s="10"/>
      <c r="DB218" s="10"/>
      <c r="DC218" s="10"/>
      <c r="DD218" s="10"/>
      <c r="DE218" s="10"/>
      <c r="DF218" s="10"/>
      <c r="DG218" s="10"/>
      <c r="DH218" s="66"/>
      <c r="DI218" s="70">
        <f t="shared" si="34"/>
        <v>0</v>
      </c>
      <c r="DJ218" s="10"/>
      <c r="DK218" s="10"/>
      <c r="DL218" s="10"/>
      <c r="DM218" s="11">
        <f t="shared" si="35"/>
        <v>0</v>
      </c>
      <c r="DN218" s="10"/>
      <c r="DO218" s="10"/>
      <c r="DP218" s="10">
        <v>0</v>
      </c>
      <c r="DQ218" s="11">
        <f t="shared" si="36"/>
        <v>0</v>
      </c>
      <c r="DR218" s="10"/>
      <c r="DS218" s="10"/>
      <c r="DT218" s="11">
        <f t="shared" si="37"/>
        <v>0</v>
      </c>
      <c r="DU218" s="10"/>
      <c r="DV218" s="10"/>
      <c r="DW218" s="10">
        <v>3</v>
      </c>
      <c r="DX218" s="11">
        <f t="shared" si="38"/>
        <v>46.8</v>
      </c>
      <c r="DY218" s="10"/>
      <c r="DZ218" s="11">
        <f t="shared" si="39"/>
        <v>0</v>
      </c>
      <c r="EA218" s="10"/>
      <c r="EB218" s="10"/>
    </row>
    <row r="219" spans="2:132" ht="16.5">
      <c r="B219" s="2">
        <v>207</v>
      </c>
      <c r="C219" s="66" t="s">
        <v>659</v>
      </c>
      <c r="D219" s="49"/>
      <c r="E219" s="71">
        <f t="shared" si="30"/>
        <v>1.2</v>
      </c>
      <c r="F219" s="66">
        <v>1</v>
      </c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67"/>
      <c r="AS219" s="10"/>
      <c r="AT219" s="10"/>
      <c r="AU219" s="10"/>
      <c r="AV219" s="10"/>
      <c r="AW219" s="10"/>
      <c r="AX219" s="10"/>
      <c r="AY219" s="10"/>
      <c r="AZ219" s="10"/>
      <c r="BA219" s="67"/>
      <c r="BB219" s="10"/>
      <c r="BC219" s="10"/>
      <c r="BD219" s="10"/>
      <c r="BE219" s="10"/>
      <c r="BF219" s="10">
        <v>0</v>
      </c>
      <c r="BG219" s="11">
        <f t="shared" si="31"/>
        <v>0</v>
      </c>
      <c r="BH219" s="10"/>
      <c r="BI219" s="10">
        <v>0</v>
      </c>
      <c r="BJ219" s="11">
        <f t="shared" si="32"/>
        <v>0</v>
      </c>
      <c r="BK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L219" s="10"/>
      <c r="CM219" s="10"/>
      <c r="CN219" s="10"/>
      <c r="CO219" s="10"/>
      <c r="CP219" s="10"/>
      <c r="CQ219" s="10"/>
      <c r="CR219" s="10"/>
      <c r="CS219" s="10"/>
      <c r="CT219" s="10"/>
      <c r="CU219" s="10"/>
      <c r="CV219" s="10"/>
      <c r="CW219" s="10"/>
      <c r="CX219" s="66"/>
      <c r="CY219" s="70">
        <f t="shared" si="33"/>
        <v>0</v>
      </c>
      <c r="CZ219" s="10"/>
      <c r="DA219" s="10"/>
      <c r="DB219" s="10"/>
      <c r="DC219" s="10"/>
      <c r="DD219" s="10"/>
      <c r="DE219" s="10"/>
      <c r="DF219" s="10"/>
      <c r="DG219" s="10"/>
      <c r="DH219" s="66"/>
      <c r="DI219" s="70">
        <f t="shared" si="34"/>
        <v>0</v>
      </c>
      <c r="DJ219" s="10"/>
      <c r="DK219" s="10"/>
      <c r="DL219" s="10"/>
      <c r="DM219" s="11">
        <f t="shared" si="35"/>
        <v>0</v>
      </c>
      <c r="DN219" s="10"/>
      <c r="DO219" s="10"/>
      <c r="DP219" s="10">
        <v>1</v>
      </c>
      <c r="DQ219" s="11">
        <f t="shared" si="36"/>
        <v>1.2</v>
      </c>
      <c r="DR219" s="10"/>
      <c r="DS219" s="10"/>
      <c r="DT219" s="11">
        <f t="shared" si="37"/>
        <v>0</v>
      </c>
      <c r="DU219" s="10"/>
      <c r="DV219" s="10"/>
      <c r="DW219" s="10"/>
      <c r="DX219" s="11">
        <f t="shared" si="38"/>
        <v>0</v>
      </c>
      <c r="DY219" s="10"/>
      <c r="DZ219" s="11">
        <f t="shared" si="39"/>
        <v>0</v>
      </c>
      <c r="EA219" s="10"/>
      <c r="EB219" s="10"/>
    </row>
    <row r="220" spans="2:132" ht="16.5">
      <c r="B220" s="2">
        <v>208</v>
      </c>
      <c r="C220" s="66" t="s">
        <v>660</v>
      </c>
      <c r="D220" s="49"/>
      <c r="E220" s="71">
        <f t="shared" si="30"/>
        <v>1.2</v>
      </c>
      <c r="F220" s="66">
        <v>1</v>
      </c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67"/>
      <c r="AS220" s="10"/>
      <c r="AT220" s="10"/>
      <c r="AU220" s="10"/>
      <c r="AV220" s="10"/>
      <c r="AW220" s="10"/>
      <c r="AX220" s="10"/>
      <c r="AY220" s="10"/>
      <c r="AZ220" s="10"/>
      <c r="BA220" s="67"/>
      <c r="BB220" s="10"/>
      <c r="BC220" s="10"/>
      <c r="BD220" s="10"/>
      <c r="BE220" s="10"/>
      <c r="BF220" s="10">
        <v>0</v>
      </c>
      <c r="BG220" s="11">
        <f t="shared" si="31"/>
        <v>0</v>
      </c>
      <c r="BH220" s="10"/>
      <c r="BI220" s="10">
        <v>0</v>
      </c>
      <c r="BJ220" s="11">
        <f t="shared" si="32"/>
        <v>0</v>
      </c>
      <c r="BK220" s="10"/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  <c r="CG220" s="10"/>
      <c r="CH220" s="10"/>
      <c r="CI220" s="10"/>
      <c r="CJ220" s="10"/>
      <c r="CK220" s="10"/>
      <c r="CL220" s="10"/>
      <c r="CM220" s="10"/>
      <c r="CN220" s="10"/>
      <c r="CO220" s="10"/>
      <c r="CP220" s="10"/>
      <c r="CQ220" s="10"/>
      <c r="CR220" s="10"/>
      <c r="CS220" s="10"/>
      <c r="CT220" s="10"/>
      <c r="CU220" s="10"/>
      <c r="CV220" s="10"/>
      <c r="CW220" s="10"/>
      <c r="CX220" s="66"/>
      <c r="CY220" s="70">
        <f t="shared" si="33"/>
        <v>0</v>
      </c>
      <c r="CZ220" s="10"/>
      <c r="DA220" s="10"/>
      <c r="DB220" s="10"/>
      <c r="DC220" s="10"/>
      <c r="DD220" s="10"/>
      <c r="DE220" s="10"/>
      <c r="DF220" s="10"/>
      <c r="DG220" s="10"/>
      <c r="DH220" s="66"/>
      <c r="DI220" s="70">
        <f t="shared" si="34"/>
        <v>0</v>
      </c>
      <c r="DJ220" s="10"/>
      <c r="DK220" s="10"/>
      <c r="DL220" s="10"/>
      <c r="DM220" s="11">
        <f t="shared" si="35"/>
        <v>0</v>
      </c>
      <c r="DN220" s="10"/>
      <c r="DO220" s="10"/>
      <c r="DP220" s="10">
        <v>1</v>
      </c>
      <c r="DQ220" s="11">
        <f t="shared" si="36"/>
        <v>1.2</v>
      </c>
      <c r="DR220" s="10"/>
      <c r="DS220" s="10"/>
      <c r="DT220" s="11">
        <f t="shared" si="37"/>
        <v>0</v>
      </c>
      <c r="DU220" s="10"/>
      <c r="DV220" s="10"/>
      <c r="DW220" s="10"/>
      <c r="DX220" s="11">
        <f t="shared" si="38"/>
        <v>0</v>
      </c>
      <c r="DY220" s="10"/>
      <c r="DZ220" s="11">
        <f t="shared" si="39"/>
        <v>0</v>
      </c>
      <c r="EA220" s="10"/>
      <c r="EB220" s="10"/>
    </row>
    <row r="221" spans="2:132" ht="16.5">
      <c r="B221" s="2">
        <v>209</v>
      </c>
      <c r="C221" s="66" t="s">
        <v>661</v>
      </c>
      <c r="D221" s="49"/>
      <c r="E221" s="71">
        <f t="shared" si="30"/>
        <v>19.2</v>
      </c>
      <c r="F221" s="66">
        <v>16</v>
      </c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67"/>
      <c r="AS221" s="10"/>
      <c r="AT221" s="10"/>
      <c r="AU221" s="10"/>
      <c r="AV221" s="10"/>
      <c r="AW221" s="10"/>
      <c r="AX221" s="10"/>
      <c r="AY221" s="10"/>
      <c r="AZ221" s="10"/>
      <c r="BA221" s="67"/>
      <c r="BB221" s="10"/>
      <c r="BC221" s="10"/>
      <c r="BD221" s="10"/>
      <c r="BE221" s="10"/>
      <c r="BF221" s="10">
        <v>0</v>
      </c>
      <c r="BG221" s="11">
        <f t="shared" si="31"/>
        <v>0</v>
      </c>
      <c r="BH221" s="10"/>
      <c r="BI221" s="10">
        <v>0</v>
      </c>
      <c r="BJ221" s="11">
        <f t="shared" si="32"/>
        <v>0</v>
      </c>
      <c r="BK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  <c r="CG221" s="10"/>
      <c r="CH221" s="10"/>
      <c r="CI221" s="10"/>
      <c r="CJ221" s="10"/>
      <c r="CK221" s="10"/>
      <c r="CL221" s="10"/>
      <c r="CM221" s="10"/>
      <c r="CN221" s="10"/>
      <c r="CO221" s="10"/>
      <c r="CP221" s="10"/>
      <c r="CQ221" s="10"/>
      <c r="CR221" s="10"/>
      <c r="CS221" s="10"/>
      <c r="CT221" s="10"/>
      <c r="CU221" s="10"/>
      <c r="CV221" s="10"/>
      <c r="CW221" s="10"/>
      <c r="CX221" s="66">
        <v>1</v>
      </c>
      <c r="CY221" s="70">
        <f t="shared" si="33"/>
        <v>19.2</v>
      </c>
      <c r="CZ221" s="10"/>
      <c r="DA221" s="10"/>
      <c r="DB221" s="10"/>
      <c r="DC221" s="10"/>
      <c r="DD221" s="10"/>
      <c r="DE221" s="10"/>
      <c r="DF221" s="10"/>
      <c r="DG221" s="10"/>
      <c r="DH221" s="66"/>
      <c r="DI221" s="70">
        <f t="shared" si="34"/>
        <v>0</v>
      </c>
      <c r="DJ221" s="10"/>
      <c r="DK221" s="10"/>
      <c r="DL221" s="10">
        <v>1</v>
      </c>
      <c r="DM221" s="11">
        <f t="shared" si="35"/>
        <v>19.2</v>
      </c>
      <c r="DN221" s="10"/>
      <c r="DO221" s="10"/>
      <c r="DP221" s="10">
        <v>14</v>
      </c>
      <c r="DQ221" s="11">
        <f t="shared" si="36"/>
        <v>268.8</v>
      </c>
      <c r="DR221" s="10"/>
      <c r="DS221" s="10"/>
      <c r="DT221" s="11">
        <f t="shared" si="37"/>
        <v>0</v>
      </c>
      <c r="DU221" s="10"/>
      <c r="DV221" s="10"/>
      <c r="DW221" s="10"/>
      <c r="DX221" s="11">
        <f t="shared" si="38"/>
        <v>0</v>
      </c>
      <c r="DY221" s="10"/>
      <c r="DZ221" s="11">
        <f t="shared" si="39"/>
        <v>0</v>
      </c>
      <c r="EA221" s="10"/>
      <c r="EB221" s="10"/>
    </row>
    <row r="222" spans="2:132" ht="16.5">
      <c r="B222" s="2">
        <v>210</v>
      </c>
      <c r="C222" s="66" t="s">
        <v>662</v>
      </c>
      <c r="D222" s="49"/>
      <c r="E222" s="71">
        <f t="shared" si="30"/>
        <v>1.2</v>
      </c>
      <c r="F222" s="66">
        <v>1</v>
      </c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67"/>
      <c r="AS222" s="10"/>
      <c r="AT222" s="10"/>
      <c r="AU222" s="10"/>
      <c r="AV222" s="10"/>
      <c r="AW222" s="10"/>
      <c r="AX222" s="10"/>
      <c r="AY222" s="10"/>
      <c r="AZ222" s="10"/>
      <c r="BA222" s="67"/>
      <c r="BB222" s="10"/>
      <c r="BC222" s="10"/>
      <c r="BD222" s="10"/>
      <c r="BE222" s="10"/>
      <c r="BF222" s="10">
        <v>0</v>
      </c>
      <c r="BG222" s="11">
        <f t="shared" si="31"/>
        <v>0</v>
      </c>
      <c r="BH222" s="10"/>
      <c r="BI222" s="10">
        <v>0</v>
      </c>
      <c r="BJ222" s="11">
        <f t="shared" si="32"/>
        <v>0</v>
      </c>
      <c r="BK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  <c r="CG222" s="10"/>
      <c r="CH222" s="10"/>
      <c r="CI222" s="10"/>
      <c r="CJ222" s="10"/>
      <c r="CK222" s="10"/>
      <c r="CL222" s="10"/>
      <c r="CM222" s="10"/>
      <c r="CN222" s="10"/>
      <c r="CO222" s="10"/>
      <c r="CP222" s="10"/>
      <c r="CQ222" s="10"/>
      <c r="CR222" s="10"/>
      <c r="CS222" s="10"/>
      <c r="CT222" s="10"/>
      <c r="CU222" s="10"/>
      <c r="CV222" s="10"/>
      <c r="CW222" s="10"/>
      <c r="CX222" s="66"/>
      <c r="CY222" s="70">
        <f t="shared" si="33"/>
        <v>0</v>
      </c>
      <c r="CZ222" s="10"/>
      <c r="DA222" s="10"/>
      <c r="DB222" s="10"/>
      <c r="DC222" s="10"/>
      <c r="DD222" s="10"/>
      <c r="DE222" s="10"/>
      <c r="DF222" s="10"/>
      <c r="DG222" s="10"/>
      <c r="DH222" s="66"/>
      <c r="DI222" s="70">
        <f t="shared" si="34"/>
        <v>0</v>
      </c>
      <c r="DJ222" s="10"/>
      <c r="DK222" s="10"/>
      <c r="DL222" s="10"/>
      <c r="DM222" s="11">
        <f t="shared" si="35"/>
        <v>0</v>
      </c>
      <c r="DN222" s="10"/>
      <c r="DO222" s="10"/>
      <c r="DP222" s="10">
        <v>0</v>
      </c>
      <c r="DQ222" s="11">
        <f t="shared" si="36"/>
        <v>0</v>
      </c>
      <c r="DR222" s="10"/>
      <c r="DS222" s="10">
        <v>1</v>
      </c>
      <c r="DT222" s="11">
        <f t="shared" si="37"/>
        <v>1.2</v>
      </c>
      <c r="DU222" s="10"/>
      <c r="DV222" s="10"/>
      <c r="DW222" s="10"/>
      <c r="DX222" s="11">
        <f t="shared" si="38"/>
        <v>0</v>
      </c>
      <c r="DY222" s="10"/>
      <c r="DZ222" s="11">
        <f t="shared" si="39"/>
        <v>0</v>
      </c>
      <c r="EA222" s="10"/>
      <c r="EB222" s="10"/>
    </row>
    <row r="223" spans="2:132" ht="16.5">
      <c r="B223" s="2">
        <v>211</v>
      </c>
      <c r="C223" s="66" t="s">
        <v>663</v>
      </c>
      <c r="D223" s="49"/>
      <c r="E223" s="71">
        <f t="shared" si="30"/>
        <v>1.2</v>
      </c>
      <c r="F223" s="66">
        <v>1</v>
      </c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67"/>
      <c r="AS223" s="10"/>
      <c r="AT223" s="10"/>
      <c r="AU223" s="10"/>
      <c r="AV223" s="10"/>
      <c r="AW223" s="10"/>
      <c r="AX223" s="10"/>
      <c r="AY223" s="10"/>
      <c r="AZ223" s="10"/>
      <c r="BA223" s="67"/>
      <c r="BB223" s="10"/>
      <c r="BC223" s="10"/>
      <c r="BD223" s="10"/>
      <c r="BE223" s="10"/>
      <c r="BF223" s="10">
        <v>0</v>
      </c>
      <c r="BG223" s="11">
        <f t="shared" si="31"/>
        <v>0</v>
      </c>
      <c r="BH223" s="10"/>
      <c r="BI223" s="10">
        <v>0</v>
      </c>
      <c r="BJ223" s="11">
        <f t="shared" si="32"/>
        <v>0</v>
      </c>
      <c r="BK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  <c r="CG223" s="10"/>
      <c r="CH223" s="10"/>
      <c r="CI223" s="10"/>
      <c r="CJ223" s="10"/>
      <c r="CK223" s="10"/>
      <c r="CL223" s="10"/>
      <c r="CM223" s="10"/>
      <c r="CN223" s="10"/>
      <c r="CO223" s="10"/>
      <c r="CP223" s="10"/>
      <c r="CQ223" s="10"/>
      <c r="CR223" s="10"/>
      <c r="CS223" s="10"/>
      <c r="CT223" s="10"/>
      <c r="CU223" s="10"/>
      <c r="CV223" s="10"/>
      <c r="CW223" s="10"/>
      <c r="CX223" s="66"/>
      <c r="CY223" s="70">
        <f t="shared" si="33"/>
        <v>0</v>
      </c>
      <c r="CZ223" s="10"/>
      <c r="DA223" s="10"/>
      <c r="DB223" s="10"/>
      <c r="DC223" s="10"/>
      <c r="DD223" s="10"/>
      <c r="DE223" s="10"/>
      <c r="DF223" s="10"/>
      <c r="DG223" s="10"/>
      <c r="DH223" s="66"/>
      <c r="DI223" s="70">
        <f t="shared" si="34"/>
        <v>0</v>
      </c>
      <c r="DJ223" s="10"/>
      <c r="DK223" s="10"/>
      <c r="DL223" s="10"/>
      <c r="DM223" s="11">
        <f t="shared" si="35"/>
        <v>0</v>
      </c>
      <c r="DN223" s="10"/>
      <c r="DO223" s="10"/>
      <c r="DP223" s="10">
        <v>1</v>
      </c>
      <c r="DQ223" s="11">
        <f t="shared" si="36"/>
        <v>1.2</v>
      </c>
      <c r="DR223" s="10"/>
      <c r="DS223" s="10"/>
      <c r="DT223" s="11">
        <f t="shared" si="37"/>
        <v>0</v>
      </c>
      <c r="DU223" s="10"/>
      <c r="DV223" s="10"/>
      <c r="DW223" s="10"/>
      <c r="DX223" s="11">
        <f t="shared" si="38"/>
        <v>0</v>
      </c>
      <c r="DY223" s="10"/>
      <c r="DZ223" s="11">
        <f t="shared" si="39"/>
        <v>0</v>
      </c>
      <c r="EA223" s="10"/>
      <c r="EB223" s="10"/>
    </row>
    <row r="224" spans="2:132" ht="16.5">
      <c r="B224" s="2">
        <v>212</v>
      </c>
      <c r="C224" s="66" t="s">
        <v>664</v>
      </c>
      <c r="D224" s="49"/>
      <c r="E224" s="71">
        <f t="shared" si="30"/>
        <v>67.2</v>
      </c>
      <c r="F224" s="66">
        <v>56</v>
      </c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67"/>
      <c r="AS224" s="10"/>
      <c r="AT224" s="10"/>
      <c r="AU224" s="10"/>
      <c r="AV224" s="10"/>
      <c r="AW224" s="10"/>
      <c r="AX224" s="10"/>
      <c r="AY224" s="10"/>
      <c r="AZ224" s="10"/>
      <c r="BA224" s="67"/>
      <c r="BB224" s="10"/>
      <c r="BC224" s="10"/>
      <c r="BD224" s="10"/>
      <c r="BE224" s="10"/>
      <c r="BF224" s="10">
        <v>6</v>
      </c>
      <c r="BG224" s="11">
        <f t="shared" si="31"/>
        <v>403.20000000000005</v>
      </c>
      <c r="BH224" s="10"/>
      <c r="BI224" s="10">
        <v>30</v>
      </c>
      <c r="BJ224" s="11">
        <f t="shared" si="32"/>
        <v>2016</v>
      </c>
      <c r="BK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L224" s="10"/>
      <c r="CM224" s="10"/>
      <c r="CN224" s="10"/>
      <c r="CO224" s="10"/>
      <c r="CP224" s="10"/>
      <c r="CQ224" s="10"/>
      <c r="CR224" s="10"/>
      <c r="CS224" s="10"/>
      <c r="CT224" s="10"/>
      <c r="CU224" s="10"/>
      <c r="CV224" s="10"/>
      <c r="CW224" s="10"/>
      <c r="CX224" s="66">
        <v>2</v>
      </c>
      <c r="CY224" s="70">
        <f t="shared" si="33"/>
        <v>134.4</v>
      </c>
      <c r="CZ224" s="10"/>
      <c r="DA224" s="10"/>
      <c r="DB224" s="10"/>
      <c r="DC224" s="10"/>
      <c r="DD224" s="10"/>
      <c r="DE224" s="10"/>
      <c r="DF224" s="10"/>
      <c r="DG224" s="10"/>
      <c r="DH224" s="66"/>
      <c r="DI224" s="70">
        <f t="shared" si="34"/>
        <v>0</v>
      </c>
      <c r="DJ224" s="10"/>
      <c r="DK224" s="10"/>
      <c r="DL224" s="10"/>
      <c r="DM224" s="11">
        <f t="shared" si="35"/>
        <v>0</v>
      </c>
      <c r="DN224" s="10"/>
      <c r="DO224" s="10"/>
      <c r="DP224" s="10">
        <v>4</v>
      </c>
      <c r="DQ224" s="11">
        <f t="shared" si="36"/>
        <v>268.8</v>
      </c>
      <c r="DR224" s="10"/>
      <c r="DS224" s="10">
        <v>14</v>
      </c>
      <c r="DT224" s="11">
        <f t="shared" si="37"/>
        <v>940.80000000000007</v>
      </c>
      <c r="DU224" s="10"/>
      <c r="DV224" s="10"/>
      <c r="DW224" s="10"/>
      <c r="DX224" s="11">
        <f t="shared" si="38"/>
        <v>0</v>
      </c>
      <c r="DY224" s="10"/>
      <c r="DZ224" s="11">
        <f t="shared" si="39"/>
        <v>0</v>
      </c>
      <c r="EA224" s="10"/>
      <c r="EB224" s="10"/>
    </row>
    <row r="225" spans="2:132" ht="16.5">
      <c r="B225" s="2">
        <v>213</v>
      </c>
      <c r="C225" s="66" t="s">
        <v>665</v>
      </c>
      <c r="D225" s="49"/>
      <c r="E225" s="11">
        <v>23</v>
      </c>
      <c r="F225" s="66">
        <v>48</v>
      </c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67"/>
      <c r="AS225" s="10"/>
      <c r="AT225" s="10"/>
      <c r="AU225" s="10"/>
      <c r="AV225" s="10"/>
      <c r="AW225" s="10"/>
      <c r="AX225" s="10"/>
      <c r="AY225" s="10"/>
      <c r="AZ225" s="10"/>
      <c r="BA225" s="67"/>
      <c r="BB225" s="10"/>
      <c r="BC225" s="10"/>
      <c r="BD225" s="10"/>
      <c r="BE225" s="10"/>
      <c r="BF225" s="10">
        <v>2</v>
      </c>
      <c r="BG225" s="11">
        <f t="shared" si="31"/>
        <v>46</v>
      </c>
      <c r="BH225" s="10"/>
      <c r="BI225" s="10">
        <v>22</v>
      </c>
      <c r="BJ225" s="11">
        <f t="shared" si="32"/>
        <v>506</v>
      </c>
      <c r="BK225" s="10"/>
      <c r="BM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  <c r="CD225" s="10"/>
      <c r="CE225" s="10"/>
      <c r="CF225" s="10"/>
      <c r="CG225" s="10"/>
      <c r="CH225" s="10"/>
      <c r="CI225" s="10"/>
      <c r="CJ225" s="10"/>
      <c r="CK225" s="10"/>
      <c r="CL225" s="10"/>
      <c r="CM225" s="10"/>
      <c r="CN225" s="10"/>
      <c r="CO225" s="10"/>
      <c r="CP225" s="10"/>
      <c r="CQ225" s="10"/>
      <c r="CR225" s="10"/>
      <c r="CS225" s="10"/>
      <c r="CT225" s="10"/>
      <c r="CU225" s="10"/>
      <c r="CV225" s="10"/>
      <c r="CW225" s="10"/>
      <c r="CX225" s="66">
        <v>1</v>
      </c>
      <c r="CY225" s="70">
        <f t="shared" si="33"/>
        <v>23</v>
      </c>
      <c r="CZ225" s="10"/>
      <c r="DA225" s="10"/>
      <c r="DB225" s="10"/>
      <c r="DC225" s="10"/>
      <c r="DD225" s="10"/>
      <c r="DE225" s="10"/>
      <c r="DF225" s="10"/>
      <c r="DG225" s="10"/>
      <c r="DH225" s="66">
        <v>3</v>
      </c>
      <c r="DI225" s="70">
        <f t="shared" si="34"/>
        <v>69</v>
      </c>
      <c r="DJ225" s="10"/>
      <c r="DK225" s="10"/>
      <c r="DL225" s="10"/>
      <c r="DM225" s="11">
        <f t="shared" si="35"/>
        <v>0</v>
      </c>
      <c r="DN225" s="10"/>
      <c r="DO225" s="10"/>
      <c r="DP225" s="10">
        <v>10</v>
      </c>
      <c r="DQ225" s="11">
        <f t="shared" si="36"/>
        <v>230</v>
      </c>
      <c r="DR225" s="10"/>
      <c r="DS225" s="10">
        <v>8</v>
      </c>
      <c r="DT225" s="11">
        <f t="shared" si="37"/>
        <v>184</v>
      </c>
      <c r="DU225" s="10"/>
      <c r="DV225" s="10"/>
      <c r="DW225" s="10">
        <v>2</v>
      </c>
      <c r="DX225" s="11">
        <f t="shared" si="38"/>
        <v>46</v>
      </c>
      <c r="DY225" s="10"/>
      <c r="DZ225" s="11">
        <f t="shared" si="39"/>
        <v>0</v>
      </c>
      <c r="EA225" s="10"/>
      <c r="EB225" s="10"/>
    </row>
    <row r="226" spans="2:132" ht="16.5">
      <c r="B226" s="2">
        <v>214</v>
      </c>
      <c r="C226" s="66" t="s">
        <v>666</v>
      </c>
      <c r="D226" s="49"/>
      <c r="E226" s="11">
        <v>23</v>
      </c>
      <c r="F226" s="66">
        <v>35</v>
      </c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67"/>
      <c r="AS226" s="10"/>
      <c r="AT226" s="10"/>
      <c r="AU226" s="10"/>
      <c r="AV226" s="10"/>
      <c r="AW226" s="10"/>
      <c r="AX226" s="10"/>
      <c r="AY226" s="10"/>
      <c r="AZ226" s="10"/>
      <c r="BA226" s="67"/>
      <c r="BB226" s="10"/>
      <c r="BC226" s="10"/>
      <c r="BD226" s="10"/>
      <c r="BE226" s="10"/>
      <c r="BF226" s="10">
        <v>0</v>
      </c>
      <c r="BG226" s="11">
        <f t="shared" si="31"/>
        <v>0</v>
      </c>
      <c r="BH226" s="10"/>
      <c r="BI226" s="10">
        <v>6</v>
      </c>
      <c r="BJ226" s="11">
        <f t="shared" si="32"/>
        <v>138</v>
      </c>
      <c r="BK226" s="10"/>
      <c r="BM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  <c r="CD226" s="10"/>
      <c r="CE226" s="10"/>
      <c r="CF226" s="10"/>
      <c r="CG226" s="10"/>
      <c r="CH226" s="10"/>
      <c r="CI226" s="10"/>
      <c r="CJ226" s="10"/>
      <c r="CK226" s="10"/>
      <c r="CL226" s="10"/>
      <c r="CM226" s="10"/>
      <c r="CN226" s="10"/>
      <c r="CO226" s="10"/>
      <c r="CP226" s="10"/>
      <c r="CQ226" s="10"/>
      <c r="CR226" s="10"/>
      <c r="CS226" s="10"/>
      <c r="CT226" s="10"/>
      <c r="CU226" s="10"/>
      <c r="CV226" s="10"/>
      <c r="CW226" s="10"/>
      <c r="CX226" s="66">
        <v>6</v>
      </c>
      <c r="CY226" s="70">
        <f t="shared" si="33"/>
        <v>138</v>
      </c>
      <c r="CZ226" s="10"/>
      <c r="DA226" s="10"/>
      <c r="DB226" s="10"/>
      <c r="DC226" s="10"/>
      <c r="DD226" s="10"/>
      <c r="DE226" s="10"/>
      <c r="DF226" s="10"/>
      <c r="DG226" s="10"/>
      <c r="DH226" s="66">
        <v>8</v>
      </c>
      <c r="DI226" s="70">
        <f t="shared" si="34"/>
        <v>184</v>
      </c>
      <c r="DJ226" s="10"/>
      <c r="DK226" s="10"/>
      <c r="DL226" s="10"/>
      <c r="DM226" s="11">
        <f t="shared" si="35"/>
        <v>0</v>
      </c>
      <c r="DN226" s="10"/>
      <c r="DO226" s="10"/>
      <c r="DP226" s="10">
        <v>6</v>
      </c>
      <c r="DQ226" s="11">
        <f t="shared" si="36"/>
        <v>138</v>
      </c>
      <c r="DR226" s="10"/>
      <c r="DS226" s="10">
        <v>8</v>
      </c>
      <c r="DT226" s="11">
        <f t="shared" si="37"/>
        <v>184</v>
      </c>
      <c r="DU226" s="10"/>
      <c r="DV226" s="10"/>
      <c r="DW226" s="10">
        <v>1</v>
      </c>
      <c r="DX226" s="11">
        <f t="shared" si="38"/>
        <v>23</v>
      </c>
      <c r="DY226" s="10"/>
      <c r="DZ226" s="11">
        <f t="shared" si="39"/>
        <v>0</v>
      </c>
      <c r="EA226" s="10"/>
      <c r="EB226" s="10"/>
    </row>
    <row r="227" spans="2:132" ht="16.5">
      <c r="B227" s="2">
        <v>215</v>
      </c>
      <c r="C227" s="66" t="s">
        <v>667</v>
      </c>
      <c r="D227" s="49"/>
      <c r="E227" s="11">
        <v>70</v>
      </c>
      <c r="F227" s="66">
        <v>4</v>
      </c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67"/>
      <c r="AS227" s="10"/>
      <c r="AT227" s="10"/>
      <c r="AU227" s="10"/>
      <c r="AV227" s="10"/>
      <c r="AW227" s="10"/>
      <c r="AX227" s="10"/>
      <c r="AY227" s="10"/>
      <c r="AZ227" s="10"/>
      <c r="BA227" s="67"/>
      <c r="BB227" s="10"/>
      <c r="BC227" s="10"/>
      <c r="BD227" s="10"/>
      <c r="BE227" s="10"/>
      <c r="BF227" s="10">
        <v>0</v>
      </c>
      <c r="BG227" s="11">
        <f t="shared" si="31"/>
        <v>0</v>
      </c>
      <c r="BH227" s="10"/>
      <c r="BI227" s="10">
        <v>2</v>
      </c>
      <c r="BJ227" s="11">
        <f t="shared" si="32"/>
        <v>140</v>
      </c>
      <c r="BK227" s="10"/>
      <c r="BM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  <c r="CD227" s="10"/>
      <c r="CE227" s="10"/>
      <c r="CF227" s="10"/>
      <c r="CG227" s="10"/>
      <c r="CH227" s="10"/>
      <c r="CI227" s="10"/>
      <c r="CJ227" s="10"/>
      <c r="CK227" s="10"/>
      <c r="CL227" s="10"/>
      <c r="CM227" s="10"/>
      <c r="CN227" s="10"/>
      <c r="CO227" s="10"/>
      <c r="CP227" s="10"/>
      <c r="CQ227" s="10"/>
      <c r="CR227" s="10"/>
      <c r="CS227" s="10"/>
      <c r="CT227" s="10"/>
      <c r="CU227" s="10"/>
      <c r="CV227" s="10"/>
      <c r="CW227" s="10"/>
      <c r="CX227" s="66"/>
      <c r="CY227" s="70">
        <f t="shared" si="33"/>
        <v>0</v>
      </c>
      <c r="CZ227" s="10"/>
      <c r="DA227" s="10"/>
      <c r="DB227" s="10"/>
      <c r="DC227" s="10"/>
      <c r="DD227" s="10"/>
      <c r="DE227" s="10"/>
      <c r="DF227" s="10"/>
      <c r="DG227" s="10"/>
      <c r="DH227" s="66"/>
      <c r="DI227" s="70">
        <f t="shared" si="34"/>
        <v>0</v>
      </c>
      <c r="DJ227" s="10"/>
      <c r="DK227" s="10"/>
      <c r="DL227" s="10"/>
      <c r="DM227" s="11">
        <f t="shared" si="35"/>
        <v>0</v>
      </c>
      <c r="DN227" s="10"/>
      <c r="DO227" s="10"/>
      <c r="DP227" s="10">
        <v>0</v>
      </c>
      <c r="DQ227" s="11">
        <f t="shared" si="36"/>
        <v>0</v>
      </c>
      <c r="DR227" s="10"/>
      <c r="DS227" s="10"/>
      <c r="DT227" s="11">
        <f t="shared" si="37"/>
        <v>0</v>
      </c>
      <c r="DU227" s="10"/>
      <c r="DV227" s="10"/>
      <c r="DW227" s="10">
        <v>2</v>
      </c>
      <c r="DX227" s="11">
        <f t="shared" si="38"/>
        <v>140</v>
      </c>
      <c r="DY227" s="10"/>
      <c r="DZ227" s="11">
        <f t="shared" si="39"/>
        <v>0</v>
      </c>
      <c r="EA227" s="10"/>
      <c r="EB227" s="10"/>
    </row>
    <row r="228" spans="2:132" ht="16.5">
      <c r="B228" s="2">
        <v>216</v>
      </c>
      <c r="C228" s="66" t="s">
        <v>668</v>
      </c>
      <c r="D228" s="49"/>
      <c r="E228" s="11">
        <v>250</v>
      </c>
      <c r="F228" s="66">
        <v>1</v>
      </c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67"/>
      <c r="AS228" s="10"/>
      <c r="AT228" s="10"/>
      <c r="AU228" s="10"/>
      <c r="AV228" s="10"/>
      <c r="AW228" s="10"/>
      <c r="AX228" s="10"/>
      <c r="AY228" s="10"/>
      <c r="AZ228" s="10"/>
      <c r="BA228" s="67"/>
      <c r="BB228" s="10"/>
      <c r="BC228" s="10"/>
      <c r="BD228" s="10"/>
      <c r="BE228" s="10"/>
      <c r="BF228" s="10">
        <v>0</v>
      </c>
      <c r="BG228" s="11">
        <f t="shared" si="31"/>
        <v>0</v>
      </c>
      <c r="BH228" s="10"/>
      <c r="BI228" s="10">
        <v>0</v>
      </c>
      <c r="BJ228" s="11">
        <f t="shared" si="32"/>
        <v>0</v>
      </c>
      <c r="BK228" s="10"/>
      <c r="BM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  <c r="CD228" s="10"/>
      <c r="CE228" s="10"/>
      <c r="CF228" s="10"/>
      <c r="CG228" s="10"/>
      <c r="CH228" s="10"/>
      <c r="CI228" s="10"/>
      <c r="CJ228" s="10"/>
      <c r="CK228" s="10"/>
      <c r="CL228" s="10"/>
      <c r="CM228" s="10"/>
      <c r="CN228" s="10"/>
      <c r="CO228" s="10"/>
      <c r="CP228" s="10"/>
      <c r="CQ228" s="10"/>
      <c r="CR228" s="10"/>
      <c r="CS228" s="10"/>
      <c r="CT228" s="10"/>
      <c r="CU228" s="10"/>
      <c r="CV228" s="10"/>
      <c r="CW228" s="10"/>
      <c r="CX228" s="66"/>
      <c r="CY228" s="70">
        <f t="shared" si="33"/>
        <v>0</v>
      </c>
      <c r="CZ228" s="10"/>
      <c r="DA228" s="10"/>
      <c r="DB228" s="10"/>
      <c r="DC228" s="10"/>
      <c r="DD228" s="10"/>
      <c r="DE228" s="10"/>
      <c r="DF228" s="10"/>
      <c r="DG228" s="10"/>
      <c r="DH228" s="66"/>
      <c r="DI228" s="70">
        <f t="shared" si="34"/>
        <v>0</v>
      </c>
      <c r="DJ228" s="10"/>
      <c r="DK228" s="10"/>
      <c r="DL228" s="10">
        <v>1</v>
      </c>
      <c r="DM228" s="11">
        <f t="shared" si="35"/>
        <v>250</v>
      </c>
      <c r="DN228" s="10"/>
      <c r="DO228" s="10"/>
      <c r="DP228" s="10">
        <v>0</v>
      </c>
      <c r="DQ228" s="11">
        <f t="shared" si="36"/>
        <v>0</v>
      </c>
      <c r="DR228" s="10"/>
      <c r="DS228" s="10"/>
      <c r="DT228" s="11">
        <f t="shared" si="37"/>
        <v>0</v>
      </c>
      <c r="DU228" s="10"/>
      <c r="DV228" s="10"/>
      <c r="DW228" s="10"/>
      <c r="DX228" s="11">
        <f t="shared" si="38"/>
        <v>0</v>
      </c>
      <c r="DY228" s="10"/>
      <c r="DZ228" s="11">
        <f t="shared" si="39"/>
        <v>0</v>
      </c>
      <c r="EA228" s="10"/>
      <c r="EB228" s="10"/>
    </row>
    <row r="229" spans="2:132" ht="16.5">
      <c r="B229" s="2">
        <v>217</v>
      </c>
      <c r="C229" s="66" t="s">
        <v>669</v>
      </c>
      <c r="D229" s="49"/>
      <c r="E229" s="11">
        <v>22</v>
      </c>
      <c r="F229" s="66">
        <v>4</v>
      </c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67"/>
      <c r="AS229" s="10"/>
      <c r="AT229" s="10"/>
      <c r="AU229" s="10"/>
      <c r="AV229" s="10"/>
      <c r="AW229" s="10"/>
      <c r="AX229" s="10"/>
      <c r="AY229" s="10"/>
      <c r="AZ229" s="10"/>
      <c r="BA229" s="67"/>
      <c r="BB229" s="10"/>
      <c r="BC229" s="10"/>
      <c r="BD229" s="10"/>
      <c r="BE229" s="10"/>
      <c r="BF229" s="10">
        <v>0</v>
      </c>
      <c r="BG229" s="11">
        <f t="shared" si="31"/>
        <v>0</v>
      </c>
      <c r="BH229" s="10"/>
      <c r="BI229" s="10">
        <v>0</v>
      </c>
      <c r="BJ229" s="11">
        <f t="shared" si="32"/>
        <v>0</v>
      </c>
      <c r="BK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  <c r="CQ229" s="10"/>
      <c r="CR229" s="10"/>
      <c r="CS229" s="10"/>
      <c r="CT229" s="10"/>
      <c r="CU229" s="10"/>
      <c r="CV229" s="10"/>
      <c r="CW229" s="10"/>
      <c r="CX229" s="66"/>
      <c r="CY229" s="70">
        <f t="shared" si="33"/>
        <v>0</v>
      </c>
      <c r="CZ229" s="10"/>
      <c r="DA229" s="10"/>
      <c r="DB229" s="10"/>
      <c r="DC229" s="10"/>
      <c r="DD229" s="10"/>
      <c r="DE229" s="10"/>
      <c r="DF229" s="10"/>
      <c r="DG229" s="10"/>
      <c r="DH229" s="66"/>
      <c r="DI229" s="70">
        <f t="shared" si="34"/>
        <v>0</v>
      </c>
      <c r="DJ229" s="10"/>
      <c r="DK229" s="10"/>
      <c r="DL229" s="10"/>
      <c r="DM229" s="11">
        <f t="shared" si="35"/>
        <v>0</v>
      </c>
      <c r="DN229" s="10"/>
      <c r="DO229" s="10"/>
      <c r="DP229" s="10">
        <v>1</v>
      </c>
      <c r="DQ229" s="11">
        <f t="shared" si="36"/>
        <v>22</v>
      </c>
      <c r="DR229" s="10"/>
      <c r="DS229" s="10">
        <v>3</v>
      </c>
      <c r="DT229" s="11">
        <f t="shared" si="37"/>
        <v>66</v>
      </c>
      <c r="DU229" s="10"/>
      <c r="DV229" s="10"/>
      <c r="DW229" s="10"/>
      <c r="DX229" s="11">
        <f t="shared" si="38"/>
        <v>0</v>
      </c>
      <c r="DY229" s="10"/>
      <c r="DZ229" s="11">
        <f t="shared" si="39"/>
        <v>0</v>
      </c>
      <c r="EA229" s="10"/>
      <c r="EB229" s="10"/>
    </row>
    <row r="230" spans="2:132" ht="16.5">
      <c r="B230" s="2">
        <v>218</v>
      </c>
      <c r="C230" s="66" t="s">
        <v>670</v>
      </c>
      <c r="D230" s="49"/>
      <c r="E230" s="11">
        <v>80.44</v>
      </c>
      <c r="F230" s="66">
        <v>5</v>
      </c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67"/>
      <c r="AS230" s="10"/>
      <c r="AT230" s="10"/>
      <c r="AU230" s="10"/>
      <c r="AV230" s="10"/>
      <c r="AW230" s="10"/>
      <c r="AX230" s="10"/>
      <c r="AY230" s="10"/>
      <c r="AZ230" s="10"/>
      <c r="BA230" s="67"/>
      <c r="BB230" s="10"/>
      <c r="BC230" s="10"/>
      <c r="BD230" s="10"/>
      <c r="BE230" s="10"/>
      <c r="BF230" s="10">
        <v>0</v>
      </c>
      <c r="BG230" s="11">
        <f t="shared" si="31"/>
        <v>0</v>
      </c>
      <c r="BH230" s="10"/>
      <c r="BI230" s="10">
        <v>5</v>
      </c>
      <c r="BJ230" s="11">
        <f t="shared" si="32"/>
        <v>402.2</v>
      </c>
      <c r="BK230" s="10"/>
      <c r="BM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  <c r="CD230" s="10"/>
      <c r="CE230" s="10"/>
      <c r="CF230" s="10"/>
      <c r="CG230" s="10"/>
      <c r="CH230" s="10"/>
      <c r="CI230" s="10"/>
      <c r="CJ230" s="10"/>
      <c r="CK230" s="10"/>
      <c r="CL230" s="10"/>
      <c r="CM230" s="10"/>
      <c r="CN230" s="10"/>
      <c r="CO230" s="10"/>
      <c r="CP230" s="10"/>
      <c r="CQ230" s="10"/>
      <c r="CR230" s="10"/>
      <c r="CS230" s="10"/>
      <c r="CT230" s="10"/>
      <c r="CU230" s="10"/>
      <c r="CV230" s="10"/>
      <c r="CW230" s="10"/>
      <c r="CX230" s="66"/>
      <c r="CY230" s="70">
        <f t="shared" si="33"/>
        <v>0</v>
      </c>
      <c r="CZ230" s="10"/>
      <c r="DA230" s="10"/>
      <c r="DB230" s="10"/>
      <c r="DC230" s="10"/>
      <c r="DD230" s="10"/>
      <c r="DE230" s="10"/>
      <c r="DF230" s="10"/>
      <c r="DG230" s="10"/>
      <c r="DH230" s="66"/>
      <c r="DI230" s="70">
        <f t="shared" si="34"/>
        <v>0</v>
      </c>
      <c r="DJ230" s="10"/>
      <c r="DK230" s="10"/>
      <c r="DL230" s="10"/>
      <c r="DM230" s="11">
        <f t="shared" si="35"/>
        <v>0</v>
      </c>
      <c r="DN230" s="10"/>
      <c r="DO230" s="10"/>
      <c r="DP230" s="10">
        <v>0</v>
      </c>
      <c r="DQ230" s="11">
        <f t="shared" si="36"/>
        <v>0</v>
      </c>
      <c r="DR230" s="10"/>
      <c r="DS230" s="10"/>
      <c r="DT230" s="11">
        <f t="shared" si="37"/>
        <v>0</v>
      </c>
      <c r="DU230" s="10"/>
      <c r="DV230" s="10"/>
      <c r="DW230" s="10"/>
      <c r="DX230" s="11">
        <f t="shared" si="38"/>
        <v>0</v>
      </c>
      <c r="DY230" s="10"/>
      <c r="DZ230" s="11">
        <f t="shared" si="39"/>
        <v>0</v>
      </c>
      <c r="EA230" s="10"/>
      <c r="EB230" s="10"/>
    </row>
    <row r="231" spans="2:132" ht="16.5">
      <c r="B231" s="2">
        <v>219</v>
      </c>
      <c r="C231" s="66" t="s">
        <v>671</v>
      </c>
      <c r="D231" s="49"/>
      <c r="E231" s="11">
        <v>87.5</v>
      </c>
      <c r="F231" s="66">
        <v>18</v>
      </c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67"/>
      <c r="AS231" s="10"/>
      <c r="AT231" s="10"/>
      <c r="AU231" s="10"/>
      <c r="AV231" s="10"/>
      <c r="AW231" s="10"/>
      <c r="AX231" s="10"/>
      <c r="AY231" s="10"/>
      <c r="AZ231" s="10"/>
      <c r="BA231" s="67"/>
      <c r="BB231" s="10"/>
      <c r="BC231" s="10"/>
      <c r="BD231" s="10"/>
      <c r="BE231" s="10"/>
      <c r="BF231" s="10">
        <v>0</v>
      </c>
      <c r="BG231" s="11">
        <f t="shared" si="31"/>
        <v>0</v>
      </c>
      <c r="BH231" s="10"/>
      <c r="BI231" s="10">
        <v>18</v>
      </c>
      <c r="BJ231" s="11">
        <f t="shared" si="32"/>
        <v>1575</v>
      </c>
      <c r="BK231" s="10"/>
      <c r="BM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  <c r="CD231" s="10"/>
      <c r="CE231" s="10"/>
      <c r="CF231" s="10"/>
      <c r="CG231" s="10"/>
      <c r="CH231" s="10"/>
      <c r="CI231" s="10"/>
      <c r="CJ231" s="10"/>
      <c r="CK231" s="10"/>
      <c r="CL231" s="10"/>
      <c r="CM231" s="10"/>
      <c r="CN231" s="10"/>
      <c r="CO231" s="10"/>
      <c r="CP231" s="10"/>
      <c r="CQ231" s="10"/>
      <c r="CR231" s="10"/>
      <c r="CS231" s="10"/>
      <c r="CT231" s="10"/>
      <c r="CU231" s="10"/>
      <c r="CV231" s="10"/>
      <c r="CW231" s="10"/>
      <c r="CX231" s="66"/>
      <c r="CY231" s="70">
        <f t="shared" si="33"/>
        <v>0</v>
      </c>
      <c r="CZ231" s="10"/>
      <c r="DA231" s="10"/>
      <c r="DB231" s="10"/>
      <c r="DC231" s="10"/>
      <c r="DD231" s="10"/>
      <c r="DE231" s="10"/>
      <c r="DF231" s="10"/>
      <c r="DG231" s="10"/>
      <c r="DH231" s="66"/>
      <c r="DI231" s="70">
        <f t="shared" si="34"/>
        <v>0</v>
      </c>
      <c r="DJ231" s="10"/>
      <c r="DK231" s="10"/>
      <c r="DL231" s="10"/>
      <c r="DM231" s="11">
        <f t="shared" si="35"/>
        <v>0</v>
      </c>
      <c r="DN231" s="10"/>
      <c r="DO231" s="10"/>
      <c r="DP231" s="10">
        <v>0</v>
      </c>
      <c r="DQ231" s="11">
        <f t="shared" si="36"/>
        <v>0</v>
      </c>
      <c r="DR231" s="10"/>
      <c r="DS231" s="10"/>
      <c r="DT231" s="11">
        <f t="shared" si="37"/>
        <v>0</v>
      </c>
      <c r="DU231" s="10"/>
      <c r="DV231" s="10"/>
      <c r="DW231" s="10"/>
      <c r="DX231" s="11">
        <f t="shared" si="38"/>
        <v>0</v>
      </c>
      <c r="DY231" s="10"/>
      <c r="DZ231" s="11">
        <f t="shared" si="39"/>
        <v>0</v>
      </c>
      <c r="EA231" s="10"/>
      <c r="EB231" s="10"/>
    </row>
    <row r="232" spans="2:132" ht="16.5">
      <c r="B232" s="2">
        <v>220</v>
      </c>
      <c r="C232" s="66" t="s">
        <v>672</v>
      </c>
      <c r="D232" s="49"/>
      <c r="E232" s="11">
        <v>0</v>
      </c>
      <c r="F232" s="66">
        <v>2287</v>
      </c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67"/>
      <c r="AS232" s="10"/>
      <c r="AT232" s="10"/>
      <c r="AU232" s="10"/>
      <c r="AV232" s="10"/>
      <c r="AW232" s="10"/>
      <c r="AX232" s="10"/>
      <c r="AY232" s="10"/>
      <c r="AZ232" s="10"/>
      <c r="BA232" s="67"/>
      <c r="BB232" s="10"/>
      <c r="BC232" s="10"/>
      <c r="BD232" s="10"/>
      <c r="BE232" s="10"/>
      <c r="BF232" s="10">
        <v>114</v>
      </c>
      <c r="BG232" s="11">
        <f t="shared" si="31"/>
        <v>0</v>
      </c>
      <c r="BH232" s="10"/>
      <c r="BI232" s="10">
        <v>152</v>
      </c>
      <c r="BJ232" s="11">
        <f t="shared" si="32"/>
        <v>0</v>
      </c>
      <c r="BK232" s="10"/>
      <c r="BM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  <c r="CD232" s="10"/>
      <c r="CE232" s="10"/>
      <c r="CF232" s="10"/>
      <c r="CG232" s="10"/>
      <c r="CH232" s="10"/>
      <c r="CI232" s="10"/>
      <c r="CJ232" s="10"/>
      <c r="CK232" s="10"/>
      <c r="CL232" s="10"/>
      <c r="CM232" s="10"/>
      <c r="CN232" s="10"/>
      <c r="CO232" s="10"/>
      <c r="CP232" s="10"/>
      <c r="CQ232" s="10"/>
      <c r="CR232" s="10"/>
      <c r="CS232" s="10"/>
      <c r="CT232" s="10"/>
      <c r="CU232" s="10"/>
      <c r="CV232" s="10"/>
      <c r="CW232" s="10"/>
      <c r="CX232" s="66">
        <v>312</v>
      </c>
      <c r="CY232" s="70">
        <f t="shared" si="33"/>
        <v>0</v>
      </c>
      <c r="CZ232" s="10"/>
      <c r="DA232" s="10"/>
      <c r="DB232" s="10"/>
      <c r="DC232" s="10"/>
      <c r="DD232" s="10"/>
      <c r="DE232" s="10"/>
      <c r="DF232" s="10"/>
      <c r="DG232" s="10"/>
      <c r="DH232" s="66">
        <v>44</v>
      </c>
      <c r="DI232" s="70">
        <f t="shared" si="34"/>
        <v>0</v>
      </c>
      <c r="DJ232" s="10"/>
      <c r="DK232" s="10"/>
      <c r="DL232" s="10">
        <v>2</v>
      </c>
      <c r="DM232" s="11">
        <f t="shared" si="35"/>
        <v>0</v>
      </c>
      <c r="DN232" s="10"/>
      <c r="DO232" s="10"/>
      <c r="DP232" s="10">
        <v>1379</v>
      </c>
      <c r="DQ232" s="11">
        <f t="shared" si="36"/>
        <v>0</v>
      </c>
      <c r="DR232" s="10"/>
      <c r="DS232" s="10">
        <v>98</v>
      </c>
      <c r="DT232" s="11">
        <f t="shared" si="37"/>
        <v>0</v>
      </c>
      <c r="DU232" s="10"/>
      <c r="DV232" s="10"/>
      <c r="DW232" s="10">
        <v>186</v>
      </c>
      <c r="DX232" s="11">
        <f t="shared" si="38"/>
        <v>0</v>
      </c>
      <c r="DY232" s="10"/>
      <c r="DZ232" s="11">
        <f t="shared" si="39"/>
        <v>0</v>
      </c>
      <c r="EA232" s="10"/>
      <c r="EB232" s="10"/>
    </row>
    <row r="233" spans="2:132" ht="16.5">
      <c r="B233" s="2">
        <v>221</v>
      </c>
      <c r="C233" s="66" t="s">
        <v>673</v>
      </c>
      <c r="D233" s="49"/>
      <c r="E233" s="11">
        <v>262.85000000000002</v>
      </c>
      <c r="F233" s="66">
        <v>2</v>
      </c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67"/>
      <c r="AS233" s="10"/>
      <c r="AT233" s="10"/>
      <c r="AU233" s="10"/>
      <c r="AV233" s="10"/>
      <c r="AW233" s="10"/>
      <c r="AX233" s="10"/>
      <c r="AY233" s="10"/>
      <c r="AZ233" s="10"/>
      <c r="BA233" s="67"/>
      <c r="BB233" s="10"/>
      <c r="BC233" s="10"/>
      <c r="BD233" s="10"/>
      <c r="BE233" s="10"/>
      <c r="BF233" s="10">
        <v>0</v>
      </c>
      <c r="BG233" s="11">
        <f t="shared" si="31"/>
        <v>0</v>
      </c>
      <c r="BH233" s="10"/>
      <c r="BI233" s="10">
        <v>0</v>
      </c>
      <c r="BJ233" s="11">
        <f t="shared" si="32"/>
        <v>0</v>
      </c>
      <c r="BK233" s="10"/>
      <c r="BM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  <c r="CD233" s="10"/>
      <c r="CE233" s="10"/>
      <c r="CF233" s="10"/>
      <c r="CG233" s="10"/>
      <c r="CH233" s="10"/>
      <c r="CI233" s="10"/>
      <c r="CJ233" s="10"/>
      <c r="CK233" s="10"/>
      <c r="CL233" s="10"/>
      <c r="CM233" s="10"/>
      <c r="CN233" s="10"/>
      <c r="CO233" s="10"/>
      <c r="CP233" s="10"/>
      <c r="CQ233" s="10"/>
      <c r="CR233" s="10"/>
      <c r="CS233" s="10"/>
      <c r="CT233" s="10"/>
      <c r="CU233" s="10"/>
      <c r="CV233" s="10"/>
      <c r="CW233" s="10"/>
      <c r="CX233" s="66"/>
      <c r="CY233" s="70">
        <f t="shared" si="33"/>
        <v>0</v>
      </c>
      <c r="CZ233" s="10"/>
      <c r="DA233" s="10"/>
      <c r="DB233" s="10"/>
      <c r="DC233" s="10"/>
      <c r="DD233" s="10"/>
      <c r="DE233" s="10"/>
      <c r="DF233" s="10"/>
      <c r="DG233" s="10"/>
      <c r="DH233" s="66"/>
      <c r="DI233" s="70">
        <f t="shared" si="34"/>
        <v>0</v>
      </c>
      <c r="DJ233" s="10"/>
      <c r="DK233" s="10"/>
      <c r="DL233" s="10"/>
      <c r="DM233" s="11">
        <f t="shared" si="35"/>
        <v>0</v>
      </c>
      <c r="DN233" s="10"/>
      <c r="DO233" s="10"/>
      <c r="DP233" s="10">
        <v>2</v>
      </c>
      <c r="DQ233" s="11">
        <f t="shared" si="36"/>
        <v>525.70000000000005</v>
      </c>
      <c r="DR233" s="10"/>
      <c r="DS233" s="10"/>
      <c r="DT233" s="11">
        <f t="shared" si="37"/>
        <v>0</v>
      </c>
      <c r="DU233" s="10"/>
      <c r="DV233" s="10"/>
      <c r="DW233" s="10"/>
      <c r="DX233" s="11">
        <f t="shared" si="38"/>
        <v>0</v>
      </c>
      <c r="DY233" s="10"/>
      <c r="DZ233" s="11">
        <f t="shared" si="39"/>
        <v>0</v>
      </c>
      <c r="EA233" s="10"/>
      <c r="EB233" s="10"/>
    </row>
    <row r="234" spans="2:132" ht="16.5">
      <c r="B234" s="2">
        <v>222</v>
      </c>
      <c r="C234" s="66" t="s">
        <v>674</v>
      </c>
      <c r="D234" s="49"/>
      <c r="E234" s="11">
        <v>1.9</v>
      </c>
      <c r="F234" s="66">
        <v>223</v>
      </c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67"/>
      <c r="AS234" s="10"/>
      <c r="AT234" s="10"/>
      <c r="AU234" s="10"/>
      <c r="AV234" s="10"/>
      <c r="AW234" s="10"/>
      <c r="AX234" s="10"/>
      <c r="AY234" s="10"/>
      <c r="AZ234" s="10"/>
      <c r="BA234" s="67"/>
      <c r="BB234" s="10"/>
      <c r="BC234" s="10"/>
      <c r="BD234" s="10"/>
      <c r="BE234" s="10"/>
      <c r="BF234" s="10">
        <v>0</v>
      </c>
      <c r="BG234" s="11">
        <f t="shared" si="31"/>
        <v>0</v>
      </c>
      <c r="BH234" s="10"/>
      <c r="BI234" s="10">
        <v>84</v>
      </c>
      <c r="BJ234" s="11">
        <f t="shared" si="32"/>
        <v>159.6</v>
      </c>
      <c r="BK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  <c r="CG234" s="10"/>
      <c r="CH234" s="10"/>
      <c r="CI234" s="10"/>
      <c r="CJ234" s="10"/>
      <c r="CK234" s="10"/>
      <c r="CL234" s="10"/>
      <c r="CM234" s="10"/>
      <c r="CN234" s="10"/>
      <c r="CO234" s="10"/>
      <c r="CP234" s="10"/>
      <c r="CQ234" s="10"/>
      <c r="CR234" s="10"/>
      <c r="CS234" s="10"/>
      <c r="CT234" s="10"/>
      <c r="CU234" s="10"/>
      <c r="CV234" s="10"/>
      <c r="CW234" s="10"/>
      <c r="CX234" s="66">
        <v>34</v>
      </c>
      <c r="CY234" s="70">
        <f t="shared" si="33"/>
        <v>64.599999999999994</v>
      </c>
      <c r="CZ234" s="10"/>
      <c r="DA234" s="10"/>
      <c r="DB234" s="10"/>
      <c r="DC234" s="10"/>
      <c r="DD234" s="10"/>
      <c r="DE234" s="10"/>
      <c r="DF234" s="10"/>
      <c r="DG234" s="10"/>
      <c r="DH234" s="66">
        <v>6</v>
      </c>
      <c r="DI234" s="70">
        <f t="shared" si="34"/>
        <v>11.399999999999999</v>
      </c>
      <c r="DJ234" s="10"/>
      <c r="DK234" s="10"/>
      <c r="DL234" s="10">
        <v>13</v>
      </c>
      <c r="DM234" s="11">
        <f t="shared" si="35"/>
        <v>24.7</v>
      </c>
      <c r="DN234" s="10"/>
      <c r="DO234" s="10"/>
      <c r="DP234" s="10">
        <v>76</v>
      </c>
      <c r="DQ234" s="11">
        <f t="shared" si="36"/>
        <v>144.4</v>
      </c>
      <c r="DR234" s="10"/>
      <c r="DS234" s="10">
        <v>10</v>
      </c>
      <c r="DT234" s="11">
        <f t="shared" si="37"/>
        <v>19</v>
      </c>
      <c r="DU234" s="10"/>
      <c r="DV234" s="10"/>
      <c r="DW234" s="10"/>
      <c r="DX234" s="11">
        <f t="shared" si="38"/>
        <v>0</v>
      </c>
      <c r="DY234" s="10"/>
      <c r="DZ234" s="11">
        <f t="shared" si="39"/>
        <v>0</v>
      </c>
      <c r="EA234" s="10"/>
      <c r="EB234" s="10"/>
    </row>
    <row r="235" spans="2:132" ht="16.5">
      <c r="B235" s="2">
        <v>223</v>
      </c>
      <c r="C235" s="66" t="s">
        <v>675</v>
      </c>
      <c r="D235" s="49"/>
      <c r="E235" s="11">
        <v>1.9</v>
      </c>
      <c r="F235" s="66">
        <v>213</v>
      </c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67"/>
      <c r="AS235" s="10"/>
      <c r="AT235" s="10"/>
      <c r="AU235" s="10"/>
      <c r="AV235" s="10"/>
      <c r="AW235" s="10"/>
      <c r="AX235" s="10"/>
      <c r="AY235" s="10"/>
      <c r="AZ235" s="10"/>
      <c r="BA235" s="67"/>
      <c r="BB235" s="10"/>
      <c r="BC235" s="10"/>
      <c r="BD235" s="10"/>
      <c r="BE235" s="10"/>
      <c r="BF235" s="10">
        <v>0</v>
      </c>
      <c r="BG235" s="11">
        <f t="shared" si="31"/>
        <v>0</v>
      </c>
      <c r="BH235" s="10"/>
      <c r="BI235" s="10">
        <v>70</v>
      </c>
      <c r="BJ235" s="11">
        <f t="shared" si="32"/>
        <v>133</v>
      </c>
      <c r="BK235" s="10"/>
      <c r="BM235" s="10"/>
      <c r="BN235" s="10"/>
      <c r="BO235" s="10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  <c r="CD235" s="10"/>
      <c r="CE235" s="10"/>
      <c r="CF235" s="10"/>
      <c r="CG235" s="10"/>
      <c r="CH235" s="10"/>
      <c r="CI235" s="10"/>
      <c r="CJ235" s="10"/>
      <c r="CK235" s="10"/>
      <c r="CL235" s="10"/>
      <c r="CM235" s="10"/>
      <c r="CN235" s="10"/>
      <c r="CO235" s="10"/>
      <c r="CP235" s="10"/>
      <c r="CQ235" s="10"/>
      <c r="CR235" s="10"/>
      <c r="CS235" s="10"/>
      <c r="CT235" s="10"/>
      <c r="CU235" s="10"/>
      <c r="CV235" s="10"/>
      <c r="CW235" s="10"/>
      <c r="CX235" s="66">
        <v>6</v>
      </c>
      <c r="CY235" s="70">
        <f t="shared" si="33"/>
        <v>11.399999999999999</v>
      </c>
      <c r="CZ235" s="10"/>
      <c r="DA235" s="10"/>
      <c r="DB235" s="10"/>
      <c r="DC235" s="10"/>
      <c r="DD235" s="10"/>
      <c r="DE235" s="10"/>
      <c r="DF235" s="10"/>
      <c r="DG235" s="10"/>
      <c r="DH235" s="66"/>
      <c r="DI235" s="70">
        <f t="shared" si="34"/>
        <v>0</v>
      </c>
      <c r="DJ235" s="10"/>
      <c r="DK235" s="10"/>
      <c r="DL235" s="10"/>
      <c r="DM235" s="11">
        <f t="shared" si="35"/>
        <v>0</v>
      </c>
      <c r="DN235" s="10"/>
      <c r="DO235" s="10"/>
      <c r="DP235" s="10">
        <v>40</v>
      </c>
      <c r="DQ235" s="11">
        <f t="shared" si="36"/>
        <v>76</v>
      </c>
      <c r="DR235" s="10"/>
      <c r="DS235" s="10">
        <v>80</v>
      </c>
      <c r="DT235" s="11">
        <f t="shared" si="37"/>
        <v>152</v>
      </c>
      <c r="DU235" s="10"/>
      <c r="DV235" s="10"/>
      <c r="DW235" s="10">
        <v>17</v>
      </c>
      <c r="DX235" s="11">
        <f t="shared" si="38"/>
        <v>32.299999999999997</v>
      </c>
      <c r="DY235" s="10"/>
      <c r="DZ235" s="11">
        <f t="shared" si="39"/>
        <v>0</v>
      </c>
      <c r="EA235" s="10"/>
      <c r="EB235" s="10"/>
    </row>
    <row r="236" spans="2:132" ht="16.5">
      <c r="B236" s="2">
        <v>224</v>
      </c>
      <c r="C236" s="66" t="s">
        <v>676</v>
      </c>
      <c r="D236" s="49"/>
      <c r="E236" s="11">
        <v>100</v>
      </c>
      <c r="F236" s="66">
        <v>1</v>
      </c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67"/>
      <c r="AS236" s="10"/>
      <c r="AT236" s="10"/>
      <c r="AU236" s="10"/>
      <c r="AV236" s="10"/>
      <c r="AW236" s="10"/>
      <c r="AX236" s="10"/>
      <c r="AY236" s="10"/>
      <c r="AZ236" s="10"/>
      <c r="BA236" s="67"/>
      <c r="BB236" s="10"/>
      <c r="BC236" s="10"/>
      <c r="BD236" s="10"/>
      <c r="BE236" s="10"/>
      <c r="BF236" s="10">
        <v>0</v>
      </c>
      <c r="BG236" s="11">
        <f t="shared" si="31"/>
        <v>0</v>
      </c>
      <c r="BH236" s="10"/>
      <c r="BI236" s="10">
        <v>0</v>
      </c>
      <c r="BJ236" s="11">
        <f t="shared" si="32"/>
        <v>0</v>
      </c>
      <c r="BK236" s="10"/>
      <c r="BM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  <c r="CD236" s="10"/>
      <c r="CE236" s="10"/>
      <c r="CF236" s="10"/>
      <c r="CG236" s="10"/>
      <c r="CH236" s="10"/>
      <c r="CI236" s="10"/>
      <c r="CJ236" s="10"/>
      <c r="CK236" s="10"/>
      <c r="CL236" s="10"/>
      <c r="CM236" s="10"/>
      <c r="CN236" s="10"/>
      <c r="CO236" s="10"/>
      <c r="CP236" s="10"/>
      <c r="CQ236" s="10"/>
      <c r="CR236" s="10"/>
      <c r="CS236" s="10"/>
      <c r="CT236" s="10"/>
      <c r="CU236" s="10"/>
      <c r="CV236" s="10"/>
      <c r="CW236" s="10"/>
      <c r="CX236" s="66"/>
      <c r="CY236" s="70">
        <f t="shared" si="33"/>
        <v>0</v>
      </c>
      <c r="CZ236" s="10"/>
      <c r="DA236" s="10"/>
      <c r="DB236" s="10"/>
      <c r="DC236" s="10"/>
      <c r="DD236" s="10"/>
      <c r="DE236" s="10"/>
      <c r="DF236" s="10"/>
      <c r="DG236" s="10"/>
      <c r="DH236" s="66"/>
      <c r="DI236" s="70">
        <f t="shared" si="34"/>
        <v>0</v>
      </c>
      <c r="DJ236" s="10"/>
      <c r="DK236" s="10"/>
      <c r="DL236" s="10"/>
      <c r="DM236" s="11">
        <f t="shared" si="35"/>
        <v>0</v>
      </c>
      <c r="DN236" s="10"/>
      <c r="DO236" s="10"/>
      <c r="DP236" s="10">
        <v>0</v>
      </c>
      <c r="DQ236" s="11">
        <f t="shared" si="36"/>
        <v>0</v>
      </c>
      <c r="DR236" s="10"/>
      <c r="DS236" s="10">
        <v>1</v>
      </c>
      <c r="DT236" s="11">
        <f t="shared" si="37"/>
        <v>100</v>
      </c>
      <c r="DU236" s="10"/>
      <c r="DV236" s="10"/>
      <c r="DW236" s="10"/>
      <c r="DX236" s="11">
        <f t="shared" si="38"/>
        <v>0</v>
      </c>
      <c r="DY236" s="10"/>
      <c r="DZ236" s="11">
        <f t="shared" si="39"/>
        <v>0</v>
      </c>
      <c r="EA236" s="10"/>
      <c r="EB236" s="10"/>
    </row>
    <row r="237" spans="2:132" ht="16.5">
      <c r="B237" s="2">
        <v>225</v>
      </c>
      <c r="C237" s="66" t="s">
        <v>677</v>
      </c>
      <c r="D237" s="49"/>
      <c r="E237" s="11">
        <v>1420</v>
      </c>
      <c r="F237" s="66">
        <v>1</v>
      </c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67"/>
      <c r="AS237" s="10"/>
      <c r="AT237" s="10"/>
      <c r="AU237" s="10"/>
      <c r="AV237" s="10"/>
      <c r="AW237" s="10"/>
      <c r="AX237" s="10"/>
      <c r="AY237" s="10"/>
      <c r="AZ237" s="10"/>
      <c r="BA237" s="67"/>
      <c r="BB237" s="10"/>
      <c r="BC237" s="10"/>
      <c r="BD237" s="10"/>
      <c r="BE237" s="10"/>
      <c r="BF237" s="10">
        <v>0</v>
      </c>
      <c r="BG237" s="11">
        <f t="shared" si="31"/>
        <v>0</v>
      </c>
      <c r="BH237" s="10"/>
      <c r="BI237" s="10">
        <v>0</v>
      </c>
      <c r="BJ237" s="11">
        <f t="shared" si="32"/>
        <v>0</v>
      </c>
      <c r="BK237" s="10"/>
      <c r="BM237" s="10"/>
      <c r="BN237" s="10"/>
      <c r="B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  <c r="CG237" s="10"/>
      <c r="CH237" s="10"/>
      <c r="CI237" s="10"/>
      <c r="CJ237" s="10"/>
      <c r="CK237" s="10"/>
      <c r="CL237" s="10"/>
      <c r="CM237" s="10"/>
      <c r="CN237" s="10"/>
      <c r="CO237" s="10"/>
      <c r="CP237" s="10"/>
      <c r="CQ237" s="10"/>
      <c r="CR237" s="10"/>
      <c r="CS237" s="10"/>
      <c r="CT237" s="10"/>
      <c r="CU237" s="10"/>
      <c r="CV237" s="10"/>
      <c r="CW237" s="10"/>
      <c r="CX237" s="66"/>
      <c r="CY237" s="70">
        <f t="shared" si="33"/>
        <v>0</v>
      </c>
      <c r="CZ237" s="10"/>
      <c r="DA237" s="10"/>
      <c r="DB237" s="10"/>
      <c r="DC237" s="10"/>
      <c r="DD237" s="10"/>
      <c r="DE237" s="10"/>
      <c r="DF237" s="10"/>
      <c r="DG237" s="10"/>
      <c r="DH237" s="66"/>
      <c r="DI237" s="70">
        <f t="shared" si="34"/>
        <v>0</v>
      </c>
      <c r="DJ237" s="10"/>
      <c r="DK237" s="10"/>
      <c r="DL237" s="10"/>
      <c r="DM237" s="11">
        <f t="shared" si="35"/>
        <v>0</v>
      </c>
      <c r="DN237" s="10"/>
      <c r="DO237" s="10"/>
      <c r="DP237" s="10">
        <v>1</v>
      </c>
      <c r="DQ237" s="11">
        <f t="shared" si="36"/>
        <v>1420</v>
      </c>
      <c r="DR237" s="10"/>
      <c r="DS237" s="10"/>
      <c r="DT237" s="11">
        <f t="shared" si="37"/>
        <v>0</v>
      </c>
      <c r="DU237" s="10"/>
      <c r="DV237" s="10"/>
      <c r="DW237" s="10"/>
      <c r="DX237" s="11">
        <f t="shared" si="38"/>
        <v>0</v>
      </c>
      <c r="DY237" s="10"/>
      <c r="DZ237" s="11">
        <f t="shared" si="39"/>
        <v>0</v>
      </c>
      <c r="EA237" s="10"/>
      <c r="EB237" s="10"/>
    </row>
    <row r="238" spans="2:132" ht="16.5">
      <c r="B238" s="2">
        <v>226</v>
      </c>
      <c r="C238" s="66" t="s">
        <v>678</v>
      </c>
      <c r="D238" s="49"/>
      <c r="E238" s="11">
        <v>280</v>
      </c>
      <c r="F238" s="66">
        <v>16</v>
      </c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67"/>
      <c r="AS238" s="10"/>
      <c r="AT238" s="10"/>
      <c r="AU238" s="10"/>
      <c r="AV238" s="10"/>
      <c r="AW238" s="10"/>
      <c r="AX238" s="10"/>
      <c r="AY238" s="10"/>
      <c r="AZ238" s="10"/>
      <c r="BA238" s="67"/>
      <c r="BB238" s="10"/>
      <c r="BC238" s="10"/>
      <c r="BD238" s="10"/>
      <c r="BE238" s="10"/>
      <c r="BF238" s="10">
        <v>0</v>
      </c>
      <c r="BG238" s="11">
        <f t="shared" si="31"/>
        <v>0</v>
      </c>
      <c r="BH238" s="10"/>
      <c r="BI238" s="10">
        <v>0</v>
      </c>
      <c r="BJ238" s="11">
        <f t="shared" si="32"/>
        <v>0</v>
      </c>
      <c r="BK238" s="10"/>
      <c r="BM238" s="10"/>
      <c r="BN238" s="10"/>
      <c r="BO238" s="10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  <c r="CD238" s="10"/>
      <c r="CE238" s="10"/>
      <c r="CF238" s="10"/>
      <c r="CG238" s="10"/>
      <c r="CH238" s="10"/>
      <c r="CI238" s="10"/>
      <c r="CJ238" s="10"/>
      <c r="CK238" s="10"/>
      <c r="CL238" s="10"/>
      <c r="CM238" s="10"/>
      <c r="CN238" s="10"/>
      <c r="CO238" s="10"/>
      <c r="CP238" s="10"/>
      <c r="CQ238" s="10"/>
      <c r="CR238" s="10"/>
      <c r="CS238" s="10"/>
      <c r="CT238" s="10"/>
      <c r="CU238" s="10"/>
      <c r="CV238" s="10"/>
      <c r="CW238" s="10"/>
      <c r="CX238" s="66">
        <v>2</v>
      </c>
      <c r="CY238" s="70">
        <f t="shared" si="33"/>
        <v>560</v>
      </c>
      <c r="CZ238" s="10"/>
      <c r="DA238" s="10"/>
      <c r="DB238" s="10"/>
      <c r="DC238" s="10"/>
      <c r="DD238" s="10"/>
      <c r="DE238" s="10"/>
      <c r="DF238" s="10"/>
      <c r="DG238" s="10"/>
      <c r="DH238" s="66"/>
      <c r="DI238" s="70">
        <f t="shared" si="34"/>
        <v>0</v>
      </c>
      <c r="DJ238" s="10"/>
      <c r="DK238" s="10"/>
      <c r="DL238" s="10">
        <v>1</v>
      </c>
      <c r="DM238" s="11">
        <f t="shared" si="35"/>
        <v>280</v>
      </c>
      <c r="DN238" s="10"/>
      <c r="DO238" s="10"/>
      <c r="DP238" s="10">
        <v>13</v>
      </c>
      <c r="DQ238" s="11">
        <f t="shared" si="36"/>
        <v>3640</v>
      </c>
      <c r="DR238" s="10"/>
      <c r="DS238" s="10"/>
      <c r="DT238" s="11">
        <f t="shared" si="37"/>
        <v>0</v>
      </c>
      <c r="DU238" s="10"/>
      <c r="DV238" s="10"/>
      <c r="DW238" s="10"/>
      <c r="DX238" s="11">
        <f t="shared" si="38"/>
        <v>0</v>
      </c>
      <c r="DY238" s="10"/>
      <c r="DZ238" s="11">
        <f t="shared" si="39"/>
        <v>0</v>
      </c>
      <c r="EA238" s="10"/>
      <c r="EB238" s="10"/>
    </row>
    <row r="239" spans="2:132" ht="16.5">
      <c r="B239" s="2">
        <v>227</v>
      </c>
      <c r="C239" s="66" t="s">
        <v>679</v>
      </c>
      <c r="D239" s="49"/>
      <c r="E239" s="11">
        <v>20</v>
      </c>
      <c r="F239" s="66">
        <v>1</v>
      </c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67"/>
      <c r="AS239" s="10"/>
      <c r="AT239" s="10"/>
      <c r="AU239" s="10"/>
      <c r="AV239" s="10"/>
      <c r="AW239" s="10"/>
      <c r="AX239" s="10"/>
      <c r="AY239" s="10"/>
      <c r="AZ239" s="10"/>
      <c r="BA239" s="67"/>
      <c r="BB239" s="10"/>
      <c r="BC239" s="10"/>
      <c r="BD239" s="10"/>
      <c r="BE239" s="10"/>
      <c r="BF239" s="10">
        <v>0</v>
      </c>
      <c r="BG239" s="11">
        <f t="shared" si="31"/>
        <v>0</v>
      </c>
      <c r="BH239" s="10"/>
      <c r="BI239" s="10">
        <v>1</v>
      </c>
      <c r="BJ239" s="11">
        <f t="shared" si="32"/>
        <v>20</v>
      </c>
      <c r="BK239" s="10"/>
      <c r="BM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  <c r="CD239" s="10"/>
      <c r="CE239" s="10"/>
      <c r="CF239" s="10"/>
      <c r="CG239" s="10"/>
      <c r="CH239" s="10"/>
      <c r="CI239" s="10"/>
      <c r="CJ239" s="10"/>
      <c r="CK239" s="10"/>
      <c r="CL239" s="10"/>
      <c r="CM239" s="10"/>
      <c r="CN239" s="10"/>
      <c r="CO239" s="10"/>
      <c r="CP239" s="10"/>
      <c r="CQ239" s="10"/>
      <c r="CR239" s="10"/>
      <c r="CS239" s="10"/>
      <c r="CT239" s="10"/>
      <c r="CU239" s="10"/>
      <c r="CV239" s="10"/>
      <c r="CW239" s="10"/>
      <c r="CX239" s="66"/>
      <c r="CY239" s="70">
        <f t="shared" si="33"/>
        <v>0</v>
      </c>
      <c r="CZ239" s="10"/>
      <c r="DA239" s="10"/>
      <c r="DB239" s="10"/>
      <c r="DC239" s="10"/>
      <c r="DD239" s="10"/>
      <c r="DE239" s="10"/>
      <c r="DF239" s="10"/>
      <c r="DG239" s="10"/>
      <c r="DH239" s="66"/>
      <c r="DI239" s="70">
        <f t="shared" si="34"/>
        <v>0</v>
      </c>
      <c r="DJ239" s="10"/>
      <c r="DK239" s="10"/>
      <c r="DL239" s="10"/>
      <c r="DM239" s="11">
        <f t="shared" si="35"/>
        <v>0</v>
      </c>
      <c r="DN239" s="10"/>
      <c r="DO239" s="10"/>
      <c r="DP239" s="10">
        <v>0</v>
      </c>
      <c r="DQ239" s="11">
        <f t="shared" si="36"/>
        <v>0</v>
      </c>
      <c r="DR239" s="10"/>
      <c r="DS239" s="10"/>
      <c r="DT239" s="11">
        <f t="shared" si="37"/>
        <v>0</v>
      </c>
      <c r="DU239" s="10"/>
      <c r="DV239" s="10"/>
      <c r="DW239" s="10"/>
      <c r="DX239" s="11">
        <f t="shared" si="38"/>
        <v>0</v>
      </c>
      <c r="DY239" s="10"/>
      <c r="DZ239" s="11">
        <f t="shared" si="39"/>
        <v>0</v>
      </c>
      <c r="EA239" s="10"/>
      <c r="EB239" s="10"/>
    </row>
    <row r="240" spans="2:132" ht="16.5">
      <c r="B240" s="2">
        <v>228</v>
      </c>
      <c r="C240" s="66" t="s">
        <v>680</v>
      </c>
      <c r="D240" s="49"/>
      <c r="E240" s="11">
        <v>265</v>
      </c>
      <c r="F240" s="66">
        <v>4</v>
      </c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67"/>
      <c r="AS240" s="10"/>
      <c r="AT240" s="10"/>
      <c r="AU240" s="10"/>
      <c r="AV240" s="10"/>
      <c r="AW240" s="10"/>
      <c r="AX240" s="10"/>
      <c r="AY240" s="10"/>
      <c r="AZ240" s="10"/>
      <c r="BA240" s="67"/>
      <c r="BB240" s="10"/>
      <c r="BC240" s="10"/>
      <c r="BD240" s="10"/>
      <c r="BE240" s="10"/>
      <c r="BF240" s="10">
        <v>0</v>
      </c>
      <c r="BG240" s="11">
        <f t="shared" si="31"/>
        <v>0</v>
      </c>
      <c r="BH240" s="10"/>
      <c r="BI240" s="10">
        <v>0</v>
      </c>
      <c r="BJ240" s="11">
        <f t="shared" si="32"/>
        <v>0</v>
      </c>
      <c r="BK240" s="10"/>
      <c r="BM240" s="10"/>
      <c r="BN240" s="10"/>
      <c r="BO240" s="10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  <c r="CB240" s="10"/>
      <c r="CC240" s="10"/>
      <c r="CD240" s="10"/>
      <c r="CE240" s="10"/>
      <c r="CF240" s="10"/>
      <c r="CG240" s="10"/>
      <c r="CH240" s="10"/>
      <c r="CI240" s="10"/>
      <c r="CJ240" s="10"/>
      <c r="CK240" s="10"/>
      <c r="CL240" s="10"/>
      <c r="CM240" s="10"/>
      <c r="CN240" s="10"/>
      <c r="CO240" s="10"/>
      <c r="CP240" s="10"/>
      <c r="CQ240" s="10"/>
      <c r="CR240" s="10"/>
      <c r="CS240" s="10"/>
      <c r="CT240" s="10"/>
      <c r="CU240" s="10"/>
      <c r="CV240" s="10"/>
      <c r="CW240" s="10"/>
      <c r="CX240" s="66"/>
      <c r="CY240" s="70">
        <f t="shared" si="33"/>
        <v>0</v>
      </c>
      <c r="CZ240" s="10"/>
      <c r="DA240" s="10"/>
      <c r="DB240" s="10"/>
      <c r="DC240" s="10"/>
      <c r="DD240" s="10"/>
      <c r="DE240" s="10"/>
      <c r="DF240" s="10"/>
      <c r="DG240" s="10"/>
      <c r="DH240" s="66"/>
      <c r="DI240" s="70">
        <f t="shared" si="34"/>
        <v>0</v>
      </c>
      <c r="DJ240" s="10"/>
      <c r="DK240" s="10"/>
      <c r="DL240" s="10"/>
      <c r="DM240" s="11">
        <f t="shared" si="35"/>
        <v>0</v>
      </c>
      <c r="DN240" s="10"/>
      <c r="DO240" s="10"/>
      <c r="DP240" s="10">
        <v>4</v>
      </c>
      <c r="DQ240" s="11">
        <f t="shared" si="36"/>
        <v>1060</v>
      </c>
      <c r="DR240" s="10"/>
      <c r="DS240" s="10"/>
      <c r="DT240" s="11">
        <f t="shared" si="37"/>
        <v>0</v>
      </c>
      <c r="DU240" s="10"/>
      <c r="DV240" s="10"/>
      <c r="DW240" s="10"/>
      <c r="DX240" s="11">
        <f t="shared" si="38"/>
        <v>0</v>
      </c>
      <c r="DY240" s="10"/>
      <c r="DZ240" s="11">
        <f t="shared" si="39"/>
        <v>0</v>
      </c>
      <c r="EA240" s="10"/>
      <c r="EB240" s="10"/>
    </row>
    <row r="241" spans="2:132" ht="16.5">
      <c r="B241" s="2">
        <v>229</v>
      </c>
      <c r="C241" s="66" t="s">
        <v>681</v>
      </c>
      <c r="D241" s="49"/>
      <c r="E241" s="11">
        <v>105</v>
      </c>
      <c r="F241" s="66">
        <v>5</v>
      </c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67"/>
      <c r="AS241" s="10"/>
      <c r="AT241" s="10"/>
      <c r="AU241" s="10"/>
      <c r="AV241" s="10"/>
      <c r="AW241" s="10"/>
      <c r="AX241" s="10"/>
      <c r="AY241" s="10"/>
      <c r="AZ241" s="10"/>
      <c r="BA241" s="67"/>
      <c r="BB241" s="10"/>
      <c r="BC241" s="10"/>
      <c r="BD241" s="10"/>
      <c r="BE241" s="10"/>
      <c r="BF241" s="10">
        <v>0</v>
      </c>
      <c r="BG241" s="11">
        <f t="shared" si="31"/>
        <v>0</v>
      </c>
      <c r="BH241" s="10"/>
      <c r="BI241" s="10">
        <v>0</v>
      </c>
      <c r="BJ241" s="11">
        <f t="shared" si="32"/>
        <v>0</v>
      </c>
      <c r="BK241" s="10"/>
      <c r="BM241" s="10"/>
      <c r="BN241" s="10"/>
      <c r="BO241" s="10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  <c r="CB241" s="10"/>
      <c r="CC241" s="10"/>
      <c r="CD241" s="10"/>
      <c r="CE241" s="10"/>
      <c r="CF241" s="10"/>
      <c r="CG241" s="10"/>
      <c r="CH241" s="10"/>
      <c r="CI241" s="10"/>
      <c r="CJ241" s="10"/>
      <c r="CK241" s="10"/>
      <c r="CL241" s="10"/>
      <c r="CM241" s="10"/>
      <c r="CN241" s="10"/>
      <c r="CO241" s="10"/>
      <c r="CP241" s="10"/>
      <c r="CQ241" s="10"/>
      <c r="CR241" s="10"/>
      <c r="CS241" s="10"/>
      <c r="CT241" s="10"/>
      <c r="CU241" s="10"/>
      <c r="CV241" s="10"/>
      <c r="CW241" s="10"/>
      <c r="CX241" s="66">
        <v>1</v>
      </c>
      <c r="CY241" s="70">
        <f t="shared" si="33"/>
        <v>105</v>
      </c>
      <c r="CZ241" s="10"/>
      <c r="DA241" s="10"/>
      <c r="DB241" s="10"/>
      <c r="DC241" s="10"/>
      <c r="DD241" s="10"/>
      <c r="DE241" s="10"/>
      <c r="DF241" s="10"/>
      <c r="DG241" s="10"/>
      <c r="DH241" s="66"/>
      <c r="DI241" s="70">
        <f t="shared" si="34"/>
        <v>0</v>
      </c>
      <c r="DJ241" s="10"/>
      <c r="DK241" s="10"/>
      <c r="DL241" s="10"/>
      <c r="DM241" s="11">
        <f t="shared" si="35"/>
        <v>0</v>
      </c>
      <c r="DN241" s="10"/>
      <c r="DO241" s="10"/>
      <c r="DP241" s="10">
        <v>3</v>
      </c>
      <c r="DQ241" s="11">
        <f t="shared" si="36"/>
        <v>315</v>
      </c>
      <c r="DR241" s="10"/>
      <c r="DS241" s="10"/>
      <c r="DT241" s="11">
        <f t="shared" si="37"/>
        <v>0</v>
      </c>
      <c r="DU241" s="10"/>
      <c r="DV241" s="10"/>
      <c r="DW241" s="10"/>
      <c r="DX241" s="11">
        <f t="shared" si="38"/>
        <v>0</v>
      </c>
      <c r="DY241" s="10">
        <v>1</v>
      </c>
      <c r="DZ241" s="11">
        <f t="shared" si="39"/>
        <v>105</v>
      </c>
      <c r="EA241" s="10"/>
      <c r="EB241" s="10"/>
    </row>
    <row r="242" spans="2:132" ht="16.5">
      <c r="B242" s="2">
        <v>230</v>
      </c>
      <c r="C242" s="66" t="s">
        <v>682</v>
      </c>
      <c r="D242" s="49"/>
      <c r="E242" s="11">
        <v>245.57</v>
      </c>
      <c r="F242" s="66">
        <v>1</v>
      </c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66"/>
      <c r="AS242" s="10"/>
      <c r="AT242" s="10"/>
      <c r="AU242" s="10"/>
      <c r="AV242" s="10"/>
      <c r="AW242" s="10"/>
      <c r="AX242" s="10"/>
      <c r="AY242" s="10"/>
      <c r="AZ242" s="10"/>
      <c r="BA242" s="67"/>
      <c r="BB242" s="10"/>
      <c r="BC242" s="10"/>
      <c r="BD242" s="10"/>
      <c r="BE242" s="10"/>
      <c r="BF242" s="10">
        <v>0</v>
      </c>
      <c r="BG242" s="11">
        <f t="shared" si="31"/>
        <v>0</v>
      </c>
      <c r="BH242" s="10"/>
      <c r="BI242" s="10">
        <v>0</v>
      </c>
      <c r="BJ242" s="11">
        <f t="shared" si="32"/>
        <v>0</v>
      </c>
      <c r="BK242" s="10"/>
      <c r="BM242" s="10"/>
      <c r="BN242" s="10"/>
      <c r="BO242" s="10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  <c r="CG242" s="10"/>
      <c r="CH242" s="10"/>
      <c r="CI242" s="10"/>
      <c r="CJ242" s="10"/>
      <c r="CK242" s="10"/>
      <c r="CL242" s="10"/>
      <c r="CM242" s="10"/>
      <c r="CN242" s="10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70">
        <f t="shared" si="33"/>
        <v>0</v>
      </c>
      <c r="CZ242" s="10"/>
      <c r="DA242" s="10"/>
      <c r="DB242" s="10"/>
      <c r="DC242" s="10"/>
      <c r="DD242" s="10"/>
      <c r="DE242" s="10"/>
      <c r="DF242" s="10"/>
      <c r="DG242" s="10"/>
      <c r="DH242" s="66"/>
      <c r="DI242" s="70">
        <f t="shared" si="34"/>
        <v>0</v>
      </c>
      <c r="DJ242" s="10"/>
      <c r="DK242" s="10"/>
      <c r="DL242" s="10"/>
      <c r="DM242" s="11">
        <f t="shared" si="35"/>
        <v>0</v>
      </c>
      <c r="DN242" s="10"/>
      <c r="DO242" s="10"/>
      <c r="DP242" s="10">
        <v>0</v>
      </c>
      <c r="DQ242" s="11">
        <f t="shared" si="36"/>
        <v>0</v>
      </c>
      <c r="DR242" s="10"/>
      <c r="DS242" s="10">
        <v>1</v>
      </c>
      <c r="DT242" s="11">
        <f t="shared" si="37"/>
        <v>245.57</v>
      </c>
      <c r="DU242" s="10"/>
      <c r="DV242" s="10"/>
      <c r="DW242" s="10"/>
      <c r="DX242" s="11">
        <f t="shared" si="38"/>
        <v>0</v>
      </c>
      <c r="DY242" s="10"/>
      <c r="DZ242" s="11">
        <f t="shared" si="39"/>
        <v>0</v>
      </c>
      <c r="EA242" s="10"/>
      <c r="EB242" s="10"/>
    </row>
    <row r="243" spans="2:132" ht="16.5">
      <c r="B243" s="2">
        <v>231</v>
      </c>
      <c r="C243" s="49"/>
      <c r="D243" s="49"/>
      <c r="E243" s="11"/>
      <c r="F243" s="11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>
        <f>SUM(BG13:BG242)</f>
        <v>246380.79999999999</v>
      </c>
      <c r="BH243" s="10"/>
      <c r="BI243" s="10"/>
      <c r="BJ243" s="10">
        <f>SUM(BJ13:BJ242)</f>
        <v>420263.39999999997</v>
      </c>
      <c r="BK243" s="10"/>
      <c r="BM243" s="10"/>
      <c r="BN243" s="10"/>
      <c r="BO243" s="10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  <c r="CD243" s="10"/>
      <c r="CE243" s="10"/>
      <c r="CF243" s="10"/>
      <c r="CG243" s="10"/>
      <c r="CH243" s="10"/>
      <c r="CI243" s="10"/>
      <c r="CJ243" s="10"/>
      <c r="CK243" s="10"/>
      <c r="CL243" s="10"/>
      <c r="CM243" s="10"/>
      <c r="CN243" s="10"/>
      <c r="CO243" s="10"/>
      <c r="CP243" s="10"/>
      <c r="CQ243" s="10"/>
      <c r="CR243" s="10"/>
      <c r="CS243" s="10"/>
      <c r="CT243" s="10"/>
      <c r="CU243" s="10"/>
      <c r="CV243" s="10"/>
      <c r="CW243" s="10"/>
      <c r="CX243" s="10"/>
      <c r="CY243" s="10">
        <f>SUM(CY13:CY242)</f>
        <v>198366.80000000005</v>
      </c>
      <c r="CZ243" s="10"/>
      <c r="DA243" s="10"/>
      <c r="DB243" s="10"/>
      <c r="DC243" s="10"/>
      <c r="DD243" s="10"/>
      <c r="DE243" s="10"/>
      <c r="DF243" s="10"/>
      <c r="DG243" s="10"/>
      <c r="DH243" s="10"/>
      <c r="DI243" s="10">
        <f>SUM(DI13:DI242)</f>
        <v>92659.6</v>
      </c>
      <c r="DJ243" s="10"/>
      <c r="DK243" s="10"/>
      <c r="DL243" s="10"/>
      <c r="DM243" s="10">
        <f>SUM(DM13:DM242)</f>
        <v>120924.3</v>
      </c>
      <c r="DN243" s="10"/>
      <c r="DO243" s="10"/>
      <c r="DP243" s="10"/>
      <c r="DQ243" s="10">
        <f>SUM(DQ13:DQ242)</f>
        <v>1473655.4999999993</v>
      </c>
      <c r="DR243" s="10"/>
      <c r="DS243" s="10"/>
      <c r="DT243" s="10">
        <f>SUM(DT13:DT242)</f>
        <v>131252.56999999995</v>
      </c>
      <c r="DU243" s="10"/>
      <c r="DV243" s="10"/>
      <c r="DW243" s="10"/>
      <c r="DX243" s="10">
        <f>SUM(DX13:DX242)</f>
        <v>54588.099999999984</v>
      </c>
      <c r="DY243" s="10"/>
      <c r="DZ243" s="10">
        <f>SUM(DZ13:DZ242)</f>
        <v>52786.2</v>
      </c>
      <c r="EA243" s="10"/>
      <c r="EB243" s="10"/>
    </row>
    <row r="244" spans="2:132" ht="16.5">
      <c r="B244" s="2">
        <v>232</v>
      </c>
      <c r="C244" s="49"/>
      <c r="D244" s="49"/>
      <c r="E244" s="11"/>
      <c r="F244" s="11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10"/>
      <c r="BK244" s="10"/>
      <c r="BM244" s="10"/>
      <c r="BN244" s="10"/>
      <c r="BO244" s="10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  <c r="CB244" s="10"/>
      <c r="CC244" s="10"/>
      <c r="CD244" s="10"/>
      <c r="CE244" s="10"/>
      <c r="CF244" s="10"/>
      <c r="CG244" s="10"/>
      <c r="CH244" s="10"/>
      <c r="CI244" s="10"/>
      <c r="CJ244" s="10"/>
      <c r="CK244" s="10"/>
      <c r="CL244" s="10"/>
      <c r="CM244" s="10"/>
      <c r="CN244" s="10"/>
      <c r="CO244" s="10"/>
      <c r="CP244" s="10"/>
      <c r="CQ244" s="10"/>
      <c r="CR244" s="10"/>
      <c r="CS244" s="10"/>
      <c r="CT244" s="10"/>
      <c r="CU244" s="10"/>
      <c r="CV244" s="10"/>
      <c r="CW244" s="10"/>
      <c r="CX244" s="10"/>
      <c r="CY244" s="10"/>
      <c r="CZ244" s="10"/>
      <c r="DA244" s="10"/>
      <c r="DB244" s="10"/>
      <c r="DC244" s="10"/>
      <c r="DD244" s="10"/>
      <c r="DE244" s="10"/>
      <c r="DF244" s="10"/>
      <c r="DG244" s="10"/>
      <c r="DH244" s="10"/>
      <c r="DI244" s="10"/>
      <c r="DJ244" s="10"/>
      <c r="DK244" s="10"/>
      <c r="DL244" s="10"/>
      <c r="DM244" s="10"/>
      <c r="DN244" s="10"/>
      <c r="DO244" s="10"/>
      <c r="DP244" s="10"/>
      <c r="DQ244" s="10"/>
      <c r="DR244" s="10"/>
      <c r="DS244" s="10"/>
      <c r="DT244" s="10"/>
      <c r="DU244" s="10"/>
      <c r="DV244" s="10"/>
      <c r="DW244" s="10"/>
      <c r="DX244" s="10"/>
      <c r="DY244" s="10"/>
      <c r="DZ244" s="10"/>
      <c r="EA244" s="10"/>
      <c r="EB244" s="10"/>
    </row>
    <row r="245" spans="2:132" ht="16.5">
      <c r="B245" s="2">
        <v>233</v>
      </c>
      <c r="C245" s="49"/>
      <c r="D245" s="49"/>
      <c r="E245" s="11"/>
      <c r="F245" s="11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10"/>
      <c r="BK245" s="10"/>
      <c r="BM245" s="10"/>
      <c r="BN245" s="10"/>
      <c r="BO245" s="10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  <c r="CD245" s="10"/>
      <c r="CE245" s="10"/>
      <c r="CF245" s="10"/>
      <c r="CG245" s="10"/>
      <c r="CH245" s="10"/>
      <c r="CI245" s="10"/>
      <c r="CJ245" s="10"/>
      <c r="CK245" s="10"/>
      <c r="CL245" s="10"/>
      <c r="CM245" s="10"/>
      <c r="CN245" s="10"/>
      <c r="CO245" s="10"/>
      <c r="CP245" s="10"/>
      <c r="CQ245" s="10"/>
      <c r="CR245" s="10"/>
      <c r="CS245" s="10"/>
      <c r="CT245" s="10"/>
      <c r="CU245" s="10"/>
      <c r="CV245" s="10"/>
      <c r="CW245" s="10"/>
      <c r="CX245" s="10"/>
      <c r="CY245" s="10"/>
      <c r="CZ245" s="10"/>
      <c r="DA245" s="10"/>
      <c r="DB245" s="10"/>
      <c r="DC245" s="10"/>
      <c r="DD245" s="10"/>
      <c r="DE245" s="10"/>
      <c r="DF245" s="10"/>
      <c r="DG245" s="10"/>
      <c r="DH245" s="10"/>
      <c r="DI245" s="10"/>
      <c r="DJ245" s="10"/>
      <c r="DK245" s="10"/>
      <c r="DL245" s="10"/>
      <c r="DM245" s="10"/>
      <c r="DN245" s="10"/>
      <c r="DO245" s="10"/>
      <c r="DP245" s="10"/>
      <c r="DQ245" s="10"/>
      <c r="DR245" s="10"/>
      <c r="DS245" s="10"/>
      <c r="DT245" s="10"/>
      <c r="DU245" s="10"/>
      <c r="DV245" s="10"/>
      <c r="DW245" s="10"/>
      <c r="DX245" s="10"/>
      <c r="DY245" s="10"/>
      <c r="DZ245" s="10"/>
      <c r="EA245" s="10"/>
      <c r="EB245" s="10"/>
    </row>
    <row r="246" spans="2:132" ht="16.5">
      <c r="B246" s="2">
        <v>234</v>
      </c>
      <c r="C246" s="49"/>
      <c r="D246" s="49"/>
      <c r="E246" s="11"/>
      <c r="F246" s="11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10"/>
      <c r="BK246" s="10"/>
      <c r="BM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  <c r="CD246" s="10"/>
      <c r="CE246" s="10"/>
      <c r="CF246" s="10"/>
      <c r="CG246" s="10"/>
      <c r="CH246" s="10"/>
      <c r="CI246" s="10"/>
      <c r="CJ246" s="10"/>
      <c r="CK246" s="10"/>
      <c r="CL246" s="10"/>
      <c r="CM246" s="10"/>
      <c r="CN246" s="10"/>
      <c r="CO246" s="10"/>
      <c r="CP246" s="10"/>
      <c r="CQ246" s="10"/>
      <c r="CR246" s="10"/>
      <c r="CS246" s="10"/>
      <c r="CT246" s="10"/>
      <c r="CU246" s="10"/>
      <c r="CV246" s="10"/>
      <c r="CW246" s="10"/>
      <c r="CX246" s="10"/>
      <c r="CY246" s="10"/>
      <c r="CZ246" s="10"/>
      <c r="DA246" s="10"/>
      <c r="DB246" s="10"/>
      <c r="DC246" s="10"/>
      <c r="DD246" s="10"/>
      <c r="DE246" s="10"/>
      <c r="DF246" s="10"/>
      <c r="DG246" s="10"/>
      <c r="DH246" s="10"/>
      <c r="DI246" s="10"/>
      <c r="DJ246" s="10"/>
      <c r="DK246" s="10"/>
      <c r="DL246" s="10"/>
      <c r="DM246" s="10"/>
      <c r="DN246" s="10"/>
      <c r="DO246" s="10"/>
      <c r="DP246" s="10"/>
      <c r="DQ246" s="10"/>
      <c r="DR246" s="10"/>
      <c r="DS246" s="10"/>
      <c r="DT246" s="10"/>
      <c r="DU246" s="10"/>
      <c r="DV246" s="10"/>
      <c r="DW246" s="10"/>
      <c r="DX246" s="10"/>
      <c r="DY246" s="10"/>
      <c r="DZ246" s="10"/>
      <c r="EA246" s="10"/>
      <c r="EB246" s="10"/>
    </row>
    <row r="247" spans="2:132" ht="16.5">
      <c r="B247" s="2">
        <v>235</v>
      </c>
      <c r="C247" s="49"/>
      <c r="D247" s="49"/>
      <c r="E247" s="11"/>
      <c r="F247" s="11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10"/>
      <c r="BK247" s="10"/>
      <c r="BM247" s="10"/>
      <c r="BN247" s="10"/>
      <c r="BO247" s="10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  <c r="CD247" s="10"/>
      <c r="CE247" s="10"/>
      <c r="CF247" s="10"/>
      <c r="CG247" s="10"/>
      <c r="CH247" s="10"/>
      <c r="CI247" s="10"/>
      <c r="CJ247" s="10"/>
      <c r="CK247" s="10"/>
      <c r="CL247" s="10"/>
      <c r="CM247" s="10"/>
      <c r="CN247" s="10"/>
      <c r="CO247" s="10"/>
      <c r="CP247" s="10"/>
      <c r="CQ247" s="10"/>
      <c r="CR247" s="10"/>
      <c r="CS247" s="10"/>
      <c r="CT247" s="10"/>
      <c r="CU247" s="10"/>
      <c r="CV247" s="10"/>
      <c r="CW247" s="10"/>
      <c r="CX247" s="10"/>
      <c r="CY247" s="10"/>
      <c r="CZ247" s="10"/>
      <c r="DA247" s="10"/>
      <c r="DB247" s="10"/>
      <c r="DC247" s="10"/>
      <c r="DD247" s="10"/>
      <c r="DE247" s="10"/>
      <c r="DF247" s="10"/>
      <c r="DG247" s="10"/>
      <c r="DH247" s="10"/>
      <c r="DI247" s="10"/>
      <c r="DJ247" s="10"/>
      <c r="DK247" s="10"/>
      <c r="DL247" s="10"/>
      <c r="DM247" s="10"/>
      <c r="DN247" s="10"/>
      <c r="DO247" s="10"/>
      <c r="DP247" s="10"/>
      <c r="DQ247" s="10"/>
      <c r="DR247" s="10"/>
      <c r="DS247" s="10"/>
      <c r="DT247" s="10"/>
      <c r="DU247" s="10"/>
      <c r="DV247" s="10"/>
      <c r="DW247" s="10"/>
      <c r="DX247" s="10"/>
      <c r="DY247" s="10"/>
      <c r="DZ247" s="10"/>
      <c r="EA247" s="10"/>
      <c r="EB247" s="10"/>
    </row>
    <row r="248" spans="2:132" ht="16.5">
      <c r="B248" s="2">
        <v>236</v>
      </c>
      <c r="C248" s="49"/>
      <c r="D248" s="49"/>
      <c r="E248" s="11"/>
      <c r="F248" s="11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B248" s="10"/>
      <c r="BC248" s="10"/>
      <c r="BD248" s="10"/>
      <c r="BE248" s="10"/>
      <c r="BF248" s="10"/>
      <c r="BG248" s="10"/>
      <c r="BH248" s="10"/>
      <c r="BI248" s="10"/>
      <c r="BJ248" s="10"/>
      <c r="BK248" s="10"/>
      <c r="BM248" s="10"/>
      <c r="BN248" s="10"/>
      <c r="B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  <c r="CG248" s="10"/>
      <c r="CH248" s="10"/>
      <c r="CI248" s="10"/>
      <c r="CJ248" s="10"/>
      <c r="CK248" s="10"/>
      <c r="CL248" s="10"/>
      <c r="CM248" s="10"/>
      <c r="CN248" s="10"/>
      <c r="CO248" s="10"/>
      <c r="CP248" s="10"/>
      <c r="CQ248" s="10"/>
      <c r="CR248" s="10"/>
      <c r="CS248" s="10"/>
      <c r="CT248" s="10"/>
      <c r="CU248" s="10"/>
      <c r="CV248" s="10"/>
      <c r="CW248" s="10"/>
      <c r="CX248" s="10"/>
      <c r="CY248" s="10"/>
      <c r="CZ248" s="10"/>
      <c r="DA248" s="10"/>
      <c r="DB248" s="10"/>
      <c r="DC248" s="10"/>
      <c r="DD248" s="10"/>
      <c r="DE248" s="10"/>
      <c r="DF248" s="10"/>
      <c r="DG248" s="10"/>
      <c r="DH248" s="10"/>
      <c r="DI248" s="10"/>
      <c r="DJ248" s="10"/>
      <c r="DK248" s="10"/>
      <c r="DL248" s="10"/>
      <c r="DM248" s="10"/>
      <c r="DN248" s="10"/>
      <c r="DO248" s="10"/>
      <c r="DP248" s="10"/>
      <c r="DQ248" s="10"/>
      <c r="DR248" s="10"/>
      <c r="DS248" s="10"/>
      <c r="DT248" s="10"/>
      <c r="DU248" s="10"/>
      <c r="DV248" s="10"/>
      <c r="DW248" s="10"/>
      <c r="DX248" s="10"/>
      <c r="DY248" s="10"/>
      <c r="DZ248" s="10"/>
      <c r="EA248" s="10"/>
      <c r="EB248" s="10"/>
    </row>
    <row r="249" spans="2:132" ht="16.5">
      <c r="B249" s="2">
        <v>237</v>
      </c>
      <c r="C249" s="49"/>
      <c r="D249" s="49"/>
      <c r="E249" s="11"/>
      <c r="F249" s="11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  <c r="BI249" s="10"/>
      <c r="BJ249" s="10"/>
      <c r="BK249" s="10"/>
      <c r="BM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0"/>
      <c r="DA249" s="10"/>
      <c r="DB249" s="10"/>
      <c r="DC249" s="10"/>
      <c r="DD249" s="10"/>
      <c r="DE249" s="10"/>
      <c r="DF249" s="10"/>
      <c r="DG249" s="10"/>
      <c r="DH249" s="10"/>
      <c r="DI249" s="10"/>
      <c r="DJ249" s="10"/>
      <c r="DK249" s="10"/>
      <c r="DL249" s="10"/>
      <c r="DM249" s="10"/>
      <c r="DN249" s="10"/>
      <c r="DO249" s="10"/>
      <c r="DP249" s="10"/>
      <c r="DQ249" s="10"/>
      <c r="DR249" s="10"/>
      <c r="DS249" s="10"/>
      <c r="DT249" s="10"/>
      <c r="DU249" s="10"/>
      <c r="DV249" s="10"/>
      <c r="DW249" s="10"/>
      <c r="DX249" s="10"/>
      <c r="DY249" s="10"/>
      <c r="DZ249" s="10"/>
      <c r="EA249" s="10"/>
      <c r="EB249" s="10"/>
    </row>
    <row r="250" spans="2:132" ht="16.5">
      <c r="B250" s="2">
        <v>238</v>
      </c>
      <c r="C250" s="49"/>
      <c r="D250" s="49"/>
      <c r="E250" s="11"/>
      <c r="F250" s="11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  <c r="BB250" s="10"/>
      <c r="BC250" s="10"/>
      <c r="BD250" s="10"/>
      <c r="BE250" s="10"/>
      <c r="BF250" s="10"/>
      <c r="BG250" s="10"/>
      <c r="BH250" s="10"/>
      <c r="BI250" s="10"/>
      <c r="BJ250" s="10"/>
      <c r="BK250" s="10"/>
      <c r="BM250" s="10"/>
      <c r="BN250" s="10"/>
      <c r="BO250" s="10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  <c r="CD250" s="10"/>
      <c r="CE250" s="10"/>
      <c r="CF250" s="10"/>
      <c r="CG250" s="10"/>
      <c r="CH250" s="10"/>
      <c r="CI250" s="10"/>
      <c r="CJ250" s="10"/>
      <c r="CK250" s="10"/>
      <c r="CL250" s="10"/>
      <c r="CM250" s="10"/>
      <c r="CN250" s="10"/>
      <c r="CO250" s="10"/>
      <c r="CP250" s="10"/>
      <c r="CQ250" s="10"/>
      <c r="CR250" s="10"/>
      <c r="CS250" s="10"/>
      <c r="CT250" s="10"/>
      <c r="CU250" s="10"/>
      <c r="CV250" s="10"/>
      <c r="CW250" s="10"/>
      <c r="CX250" s="10"/>
      <c r="CY250" s="10"/>
      <c r="CZ250" s="10"/>
      <c r="DA250" s="10"/>
      <c r="DB250" s="10"/>
      <c r="DC250" s="10"/>
      <c r="DD250" s="10"/>
      <c r="DE250" s="10"/>
      <c r="DF250" s="10"/>
      <c r="DG250" s="10"/>
      <c r="DH250" s="10"/>
      <c r="DI250" s="10"/>
      <c r="DJ250" s="10"/>
      <c r="DK250" s="10"/>
      <c r="DL250" s="10"/>
      <c r="DM250" s="10"/>
      <c r="DN250" s="10"/>
      <c r="DO250" s="10"/>
      <c r="DP250" s="10"/>
      <c r="DQ250" s="10"/>
      <c r="DR250" s="10"/>
      <c r="DS250" s="10"/>
      <c r="DT250" s="10"/>
      <c r="DU250" s="10"/>
      <c r="DV250" s="10"/>
      <c r="DW250" s="10"/>
      <c r="DX250" s="10"/>
      <c r="DY250" s="10"/>
      <c r="DZ250" s="10"/>
      <c r="EA250" s="10"/>
      <c r="EB250" s="10"/>
    </row>
    <row r="251" spans="2:132" ht="16.5">
      <c r="B251" s="2">
        <v>239</v>
      </c>
      <c r="C251" s="49"/>
      <c r="D251" s="49"/>
      <c r="E251" s="11"/>
      <c r="F251" s="11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  <c r="BM251" s="10"/>
      <c r="BN251" s="10"/>
      <c r="BO251" s="10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  <c r="CD251" s="10"/>
      <c r="CE251" s="10"/>
      <c r="CF251" s="10"/>
      <c r="CG251" s="10"/>
      <c r="CH251" s="10"/>
      <c r="CI251" s="10"/>
      <c r="CJ251" s="10"/>
      <c r="CK251" s="10"/>
      <c r="CL251" s="10"/>
      <c r="CM251" s="10"/>
      <c r="CN251" s="10"/>
      <c r="CO251" s="10"/>
      <c r="CP251" s="10"/>
      <c r="CQ251" s="10"/>
      <c r="CR251" s="10"/>
      <c r="CS251" s="10"/>
      <c r="CT251" s="10"/>
      <c r="CU251" s="10"/>
      <c r="CV251" s="10"/>
      <c r="CW251" s="10"/>
      <c r="CX251" s="10"/>
      <c r="CY251" s="10"/>
      <c r="CZ251" s="10"/>
      <c r="DA251" s="10"/>
      <c r="DB251" s="10"/>
      <c r="DC251" s="10"/>
      <c r="DD251" s="10"/>
      <c r="DE251" s="10"/>
      <c r="DF251" s="10"/>
      <c r="DG251" s="10"/>
      <c r="DH251" s="10"/>
      <c r="DI251" s="10"/>
      <c r="DJ251" s="10"/>
      <c r="DK251" s="10"/>
      <c r="DL251" s="10"/>
      <c r="DM251" s="10"/>
      <c r="DN251" s="10"/>
      <c r="DO251" s="10"/>
      <c r="DP251" s="10"/>
      <c r="DQ251" s="10"/>
      <c r="DR251" s="10"/>
      <c r="DS251" s="10"/>
      <c r="DT251" s="10"/>
      <c r="DU251" s="10"/>
      <c r="DV251" s="10"/>
      <c r="DW251" s="10"/>
      <c r="DX251" s="10"/>
      <c r="DY251" s="10"/>
      <c r="DZ251" s="10"/>
      <c r="EA251" s="10"/>
      <c r="EB251" s="10"/>
    </row>
    <row r="252" spans="2:132" ht="16.5">
      <c r="B252" s="2">
        <v>240</v>
      </c>
      <c r="C252" s="49"/>
      <c r="D252" s="49"/>
      <c r="E252" s="11"/>
      <c r="F252" s="11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10"/>
      <c r="BK252" s="10"/>
      <c r="BM252" s="10"/>
      <c r="BN252" s="10"/>
      <c r="BO252" s="10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  <c r="CD252" s="10"/>
      <c r="CE252" s="10"/>
      <c r="CF252" s="10"/>
      <c r="CG252" s="10"/>
      <c r="CH252" s="10"/>
      <c r="CI252" s="10"/>
      <c r="CJ252" s="10"/>
      <c r="CK252" s="10"/>
      <c r="CL252" s="10"/>
      <c r="CM252" s="10"/>
      <c r="CN252" s="10"/>
      <c r="CO252" s="10"/>
      <c r="CP252" s="10"/>
      <c r="CQ252" s="10"/>
      <c r="CR252" s="10"/>
      <c r="CS252" s="10"/>
      <c r="CT252" s="10"/>
      <c r="CU252" s="10"/>
      <c r="CV252" s="10"/>
      <c r="CW252" s="10"/>
      <c r="CX252" s="10"/>
      <c r="CY252" s="10"/>
      <c r="CZ252" s="10"/>
      <c r="DA252" s="10"/>
      <c r="DB252" s="10"/>
      <c r="DC252" s="10"/>
      <c r="DD252" s="10"/>
      <c r="DE252" s="10"/>
      <c r="DF252" s="10"/>
      <c r="DG252" s="10"/>
      <c r="DH252" s="10"/>
      <c r="DI252" s="10"/>
      <c r="DJ252" s="10"/>
      <c r="DK252" s="10"/>
      <c r="DL252" s="10"/>
      <c r="DM252" s="10"/>
      <c r="DN252" s="10"/>
      <c r="DO252" s="10"/>
      <c r="DP252" s="10"/>
      <c r="DQ252" s="10"/>
      <c r="DR252" s="10"/>
      <c r="DS252" s="10"/>
      <c r="DT252" s="10"/>
      <c r="DU252" s="10"/>
      <c r="DV252" s="10"/>
      <c r="DW252" s="10"/>
      <c r="DX252" s="10"/>
      <c r="DY252" s="10"/>
      <c r="DZ252" s="10"/>
      <c r="EA252" s="10"/>
      <c r="EB252" s="10"/>
    </row>
    <row r="253" spans="2:132" ht="16.5">
      <c r="B253" s="2">
        <v>241</v>
      </c>
      <c r="C253" s="49"/>
      <c r="D253" s="49"/>
      <c r="E253" s="11"/>
      <c r="F253" s="11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  <c r="BM253" s="10"/>
      <c r="BN253" s="10"/>
      <c r="BO253" s="10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  <c r="CD253" s="10"/>
      <c r="CE253" s="10"/>
      <c r="CF253" s="10"/>
      <c r="CG253" s="10"/>
      <c r="CH253" s="10"/>
      <c r="CI253" s="10"/>
      <c r="CJ253" s="10"/>
      <c r="CK253" s="10"/>
      <c r="CL253" s="10"/>
      <c r="CM253" s="10"/>
      <c r="CN253" s="10"/>
      <c r="CO253" s="10"/>
      <c r="CP253" s="10"/>
      <c r="CQ253" s="10"/>
      <c r="CR253" s="10"/>
      <c r="CS253" s="10"/>
      <c r="CT253" s="10"/>
      <c r="CU253" s="10"/>
      <c r="CV253" s="10"/>
      <c r="CW253" s="10"/>
      <c r="CX253" s="10"/>
      <c r="CY253" s="10"/>
      <c r="CZ253" s="10"/>
      <c r="DA253" s="10"/>
      <c r="DB253" s="10"/>
      <c r="DC253" s="10"/>
      <c r="DD253" s="10"/>
      <c r="DE253" s="10"/>
      <c r="DF253" s="10"/>
      <c r="DG253" s="10"/>
      <c r="DH253" s="10"/>
      <c r="DI253" s="10"/>
      <c r="DJ253" s="10"/>
      <c r="DK253" s="10"/>
      <c r="DL253" s="10"/>
      <c r="DM253" s="10"/>
      <c r="DN253" s="10"/>
      <c r="DO253" s="10"/>
      <c r="DP253" s="10"/>
      <c r="DQ253" s="10"/>
      <c r="DR253" s="10"/>
      <c r="DS253" s="10"/>
      <c r="DT253" s="10"/>
      <c r="DU253" s="10"/>
      <c r="DV253" s="10"/>
      <c r="DW253" s="10"/>
      <c r="DX253" s="10"/>
      <c r="DY253" s="10"/>
      <c r="DZ253" s="10"/>
      <c r="EA253" s="10"/>
      <c r="EB253" s="10"/>
    </row>
    <row r="254" spans="2:132" ht="16.5">
      <c r="B254" s="2">
        <v>242</v>
      </c>
      <c r="C254" s="49"/>
      <c r="D254" s="49"/>
      <c r="E254" s="11"/>
      <c r="F254" s="11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  <c r="BM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  <c r="CQ254" s="10"/>
      <c r="CR254" s="10"/>
      <c r="CS254" s="10"/>
      <c r="CT254" s="10"/>
      <c r="CU254" s="10"/>
      <c r="CV254" s="10"/>
      <c r="CW254" s="10"/>
      <c r="CX254" s="10"/>
      <c r="CY254" s="10"/>
      <c r="CZ254" s="10"/>
      <c r="DA254" s="10"/>
      <c r="DB254" s="10"/>
      <c r="DC254" s="10"/>
      <c r="DD254" s="10"/>
      <c r="DE254" s="10"/>
      <c r="DF254" s="10"/>
      <c r="DG254" s="10"/>
      <c r="DH254" s="10"/>
      <c r="DI254" s="10"/>
      <c r="DJ254" s="10"/>
      <c r="DK254" s="10"/>
      <c r="DL254" s="10"/>
      <c r="DM254" s="10"/>
      <c r="DN254" s="10"/>
      <c r="DO254" s="10"/>
      <c r="DP254" s="10"/>
      <c r="DQ254" s="10"/>
      <c r="DR254" s="10"/>
      <c r="DS254" s="10"/>
      <c r="DT254" s="10"/>
      <c r="DU254" s="10"/>
      <c r="DV254" s="10"/>
      <c r="DW254" s="10"/>
      <c r="DX254" s="10"/>
      <c r="DY254" s="10"/>
      <c r="DZ254" s="10"/>
      <c r="EA254" s="10"/>
      <c r="EB254" s="10"/>
    </row>
    <row r="255" spans="2:132" ht="16.5">
      <c r="B255" s="2">
        <v>243</v>
      </c>
      <c r="C255" s="49"/>
      <c r="D255" s="49"/>
      <c r="E255" s="11"/>
      <c r="F255" s="11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  <c r="BM255" s="10"/>
      <c r="BN255" s="10"/>
      <c r="B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  <c r="CG255" s="10"/>
      <c r="CH255" s="10"/>
      <c r="CI255" s="10"/>
      <c r="CJ255" s="10"/>
      <c r="CK255" s="10"/>
      <c r="CL255" s="10"/>
      <c r="CM255" s="10"/>
      <c r="CN255" s="10"/>
      <c r="CO255" s="10"/>
      <c r="CP255" s="10"/>
      <c r="CQ255" s="10"/>
      <c r="CR255" s="10"/>
      <c r="CS255" s="10"/>
      <c r="CT255" s="10"/>
      <c r="CU255" s="10"/>
      <c r="CV255" s="10"/>
      <c r="CW255" s="10"/>
      <c r="CX255" s="10"/>
      <c r="CY255" s="10"/>
      <c r="CZ255" s="10"/>
      <c r="DA255" s="10"/>
      <c r="DB255" s="10"/>
      <c r="DC255" s="10"/>
      <c r="DD255" s="10"/>
      <c r="DE255" s="10"/>
      <c r="DF255" s="10"/>
      <c r="DG255" s="10"/>
      <c r="DH255" s="10"/>
      <c r="DI255" s="10"/>
      <c r="DJ255" s="10"/>
      <c r="DK255" s="10"/>
      <c r="DL255" s="10"/>
      <c r="DM255" s="10"/>
      <c r="DN255" s="10"/>
      <c r="DO255" s="10"/>
      <c r="DP255" s="10"/>
      <c r="DQ255" s="10"/>
      <c r="DR255" s="10"/>
      <c r="DS255" s="10"/>
      <c r="DT255" s="10"/>
      <c r="DU255" s="10"/>
      <c r="DV255" s="10"/>
      <c r="DW255" s="10"/>
      <c r="DX255" s="10"/>
      <c r="DY255" s="10"/>
      <c r="DZ255" s="10"/>
      <c r="EA255" s="10"/>
      <c r="EB255" s="10"/>
    </row>
    <row r="256" spans="2:132" ht="16.5">
      <c r="B256" s="2">
        <v>244</v>
      </c>
      <c r="C256" s="49"/>
      <c r="D256" s="49"/>
      <c r="E256" s="11"/>
      <c r="F256" s="11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10"/>
      <c r="BK256" s="10"/>
      <c r="BM256" s="10"/>
      <c r="BN256" s="10"/>
      <c r="BO256" s="10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  <c r="CD256" s="10"/>
      <c r="CE256" s="10"/>
      <c r="CF256" s="10"/>
      <c r="CG256" s="10"/>
      <c r="CH256" s="10"/>
      <c r="CI256" s="10"/>
      <c r="CJ256" s="10"/>
      <c r="CK256" s="10"/>
      <c r="CL256" s="10"/>
      <c r="CM256" s="10"/>
      <c r="CN256" s="10"/>
      <c r="CO256" s="10"/>
      <c r="CP256" s="10"/>
      <c r="CQ256" s="10"/>
      <c r="CR256" s="10"/>
      <c r="CS256" s="10"/>
      <c r="CT256" s="10"/>
      <c r="CU256" s="10"/>
      <c r="CV256" s="10"/>
      <c r="CW256" s="10"/>
      <c r="CX256" s="10"/>
      <c r="CY256" s="10"/>
      <c r="CZ256" s="10"/>
      <c r="DA256" s="10"/>
      <c r="DB256" s="10"/>
      <c r="DC256" s="10"/>
      <c r="DD256" s="10"/>
      <c r="DE256" s="10"/>
      <c r="DF256" s="10"/>
      <c r="DG256" s="10"/>
      <c r="DH256" s="10"/>
      <c r="DI256" s="10"/>
      <c r="DJ256" s="10"/>
      <c r="DK256" s="10"/>
      <c r="DL256" s="10"/>
      <c r="DM256" s="10"/>
      <c r="DN256" s="10"/>
      <c r="DO256" s="10"/>
      <c r="DP256" s="10"/>
      <c r="DQ256" s="10"/>
      <c r="DR256" s="10"/>
      <c r="DS256" s="10"/>
      <c r="DT256" s="10"/>
      <c r="DU256" s="10"/>
      <c r="DV256" s="10"/>
      <c r="DW256" s="10"/>
      <c r="DX256" s="10"/>
      <c r="DY256" s="10"/>
      <c r="DZ256" s="10"/>
      <c r="EA256" s="10"/>
      <c r="EB256" s="10"/>
    </row>
    <row r="257" spans="2:132" ht="16.5">
      <c r="B257" s="2">
        <v>245</v>
      </c>
      <c r="C257" s="49"/>
      <c r="D257" s="49"/>
      <c r="E257" s="11"/>
      <c r="F257" s="11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/>
      <c r="BK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0"/>
      <c r="CE257" s="10"/>
      <c r="CF257" s="10"/>
      <c r="CG257" s="10"/>
      <c r="CH257" s="10"/>
      <c r="CI257" s="10"/>
      <c r="CJ257" s="10"/>
      <c r="CK257" s="10"/>
      <c r="CL257" s="10"/>
      <c r="CM257" s="10"/>
      <c r="CN257" s="10"/>
      <c r="CO257" s="10"/>
      <c r="CP257" s="10"/>
      <c r="CQ257" s="10"/>
      <c r="CR257" s="10"/>
      <c r="CS257" s="10"/>
      <c r="CT257" s="10"/>
      <c r="CU257" s="10"/>
      <c r="CV257" s="10"/>
      <c r="CW257" s="10"/>
      <c r="CX257" s="10"/>
      <c r="CY257" s="10"/>
      <c r="CZ257" s="10"/>
      <c r="DA257" s="10"/>
      <c r="DB257" s="10"/>
      <c r="DC257" s="10"/>
      <c r="DD257" s="10"/>
      <c r="DE257" s="10"/>
      <c r="DF257" s="10"/>
      <c r="DG257" s="10"/>
      <c r="DH257" s="10"/>
      <c r="DI257" s="10"/>
      <c r="DJ257" s="10"/>
      <c r="DK257" s="10"/>
      <c r="DL257" s="10"/>
      <c r="DM257" s="10"/>
      <c r="DN257" s="10"/>
      <c r="DO257" s="10"/>
      <c r="DP257" s="10"/>
      <c r="DQ257" s="10"/>
      <c r="DR257" s="10"/>
      <c r="DS257" s="10"/>
      <c r="DT257" s="10"/>
      <c r="DU257" s="10"/>
      <c r="DV257" s="10"/>
      <c r="DW257" s="10"/>
      <c r="DX257" s="10"/>
      <c r="DY257" s="10"/>
      <c r="DZ257" s="10"/>
      <c r="EA257" s="10"/>
      <c r="EB257" s="10"/>
    </row>
    <row r="258" spans="2:132" ht="16.5">
      <c r="B258" s="2">
        <v>246</v>
      </c>
      <c r="C258" s="49"/>
      <c r="D258" s="49"/>
      <c r="E258" s="11"/>
      <c r="F258" s="11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10"/>
      <c r="BK258" s="10"/>
      <c r="BM258" s="10"/>
      <c r="BN258" s="10"/>
      <c r="BO258" s="10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  <c r="CD258" s="10"/>
      <c r="CE258" s="10"/>
      <c r="CF258" s="10"/>
      <c r="CG258" s="10"/>
      <c r="CH258" s="10"/>
      <c r="CI258" s="10"/>
      <c r="CJ258" s="10"/>
      <c r="CK258" s="10"/>
      <c r="CL258" s="10"/>
      <c r="CM258" s="10"/>
      <c r="CN258" s="10"/>
      <c r="CO258" s="10"/>
      <c r="CP258" s="10"/>
      <c r="CQ258" s="10"/>
      <c r="CR258" s="10"/>
      <c r="CS258" s="10"/>
      <c r="CT258" s="10"/>
      <c r="CU258" s="10"/>
      <c r="CV258" s="10"/>
      <c r="CW258" s="10"/>
      <c r="CX258" s="10"/>
      <c r="CY258" s="10"/>
      <c r="CZ258" s="10"/>
      <c r="DA258" s="10"/>
      <c r="DB258" s="10"/>
      <c r="DC258" s="10"/>
      <c r="DD258" s="10"/>
      <c r="DE258" s="10"/>
      <c r="DF258" s="10"/>
      <c r="DG258" s="10"/>
      <c r="DH258" s="10"/>
      <c r="DI258" s="10"/>
      <c r="DJ258" s="10"/>
      <c r="DK258" s="10"/>
      <c r="DL258" s="10"/>
      <c r="DM258" s="10"/>
      <c r="DN258" s="10"/>
      <c r="DO258" s="10"/>
      <c r="DP258" s="10"/>
      <c r="DQ258" s="10"/>
      <c r="DR258" s="10"/>
      <c r="DS258" s="10"/>
      <c r="DT258" s="10"/>
      <c r="DU258" s="10"/>
      <c r="DV258" s="10"/>
      <c r="DW258" s="10"/>
      <c r="DX258" s="10"/>
      <c r="DY258" s="10"/>
      <c r="DZ258" s="10"/>
      <c r="EA258" s="10"/>
      <c r="EB258" s="10"/>
    </row>
    <row r="259" spans="2:132" ht="16.5">
      <c r="B259" s="2">
        <v>247</v>
      </c>
      <c r="C259" s="49"/>
      <c r="D259" s="49"/>
      <c r="E259" s="11"/>
      <c r="F259" s="11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  <c r="BM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  <c r="CD259" s="10"/>
      <c r="CE259" s="10"/>
      <c r="CF259" s="10"/>
      <c r="CG259" s="10"/>
      <c r="CH259" s="10"/>
      <c r="CI259" s="10"/>
      <c r="CJ259" s="10"/>
      <c r="CK259" s="10"/>
      <c r="CL259" s="10"/>
      <c r="CM259" s="10"/>
      <c r="CN259" s="10"/>
      <c r="CO259" s="10"/>
      <c r="CP259" s="10"/>
      <c r="CQ259" s="10"/>
      <c r="CR259" s="10"/>
      <c r="CS259" s="10"/>
      <c r="CT259" s="10"/>
      <c r="CU259" s="10"/>
      <c r="CV259" s="10"/>
      <c r="CW259" s="10"/>
      <c r="CX259" s="10"/>
      <c r="CY259" s="10"/>
      <c r="CZ259" s="10"/>
      <c r="DA259" s="10"/>
      <c r="DB259" s="10"/>
      <c r="DC259" s="10"/>
      <c r="DD259" s="10"/>
      <c r="DE259" s="10"/>
      <c r="DF259" s="10"/>
      <c r="DG259" s="10"/>
      <c r="DH259" s="10"/>
      <c r="DI259" s="10"/>
      <c r="DJ259" s="10"/>
      <c r="DK259" s="10"/>
      <c r="DL259" s="10"/>
      <c r="DM259" s="10"/>
      <c r="DN259" s="10"/>
      <c r="DO259" s="10"/>
      <c r="DP259" s="10"/>
      <c r="DQ259" s="10"/>
      <c r="DR259" s="10"/>
      <c r="DS259" s="10"/>
      <c r="DT259" s="10"/>
      <c r="DU259" s="10"/>
      <c r="DV259" s="10"/>
      <c r="DW259" s="10"/>
      <c r="DX259" s="10"/>
      <c r="DY259" s="10"/>
      <c r="DZ259" s="10"/>
      <c r="EA259" s="10"/>
      <c r="EB259" s="10"/>
    </row>
    <row r="260" spans="2:132" ht="16.5">
      <c r="B260" s="2">
        <v>248</v>
      </c>
      <c r="C260" s="49"/>
      <c r="D260" s="49"/>
      <c r="E260" s="11"/>
      <c r="F260" s="11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10"/>
      <c r="BK260" s="10"/>
      <c r="BM260" s="10"/>
      <c r="BN260" s="10"/>
      <c r="BO260" s="10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  <c r="CB260" s="10"/>
      <c r="CC260" s="10"/>
      <c r="CD260" s="10"/>
      <c r="CE260" s="10"/>
      <c r="CF260" s="10"/>
      <c r="CG260" s="10"/>
      <c r="CH260" s="10"/>
      <c r="CI260" s="10"/>
      <c r="CJ260" s="10"/>
      <c r="CK260" s="10"/>
      <c r="CL260" s="10"/>
      <c r="CM260" s="10"/>
      <c r="CN260" s="10"/>
      <c r="CO260" s="10"/>
      <c r="CP260" s="10"/>
      <c r="CQ260" s="10"/>
      <c r="CR260" s="10"/>
      <c r="CS260" s="10"/>
      <c r="CT260" s="10"/>
      <c r="CU260" s="10"/>
      <c r="CV260" s="10"/>
      <c r="CW260" s="10"/>
      <c r="CX260" s="10"/>
      <c r="CY260" s="10"/>
      <c r="CZ260" s="10"/>
      <c r="DA260" s="10"/>
      <c r="DB260" s="10"/>
      <c r="DC260" s="10"/>
      <c r="DD260" s="10"/>
      <c r="DE260" s="10"/>
      <c r="DF260" s="10"/>
      <c r="DG260" s="10"/>
      <c r="DH260" s="10"/>
      <c r="DI260" s="10"/>
      <c r="DJ260" s="10"/>
      <c r="DK260" s="10"/>
      <c r="DL260" s="10"/>
      <c r="DM260" s="10"/>
      <c r="DN260" s="10"/>
      <c r="DO260" s="10"/>
      <c r="DP260" s="10"/>
      <c r="DQ260" s="10"/>
      <c r="DR260" s="10"/>
      <c r="DS260" s="10"/>
      <c r="DT260" s="10"/>
      <c r="DU260" s="10"/>
      <c r="DV260" s="10"/>
      <c r="DW260" s="10"/>
      <c r="DX260" s="10"/>
      <c r="DY260" s="10"/>
      <c r="DZ260" s="10"/>
      <c r="EA260" s="10"/>
      <c r="EB260" s="10"/>
    </row>
    <row r="261" spans="2:132" ht="16.5">
      <c r="B261" s="2">
        <v>249</v>
      </c>
      <c r="C261" s="49"/>
      <c r="D261" s="49"/>
      <c r="E261" s="11"/>
      <c r="F261" s="11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  <c r="BM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  <c r="CD261" s="10"/>
      <c r="CE261" s="10"/>
      <c r="CF261" s="10"/>
      <c r="CG261" s="10"/>
      <c r="CH261" s="10"/>
      <c r="CI261" s="10"/>
      <c r="CJ261" s="10"/>
      <c r="CK261" s="10"/>
      <c r="CL261" s="10"/>
      <c r="CM261" s="10"/>
      <c r="CN261" s="10"/>
      <c r="CO261" s="10"/>
      <c r="CP261" s="10"/>
      <c r="CQ261" s="10"/>
      <c r="CR261" s="10"/>
      <c r="CS261" s="10"/>
      <c r="CT261" s="10"/>
      <c r="CU261" s="10"/>
      <c r="CV261" s="10"/>
      <c r="CW261" s="10"/>
      <c r="CX261" s="10"/>
      <c r="CY261" s="10"/>
      <c r="CZ261" s="10"/>
      <c r="DA261" s="10"/>
      <c r="DB261" s="10"/>
      <c r="DC261" s="10"/>
      <c r="DD261" s="10"/>
      <c r="DE261" s="10"/>
      <c r="DF261" s="10"/>
      <c r="DG261" s="10"/>
      <c r="DH261" s="10"/>
      <c r="DI261" s="10"/>
      <c r="DJ261" s="10"/>
      <c r="DK261" s="10"/>
      <c r="DL261" s="10"/>
      <c r="DM261" s="10"/>
      <c r="DN261" s="10"/>
      <c r="DO261" s="10"/>
      <c r="DP261" s="10"/>
      <c r="DQ261" s="10"/>
      <c r="DR261" s="10"/>
      <c r="DS261" s="10"/>
      <c r="DT261" s="10"/>
      <c r="DU261" s="10"/>
      <c r="DV261" s="10"/>
      <c r="DW261" s="10"/>
      <c r="DX261" s="10"/>
      <c r="DY261" s="10"/>
      <c r="DZ261" s="10"/>
      <c r="EA261" s="10"/>
      <c r="EB261" s="10"/>
    </row>
    <row r="262" spans="2:132" ht="16.5">
      <c r="B262" s="2">
        <v>250</v>
      </c>
      <c r="C262" s="49"/>
      <c r="D262" s="49"/>
      <c r="E262" s="11"/>
      <c r="F262" s="11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  <c r="BI262" s="10"/>
      <c r="BJ262" s="10"/>
      <c r="BK262" s="10"/>
      <c r="BM262" s="10"/>
      <c r="BN262" s="10"/>
      <c r="BO262" s="10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  <c r="CB262" s="10"/>
      <c r="CC262" s="10"/>
      <c r="CD262" s="10"/>
      <c r="CE262" s="10"/>
      <c r="CF262" s="10"/>
      <c r="CG262" s="10"/>
      <c r="CH262" s="10"/>
      <c r="CI262" s="10"/>
      <c r="CJ262" s="10"/>
      <c r="CK262" s="10"/>
      <c r="CL262" s="10"/>
      <c r="CM262" s="10"/>
      <c r="CN262" s="10"/>
      <c r="CO262" s="10"/>
      <c r="CP262" s="10"/>
      <c r="CQ262" s="10"/>
      <c r="CR262" s="10"/>
      <c r="CS262" s="10"/>
      <c r="CT262" s="10"/>
      <c r="CU262" s="10"/>
      <c r="CV262" s="10"/>
      <c r="CW262" s="10"/>
      <c r="CX262" s="10"/>
      <c r="CY262" s="10"/>
      <c r="CZ262" s="10"/>
      <c r="DA262" s="10"/>
      <c r="DB262" s="10"/>
      <c r="DC262" s="10"/>
      <c r="DD262" s="10"/>
      <c r="DE262" s="10"/>
      <c r="DF262" s="10"/>
      <c r="DG262" s="10"/>
      <c r="DH262" s="10"/>
      <c r="DI262" s="10"/>
      <c r="DJ262" s="10"/>
      <c r="DK262" s="10"/>
      <c r="DL262" s="10"/>
      <c r="DM262" s="10"/>
      <c r="DN262" s="10"/>
      <c r="DO262" s="10"/>
      <c r="DP262" s="10"/>
      <c r="DQ262" s="10"/>
      <c r="DR262" s="10"/>
      <c r="DS262" s="10"/>
      <c r="DT262" s="10"/>
      <c r="DU262" s="10"/>
      <c r="DV262" s="10"/>
      <c r="DW262" s="10"/>
      <c r="DX262" s="10"/>
      <c r="DY262" s="10"/>
      <c r="DZ262" s="10"/>
      <c r="EA262" s="10"/>
      <c r="EB262" s="10"/>
    </row>
    <row r="263" spans="2:132" ht="16.5">
      <c r="B263" s="2">
        <v>251</v>
      </c>
      <c r="C263" s="49"/>
      <c r="D263" s="49"/>
      <c r="E263" s="11"/>
      <c r="F263" s="11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/>
      <c r="BH263" s="10"/>
      <c r="BI263" s="10"/>
      <c r="BJ263" s="10"/>
      <c r="BK263" s="10"/>
      <c r="BM263" s="10"/>
      <c r="BN263" s="10"/>
      <c r="BO263" s="10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  <c r="CB263" s="10"/>
      <c r="CC263" s="10"/>
      <c r="CD263" s="10"/>
      <c r="CE263" s="10"/>
      <c r="CF263" s="10"/>
      <c r="CG263" s="10"/>
      <c r="CH263" s="10"/>
      <c r="CI263" s="10"/>
      <c r="CJ263" s="10"/>
      <c r="CK263" s="10"/>
      <c r="CL263" s="10"/>
      <c r="CM263" s="10"/>
      <c r="CN263" s="10"/>
      <c r="CO263" s="10"/>
      <c r="CP263" s="10"/>
      <c r="CQ263" s="10"/>
      <c r="CR263" s="10"/>
      <c r="CS263" s="10"/>
      <c r="CT263" s="10"/>
      <c r="CU263" s="10"/>
      <c r="CV263" s="10"/>
      <c r="CW263" s="10"/>
      <c r="CX263" s="10"/>
      <c r="CY263" s="10"/>
      <c r="CZ263" s="10"/>
      <c r="DA263" s="10"/>
      <c r="DB263" s="10"/>
      <c r="DC263" s="10"/>
      <c r="DD263" s="10"/>
      <c r="DE263" s="10"/>
      <c r="DF263" s="10"/>
      <c r="DG263" s="10"/>
      <c r="DH263" s="10"/>
      <c r="DI263" s="10"/>
      <c r="DJ263" s="10"/>
      <c r="DK263" s="10"/>
      <c r="DL263" s="10"/>
      <c r="DM263" s="10"/>
      <c r="DN263" s="10"/>
      <c r="DO263" s="10"/>
      <c r="DP263" s="10"/>
      <c r="DQ263" s="10"/>
      <c r="DR263" s="10"/>
      <c r="DS263" s="10"/>
      <c r="DT263" s="10"/>
      <c r="DU263" s="10"/>
      <c r="DV263" s="10"/>
      <c r="DW263" s="10"/>
      <c r="DX263" s="10"/>
      <c r="DY263" s="10"/>
      <c r="DZ263" s="10"/>
      <c r="EA263" s="10"/>
      <c r="EB263" s="10"/>
    </row>
    <row r="264" spans="2:132" ht="16.5">
      <c r="B264" s="2">
        <v>252</v>
      </c>
      <c r="C264" s="49"/>
      <c r="D264" s="49"/>
      <c r="E264" s="11"/>
      <c r="F264" s="11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  <c r="BM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  <c r="CP264" s="10"/>
      <c r="CQ264" s="10"/>
      <c r="CR264" s="10"/>
      <c r="CS264" s="10"/>
      <c r="CT264" s="10"/>
      <c r="CU264" s="10"/>
      <c r="CV264" s="10"/>
      <c r="CW264" s="10"/>
      <c r="CX264" s="10"/>
      <c r="CY264" s="10"/>
      <c r="CZ264" s="10"/>
      <c r="DA264" s="10"/>
      <c r="DB264" s="10"/>
      <c r="DC264" s="10"/>
      <c r="DD264" s="10"/>
      <c r="DE264" s="10"/>
      <c r="DF264" s="10"/>
      <c r="DG264" s="10"/>
      <c r="DH264" s="10"/>
      <c r="DI264" s="10"/>
      <c r="DJ264" s="10"/>
      <c r="DK264" s="10"/>
      <c r="DL264" s="10"/>
      <c r="DM264" s="10"/>
      <c r="DN264" s="10"/>
      <c r="DO264" s="10"/>
      <c r="DP264" s="10"/>
      <c r="DQ264" s="10"/>
      <c r="DR264" s="10"/>
      <c r="DS264" s="10"/>
      <c r="DT264" s="10"/>
      <c r="DU264" s="10"/>
      <c r="DV264" s="10"/>
      <c r="DW264" s="10"/>
      <c r="DX264" s="10"/>
      <c r="DY264" s="10"/>
      <c r="DZ264" s="10"/>
      <c r="EA264" s="10"/>
      <c r="EB264" s="10"/>
    </row>
    <row r="265" spans="2:132" ht="16.5">
      <c r="B265" s="2">
        <v>253</v>
      </c>
      <c r="C265" s="49"/>
      <c r="D265" s="49"/>
      <c r="E265" s="11"/>
      <c r="F265" s="11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  <c r="BB265" s="10"/>
      <c r="BC265" s="10"/>
      <c r="BD265" s="10"/>
      <c r="BE265" s="10"/>
      <c r="BF265" s="10"/>
      <c r="BG265" s="10"/>
      <c r="BH265" s="10"/>
      <c r="BI265" s="10"/>
      <c r="BJ265" s="10"/>
      <c r="BK265" s="10"/>
      <c r="BM265" s="10"/>
      <c r="BN265" s="10"/>
      <c r="BO265" s="10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  <c r="CB265" s="10"/>
      <c r="CC265" s="10"/>
      <c r="CD265" s="10"/>
      <c r="CE265" s="10"/>
      <c r="CF265" s="10"/>
      <c r="CG265" s="10"/>
      <c r="CH265" s="10"/>
      <c r="CI265" s="10"/>
      <c r="CJ265" s="10"/>
      <c r="CK265" s="10"/>
      <c r="CL265" s="10"/>
      <c r="CM265" s="10"/>
      <c r="CN265" s="10"/>
      <c r="CO265" s="10"/>
      <c r="CP265" s="10"/>
      <c r="CQ265" s="10"/>
      <c r="CR265" s="10"/>
      <c r="CS265" s="10"/>
      <c r="CT265" s="10"/>
      <c r="CU265" s="10"/>
      <c r="CV265" s="10"/>
      <c r="CW265" s="10"/>
      <c r="CX265" s="10"/>
      <c r="CY265" s="10"/>
      <c r="CZ265" s="10"/>
      <c r="DA265" s="10"/>
      <c r="DB265" s="10"/>
      <c r="DC265" s="10"/>
      <c r="DD265" s="10"/>
      <c r="DE265" s="10"/>
      <c r="DF265" s="10"/>
      <c r="DG265" s="10"/>
      <c r="DH265" s="10"/>
      <c r="DI265" s="10"/>
      <c r="DJ265" s="10"/>
      <c r="DK265" s="10"/>
      <c r="DL265" s="10"/>
      <c r="DM265" s="10"/>
      <c r="DN265" s="10"/>
      <c r="DO265" s="10"/>
      <c r="DP265" s="10"/>
      <c r="DQ265" s="10"/>
      <c r="DR265" s="10"/>
      <c r="DS265" s="10"/>
      <c r="DT265" s="10"/>
      <c r="DU265" s="10"/>
      <c r="DV265" s="10"/>
      <c r="DW265" s="10"/>
      <c r="DX265" s="10"/>
      <c r="DY265" s="10"/>
      <c r="DZ265" s="10"/>
      <c r="EA265" s="10"/>
      <c r="EB265" s="10"/>
    </row>
    <row r="266" spans="2:132" ht="16.5">
      <c r="B266" s="2">
        <v>254</v>
      </c>
      <c r="C266" s="49"/>
      <c r="D266" s="49"/>
      <c r="E266" s="11"/>
      <c r="F266" s="11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  <c r="BI266" s="10"/>
      <c r="BJ266" s="10"/>
      <c r="BK266" s="10"/>
      <c r="BM266" s="10"/>
      <c r="BN266" s="10"/>
      <c r="BO266" s="10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  <c r="CB266" s="10"/>
      <c r="CC266" s="10"/>
      <c r="CD266" s="10"/>
      <c r="CE266" s="10"/>
      <c r="CF266" s="10"/>
      <c r="CG266" s="10"/>
      <c r="CH266" s="10"/>
      <c r="CI266" s="10"/>
      <c r="CJ266" s="10"/>
      <c r="CK266" s="10"/>
      <c r="CL266" s="10"/>
      <c r="CM266" s="10"/>
      <c r="CN266" s="10"/>
      <c r="CO266" s="10"/>
      <c r="CP266" s="10"/>
      <c r="CQ266" s="10"/>
      <c r="CR266" s="10"/>
      <c r="CS266" s="10"/>
      <c r="CT266" s="10"/>
      <c r="CU266" s="10"/>
      <c r="CV266" s="10"/>
      <c r="CW266" s="10"/>
      <c r="CX266" s="10"/>
      <c r="CY266" s="10"/>
      <c r="CZ266" s="10"/>
      <c r="DA266" s="10"/>
      <c r="DB266" s="10"/>
      <c r="DC266" s="10"/>
      <c r="DD266" s="10"/>
      <c r="DE266" s="10"/>
      <c r="DF266" s="10"/>
      <c r="DG266" s="10"/>
      <c r="DH266" s="10"/>
      <c r="DI266" s="10"/>
      <c r="DJ266" s="10"/>
      <c r="DK266" s="10"/>
      <c r="DL266" s="10"/>
      <c r="DM266" s="10"/>
      <c r="DN266" s="10"/>
      <c r="DO266" s="10"/>
      <c r="DP266" s="10"/>
      <c r="DQ266" s="10"/>
      <c r="DR266" s="10"/>
      <c r="DS266" s="10"/>
      <c r="DT266" s="10"/>
      <c r="DU266" s="10"/>
      <c r="DV266" s="10"/>
      <c r="DW266" s="10"/>
      <c r="DX266" s="10"/>
      <c r="DY266" s="10"/>
      <c r="DZ266" s="10"/>
      <c r="EA266" s="10"/>
      <c r="EB266" s="10"/>
    </row>
    <row r="267" spans="2:132" ht="16.5">
      <c r="B267" s="2">
        <v>255</v>
      </c>
      <c r="C267" s="49"/>
      <c r="D267" s="49"/>
      <c r="E267" s="11"/>
      <c r="F267" s="11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/>
      <c r="BH267" s="10"/>
      <c r="BI267" s="10"/>
      <c r="BJ267" s="10"/>
      <c r="BK267" s="10"/>
      <c r="BM267" s="10"/>
      <c r="BN267" s="10"/>
      <c r="BO267" s="10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  <c r="CB267" s="10"/>
      <c r="CC267" s="10"/>
      <c r="CD267" s="10"/>
      <c r="CE267" s="10"/>
      <c r="CF267" s="10"/>
      <c r="CG267" s="10"/>
      <c r="CH267" s="10"/>
      <c r="CI267" s="10"/>
      <c r="CJ267" s="10"/>
      <c r="CK267" s="10"/>
      <c r="CL267" s="10"/>
      <c r="CM267" s="10"/>
      <c r="CN267" s="10"/>
      <c r="CO267" s="10"/>
      <c r="CP267" s="10"/>
      <c r="CQ267" s="10"/>
      <c r="CR267" s="10"/>
      <c r="CS267" s="10"/>
      <c r="CT267" s="10"/>
      <c r="CU267" s="10"/>
      <c r="CV267" s="10"/>
      <c r="CW267" s="10"/>
      <c r="CX267" s="10"/>
      <c r="CY267" s="10"/>
      <c r="CZ267" s="10"/>
      <c r="DA267" s="10"/>
      <c r="DB267" s="10"/>
      <c r="DC267" s="10"/>
      <c r="DD267" s="10"/>
      <c r="DE267" s="10"/>
      <c r="DF267" s="10"/>
      <c r="DG267" s="10"/>
      <c r="DH267" s="10"/>
      <c r="DI267" s="10"/>
      <c r="DJ267" s="10"/>
      <c r="DK267" s="10"/>
      <c r="DL267" s="10"/>
      <c r="DM267" s="10"/>
      <c r="DN267" s="10"/>
      <c r="DO267" s="10"/>
      <c r="DP267" s="10"/>
      <c r="DQ267" s="10"/>
      <c r="DR267" s="10"/>
      <c r="DS267" s="10"/>
      <c r="DT267" s="10"/>
      <c r="DU267" s="10"/>
      <c r="DV267" s="10"/>
      <c r="DW267" s="10"/>
      <c r="DX267" s="10"/>
      <c r="DY267" s="10"/>
      <c r="DZ267" s="10"/>
      <c r="EA267" s="10"/>
      <c r="EB267" s="10"/>
    </row>
    <row r="268" spans="2:132" ht="16.5">
      <c r="B268" s="2">
        <v>256</v>
      </c>
      <c r="C268" s="49"/>
      <c r="D268" s="49"/>
      <c r="E268" s="11"/>
      <c r="F268" s="11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  <c r="BB268" s="10"/>
      <c r="BC268" s="10"/>
      <c r="BD268" s="10"/>
      <c r="BE268" s="10"/>
      <c r="BF268" s="10"/>
      <c r="BG268" s="10"/>
      <c r="BH268" s="10"/>
      <c r="BI268" s="10"/>
      <c r="BJ268" s="10"/>
      <c r="BK268" s="10"/>
      <c r="BM268" s="10"/>
      <c r="BN268" s="10"/>
      <c r="BO268" s="10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  <c r="CB268" s="10"/>
      <c r="CC268" s="10"/>
      <c r="CD268" s="10"/>
      <c r="CE268" s="10"/>
      <c r="CF268" s="10"/>
      <c r="CG268" s="10"/>
      <c r="CH268" s="10"/>
      <c r="CI268" s="10"/>
      <c r="CJ268" s="10"/>
      <c r="CK268" s="10"/>
      <c r="CL268" s="10"/>
      <c r="CM268" s="10"/>
      <c r="CN268" s="10"/>
      <c r="CO268" s="10"/>
      <c r="CP268" s="10"/>
      <c r="CQ268" s="10"/>
      <c r="CR268" s="10"/>
      <c r="CS268" s="10"/>
      <c r="CT268" s="10"/>
      <c r="CU268" s="10"/>
      <c r="CV268" s="10"/>
      <c r="CW268" s="10"/>
      <c r="CX268" s="10"/>
      <c r="CY268" s="10"/>
      <c r="CZ268" s="10"/>
      <c r="DA268" s="10"/>
      <c r="DB268" s="10"/>
      <c r="DC268" s="10"/>
      <c r="DD268" s="10"/>
      <c r="DE268" s="10"/>
      <c r="DF268" s="10"/>
      <c r="DG268" s="10"/>
      <c r="DH268" s="10"/>
      <c r="DI268" s="10"/>
      <c r="DJ268" s="10"/>
      <c r="DK268" s="10"/>
      <c r="DL268" s="10"/>
      <c r="DM268" s="10"/>
      <c r="DN268" s="10"/>
      <c r="DO268" s="10"/>
      <c r="DP268" s="10"/>
      <c r="DQ268" s="10"/>
      <c r="DR268" s="10"/>
      <c r="DS268" s="10"/>
      <c r="DT268" s="10"/>
      <c r="DU268" s="10"/>
      <c r="DV268" s="10"/>
      <c r="DW268" s="10"/>
      <c r="DX268" s="10"/>
      <c r="DY268" s="10"/>
      <c r="DZ268" s="10"/>
      <c r="EA268" s="10"/>
      <c r="EB268" s="10"/>
    </row>
    <row r="269" spans="2:132" ht="16.5">
      <c r="B269" s="2">
        <v>257</v>
      </c>
      <c r="C269" s="49"/>
      <c r="D269" s="49"/>
      <c r="E269" s="11"/>
      <c r="F269" s="11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10"/>
      <c r="BK269" s="10"/>
      <c r="BM269" s="10"/>
      <c r="BN269" s="10"/>
      <c r="BO269" s="10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  <c r="CB269" s="10"/>
      <c r="CC269" s="10"/>
      <c r="CD269" s="10"/>
      <c r="CE269" s="10"/>
      <c r="CF269" s="10"/>
      <c r="CG269" s="10"/>
      <c r="CH269" s="10"/>
      <c r="CI269" s="10"/>
      <c r="CJ269" s="10"/>
      <c r="CK269" s="10"/>
      <c r="CL269" s="10"/>
      <c r="CM269" s="10"/>
      <c r="CN269" s="10"/>
      <c r="CO269" s="10"/>
      <c r="CP269" s="10"/>
      <c r="CQ269" s="10"/>
      <c r="CR269" s="10"/>
      <c r="CS269" s="10"/>
      <c r="CT269" s="10"/>
      <c r="CU269" s="10"/>
      <c r="CV269" s="10"/>
      <c r="CW269" s="10"/>
      <c r="CX269" s="10"/>
      <c r="CY269" s="10"/>
      <c r="CZ269" s="10"/>
      <c r="DA269" s="10"/>
      <c r="DB269" s="10"/>
      <c r="DC269" s="10"/>
      <c r="DD269" s="10"/>
      <c r="DE269" s="10"/>
      <c r="DF269" s="10"/>
      <c r="DG269" s="10"/>
      <c r="DH269" s="10"/>
      <c r="DI269" s="10"/>
      <c r="DJ269" s="10"/>
      <c r="DK269" s="10"/>
      <c r="DL269" s="10"/>
      <c r="DM269" s="10"/>
      <c r="DN269" s="10"/>
      <c r="DO269" s="10"/>
      <c r="DP269" s="10"/>
      <c r="DQ269" s="10"/>
      <c r="DR269" s="10"/>
      <c r="DS269" s="10"/>
      <c r="DT269" s="10"/>
      <c r="DU269" s="10"/>
      <c r="DV269" s="10"/>
      <c r="DW269" s="10"/>
      <c r="DX269" s="10"/>
      <c r="DY269" s="10"/>
      <c r="DZ269" s="10"/>
      <c r="EA269" s="10"/>
      <c r="EB269" s="10"/>
    </row>
    <row r="270" spans="2:132" ht="16.5">
      <c r="B270" s="2">
        <v>258</v>
      </c>
      <c r="C270" s="49"/>
      <c r="D270" s="49"/>
      <c r="E270" s="11"/>
      <c r="F270" s="11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  <c r="BI270" s="10"/>
      <c r="BJ270" s="10"/>
      <c r="BK270" s="10"/>
      <c r="BM270" s="10"/>
      <c r="BN270" s="10"/>
      <c r="BO270" s="10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  <c r="CB270" s="10"/>
      <c r="CC270" s="10"/>
      <c r="CD270" s="10"/>
      <c r="CE270" s="10"/>
      <c r="CF270" s="10"/>
      <c r="CG270" s="10"/>
      <c r="CH270" s="10"/>
      <c r="CI270" s="10"/>
      <c r="CJ270" s="10"/>
      <c r="CK270" s="10"/>
      <c r="CL270" s="10"/>
      <c r="CM270" s="10"/>
      <c r="CN270" s="10"/>
      <c r="CO270" s="10"/>
      <c r="CP270" s="10"/>
      <c r="CQ270" s="10"/>
      <c r="CR270" s="10"/>
      <c r="CS270" s="10"/>
      <c r="CT270" s="10"/>
      <c r="CU270" s="10"/>
      <c r="CV270" s="10"/>
      <c r="CW270" s="10"/>
      <c r="CX270" s="10"/>
      <c r="CY270" s="10"/>
      <c r="CZ270" s="10"/>
      <c r="DA270" s="10"/>
      <c r="DB270" s="10"/>
      <c r="DC270" s="10"/>
      <c r="DD270" s="10"/>
      <c r="DE270" s="10"/>
      <c r="DF270" s="10"/>
      <c r="DG270" s="10"/>
      <c r="DH270" s="10"/>
      <c r="DI270" s="10"/>
      <c r="DJ270" s="10"/>
      <c r="DK270" s="10"/>
      <c r="DL270" s="10"/>
      <c r="DM270" s="10"/>
      <c r="DN270" s="10"/>
      <c r="DO270" s="10"/>
      <c r="DP270" s="10"/>
      <c r="DQ270" s="10"/>
      <c r="DR270" s="10"/>
      <c r="DS270" s="10"/>
      <c r="DT270" s="10"/>
      <c r="DU270" s="10"/>
      <c r="DV270" s="10"/>
      <c r="DW270" s="10"/>
      <c r="DX270" s="10"/>
      <c r="DY270" s="10"/>
      <c r="DZ270" s="10"/>
      <c r="EA270" s="10"/>
      <c r="EB270" s="10"/>
    </row>
    <row r="271" spans="2:132" ht="16.5">
      <c r="B271" s="2">
        <v>259</v>
      </c>
      <c r="C271" s="49"/>
      <c r="D271" s="49"/>
      <c r="E271" s="11"/>
      <c r="F271" s="11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  <c r="BI271" s="10"/>
      <c r="BJ271" s="10"/>
      <c r="BK271" s="10"/>
      <c r="BM271" s="10"/>
      <c r="BN271" s="10"/>
      <c r="BO271" s="10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  <c r="CB271" s="10"/>
      <c r="CC271" s="10"/>
      <c r="CD271" s="10"/>
      <c r="CE271" s="10"/>
      <c r="CF271" s="10"/>
      <c r="CG271" s="10"/>
      <c r="CH271" s="10"/>
      <c r="CI271" s="10"/>
      <c r="CJ271" s="10"/>
      <c r="CK271" s="10"/>
      <c r="CL271" s="10"/>
      <c r="CM271" s="10"/>
      <c r="CN271" s="10"/>
      <c r="CO271" s="10"/>
      <c r="CP271" s="10"/>
      <c r="CQ271" s="10"/>
      <c r="CR271" s="10"/>
      <c r="CS271" s="10"/>
      <c r="CT271" s="10"/>
      <c r="CU271" s="10"/>
      <c r="CV271" s="10"/>
      <c r="CW271" s="10"/>
      <c r="CX271" s="10"/>
      <c r="CY271" s="10"/>
      <c r="CZ271" s="10"/>
      <c r="DA271" s="10"/>
      <c r="DB271" s="10"/>
      <c r="DC271" s="10"/>
      <c r="DD271" s="10"/>
      <c r="DE271" s="10"/>
      <c r="DF271" s="10"/>
      <c r="DG271" s="10"/>
      <c r="DH271" s="10"/>
      <c r="DI271" s="10"/>
      <c r="DJ271" s="10"/>
      <c r="DK271" s="10"/>
      <c r="DL271" s="10"/>
      <c r="DM271" s="10"/>
      <c r="DN271" s="10"/>
      <c r="DO271" s="10"/>
      <c r="DP271" s="10"/>
      <c r="DQ271" s="10"/>
      <c r="DR271" s="10"/>
      <c r="DS271" s="10"/>
      <c r="DT271" s="10"/>
      <c r="DU271" s="10"/>
      <c r="DV271" s="10"/>
      <c r="DW271" s="10"/>
      <c r="DX271" s="10"/>
      <c r="DY271" s="10"/>
      <c r="DZ271" s="10"/>
      <c r="EA271" s="10"/>
      <c r="EB271" s="10"/>
    </row>
    <row r="272" spans="2:132" ht="16.5">
      <c r="B272" s="2">
        <v>260</v>
      </c>
      <c r="C272" s="49"/>
      <c r="D272" s="49"/>
      <c r="E272" s="11"/>
      <c r="F272" s="11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10"/>
      <c r="BK272" s="10"/>
      <c r="BM272" s="10"/>
      <c r="BN272" s="10"/>
      <c r="BO272" s="10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  <c r="CB272" s="10"/>
      <c r="CC272" s="10"/>
      <c r="CD272" s="10"/>
      <c r="CE272" s="10"/>
      <c r="CF272" s="10"/>
      <c r="CG272" s="10"/>
      <c r="CH272" s="10"/>
      <c r="CI272" s="10"/>
      <c r="CJ272" s="10"/>
      <c r="CK272" s="10"/>
      <c r="CL272" s="10"/>
      <c r="CM272" s="10"/>
      <c r="CN272" s="10"/>
      <c r="CO272" s="10"/>
      <c r="CP272" s="10"/>
      <c r="CQ272" s="10"/>
      <c r="CR272" s="10"/>
      <c r="CS272" s="10"/>
      <c r="CT272" s="10"/>
      <c r="CU272" s="10"/>
      <c r="CV272" s="10"/>
      <c r="CW272" s="10"/>
      <c r="CX272" s="10"/>
      <c r="CY272" s="10"/>
      <c r="CZ272" s="10"/>
      <c r="DA272" s="10"/>
      <c r="DB272" s="10"/>
      <c r="DC272" s="10"/>
      <c r="DD272" s="10"/>
      <c r="DE272" s="10"/>
      <c r="DF272" s="10"/>
      <c r="DG272" s="10"/>
      <c r="DH272" s="10"/>
      <c r="DI272" s="10"/>
      <c r="DJ272" s="10"/>
      <c r="DK272" s="10"/>
      <c r="DL272" s="10"/>
      <c r="DM272" s="10"/>
      <c r="DN272" s="10"/>
      <c r="DO272" s="10"/>
      <c r="DP272" s="10"/>
      <c r="DQ272" s="10"/>
      <c r="DR272" s="10"/>
      <c r="DS272" s="10"/>
      <c r="DT272" s="10"/>
      <c r="DU272" s="10"/>
      <c r="DV272" s="10"/>
      <c r="DW272" s="10"/>
      <c r="DX272" s="10"/>
      <c r="DY272" s="10"/>
      <c r="DZ272" s="10"/>
      <c r="EA272" s="10"/>
      <c r="EB272" s="10"/>
    </row>
  </sheetData>
  <sheetProtection formatColumns="0" formatRows="0" sort="0" autoFilter="0"/>
  <mergeCells count="11">
    <mergeCell ref="B5:F5"/>
    <mergeCell ref="B6:F6"/>
    <mergeCell ref="B7:F7"/>
    <mergeCell ref="B9:F9"/>
    <mergeCell ref="H11:Y11"/>
    <mergeCell ref="CE11:CW11"/>
    <mergeCell ref="CX11:EB11"/>
    <mergeCell ref="B11:F11"/>
    <mergeCell ref="Z11:AQ11"/>
    <mergeCell ref="AR11:BK11"/>
    <mergeCell ref="BM11:CD11"/>
  </mergeCells>
  <dataValidations count="1">
    <dataValidation type="decimal" operator="greaterThanOrEqual" allowBlank="1" showInputMessage="1" showErrorMessage="1" sqref="BB13:BK272 BA243:BA272 G13:AQ272 AS13:AZ272 AR242:AR272 BM13:EB272">
      <formula1>0</formula1>
    </dataValidation>
  </dataValidations>
  <pageMargins left="0" right="0" top="0.75" bottom="0.75" header="0.3" footer="0.3"/>
  <pageSetup paperSize="5" scale="6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2.1 Drug&amp;Supplies_Amount</vt:lpstr>
      <vt:lpstr>2.2 Drug&amp;Meds_Consumption</vt:lpstr>
      <vt:lpstr>2.3 Supplies_Consumption</vt:lpstr>
      <vt:lpstr>'2.1 Drug&amp;Supplies_Amount'!Print_Area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biller3</cp:lastModifiedBy>
  <cp:lastPrinted>2018-04-04T05:41:40Z</cp:lastPrinted>
  <dcterms:created xsi:type="dcterms:W3CDTF">2018-04-02T14:39:03Z</dcterms:created>
  <dcterms:modified xsi:type="dcterms:W3CDTF">2018-08-29T08:52:32Z</dcterms:modified>
</cp:coreProperties>
</file>