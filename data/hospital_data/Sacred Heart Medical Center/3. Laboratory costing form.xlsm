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workbookProtection lockStructure="1"/>
  <bookViews>
    <workbookView xWindow="270" yWindow="8055" windowWidth="15480" windowHeight="7050" activeTab="1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2451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I77" i="6"/>
  <c r="DR72"/>
  <c r="DR71"/>
  <c r="DR70"/>
  <c r="DR69"/>
  <c r="DR68"/>
  <c r="DR67"/>
  <c r="DR66"/>
  <c r="DR65"/>
  <c r="DR64"/>
  <c r="DR63"/>
  <c r="DR62"/>
  <c r="DR61"/>
  <c r="DR60"/>
  <c r="DR59"/>
  <c r="DR58"/>
  <c r="DR57"/>
  <c r="DR56"/>
  <c r="DR55"/>
  <c r="DR54"/>
  <c r="DR53"/>
  <c r="DI22"/>
  <c r="DR52"/>
  <c r="DR51"/>
  <c r="DR50"/>
  <c r="DR49"/>
  <c r="DR48"/>
  <c r="DR47"/>
  <c r="DR46"/>
  <c r="DR45"/>
  <c r="DR44"/>
  <c r="DR43"/>
  <c r="DR42"/>
  <c r="DR41"/>
  <c r="DR40"/>
  <c r="DR39"/>
  <c r="DR38"/>
  <c r="DR36"/>
  <c r="DJ37"/>
  <c r="DR37" s="1"/>
  <c r="DR35"/>
  <c r="DR34"/>
  <c r="DL33"/>
  <c r="DR33" s="1"/>
  <c r="DR32"/>
  <c r="DR31"/>
  <c r="DR30"/>
  <c r="DR28"/>
  <c r="DR27"/>
  <c r="DR26"/>
  <c r="DR25"/>
  <c r="DR24"/>
  <c r="DR23"/>
  <c r="DK22"/>
  <c r="DR21"/>
  <c r="DN22"/>
  <c r="DR20"/>
  <c r="DJ19"/>
  <c r="DI19"/>
  <c r="DL19"/>
  <c r="DK19"/>
  <c r="DN19"/>
  <c r="DR19" l="1"/>
  <c r="DR22"/>
</calcChain>
</file>

<file path=xl/sharedStrings.xml><?xml version="1.0" encoding="utf-8"?>
<sst xmlns="http://schemas.openxmlformats.org/spreadsheetml/2006/main" count="465" uniqueCount="276">
  <si>
    <t>Annual Depreciation Value (If Available)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</si>
  <si>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</si>
  <si>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</si>
  <si>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</si>
  <si>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</si>
  <si>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</si>
  <si>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</si>
  <si>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</si>
  <si>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</si>
  <si>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</si>
  <si>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</si>
  <si>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</si>
  <si>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</si>
  <si>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</si>
  <si>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</si>
  <si>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</si>
  <si>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</si>
  <si>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</si>
  <si>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</si>
  <si>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</si>
  <si>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</si>
  <si>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</si>
  <si>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</si>
  <si>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</si>
  <si>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</si>
  <si>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</si>
  <si>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</si>
  <si>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</si>
  <si>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</si>
  <si>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</si>
  <si>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</si>
  <si>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</si>
  <si>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</si>
  <si>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</si>
  <si>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</si>
  <si>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</si>
  <si>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</si>
  <si>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</si>
  <si>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</si>
  <si>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</si>
  <si>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</si>
  <si>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</si>
  <si>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</si>
  <si>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</si>
  <si>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</si>
  <si>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</si>
  <si>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</si>
  <si>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</si>
  <si>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</si>
  <si>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</si>
  <si>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</si>
  <si>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</si>
  <si>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</si>
  <si>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</si>
  <si>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</si>
  <si>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</si>
  <si>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</si>
  <si>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</si>
  <si>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</si>
  <si>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</si>
  <si>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</si>
  <si>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</si>
  <si>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</si>
  <si>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</si>
  <si>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</si>
  <si>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</si>
  <si>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</si>
  <si>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</si>
  <si>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</si>
  <si>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</si>
  <si>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</si>
  <si>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</si>
  <si>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</si>
  <si>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</si>
  <si>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</si>
  <si>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</si>
  <si>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</si>
  <si>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</si>
  <si>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</si>
  <si>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</si>
  <si>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</si>
  <si>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</si>
  <si>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</si>
  <si>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</si>
  <si>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</si>
  <si>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</si>
  <si>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</si>
  <si>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</si>
  <si>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</si>
  <si>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</si>
  <si>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</si>
  <si>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</si>
  <si>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</si>
  <si>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</si>
  <si>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</si>
  <si>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</si>
  <si>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</si>
  <si>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</si>
  <si>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</si>
  <si>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</si>
  <si>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</si>
  <si>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</si>
  <si>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</si>
  <si>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</si>
  <si>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</si>
  <si>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</si>
  <si>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</si>
  <si>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</si>
  <si>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BLOOD TYPING</t>
  </si>
  <si>
    <t>august 20 - 24 2018</t>
  </si>
  <si>
    <t xml:space="preserve">BLOOD UNIT "AB" (FWB/PRBC/PLATELET CONC) </t>
  </si>
  <si>
    <t>BLOOD UNIT (FFP/CRYO)</t>
  </si>
  <si>
    <t>BLOOD UNIT (FWB/PRBC/PLATELET CONC)</t>
  </si>
  <si>
    <t>BLOOD UNIT (OPD)</t>
  </si>
  <si>
    <t xml:space="preserve">CROSSMATCHING </t>
  </si>
  <si>
    <t>CULTURE &amp; SENSITIVITY (OTHERS)</t>
  </si>
  <si>
    <t>DONOR SCREENING</t>
  </si>
  <si>
    <t>DONOR`S BLOOD TYPE</t>
  </si>
  <si>
    <t>HIV SCREENING (IMMUNOCOMB)</t>
  </si>
  <si>
    <t>APTT</t>
  </si>
  <si>
    <t>BLEEDING TIME (BT)</t>
  </si>
  <si>
    <t>CLOTTING TIME (CT)</t>
  </si>
  <si>
    <t>COMPLETE BLOOD COUNT (CBC) WITH PLATELET</t>
  </si>
  <si>
    <t>ESR(ERYTHROCYTE SEDIMENTATION RATE)-AUTOMATED</t>
  </si>
  <si>
    <t>HEMATOCRIT / HEMOGLOBIN</t>
  </si>
  <si>
    <t>PBS (1 SLIDE-CRESCENT)</t>
  </si>
  <si>
    <t>PROTHROMBIN TIME</t>
  </si>
  <si>
    <t>RETICULOCYTE COUNT</t>
  </si>
  <si>
    <t>CYTOLOGY + CELL BLOCK</t>
  </si>
  <si>
    <t>PAPS / CYTOLOGY 1</t>
  </si>
  <si>
    <t>SURGICAL BIOPSY - EXTRA LARGE</t>
  </si>
  <si>
    <t>SURGICAL BIOPSY - MEDIUM</t>
  </si>
  <si>
    <t>SURGICAL BIOPSY - SMALL</t>
  </si>
  <si>
    <t>BODY FLUIDS ANALYSIS</t>
  </si>
  <si>
    <t>DRUG TEST DUAL(THC/METH)FIXED</t>
  </si>
  <si>
    <t>OCCULT BLOOD</t>
  </si>
  <si>
    <t>PREGNANCY TEST (URINE)</t>
  </si>
  <si>
    <t>STOOL EXAM/ FECALYSIS</t>
  </si>
  <si>
    <t>URINALYSIS (UA)</t>
  </si>
  <si>
    <t>AFP (ALPHA FETO PROTEIN)</t>
  </si>
  <si>
    <t>ANTI-HBS</t>
  </si>
  <si>
    <t>ANTI-HCV</t>
  </si>
  <si>
    <t>ASO TITER (QUANTITATIVE)</t>
  </si>
  <si>
    <t>CA 125</t>
  </si>
  <si>
    <t>CEA</t>
  </si>
  <si>
    <t>CRP (C-REACTIVE PROTEIN)</t>
  </si>
  <si>
    <t>DENGUE NSI ANTIGEN TEST</t>
  </si>
  <si>
    <t>DENGUEDOT (IGM/IGG)</t>
  </si>
  <si>
    <t>FREE T3</t>
  </si>
  <si>
    <t>FREE T4</t>
  </si>
  <si>
    <t>HBSAG (IMMUNOCOMB)</t>
  </si>
  <si>
    <t>PRO-BNP</t>
  </si>
  <si>
    <t>PSA</t>
  </si>
  <si>
    <t>RPR QUALITATIVE</t>
  </si>
  <si>
    <t>T3</t>
  </si>
  <si>
    <t>T4</t>
  </si>
  <si>
    <t>TSH</t>
  </si>
  <si>
    <t>TYPHIDOT</t>
  </si>
  <si>
    <t>AFB STAIN</t>
  </si>
  <si>
    <t>BLOOD C/S ( 1 SITE )</t>
  </si>
  <si>
    <t>BLOOD C/S (2 SITES)</t>
  </si>
  <si>
    <t>BLOOD CS WITH ARD</t>
  </si>
  <si>
    <t>ETA C/S</t>
  </si>
  <si>
    <t>GRAMS STAIN</t>
  </si>
  <si>
    <t>KOH PREPARATION</t>
  </si>
  <si>
    <t>SPUTUM C/S</t>
  </si>
  <si>
    <t>STOOL C/S</t>
  </si>
  <si>
    <t>URINE C/S</t>
  </si>
  <si>
    <t>Beaker</t>
  </si>
  <si>
    <t>Centrifuge</t>
  </si>
  <si>
    <t>Centrifuge *</t>
  </si>
  <si>
    <t xml:space="preserve">Centrifuge </t>
  </si>
  <si>
    <t>Coagulation Instrument</t>
  </si>
  <si>
    <t>Hematology Analyzer</t>
  </si>
  <si>
    <t xml:space="preserve">Analytical Balance </t>
  </si>
  <si>
    <t>Top Loading Balance</t>
  </si>
  <si>
    <t>Refrigerator</t>
  </si>
  <si>
    <t xml:space="preserve">Chair </t>
  </si>
  <si>
    <t>Foot Stool</t>
  </si>
  <si>
    <t>Tissue Forcep</t>
  </si>
  <si>
    <t>Cardiac Marker / Hemo Analyser</t>
  </si>
  <si>
    <t>Computer Set</t>
  </si>
  <si>
    <t>Computer Set 37 (PAHT01)</t>
  </si>
  <si>
    <t>Computer Set (DRUGTESTING)</t>
  </si>
  <si>
    <t>Computer Set 38 (LAB OPD)</t>
  </si>
  <si>
    <t>Printer (LAB IPD)</t>
  </si>
  <si>
    <t>Oven</t>
  </si>
  <si>
    <t>Autoclave</t>
  </si>
  <si>
    <t xml:space="preserve">BioSafety Cabinet </t>
  </si>
  <si>
    <t>Blood Culture Incubator</t>
  </si>
  <si>
    <t>Hot Plate Stirrer</t>
  </si>
  <si>
    <t>Incubator</t>
  </si>
  <si>
    <t>Semi Auto Chemistry Analyzer</t>
  </si>
  <si>
    <t xml:space="preserve">Stool Stainless  </t>
  </si>
  <si>
    <t xml:space="preserve">Stool Stainless </t>
  </si>
  <si>
    <t>Treatment Table</t>
  </si>
  <si>
    <t>Kidney Basin</t>
  </si>
  <si>
    <t>Scanner</t>
  </si>
  <si>
    <t>Hanging Cabinet(Small)</t>
  </si>
  <si>
    <t>Hanging Cabinet(Big)</t>
  </si>
  <si>
    <t>Bed Blood Extraction - A</t>
  </si>
  <si>
    <t>Bed Blood Extraction - B</t>
  </si>
  <si>
    <t>Cabinet</t>
  </si>
  <si>
    <t>Shelves Blood Extraction side Table</t>
  </si>
  <si>
    <t xml:space="preserve">Shelves Paper document </t>
  </si>
  <si>
    <t>Hand Dryer</t>
  </si>
  <si>
    <t>Computer Set (PATHO2)</t>
  </si>
  <si>
    <t>Pap Test Thin Prep</t>
  </si>
  <si>
    <t xml:space="preserve">Haemonetics </t>
  </si>
  <si>
    <t>Laboratory Information System</t>
  </si>
  <si>
    <t>Weighing Scale</t>
  </si>
  <si>
    <t>Tube Sealer</t>
  </si>
  <si>
    <t>Printer</t>
  </si>
  <si>
    <t>Clock</t>
  </si>
  <si>
    <t>Bed</t>
  </si>
  <si>
    <t>Refrigerated Centrifuge</t>
  </si>
  <si>
    <t>Digital Rotator</t>
  </si>
  <si>
    <t>Electric Fan</t>
  </si>
  <si>
    <t>Chair</t>
  </si>
  <si>
    <t>Printer (LAB NODE1)</t>
  </si>
  <si>
    <t>Cardiac Meter</t>
  </si>
  <si>
    <t>Printer (LAB PATHO1)</t>
  </si>
  <si>
    <t>Surgical</t>
  </si>
  <si>
    <t>Platelet Agitator</t>
  </si>
  <si>
    <t>Appliances</t>
  </si>
  <si>
    <t>Furnitures</t>
  </si>
  <si>
    <t>Medical Instruments</t>
  </si>
  <si>
    <t>Medical Equipments</t>
  </si>
  <si>
    <t>MISS Hardware</t>
  </si>
  <si>
    <t>Laboratory Equipment</t>
  </si>
  <si>
    <t>Laboratory Tools</t>
  </si>
  <si>
    <t>Medical Furnitures</t>
  </si>
  <si>
    <t>MISS Software</t>
  </si>
  <si>
    <t>2009-07-31T00:00:00+08:00</t>
  </si>
  <si>
    <t>2009-08-17T00:00:00+08:00</t>
  </si>
  <si>
    <t>2010-04-13T00:00:00+08:00</t>
  </si>
  <si>
    <t>2008-08-03T00:00:00+08:00</t>
  </si>
  <si>
    <t>2009-08-25T00:00:00+08:00</t>
  </si>
  <si>
    <t>2009-04-22T00:00:00+08:00</t>
  </si>
  <si>
    <t>2009-08-18T00:00:00+08:00</t>
  </si>
  <si>
    <t>2008-08-21T00:00:00+08:00</t>
  </si>
  <si>
    <t>2009-06-30T00:00:00+08:00</t>
  </si>
  <si>
    <t>2008-12-18T00:00:00+08:00</t>
  </si>
  <si>
    <t>2009-12-11T00:00:00+08:00</t>
  </si>
  <si>
    <t>2008-08-07T00:00:00+08:00</t>
  </si>
  <si>
    <t>2009-09-04T00:00:00+08:00</t>
  </si>
  <si>
    <t>2009-07-07T00:00:00+08:00</t>
  </si>
  <si>
    <t>2009-08-05T00:00:00+08:00</t>
  </si>
  <si>
    <t>2009-12-10T00:00:00+08:00</t>
  </si>
  <si>
    <t>2009-08-26T00:00:00+08:00</t>
  </si>
  <si>
    <t>2009-11-09T00:00:00+08:00</t>
  </si>
  <si>
    <t>2016-01-19T00:00:00+08:00</t>
  </si>
  <si>
    <t>2011-07-14T00:00:00+08:00</t>
  </si>
  <si>
    <t>2014-04-03T00:00:00+08:00</t>
  </si>
  <si>
    <t>2011-10-19T00:00:00+08:00</t>
  </si>
  <si>
    <t>2011-11-05T00:00:00+08:00</t>
  </si>
  <si>
    <t>2009-09-18T00:00:00+08:00</t>
  </si>
  <si>
    <t>2012-09-10T00:00:00+08:00</t>
  </si>
  <si>
    <t>2014-08-08T00:00:00+08:00</t>
  </si>
  <si>
    <t>2012-10-09T00:00:00+08:00</t>
  </si>
  <si>
    <t>2013-03-05T00:00:00+08:00</t>
  </si>
  <si>
    <t>2017-07-11T00:00:00+08:00</t>
  </si>
  <si>
    <t>2013-03-16T00:00:00+08:00</t>
  </si>
  <si>
    <t>2013-10-03T00:00:00+08:00</t>
  </si>
  <si>
    <t>2013-05-10T00:00:00+08:00</t>
  </si>
  <si>
    <t>2013-06-19T00:00:00+08:00</t>
  </si>
  <si>
    <t>2014-09-18T00:00:00+08:00</t>
  </si>
  <si>
    <t>2014-07-05T00:00:00+08:00</t>
  </si>
  <si>
    <t>2016-08-22T00:00:00+08:00</t>
  </si>
  <si>
    <t>2014-03-25T00:00:00+08:00</t>
  </si>
  <si>
    <t>2013-12-12T00:00:00+08:00</t>
  </si>
  <si>
    <t>2014-06-03T00:00:00+08:00</t>
  </si>
  <si>
    <t>2014-09-15T00:00:00+08:00</t>
  </si>
  <si>
    <t>2015-02-11T00:00:00+08:00</t>
  </si>
  <si>
    <t>2015-02-01T00:00:00+08:00</t>
  </si>
  <si>
    <t>2015-11-04T00:00:00+08:00</t>
  </si>
</sst>
</file>

<file path=xl/styles.xml><?xml version="1.0" encoding="utf-8"?>
<styleSheet xmlns="http://schemas.openxmlformats.org/spreadsheetml/2006/main">
  <numFmts count="1">
    <numFmt numFmtId="164" formatCode="_-* #,##0.00_-;\-* #,##0.00_-;_-* &quot;-&quot;??_-;_-@_-"/>
  </numFmts>
  <fonts count="2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indexed="63"/>
      <name val="Calibri"/>
      <family val="2"/>
      <scheme val="minor"/>
    </font>
    <font>
      <sz val="11"/>
      <color indexed="39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1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3" fillId="3" borderId="1" xfId="2" applyFont="1" applyFill="1" applyBorder="1" applyProtection="1">
      <protection locked="0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3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3" fillId="3" borderId="12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Border="1" applyAlignment="1" applyProtection="1">
      <alignment horizontal="center" vertical="center"/>
      <protection locked="0"/>
    </xf>
    <xf numFmtId="164" fontId="4" fillId="0" borderId="0" xfId="0" applyNumberFormat="1" applyFont="1" applyAlignment="1">
      <alignment horizontal="center"/>
    </xf>
    <xf numFmtId="0" fontId="7" fillId="5" borderId="1" xfId="1" applyFont="1" applyFill="1" applyBorder="1" applyAlignment="1">
      <alignment horizontal="center" vertical="center" wrapText="1"/>
    </xf>
    <xf numFmtId="0" fontId="16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70C0"/>
  </sheetPr>
  <dimension ref="B2:M163"/>
  <sheetViews>
    <sheetView showGridLines="0" topLeftCell="C31" zoomScale="90" zoomScaleNormal="90" workbookViewId="0">
      <selection activeCell="L43" sqref="L43:L98"/>
    </sheetView>
  </sheetViews>
  <sheetFormatPr defaultColWidth="8.7109375" defaultRowHeight="16.5" outlineLevelRow="1"/>
  <cols>
    <col min="1" max="1" width="4.5703125" style="2" customWidth="1"/>
    <col min="2" max="2" width="27.7109375" style="2" customWidth="1"/>
    <col min="3" max="3" width="17.5703125" style="2" bestFit="1" customWidth="1"/>
    <col min="4" max="5" width="34.5703125" style="2" customWidth="1"/>
    <col min="6" max="6" width="16.5703125" style="3" customWidth="1"/>
    <col min="7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>
      <c r="B2" s="25" t="s">
        <v>31</v>
      </c>
      <c r="C2" s="31"/>
      <c r="D2" s="31"/>
    </row>
    <row r="3" spans="2:13">
      <c r="B3" s="1"/>
    </row>
    <row r="4" spans="2:13" hidden="1" outlineLevel="1">
      <c r="B4" s="2" t="s">
        <v>106</v>
      </c>
      <c r="C4" s="2">
        <v>150</v>
      </c>
    </row>
    <row r="5" spans="2:13" collapsed="1">
      <c r="B5" s="13" t="s">
        <v>18</v>
      </c>
      <c r="C5" s="32"/>
      <c r="D5" s="33"/>
    </row>
    <row r="6" spans="2:13">
      <c r="B6" s="19" t="s">
        <v>19</v>
      </c>
      <c r="C6" s="17"/>
      <c r="D6" s="18"/>
    </row>
    <row r="7" spans="2:13">
      <c r="B7" s="16" t="s">
        <v>20</v>
      </c>
      <c r="C7" s="17"/>
      <c r="D7" s="54">
        <v>2017</v>
      </c>
    </row>
    <row r="8" spans="2:13">
      <c r="B8" s="19" t="s">
        <v>22</v>
      </c>
      <c r="C8" s="17"/>
      <c r="D8" s="18"/>
    </row>
    <row r="9" spans="2:13">
      <c r="B9" s="22" t="s">
        <v>21</v>
      </c>
      <c r="C9" s="34"/>
      <c r="D9" s="35"/>
    </row>
    <row r="11" spans="2:13" s="27" customFormat="1">
      <c r="B11" s="30" t="s">
        <v>105</v>
      </c>
      <c r="C11" s="30"/>
    </row>
    <row r="12" spans="2:13" s="27" customFormat="1">
      <c r="B12" s="28"/>
      <c r="C12" s="28"/>
      <c r="D12" s="29"/>
    </row>
    <row r="13" spans="2:13" s="4" customFormat="1" ht="38.25">
      <c r="B13" s="36" t="s">
        <v>98</v>
      </c>
      <c r="C13" s="36" t="s">
        <v>23</v>
      </c>
      <c r="D13" s="36" t="s">
        <v>24</v>
      </c>
      <c r="E13" s="36" t="s">
        <v>25</v>
      </c>
      <c r="F13" s="36" t="s">
        <v>7</v>
      </c>
      <c r="G13" s="37" t="s">
        <v>30</v>
      </c>
      <c r="H13" s="36" t="s">
        <v>70</v>
      </c>
      <c r="I13" s="36" t="s">
        <v>107</v>
      </c>
      <c r="J13" s="36" t="s">
        <v>8</v>
      </c>
      <c r="K13" s="36" t="s">
        <v>0</v>
      </c>
      <c r="L13" s="36" t="s">
        <v>33</v>
      </c>
      <c r="M13" s="36" t="s">
        <v>26</v>
      </c>
    </row>
    <row r="14" spans="2:13">
      <c r="B14" s="5">
        <v>1</v>
      </c>
      <c r="C14" s="39"/>
      <c r="D14" s="67" t="s">
        <v>224</v>
      </c>
      <c r="E14" s="67" t="s">
        <v>176</v>
      </c>
      <c r="F14" s="40"/>
      <c r="G14" s="67" t="s">
        <v>233</v>
      </c>
      <c r="H14" s="38"/>
      <c r="I14" s="38">
        <v>1</v>
      </c>
      <c r="J14" s="67">
        <v>5755</v>
      </c>
      <c r="K14" s="38"/>
      <c r="L14" s="38">
        <v>5</v>
      </c>
      <c r="M14" s="39"/>
    </row>
    <row r="15" spans="2:13">
      <c r="B15" s="5">
        <v>2</v>
      </c>
      <c r="C15" s="39"/>
      <c r="D15" s="67" t="s">
        <v>225</v>
      </c>
      <c r="E15" s="67" t="s">
        <v>177</v>
      </c>
      <c r="F15" s="39"/>
      <c r="G15" s="67" t="s">
        <v>234</v>
      </c>
      <c r="H15" s="38"/>
      <c r="I15" s="38">
        <v>1</v>
      </c>
      <c r="J15" s="67">
        <v>7115.5</v>
      </c>
      <c r="K15" s="38"/>
      <c r="L15" s="38">
        <v>5</v>
      </c>
      <c r="M15" s="39"/>
    </row>
    <row r="16" spans="2:13">
      <c r="B16" s="5">
        <v>3</v>
      </c>
      <c r="C16" s="39"/>
      <c r="D16" s="67" t="s">
        <v>225</v>
      </c>
      <c r="E16" s="67" t="s">
        <v>178</v>
      </c>
      <c r="F16" s="39"/>
      <c r="G16" s="67"/>
      <c r="H16" s="38"/>
      <c r="I16" s="38">
        <v>1</v>
      </c>
      <c r="J16" s="67">
        <v>700</v>
      </c>
      <c r="K16" s="38"/>
      <c r="L16" s="38">
        <v>5</v>
      </c>
      <c r="M16" s="42"/>
    </row>
    <row r="17" spans="2:13">
      <c r="B17" s="5">
        <v>4</v>
      </c>
      <c r="C17" s="39"/>
      <c r="D17" s="67" t="s">
        <v>225</v>
      </c>
      <c r="E17" s="67" t="s">
        <v>178</v>
      </c>
      <c r="F17" s="39"/>
      <c r="G17" s="67"/>
      <c r="H17" s="38"/>
      <c r="I17" s="38">
        <v>1</v>
      </c>
      <c r="J17" s="67">
        <v>900</v>
      </c>
      <c r="K17" s="38"/>
      <c r="L17" s="38">
        <v>5</v>
      </c>
      <c r="M17" s="39"/>
    </row>
    <row r="18" spans="2:13">
      <c r="B18" s="5">
        <v>5</v>
      </c>
      <c r="C18" s="39"/>
      <c r="D18" s="67" t="s">
        <v>225</v>
      </c>
      <c r="E18" s="67" t="s">
        <v>178</v>
      </c>
      <c r="F18" s="39"/>
      <c r="G18" s="67"/>
      <c r="H18" s="38"/>
      <c r="I18" s="38">
        <v>1</v>
      </c>
      <c r="J18" s="67">
        <v>900</v>
      </c>
      <c r="K18" s="38"/>
      <c r="L18" s="38">
        <v>5</v>
      </c>
      <c r="M18" s="39"/>
    </row>
    <row r="19" spans="2:13">
      <c r="B19" s="5">
        <v>6</v>
      </c>
      <c r="C19" s="39"/>
      <c r="D19" s="67" t="s">
        <v>226</v>
      </c>
      <c r="E19" s="67" t="s">
        <v>179</v>
      </c>
      <c r="F19" s="39"/>
      <c r="G19" s="67"/>
      <c r="H19" s="38"/>
      <c r="I19" s="38">
        <v>1</v>
      </c>
      <c r="J19" s="67">
        <v>600</v>
      </c>
      <c r="K19" s="38"/>
      <c r="L19" s="38">
        <v>5</v>
      </c>
      <c r="M19" s="42"/>
    </row>
    <row r="20" spans="2:13">
      <c r="B20" s="5">
        <v>7</v>
      </c>
      <c r="C20" s="39"/>
      <c r="D20" s="67" t="s">
        <v>227</v>
      </c>
      <c r="E20" s="67" t="s">
        <v>180</v>
      </c>
      <c r="F20" s="39"/>
      <c r="G20" s="67" t="s">
        <v>235</v>
      </c>
      <c r="H20" s="38"/>
      <c r="I20" s="38">
        <v>1</v>
      </c>
      <c r="J20" s="67">
        <v>2280000</v>
      </c>
      <c r="K20" s="38"/>
      <c r="L20" s="38">
        <v>5</v>
      </c>
      <c r="M20" s="39"/>
    </row>
    <row r="21" spans="2:13">
      <c r="B21" s="5">
        <v>8</v>
      </c>
      <c r="C21" s="39"/>
      <c r="D21" s="67" t="s">
        <v>228</v>
      </c>
      <c r="E21" s="67" t="s">
        <v>181</v>
      </c>
      <c r="F21" s="39"/>
      <c r="G21" s="67" t="s">
        <v>236</v>
      </c>
      <c r="H21" s="38"/>
      <c r="I21" s="38">
        <v>1</v>
      </c>
      <c r="J21" s="67">
        <v>35750</v>
      </c>
      <c r="K21" s="38"/>
      <c r="L21" s="38">
        <v>5</v>
      </c>
      <c r="M21" s="39"/>
    </row>
    <row r="22" spans="2:13">
      <c r="B22" s="5">
        <v>9</v>
      </c>
      <c r="C22" s="39"/>
      <c r="D22" s="67" t="s">
        <v>228</v>
      </c>
      <c r="E22" s="67" t="s">
        <v>181</v>
      </c>
      <c r="F22" s="39"/>
      <c r="G22" s="67" t="s">
        <v>237</v>
      </c>
      <c r="H22" s="38"/>
      <c r="I22" s="38">
        <v>1</v>
      </c>
      <c r="J22" s="67">
        <v>35750</v>
      </c>
      <c r="K22" s="38"/>
      <c r="L22" s="38">
        <v>5</v>
      </c>
      <c r="M22" s="42"/>
    </row>
    <row r="23" spans="2:13">
      <c r="B23" s="5">
        <v>10</v>
      </c>
      <c r="C23" s="39"/>
      <c r="D23" s="67" t="s">
        <v>228</v>
      </c>
      <c r="E23" s="67" t="s">
        <v>181</v>
      </c>
      <c r="F23" s="39"/>
      <c r="G23" s="67"/>
      <c r="H23" s="38"/>
      <c r="I23" s="38">
        <v>1</v>
      </c>
      <c r="J23" s="67">
        <v>35750</v>
      </c>
      <c r="K23" s="38"/>
      <c r="L23" s="38">
        <v>5</v>
      </c>
      <c r="M23" s="39"/>
    </row>
    <row r="24" spans="2:13">
      <c r="B24" s="5">
        <v>11</v>
      </c>
      <c r="C24" s="39"/>
      <c r="D24" s="67" t="s">
        <v>228</v>
      </c>
      <c r="E24" s="67" t="s">
        <v>182</v>
      </c>
      <c r="F24" s="39"/>
      <c r="G24" s="67" t="s">
        <v>238</v>
      </c>
      <c r="H24" s="38"/>
      <c r="I24" s="38">
        <v>1</v>
      </c>
      <c r="J24" s="67">
        <v>35750</v>
      </c>
      <c r="K24" s="38"/>
      <c r="L24" s="38">
        <v>5</v>
      </c>
      <c r="M24" s="39"/>
    </row>
    <row r="25" spans="2:13">
      <c r="B25" s="5">
        <v>12</v>
      </c>
      <c r="C25" s="39"/>
      <c r="D25" s="67" t="s">
        <v>228</v>
      </c>
      <c r="E25" s="67" t="s">
        <v>183</v>
      </c>
      <c r="F25" s="39"/>
      <c r="G25" s="67"/>
      <c r="H25" s="38"/>
      <c r="I25" s="38">
        <v>1</v>
      </c>
      <c r="J25" s="67">
        <v>35750</v>
      </c>
      <c r="K25" s="38"/>
      <c r="L25" s="38">
        <v>5</v>
      </c>
      <c r="M25" s="42"/>
    </row>
    <row r="26" spans="2:13">
      <c r="B26" s="5">
        <v>13</v>
      </c>
      <c r="C26" s="39"/>
      <c r="D26" s="67" t="s">
        <v>228</v>
      </c>
      <c r="E26" s="67" t="s">
        <v>181</v>
      </c>
      <c r="F26" s="39"/>
      <c r="G26" s="67"/>
      <c r="H26" s="38"/>
      <c r="I26" s="38">
        <v>1</v>
      </c>
      <c r="J26" s="67">
        <v>35750</v>
      </c>
      <c r="K26" s="38"/>
      <c r="L26" s="38">
        <v>5</v>
      </c>
      <c r="M26" s="39"/>
    </row>
    <row r="27" spans="2:13">
      <c r="B27" s="5">
        <v>14</v>
      </c>
      <c r="C27" s="39"/>
      <c r="D27" s="67" t="s">
        <v>228</v>
      </c>
      <c r="E27" s="67" t="s">
        <v>181</v>
      </c>
      <c r="F27" s="39"/>
      <c r="G27" s="67"/>
      <c r="H27" s="38"/>
      <c r="I27" s="38">
        <v>1</v>
      </c>
      <c r="J27" s="67">
        <v>35750</v>
      </c>
      <c r="K27" s="38"/>
      <c r="L27" s="38">
        <v>5</v>
      </c>
      <c r="M27" s="39"/>
    </row>
    <row r="28" spans="2:13">
      <c r="B28" s="5">
        <v>15</v>
      </c>
      <c r="C28" s="39"/>
      <c r="D28" s="67" t="s">
        <v>228</v>
      </c>
      <c r="E28" s="67" t="s">
        <v>184</v>
      </c>
      <c r="F28" s="39"/>
      <c r="G28" s="67" t="s">
        <v>238</v>
      </c>
      <c r="H28" s="38"/>
      <c r="I28" s="38">
        <v>1</v>
      </c>
      <c r="J28" s="67">
        <v>35750</v>
      </c>
      <c r="K28" s="38"/>
      <c r="L28" s="38">
        <v>5</v>
      </c>
      <c r="M28" s="42"/>
    </row>
    <row r="29" spans="2:13">
      <c r="B29" s="5">
        <v>16</v>
      </c>
      <c r="C29" s="39"/>
      <c r="D29" s="67" t="s">
        <v>228</v>
      </c>
      <c r="E29" s="67" t="s">
        <v>185</v>
      </c>
      <c r="F29" s="39"/>
      <c r="G29" s="67" t="s">
        <v>239</v>
      </c>
      <c r="H29" s="38"/>
      <c r="I29" s="38">
        <v>1</v>
      </c>
      <c r="J29" s="67">
        <v>40850</v>
      </c>
      <c r="K29" s="38"/>
      <c r="L29" s="38">
        <v>5</v>
      </c>
      <c r="M29" s="39"/>
    </row>
    <row r="30" spans="2:13">
      <c r="B30" s="5">
        <v>17</v>
      </c>
      <c r="C30" s="39"/>
      <c r="D30" s="67" t="s">
        <v>227</v>
      </c>
      <c r="E30" s="67" t="s">
        <v>186</v>
      </c>
      <c r="F30" s="39"/>
      <c r="G30" s="67" t="s">
        <v>240</v>
      </c>
      <c r="H30" s="38"/>
      <c r="I30" s="38">
        <v>1</v>
      </c>
      <c r="J30" s="67">
        <v>94620</v>
      </c>
      <c r="K30" s="38"/>
      <c r="L30" s="38">
        <v>5</v>
      </c>
      <c r="M30" s="39"/>
    </row>
    <row r="31" spans="2:13">
      <c r="B31" s="5">
        <v>18</v>
      </c>
      <c r="C31" s="39"/>
      <c r="D31" s="67" t="s">
        <v>227</v>
      </c>
      <c r="E31" s="67" t="s">
        <v>187</v>
      </c>
      <c r="F31" s="39"/>
      <c r="G31" s="67" t="s">
        <v>240</v>
      </c>
      <c r="H31" s="38"/>
      <c r="I31" s="38">
        <v>1</v>
      </c>
      <c r="J31" s="67">
        <v>72000</v>
      </c>
      <c r="K31" s="38"/>
      <c r="L31" s="38">
        <v>5</v>
      </c>
      <c r="M31" s="42"/>
    </row>
    <row r="32" spans="2:13">
      <c r="B32" s="5">
        <v>19</v>
      </c>
      <c r="C32" s="39"/>
      <c r="D32" s="67" t="s">
        <v>227</v>
      </c>
      <c r="E32" s="67" t="s">
        <v>188</v>
      </c>
      <c r="F32" s="39"/>
      <c r="G32" s="67" t="s">
        <v>241</v>
      </c>
      <c r="H32" s="38"/>
      <c r="I32" s="38">
        <v>1</v>
      </c>
      <c r="J32" s="67">
        <v>480000</v>
      </c>
      <c r="K32" s="38"/>
      <c r="L32" s="38">
        <v>5</v>
      </c>
      <c r="M32" s="39"/>
    </row>
    <row r="33" spans="2:13">
      <c r="B33" s="5">
        <v>20</v>
      </c>
      <c r="C33" s="39"/>
      <c r="D33" s="67" t="s">
        <v>227</v>
      </c>
      <c r="E33" s="67" t="s">
        <v>189</v>
      </c>
      <c r="F33" s="39"/>
      <c r="G33" s="67" t="s">
        <v>242</v>
      </c>
      <c r="H33" s="38"/>
      <c r="I33" s="38">
        <v>1</v>
      </c>
      <c r="J33" s="67">
        <v>1400000</v>
      </c>
      <c r="K33" s="38"/>
      <c r="L33" s="38">
        <v>5</v>
      </c>
      <c r="M33" s="39"/>
    </row>
    <row r="34" spans="2:13">
      <c r="B34" s="5">
        <v>21</v>
      </c>
      <c r="C34" s="39"/>
      <c r="D34" s="67" t="s">
        <v>229</v>
      </c>
      <c r="E34" s="67" t="s">
        <v>169</v>
      </c>
      <c r="F34" s="39"/>
      <c r="G34" s="67" t="s">
        <v>243</v>
      </c>
      <c r="H34" s="38"/>
      <c r="I34" s="38">
        <v>1</v>
      </c>
      <c r="J34" s="68">
        <v>204768.14</v>
      </c>
      <c r="K34" s="38"/>
      <c r="L34" s="38">
        <v>5</v>
      </c>
      <c r="M34" s="42"/>
    </row>
    <row r="35" spans="2:13">
      <c r="B35" s="5">
        <v>22</v>
      </c>
      <c r="C35" s="39"/>
      <c r="D35" s="67" t="s">
        <v>229</v>
      </c>
      <c r="E35" s="67" t="s">
        <v>170</v>
      </c>
      <c r="F35" s="39"/>
      <c r="G35" s="67" t="s">
        <v>244</v>
      </c>
      <c r="H35" s="38"/>
      <c r="I35" s="38">
        <v>1</v>
      </c>
      <c r="J35" s="68">
        <v>120000</v>
      </c>
      <c r="K35" s="38"/>
      <c r="L35" s="38">
        <v>5</v>
      </c>
      <c r="M35" s="39"/>
    </row>
    <row r="36" spans="2:13">
      <c r="B36" s="5">
        <v>23</v>
      </c>
      <c r="C36" s="39"/>
      <c r="D36" s="67" t="s">
        <v>229</v>
      </c>
      <c r="E36" s="67" t="s">
        <v>169</v>
      </c>
      <c r="F36" s="39"/>
      <c r="G36" s="67" t="s">
        <v>245</v>
      </c>
      <c r="H36" s="38"/>
      <c r="I36" s="38">
        <v>1</v>
      </c>
      <c r="J36" s="68">
        <v>159000</v>
      </c>
      <c r="K36" s="38"/>
      <c r="L36" s="38">
        <v>5</v>
      </c>
      <c r="M36" s="39"/>
    </row>
    <row r="37" spans="2:13">
      <c r="B37" s="5">
        <v>24</v>
      </c>
      <c r="C37" s="39"/>
      <c r="D37" s="67" t="s">
        <v>229</v>
      </c>
      <c r="E37" s="67" t="s">
        <v>171</v>
      </c>
      <c r="F37" s="39"/>
      <c r="G37" s="67" t="s">
        <v>246</v>
      </c>
      <c r="H37" s="38"/>
      <c r="I37" s="38">
        <v>1</v>
      </c>
      <c r="J37" s="68">
        <v>260000</v>
      </c>
      <c r="K37" s="38"/>
      <c r="L37" s="38">
        <v>5</v>
      </c>
      <c r="M37" s="42"/>
    </row>
    <row r="38" spans="2:13">
      <c r="B38" s="5">
        <v>25</v>
      </c>
      <c r="C38" s="39"/>
      <c r="D38" s="67" t="s">
        <v>229</v>
      </c>
      <c r="E38" s="67" t="s">
        <v>172</v>
      </c>
      <c r="F38" s="39"/>
      <c r="G38" s="67" t="s">
        <v>240</v>
      </c>
      <c r="H38" s="38"/>
      <c r="I38" s="38">
        <v>1</v>
      </c>
      <c r="J38" s="68">
        <v>350000</v>
      </c>
      <c r="K38" s="38"/>
      <c r="L38" s="38">
        <v>5</v>
      </c>
      <c r="M38" s="39"/>
    </row>
    <row r="39" spans="2:13">
      <c r="B39" s="5">
        <v>26</v>
      </c>
      <c r="C39" s="39"/>
      <c r="D39" s="67" t="s">
        <v>229</v>
      </c>
      <c r="E39" s="67" t="s">
        <v>173</v>
      </c>
      <c r="F39" s="39"/>
      <c r="G39" s="67" t="s">
        <v>240</v>
      </c>
      <c r="H39" s="38"/>
      <c r="I39" s="38">
        <v>1</v>
      </c>
      <c r="J39" s="68">
        <v>1088400</v>
      </c>
      <c r="K39" s="38"/>
      <c r="L39" s="38">
        <v>5</v>
      </c>
      <c r="M39" s="39"/>
    </row>
    <row r="40" spans="2:13">
      <c r="B40" s="5">
        <v>27</v>
      </c>
      <c r="C40" s="39"/>
      <c r="D40" s="67" t="s">
        <v>227</v>
      </c>
      <c r="E40" s="67" t="s">
        <v>190</v>
      </c>
      <c r="F40" s="39"/>
      <c r="G40" s="67" t="s">
        <v>240</v>
      </c>
      <c r="H40" s="38"/>
      <c r="I40" s="38">
        <v>1</v>
      </c>
      <c r="J40" s="67">
        <v>39200</v>
      </c>
      <c r="K40" s="38"/>
      <c r="L40" s="38">
        <v>5</v>
      </c>
      <c r="M40" s="42"/>
    </row>
    <row r="41" spans="2:13">
      <c r="B41" s="5">
        <v>28</v>
      </c>
      <c r="C41" s="39"/>
      <c r="D41" s="67" t="s">
        <v>227</v>
      </c>
      <c r="E41" s="67" t="s">
        <v>191</v>
      </c>
      <c r="F41" s="39"/>
      <c r="G41" s="67" t="s">
        <v>240</v>
      </c>
      <c r="H41" s="38"/>
      <c r="I41" s="38">
        <v>1</v>
      </c>
      <c r="J41" s="67">
        <v>98809</v>
      </c>
      <c r="K41" s="38"/>
      <c r="L41" s="38">
        <v>5</v>
      </c>
      <c r="M41" s="39"/>
    </row>
    <row r="42" spans="2:13">
      <c r="B42" s="5">
        <v>29</v>
      </c>
      <c r="C42" s="39"/>
      <c r="D42" s="67" t="s">
        <v>227</v>
      </c>
      <c r="E42" s="67" t="s">
        <v>192</v>
      </c>
      <c r="F42" s="39"/>
      <c r="G42" s="67" t="s">
        <v>247</v>
      </c>
      <c r="H42" s="38"/>
      <c r="I42" s="38">
        <v>1</v>
      </c>
      <c r="J42" s="67">
        <v>3000000</v>
      </c>
      <c r="K42" s="38"/>
      <c r="L42" s="38">
        <v>5</v>
      </c>
      <c r="M42" s="39"/>
    </row>
    <row r="43" spans="2:13">
      <c r="B43" s="5">
        <v>30</v>
      </c>
      <c r="C43" s="39"/>
      <c r="D43" s="67" t="s">
        <v>230</v>
      </c>
      <c r="E43" s="67" t="s">
        <v>174</v>
      </c>
      <c r="F43" s="39"/>
      <c r="G43" s="67" t="s">
        <v>240</v>
      </c>
      <c r="H43" s="38"/>
      <c r="I43" s="38">
        <v>1</v>
      </c>
      <c r="J43" s="67">
        <v>5400</v>
      </c>
      <c r="K43" s="38"/>
      <c r="L43" s="38">
        <v>5</v>
      </c>
      <c r="M43" s="42"/>
    </row>
    <row r="44" spans="2:13">
      <c r="B44" s="5">
        <v>31</v>
      </c>
      <c r="C44" s="39"/>
      <c r="D44" s="67" t="s">
        <v>230</v>
      </c>
      <c r="E44" s="67" t="s">
        <v>168</v>
      </c>
      <c r="F44" s="39"/>
      <c r="G44" s="67"/>
      <c r="H44" s="38"/>
      <c r="I44" s="38">
        <v>1</v>
      </c>
      <c r="J44" s="67">
        <v>236.25</v>
      </c>
      <c r="K44" s="38"/>
      <c r="L44" s="38">
        <v>5</v>
      </c>
      <c r="M44" s="39"/>
    </row>
    <row r="45" spans="2:13">
      <c r="B45" s="5">
        <v>32</v>
      </c>
      <c r="C45" s="39"/>
      <c r="D45" s="67" t="s">
        <v>230</v>
      </c>
      <c r="E45" s="67" t="s">
        <v>168</v>
      </c>
      <c r="F45" s="39"/>
      <c r="G45" s="67"/>
      <c r="H45" s="38"/>
      <c r="I45" s="38">
        <v>1</v>
      </c>
      <c r="J45" s="67">
        <v>236.25</v>
      </c>
      <c r="K45" s="38"/>
      <c r="L45" s="38">
        <v>5</v>
      </c>
      <c r="M45" s="39"/>
    </row>
    <row r="46" spans="2:13">
      <c r="B46" s="5">
        <v>33</v>
      </c>
      <c r="C46" s="39"/>
      <c r="D46" s="67" t="s">
        <v>230</v>
      </c>
      <c r="E46" s="67" t="s">
        <v>175</v>
      </c>
      <c r="F46" s="39"/>
      <c r="G46" s="67" t="s">
        <v>248</v>
      </c>
      <c r="H46" s="38"/>
      <c r="I46" s="38">
        <v>1</v>
      </c>
      <c r="J46" s="67">
        <v>27738.48</v>
      </c>
      <c r="K46" s="38"/>
      <c r="L46" s="38">
        <v>5</v>
      </c>
      <c r="M46" s="42"/>
    </row>
    <row r="47" spans="2:13">
      <c r="B47" s="5">
        <v>34</v>
      </c>
      <c r="C47" s="39"/>
      <c r="D47" s="67" t="s">
        <v>231</v>
      </c>
      <c r="E47" s="67" t="s">
        <v>193</v>
      </c>
      <c r="F47" s="39"/>
      <c r="G47" s="67" t="s">
        <v>249</v>
      </c>
      <c r="H47" s="38"/>
      <c r="I47" s="38">
        <v>1</v>
      </c>
      <c r="J47" s="67">
        <v>2200</v>
      </c>
      <c r="K47" s="38"/>
      <c r="L47" s="38">
        <v>5</v>
      </c>
      <c r="M47" s="39"/>
    </row>
    <row r="48" spans="2:13">
      <c r="B48" s="5">
        <v>35</v>
      </c>
      <c r="C48" s="39"/>
      <c r="D48" s="67" t="s">
        <v>231</v>
      </c>
      <c r="E48" s="67" t="s">
        <v>194</v>
      </c>
      <c r="F48" s="39"/>
      <c r="G48" s="67" t="s">
        <v>249</v>
      </c>
      <c r="H48" s="38"/>
      <c r="I48" s="38">
        <v>1</v>
      </c>
      <c r="J48" s="67">
        <v>2200</v>
      </c>
      <c r="K48" s="38"/>
      <c r="L48" s="38">
        <v>5</v>
      </c>
      <c r="M48" s="39"/>
    </row>
    <row r="49" spans="2:13">
      <c r="B49" s="5">
        <v>36</v>
      </c>
      <c r="C49" s="39"/>
      <c r="D49" s="67" t="s">
        <v>231</v>
      </c>
      <c r="E49" s="67" t="s">
        <v>194</v>
      </c>
      <c r="F49" s="39"/>
      <c r="G49" s="67" t="s">
        <v>249</v>
      </c>
      <c r="H49" s="38"/>
      <c r="I49" s="38">
        <v>1</v>
      </c>
      <c r="J49" s="67">
        <v>2200</v>
      </c>
      <c r="K49" s="38"/>
      <c r="L49" s="38">
        <v>5</v>
      </c>
      <c r="M49" s="42"/>
    </row>
    <row r="50" spans="2:13">
      <c r="B50" s="5">
        <v>37</v>
      </c>
      <c r="C50" s="39"/>
      <c r="D50" s="67" t="s">
        <v>231</v>
      </c>
      <c r="E50" s="67" t="s">
        <v>194</v>
      </c>
      <c r="F50" s="39"/>
      <c r="G50" s="67" t="s">
        <v>249</v>
      </c>
      <c r="H50" s="38"/>
      <c r="I50" s="38">
        <v>1</v>
      </c>
      <c r="J50" s="67">
        <v>2200</v>
      </c>
      <c r="K50" s="38"/>
      <c r="L50" s="38">
        <v>5</v>
      </c>
      <c r="M50" s="39"/>
    </row>
    <row r="51" spans="2:13">
      <c r="B51" s="5">
        <v>38</v>
      </c>
      <c r="C51" s="39"/>
      <c r="D51" s="67" t="s">
        <v>231</v>
      </c>
      <c r="E51" s="67" t="s">
        <v>194</v>
      </c>
      <c r="F51" s="39"/>
      <c r="G51" s="67" t="s">
        <v>249</v>
      </c>
      <c r="H51" s="38"/>
      <c r="I51" s="38">
        <v>1</v>
      </c>
      <c r="J51" s="67">
        <v>2200</v>
      </c>
      <c r="K51" s="38"/>
      <c r="L51" s="38">
        <v>5</v>
      </c>
      <c r="M51" s="39"/>
    </row>
    <row r="52" spans="2:13">
      <c r="B52" s="5">
        <v>39</v>
      </c>
      <c r="C52" s="39"/>
      <c r="D52" s="67" t="s">
        <v>231</v>
      </c>
      <c r="E52" s="67" t="s">
        <v>194</v>
      </c>
      <c r="F52" s="39"/>
      <c r="G52" s="67" t="s">
        <v>249</v>
      </c>
      <c r="H52" s="38"/>
      <c r="I52" s="38">
        <v>1</v>
      </c>
      <c r="J52" s="67">
        <v>2200</v>
      </c>
      <c r="K52" s="38"/>
      <c r="L52" s="38">
        <v>5</v>
      </c>
      <c r="M52" s="42"/>
    </row>
    <row r="53" spans="2:13">
      <c r="B53" s="5">
        <v>40</v>
      </c>
      <c r="C53" s="39"/>
      <c r="D53" s="67" t="s">
        <v>231</v>
      </c>
      <c r="E53" s="67" t="s">
        <v>194</v>
      </c>
      <c r="F53" s="39"/>
      <c r="G53" s="67" t="s">
        <v>249</v>
      </c>
      <c r="H53" s="38"/>
      <c r="I53" s="38">
        <v>1</v>
      </c>
      <c r="J53" s="67">
        <v>2200</v>
      </c>
      <c r="K53" s="38"/>
      <c r="L53" s="38">
        <v>5</v>
      </c>
      <c r="M53" s="39"/>
    </row>
    <row r="54" spans="2:13">
      <c r="B54" s="5">
        <v>41</v>
      </c>
      <c r="C54" s="39"/>
      <c r="D54" s="67" t="s">
        <v>231</v>
      </c>
      <c r="E54" s="67" t="s">
        <v>194</v>
      </c>
      <c r="F54" s="39"/>
      <c r="G54" s="67" t="s">
        <v>249</v>
      </c>
      <c r="H54" s="38"/>
      <c r="I54" s="38">
        <v>1</v>
      </c>
      <c r="J54" s="67">
        <v>2200</v>
      </c>
      <c r="K54" s="38"/>
      <c r="L54" s="38">
        <v>5</v>
      </c>
      <c r="M54" s="39"/>
    </row>
    <row r="55" spans="2:13">
      <c r="B55" s="5">
        <v>42</v>
      </c>
      <c r="C55" s="39"/>
      <c r="D55" s="67" t="s">
        <v>231</v>
      </c>
      <c r="E55" s="67" t="s">
        <v>194</v>
      </c>
      <c r="F55" s="39"/>
      <c r="G55" s="67" t="s">
        <v>249</v>
      </c>
      <c r="H55" s="38"/>
      <c r="I55" s="38">
        <v>1</v>
      </c>
      <c r="J55" s="67">
        <v>2200</v>
      </c>
      <c r="K55" s="38"/>
      <c r="L55" s="38">
        <v>5</v>
      </c>
      <c r="M55" s="42"/>
    </row>
    <row r="56" spans="2:13">
      <c r="B56" s="5">
        <v>43</v>
      </c>
      <c r="C56" s="39"/>
      <c r="D56" s="67" t="s">
        <v>231</v>
      </c>
      <c r="E56" s="67" t="s">
        <v>194</v>
      </c>
      <c r="F56" s="39"/>
      <c r="G56" s="67" t="s">
        <v>249</v>
      </c>
      <c r="H56" s="38"/>
      <c r="I56" s="38">
        <v>1</v>
      </c>
      <c r="J56" s="67">
        <v>2200</v>
      </c>
      <c r="K56" s="38"/>
      <c r="L56" s="38">
        <v>5</v>
      </c>
      <c r="M56" s="39"/>
    </row>
    <row r="57" spans="2:13">
      <c r="B57" s="5">
        <v>44</v>
      </c>
      <c r="C57" s="39"/>
      <c r="D57" s="67" t="s">
        <v>231</v>
      </c>
      <c r="E57" s="67" t="s">
        <v>194</v>
      </c>
      <c r="F57" s="39"/>
      <c r="G57" s="67" t="s">
        <v>250</v>
      </c>
      <c r="H57" s="38"/>
      <c r="I57" s="38">
        <v>1</v>
      </c>
      <c r="J57" s="67">
        <v>2200</v>
      </c>
      <c r="K57" s="38"/>
      <c r="L57" s="38">
        <v>5</v>
      </c>
      <c r="M57" s="39"/>
    </row>
    <row r="58" spans="2:13">
      <c r="B58" s="5">
        <v>45</v>
      </c>
      <c r="C58" s="39"/>
      <c r="D58" s="67" t="s">
        <v>231</v>
      </c>
      <c r="E58" s="67" t="s">
        <v>194</v>
      </c>
      <c r="F58" s="39"/>
      <c r="G58" s="67" t="s">
        <v>249</v>
      </c>
      <c r="H58" s="38"/>
      <c r="I58" s="38">
        <v>1</v>
      </c>
      <c r="J58" s="67">
        <v>2200</v>
      </c>
      <c r="K58" s="38"/>
      <c r="L58" s="38">
        <v>5</v>
      </c>
      <c r="M58" s="42"/>
    </row>
    <row r="59" spans="2:13">
      <c r="B59" s="5">
        <v>46</v>
      </c>
      <c r="C59" s="39"/>
      <c r="D59" s="67" t="s">
        <v>231</v>
      </c>
      <c r="E59" s="67" t="s">
        <v>194</v>
      </c>
      <c r="F59" s="39"/>
      <c r="G59" s="67" t="s">
        <v>249</v>
      </c>
      <c r="H59" s="38"/>
      <c r="I59" s="38">
        <v>1</v>
      </c>
      <c r="J59" s="67">
        <v>2200</v>
      </c>
      <c r="K59" s="38"/>
      <c r="L59" s="38">
        <v>5</v>
      </c>
      <c r="M59" s="39"/>
    </row>
    <row r="60" spans="2:13">
      <c r="B60" s="5">
        <v>47</v>
      </c>
      <c r="C60" s="39"/>
      <c r="D60" s="67" t="s">
        <v>231</v>
      </c>
      <c r="E60" s="67" t="s">
        <v>195</v>
      </c>
      <c r="F60" s="39"/>
      <c r="G60" s="67"/>
      <c r="H60" s="38"/>
      <c r="I60" s="38">
        <v>1</v>
      </c>
      <c r="J60" s="67">
        <v>6540</v>
      </c>
      <c r="K60" s="38"/>
      <c r="L60" s="38">
        <v>5</v>
      </c>
      <c r="M60" s="39"/>
    </row>
    <row r="61" spans="2:13">
      <c r="B61" s="5">
        <v>48</v>
      </c>
      <c r="C61" s="39"/>
      <c r="D61" s="67" t="s">
        <v>226</v>
      </c>
      <c r="E61" s="67" t="s">
        <v>196</v>
      </c>
      <c r="F61" s="39"/>
      <c r="G61" s="67"/>
      <c r="H61" s="38"/>
      <c r="I61" s="38">
        <v>1</v>
      </c>
      <c r="J61" s="67">
        <v>130</v>
      </c>
      <c r="K61" s="38"/>
      <c r="L61" s="38">
        <v>5</v>
      </c>
      <c r="M61" s="42"/>
    </row>
    <row r="62" spans="2:13">
      <c r="B62" s="5">
        <v>49</v>
      </c>
      <c r="C62" s="39"/>
      <c r="D62" s="67" t="s">
        <v>228</v>
      </c>
      <c r="E62" s="67" t="s">
        <v>197</v>
      </c>
      <c r="F62" s="39"/>
      <c r="G62" s="67" t="s">
        <v>251</v>
      </c>
      <c r="H62" s="38"/>
      <c r="I62" s="38">
        <v>1</v>
      </c>
      <c r="J62" s="67">
        <v>7500</v>
      </c>
      <c r="K62" s="38"/>
      <c r="L62" s="38">
        <v>5</v>
      </c>
      <c r="M62" s="39"/>
    </row>
    <row r="63" spans="2:13">
      <c r="B63" s="5">
        <v>50</v>
      </c>
      <c r="C63" s="39"/>
      <c r="D63" s="67" t="s">
        <v>225</v>
      </c>
      <c r="E63" s="67" t="s">
        <v>198</v>
      </c>
      <c r="F63" s="39"/>
      <c r="G63" s="67" t="s">
        <v>252</v>
      </c>
      <c r="H63" s="38"/>
      <c r="I63" s="38">
        <v>1</v>
      </c>
      <c r="J63" s="67">
        <v>3280</v>
      </c>
      <c r="K63" s="38"/>
      <c r="L63" s="38">
        <v>5</v>
      </c>
      <c r="M63" s="39"/>
    </row>
    <row r="64" spans="2:13">
      <c r="B64" s="5">
        <v>51</v>
      </c>
      <c r="C64" s="39"/>
      <c r="D64" s="67" t="s">
        <v>225</v>
      </c>
      <c r="E64" s="67" t="s">
        <v>199</v>
      </c>
      <c r="F64" s="39"/>
      <c r="G64" s="67" t="s">
        <v>252</v>
      </c>
      <c r="H64" s="38"/>
      <c r="I64" s="38">
        <v>1</v>
      </c>
      <c r="J64" s="67">
        <v>1330</v>
      </c>
      <c r="K64" s="38"/>
      <c r="L64" s="38">
        <v>5</v>
      </c>
      <c r="M64" s="42"/>
    </row>
    <row r="65" spans="2:13">
      <c r="B65" s="5">
        <v>52</v>
      </c>
      <c r="C65" s="39"/>
      <c r="D65" s="67" t="s">
        <v>225</v>
      </c>
      <c r="E65" s="67" t="s">
        <v>200</v>
      </c>
      <c r="F65" s="39"/>
      <c r="G65" s="67" t="s">
        <v>252</v>
      </c>
      <c r="H65" s="38"/>
      <c r="I65" s="38">
        <v>1</v>
      </c>
      <c r="J65" s="67">
        <v>8090</v>
      </c>
      <c r="K65" s="38"/>
      <c r="L65" s="38">
        <v>5</v>
      </c>
      <c r="M65" s="39"/>
    </row>
    <row r="66" spans="2:13">
      <c r="B66" s="5">
        <v>53</v>
      </c>
      <c r="C66" s="39"/>
      <c r="D66" s="67" t="s">
        <v>225</v>
      </c>
      <c r="E66" s="67" t="s">
        <v>201</v>
      </c>
      <c r="F66" s="39"/>
      <c r="G66" s="67" t="s">
        <v>252</v>
      </c>
      <c r="H66" s="38"/>
      <c r="I66" s="38">
        <v>1</v>
      </c>
      <c r="J66" s="67">
        <v>7490</v>
      </c>
      <c r="K66" s="38"/>
      <c r="L66" s="38">
        <v>5</v>
      </c>
      <c r="M66" s="39"/>
    </row>
    <row r="67" spans="2:13">
      <c r="B67" s="5">
        <v>54</v>
      </c>
      <c r="C67" s="39"/>
      <c r="D67" s="67" t="s">
        <v>225</v>
      </c>
      <c r="E67" s="67" t="s">
        <v>202</v>
      </c>
      <c r="F67" s="39"/>
      <c r="G67" s="67" t="s">
        <v>252</v>
      </c>
      <c r="H67" s="38"/>
      <c r="I67" s="38">
        <v>1</v>
      </c>
      <c r="J67" s="67">
        <v>4750</v>
      </c>
      <c r="K67" s="38"/>
      <c r="L67" s="38">
        <v>5</v>
      </c>
      <c r="M67" s="42"/>
    </row>
    <row r="68" spans="2:13">
      <c r="B68" s="5">
        <v>55</v>
      </c>
      <c r="C68" s="39"/>
      <c r="D68" s="67" t="s">
        <v>225</v>
      </c>
      <c r="E68" s="67" t="s">
        <v>203</v>
      </c>
      <c r="F68" s="39"/>
      <c r="G68" s="67" t="s">
        <v>252</v>
      </c>
      <c r="H68" s="38"/>
      <c r="I68" s="38">
        <v>1</v>
      </c>
      <c r="J68" s="67">
        <v>3300</v>
      </c>
      <c r="K68" s="38"/>
      <c r="L68" s="38">
        <v>5</v>
      </c>
      <c r="M68" s="39"/>
    </row>
    <row r="69" spans="2:13">
      <c r="B69" s="5">
        <v>56</v>
      </c>
      <c r="C69" s="39"/>
      <c r="D69" s="67" t="s">
        <v>225</v>
      </c>
      <c r="E69" s="67" t="s">
        <v>204</v>
      </c>
      <c r="F69" s="39"/>
      <c r="G69" s="67" t="s">
        <v>252</v>
      </c>
      <c r="H69" s="38"/>
      <c r="I69" s="38">
        <v>1</v>
      </c>
      <c r="J69" s="67">
        <v>2700</v>
      </c>
      <c r="K69" s="38"/>
      <c r="L69" s="38">
        <v>5</v>
      </c>
      <c r="M69" s="39"/>
    </row>
    <row r="70" spans="2:13">
      <c r="B70" s="5">
        <v>57</v>
      </c>
      <c r="C70" s="39"/>
      <c r="D70" s="67" t="s">
        <v>224</v>
      </c>
      <c r="E70" s="67" t="s">
        <v>205</v>
      </c>
      <c r="F70" s="39"/>
      <c r="G70" s="67" t="s">
        <v>252</v>
      </c>
      <c r="H70" s="38"/>
      <c r="I70" s="38">
        <v>1</v>
      </c>
      <c r="J70" s="67">
        <v>9750</v>
      </c>
      <c r="K70" s="38"/>
      <c r="L70" s="38">
        <v>5</v>
      </c>
      <c r="M70" s="42"/>
    </row>
    <row r="71" spans="2:13">
      <c r="B71" s="5">
        <v>58</v>
      </c>
      <c r="C71" s="39"/>
      <c r="D71" s="67" t="s">
        <v>228</v>
      </c>
      <c r="E71" s="67" t="s">
        <v>206</v>
      </c>
      <c r="F71" s="39"/>
      <c r="G71" s="67" t="s">
        <v>253</v>
      </c>
      <c r="H71" s="38"/>
      <c r="I71" s="38">
        <v>1</v>
      </c>
      <c r="J71" s="67">
        <v>38385</v>
      </c>
      <c r="K71" s="38"/>
      <c r="L71" s="38">
        <v>5</v>
      </c>
      <c r="M71" s="39"/>
    </row>
    <row r="72" spans="2:13">
      <c r="B72" s="5">
        <v>59</v>
      </c>
      <c r="C72" s="39"/>
      <c r="D72" s="67" t="s">
        <v>227</v>
      </c>
      <c r="E72" s="67" t="s">
        <v>207</v>
      </c>
      <c r="F72" s="39"/>
      <c r="G72" s="67" t="s">
        <v>254</v>
      </c>
      <c r="H72" s="38"/>
      <c r="I72" s="38">
        <v>1</v>
      </c>
      <c r="J72" s="67">
        <v>336000</v>
      </c>
      <c r="K72" s="38"/>
      <c r="L72" s="38">
        <v>5</v>
      </c>
      <c r="M72" s="39"/>
    </row>
    <row r="73" spans="2:13">
      <c r="B73" s="5">
        <v>60</v>
      </c>
      <c r="C73" s="39"/>
      <c r="D73" s="67" t="s">
        <v>227</v>
      </c>
      <c r="E73" s="67" t="s">
        <v>208</v>
      </c>
      <c r="F73" s="39"/>
      <c r="G73" s="67" t="s">
        <v>255</v>
      </c>
      <c r="H73" s="38"/>
      <c r="I73" s="38">
        <v>1</v>
      </c>
      <c r="J73" s="67">
        <v>3470000</v>
      </c>
      <c r="K73" s="38"/>
      <c r="L73" s="38">
        <v>5</v>
      </c>
      <c r="M73" s="42"/>
    </row>
    <row r="74" spans="2:13">
      <c r="B74" s="5">
        <v>61</v>
      </c>
      <c r="C74" s="39"/>
      <c r="D74" s="67" t="s">
        <v>232</v>
      </c>
      <c r="E74" s="67" t="s">
        <v>209</v>
      </c>
      <c r="F74" s="39"/>
      <c r="G74" s="67" t="s">
        <v>256</v>
      </c>
      <c r="H74" s="38"/>
      <c r="I74" s="38">
        <v>1</v>
      </c>
      <c r="J74" s="67">
        <v>1700000</v>
      </c>
      <c r="K74" s="38"/>
      <c r="L74" s="38">
        <v>5</v>
      </c>
      <c r="M74" s="39"/>
    </row>
    <row r="75" spans="2:13">
      <c r="B75" s="5">
        <v>62</v>
      </c>
      <c r="C75" s="39"/>
      <c r="D75" s="67" t="s">
        <v>224</v>
      </c>
      <c r="E75" s="67" t="s">
        <v>176</v>
      </c>
      <c r="F75" s="39"/>
      <c r="G75" s="67" t="s">
        <v>257</v>
      </c>
      <c r="H75" s="38"/>
      <c r="I75" s="38">
        <v>1</v>
      </c>
      <c r="J75" s="67">
        <v>7700</v>
      </c>
      <c r="K75" s="38"/>
      <c r="L75" s="38">
        <v>5</v>
      </c>
      <c r="M75" s="39"/>
    </row>
    <row r="76" spans="2:13">
      <c r="B76" s="5">
        <v>63</v>
      </c>
      <c r="C76" s="39"/>
      <c r="D76" s="67" t="s">
        <v>227</v>
      </c>
      <c r="E76" s="67" t="s">
        <v>210</v>
      </c>
      <c r="F76" s="39"/>
      <c r="G76" s="67" t="s">
        <v>258</v>
      </c>
      <c r="H76" s="38"/>
      <c r="I76" s="38">
        <v>1</v>
      </c>
      <c r="J76" s="67">
        <v>10000</v>
      </c>
      <c r="K76" s="38"/>
      <c r="L76" s="38">
        <v>5</v>
      </c>
      <c r="M76" s="42"/>
    </row>
    <row r="77" spans="2:13">
      <c r="B77" s="5">
        <v>64</v>
      </c>
      <c r="C77" s="39"/>
      <c r="D77" s="67" t="s">
        <v>227</v>
      </c>
      <c r="E77" s="67" t="s">
        <v>211</v>
      </c>
      <c r="F77" s="39"/>
      <c r="G77" s="67" t="s">
        <v>259</v>
      </c>
      <c r="H77" s="38"/>
      <c r="I77" s="38">
        <v>1</v>
      </c>
      <c r="J77" s="67">
        <v>115260</v>
      </c>
      <c r="K77" s="38"/>
      <c r="L77" s="38">
        <v>5</v>
      </c>
      <c r="M77" s="39"/>
    </row>
    <row r="78" spans="2:13">
      <c r="B78" s="5">
        <v>65</v>
      </c>
      <c r="C78" s="39"/>
      <c r="D78" s="67" t="s">
        <v>228</v>
      </c>
      <c r="E78" s="67" t="s">
        <v>212</v>
      </c>
      <c r="F78" s="39"/>
      <c r="G78" s="67" t="s">
        <v>260</v>
      </c>
      <c r="H78" s="38"/>
      <c r="I78" s="38">
        <v>1</v>
      </c>
      <c r="J78" s="67">
        <v>8200</v>
      </c>
      <c r="K78" s="38"/>
      <c r="L78" s="38">
        <v>5</v>
      </c>
      <c r="M78" s="39"/>
    </row>
    <row r="79" spans="2:13">
      <c r="B79" s="5">
        <v>66</v>
      </c>
      <c r="C79" s="39"/>
      <c r="D79" s="67" t="s">
        <v>228</v>
      </c>
      <c r="E79" s="67" t="s">
        <v>212</v>
      </c>
      <c r="F79" s="39"/>
      <c r="G79" s="67" t="s">
        <v>261</v>
      </c>
      <c r="H79" s="38"/>
      <c r="I79" s="38">
        <v>1</v>
      </c>
      <c r="J79" s="67">
        <v>4700</v>
      </c>
      <c r="K79" s="38"/>
      <c r="L79" s="38">
        <v>5</v>
      </c>
      <c r="M79" s="42"/>
    </row>
    <row r="80" spans="2:13">
      <c r="B80" s="5">
        <v>67</v>
      </c>
      <c r="C80" s="39"/>
      <c r="D80" s="67" t="s">
        <v>224</v>
      </c>
      <c r="E80" s="67" t="s">
        <v>213</v>
      </c>
      <c r="F80" s="39"/>
      <c r="G80" s="67" t="s">
        <v>262</v>
      </c>
      <c r="H80" s="38"/>
      <c r="I80" s="38">
        <v>1</v>
      </c>
      <c r="J80" s="67">
        <v>900</v>
      </c>
      <c r="K80" s="38"/>
      <c r="L80" s="38">
        <v>5</v>
      </c>
      <c r="M80" s="39"/>
    </row>
    <row r="81" spans="2:13">
      <c r="B81" s="5">
        <v>68</v>
      </c>
      <c r="C81" s="39"/>
      <c r="D81" s="67" t="s">
        <v>225</v>
      </c>
      <c r="E81" s="67" t="s">
        <v>214</v>
      </c>
      <c r="F81" s="39"/>
      <c r="G81" s="67" t="s">
        <v>263</v>
      </c>
      <c r="H81" s="38"/>
      <c r="I81" s="38">
        <v>1</v>
      </c>
      <c r="J81" s="67">
        <v>990</v>
      </c>
      <c r="K81" s="38"/>
      <c r="L81" s="38">
        <v>5</v>
      </c>
      <c r="M81" s="39"/>
    </row>
    <row r="82" spans="2:13">
      <c r="B82" s="5">
        <v>69</v>
      </c>
      <c r="C82" s="39"/>
      <c r="D82" s="67" t="s">
        <v>227</v>
      </c>
      <c r="E82" s="67" t="s">
        <v>215</v>
      </c>
      <c r="F82" s="39"/>
      <c r="G82" s="67" t="s">
        <v>264</v>
      </c>
      <c r="H82" s="38"/>
      <c r="I82" s="38">
        <v>1</v>
      </c>
      <c r="J82" s="67">
        <v>1648960</v>
      </c>
      <c r="K82" s="38"/>
      <c r="L82" s="38">
        <v>5</v>
      </c>
      <c r="M82" s="42"/>
    </row>
    <row r="83" spans="2:13">
      <c r="B83" s="5">
        <v>70</v>
      </c>
      <c r="C83" s="39"/>
      <c r="D83" s="67" t="s">
        <v>227</v>
      </c>
      <c r="E83" s="67" t="s">
        <v>216</v>
      </c>
      <c r="F83" s="39"/>
      <c r="G83" s="67" t="s">
        <v>265</v>
      </c>
      <c r="H83" s="38"/>
      <c r="I83" s="38">
        <v>1</v>
      </c>
      <c r="J83" s="67">
        <v>29261</v>
      </c>
      <c r="K83" s="38"/>
      <c r="L83" s="38">
        <v>5</v>
      </c>
      <c r="M83" s="39"/>
    </row>
    <row r="84" spans="2:13">
      <c r="B84" s="5">
        <v>71</v>
      </c>
      <c r="C84" s="39"/>
      <c r="D84" s="67" t="s">
        <v>225</v>
      </c>
      <c r="E84" s="67" t="s">
        <v>214</v>
      </c>
      <c r="F84" s="39"/>
      <c r="G84" s="67" t="s">
        <v>263</v>
      </c>
      <c r="H84" s="38"/>
      <c r="I84" s="38">
        <v>1</v>
      </c>
      <c r="J84" s="67">
        <v>990</v>
      </c>
      <c r="K84" s="38"/>
      <c r="L84" s="38">
        <v>5</v>
      </c>
      <c r="M84" s="39"/>
    </row>
    <row r="85" spans="2:13">
      <c r="B85" s="5">
        <v>72</v>
      </c>
      <c r="C85" s="39"/>
      <c r="D85" s="67" t="s">
        <v>225</v>
      </c>
      <c r="E85" s="67" t="s">
        <v>214</v>
      </c>
      <c r="F85" s="39"/>
      <c r="G85" s="67" t="s">
        <v>263</v>
      </c>
      <c r="H85" s="38"/>
      <c r="I85" s="38">
        <v>1</v>
      </c>
      <c r="J85" s="67">
        <v>990</v>
      </c>
      <c r="K85" s="38"/>
      <c r="L85" s="38">
        <v>5</v>
      </c>
      <c r="M85" s="42"/>
    </row>
    <row r="86" spans="2:13">
      <c r="B86" s="5">
        <v>73</v>
      </c>
      <c r="C86" s="39"/>
      <c r="D86" s="67" t="s">
        <v>228</v>
      </c>
      <c r="E86" s="67" t="s">
        <v>212</v>
      </c>
      <c r="F86" s="39"/>
      <c r="G86" s="67" t="s">
        <v>266</v>
      </c>
      <c r="H86" s="38"/>
      <c r="I86" s="38">
        <v>1</v>
      </c>
      <c r="J86" s="67">
        <v>5000</v>
      </c>
      <c r="K86" s="38"/>
      <c r="L86" s="38">
        <v>5</v>
      </c>
      <c r="M86" s="39"/>
    </row>
    <row r="87" spans="2:13">
      <c r="B87" s="5">
        <v>74</v>
      </c>
      <c r="C87" s="39"/>
      <c r="D87" s="67" t="s">
        <v>224</v>
      </c>
      <c r="E87" s="67" t="s">
        <v>217</v>
      </c>
      <c r="F87" s="39"/>
      <c r="G87" s="67" t="s">
        <v>267</v>
      </c>
      <c r="H87" s="38"/>
      <c r="I87" s="38">
        <v>1</v>
      </c>
      <c r="J87" s="67">
        <v>920</v>
      </c>
      <c r="K87" s="38"/>
      <c r="L87" s="38">
        <v>5</v>
      </c>
      <c r="M87" s="39"/>
    </row>
    <row r="88" spans="2:13">
      <c r="B88" s="5">
        <v>75</v>
      </c>
      <c r="C88" s="39"/>
      <c r="D88" s="67" t="s">
        <v>224</v>
      </c>
      <c r="E88" s="67" t="s">
        <v>217</v>
      </c>
      <c r="F88" s="39"/>
      <c r="G88" s="67" t="s">
        <v>267</v>
      </c>
      <c r="H88" s="38"/>
      <c r="I88" s="38">
        <v>1</v>
      </c>
      <c r="J88" s="67">
        <v>920</v>
      </c>
      <c r="K88" s="38"/>
      <c r="L88" s="38">
        <v>5</v>
      </c>
      <c r="M88" s="42"/>
    </row>
    <row r="89" spans="2:13">
      <c r="B89" s="5">
        <v>76</v>
      </c>
      <c r="C89" s="39"/>
      <c r="D89" s="67" t="s">
        <v>231</v>
      </c>
      <c r="E89" s="67" t="s">
        <v>218</v>
      </c>
      <c r="F89" s="39"/>
      <c r="G89" s="67" t="s">
        <v>268</v>
      </c>
      <c r="H89" s="38"/>
      <c r="I89" s="38">
        <v>1</v>
      </c>
      <c r="J89" s="67">
        <v>4800</v>
      </c>
      <c r="K89" s="38"/>
      <c r="L89" s="38">
        <v>5</v>
      </c>
      <c r="M89" s="39"/>
    </row>
    <row r="90" spans="2:13">
      <c r="B90" s="5">
        <v>77</v>
      </c>
      <c r="C90" s="39"/>
      <c r="D90" s="67" t="s">
        <v>228</v>
      </c>
      <c r="E90" s="67" t="s">
        <v>212</v>
      </c>
      <c r="F90" s="39"/>
      <c r="G90" s="67" t="s">
        <v>269</v>
      </c>
      <c r="H90" s="38"/>
      <c r="I90" s="38">
        <v>1</v>
      </c>
      <c r="J90" s="67">
        <v>5600</v>
      </c>
      <c r="K90" s="38"/>
      <c r="L90" s="38">
        <v>5</v>
      </c>
      <c r="M90" s="39"/>
    </row>
    <row r="91" spans="2:13">
      <c r="B91" s="5">
        <v>78</v>
      </c>
      <c r="C91" s="39"/>
      <c r="D91" s="67" t="s">
        <v>228</v>
      </c>
      <c r="E91" s="67" t="s">
        <v>219</v>
      </c>
      <c r="F91" s="39"/>
      <c r="G91" s="67" t="s">
        <v>269</v>
      </c>
      <c r="H91" s="38"/>
      <c r="I91" s="38">
        <v>1</v>
      </c>
      <c r="J91" s="67">
        <v>5600</v>
      </c>
      <c r="K91" s="38"/>
      <c r="L91" s="38">
        <v>5</v>
      </c>
      <c r="M91" s="42"/>
    </row>
    <row r="92" spans="2:13">
      <c r="B92" s="5">
        <v>79</v>
      </c>
      <c r="C92" s="39"/>
      <c r="D92" s="67" t="s">
        <v>227</v>
      </c>
      <c r="E92" s="67" t="s">
        <v>220</v>
      </c>
      <c r="F92" s="39"/>
      <c r="G92" s="67" t="s">
        <v>270</v>
      </c>
      <c r="H92" s="38"/>
      <c r="I92" s="38">
        <v>1</v>
      </c>
      <c r="J92" s="67">
        <v>100240</v>
      </c>
      <c r="K92" s="38"/>
      <c r="L92" s="38">
        <v>5</v>
      </c>
      <c r="M92" s="39"/>
    </row>
    <row r="93" spans="2:13">
      <c r="B93" s="5">
        <v>80</v>
      </c>
      <c r="C93" s="39"/>
      <c r="D93" s="67" t="s">
        <v>228</v>
      </c>
      <c r="E93" s="67" t="s">
        <v>221</v>
      </c>
      <c r="F93" s="39"/>
      <c r="G93" s="67" t="s">
        <v>271</v>
      </c>
      <c r="H93" s="38"/>
      <c r="I93" s="38">
        <v>1</v>
      </c>
      <c r="J93" s="67">
        <v>5000</v>
      </c>
      <c r="K93" s="38"/>
      <c r="L93" s="38">
        <v>5</v>
      </c>
      <c r="M93" s="39"/>
    </row>
    <row r="94" spans="2:13">
      <c r="B94" s="5">
        <v>81</v>
      </c>
      <c r="C94" s="39"/>
      <c r="D94" s="67" t="s">
        <v>226</v>
      </c>
      <c r="E94" s="67" t="s">
        <v>222</v>
      </c>
      <c r="F94" s="39"/>
      <c r="G94" s="67" t="s">
        <v>272</v>
      </c>
      <c r="H94" s="38"/>
      <c r="I94" s="38">
        <v>1</v>
      </c>
      <c r="J94" s="67">
        <v>1068</v>
      </c>
      <c r="K94" s="38"/>
      <c r="L94" s="38">
        <v>5</v>
      </c>
      <c r="M94" s="42"/>
    </row>
    <row r="95" spans="2:13">
      <c r="B95" s="5">
        <v>82</v>
      </c>
      <c r="C95" s="39"/>
      <c r="D95" s="67" t="s">
        <v>229</v>
      </c>
      <c r="E95" s="67" t="s">
        <v>173</v>
      </c>
      <c r="F95" s="39"/>
      <c r="G95" s="67" t="s">
        <v>273</v>
      </c>
      <c r="H95" s="38"/>
      <c r="I95" s="38">
        <v>1</v>
      </c>
      <c r="J95" s="68">
        <v>1200000</v>
      </c>
      <c r="K95" s="38"/>
      <c r="L95" s="38">
        <v>5</v>
      </c>
      <c r="M95" s="39"/>
    </row>
    <row r="96" spans="2:13">
      <c r="B96" s="5">
        <v>83</v>
      </c>
      <c r="C96" s="39"/>
      <c r="D96" s="67" t="s">
        <v>227</v>
      </c>
      <c r="E96" s="67" t="s">
        <v>223</v>
      </c>
      <c r="F96" s="39"/>
      <c r="G96" s="67" t="s">
        <v>274</v>
      </c>
      <c r="H96" s="38"/>
      <c r="I96" s="38">
        <v>1</v>
      </c>
      <c r="J96" s="67">
        <v>168300</v>
      </c>
      <c r="K96" s="38"/>
      <c r="L96" s="38">
        <v>5</v>
      </c>
      <c r="M96" s="39"/>
    </row>
    <row r="97" spans="2:13">
      <c r="B97" s="5">
        <v>84</v>
      </c>
      <c r="C97" s="39"/>
      <c r="D97" s="67" t="s">
        <v>231</v>
      </c>
      <c r="E97" s="67" t="s">
        <v>218</v>
      </c>
      <c r="F97" s="39"/>
      <c r="G97" s="67" t="s">
        <v>268</v>
      </c>
      <c r="H97" s="38"/>
      <c r="I97" s="38">
        <v>1</v>
      </c>
      <c r="J97" s="67">
        <v>4800</v>
      </c>
      <c r="K97" s="38"/>
      <c r="L97" s="38">
        <v>5</v>
      </c>
      <c r="M97" s="42"/>
    </row>
    <row r="98" spans="2:13">
      <c r="B98" s="5">
        <v>85</v>
      </c>
      <c r="C98" s="39"/>
      <c r="D98" s="67" t="s">
        <v>231</v>
      </c>
      <c r="E98" s="67" t="s">
        <v>218</v>
      </c>
      <c r="F98" s="39"/>
      <c r="G98" s="67" t="s">
        <v>275</v>
      </c>
      <c r="H98" s="38"/>
      <c r="I98" s="38">
        <v>1</v>
      </c>
      <c r="J98" s="67">
        <v>23500</v>
      </c>
      <c r="K98" s="38"/>
      <c r="L98" s="38">
        <v>5</v>
      </c>
      <c r="M98" s="39"/>
    </row>
    <row r="99" spans="2:13">
      <c r="B99" s="5">
        <v>86</v>
      </c>
      <c r="C99" s="39"/>
      <c r="D99" s="39"/>
      <c r="E99" s="39"/>
      <c r="F99" s="39"/>
      <c r="G99" s="41"/>
      <c r="H99" s="38"/>
      <c r="I99" s="38"/>
      <c r="J99" s="38"/>
      <c r="K99" s="38"/>
      <c r="L99" s="38"/>
      <c r="M99" s="39"/>
    </row>
    <row r="100" spans="2:13">
      <c r="B100" s="5">
        <v>87</v>
      </c>
      <c r="C100" s="39"/>
      <c r="D100" s="39"/>
      <c r="E100" s="39"/>
      <c r="F100" s="39"/>
      <c r="G100" s="41"/>
      <c r="H100" s="38"/>
      <c r="I100" s="38"/>
      <c r="J100" s="38"/>
      <c r="K100" s="38"/>
      <c r="L100" s="38"/>
      <c r="M100" s="42"/>
    </row>
    <row r="101" spans="2:13">
      <c r="B101" s="5">
        <v>88</v>
      </c>
      <c r="C101" s="39"/>
      <c r="D101" s="39"/>
      <c r="E101" s="39"/>
      <c r="F101" s="39"/>
      <c r="G101" s="41"/>
      <c r="H101" s="38"/>
      <c r="I101" s="38"/>
      <c r="J101" s="38"/>
      <c r="K101" s="38"/>
      <c r="L101" s="38"/>
      <c r="M101" s="39"/>
    </row>
    <row r="102" spans="2:13">
      <c r="B102" s="5">
        <v>89</v>
      </c>
      <c r="C102" s="39"/>
      <c r="D102" s="39"/>
      <c r="E102" s="39"/>
      <c r="F102" s="39"/>
      <c r="G102" s="41"/>
      <c r="H102" s="38"/>
      <c r="I102" s="38"/>
      <c r="J102" s="38"/>
      <c r="K102" s="38"/>
      <c r="L102" s="38"/>
      <c r="M102" s="39"/>
    </row>
    <row r="103" spans="2:13">
      <c r="B103" s="5">
        <v>90</v>
      </c>
      <c r="C103" s="39"/>
      <c r="D103" s="39"/>
      <c r="E103" s="39"/>
      <c r="F103" s="39"/>
      <c r="G103" s="41"/>
      <c r="H103" s="38"/>
      <c r="I103" s="38"/>
      <c r="J103" s="38"/>
      <c r="K103" s="38"/>
      <c r="L103" s="38"/>
      <c r="M103" s="42"/>
    </row>
    <row r="104" spans="2:13">
      <c r="B104" s="5">
        <v>91</v>
      </c>
      <c r="C104" s="39"/>
      <c r="D104" s="39"/>
      <c r="E104" s="39"/>
      <c r="F104" s="39"/>
      <c r="G104" s="41"/>
      <c r="H104" s="38"/>
      <c r="I104" s="38"/>
      <c r="J104" s="38"/>
      <c r="K104" s="38"/>
      <c r="L104" s="38"/>
      <c r="M104" s="39"/>
    </row>
    <row r="105" spans="2:13">
      <c r="B105" s="5">
        <v>92</v>
      </c>
      <c r="C105" s="39"/>
      <c r="D105" s="39"/>
      <c r="E105" s="39"/>
      <c r="F105" s="39"/>
      <c r="G105" s="41"/>
      <c r="H105" s="38"/>
      <c r="I105" s="38"/>
      <c r="J105" s="38"/>
      <c r="K105" s="38"/>
      <c r="L105" s="38"/>
      <c r="M105" s="39"/>
    </row>
    <row r="106" spans="2:13">
      <c r="B106" s="5">
        <v>93</v>
      </c>
      <c r="C106" s="39"/>
      <c r="D106" s="39"/>
      <c r="E106" s="39"/>
      <c r="F106" s="39"/>
      <c r="G106" s="41"/>
      <c r="H106" s="38"/>
      <c r="I106" s="38"/>
      <c r="J106" s="38"/>
      <c r="K106" s="38"/>
      <c r="L106" s="38"/>
      <c r="M106" s="42"/>
    </row>
    <row r="107" spans="2:13">
      <c r="B107" s="5">
        <v>94</v>
      </c>
      <c r="C107" s="39"/>
      <c r="D107" s="39"/>
      <c r="E107" s="39"/>
      <c r="F107" s="39"/>
      <c r="G107" s="41"/>
      <c r="H107" s="38"/>
      <c r="I107" s="38"/>
      <c r="J107" s="38"/>
      <c r="K107" s="38"/>
      <c r="L107" s="38"/>
      <c r="M107" s="39"/>
    </row>
    <row r="108" spans="2:13">
      <c r="B108" s="5">
        <v>95</v>
      </c>
      <c r="C108" s="39"/>
      <c r="D108" s="39"/>
      <c r="E108" s="39"/>
      <c r="F108" s="39"/>
      <c r="G108" s="41"/>
      <c r="H108" s="38"/>
      <c r="I108" s="38"/>
      <c r="J108" s="38"/>
      <c r="K108" s="38"/>
      <c r="L108" s="38"/>
      <c r="M108" s="39"/>
    </row>
    <row r="109" spans="2:13">
      <c r="B109" s="5">
        <v>96</v>
      </c>
      <c r="C109" s="39"/>
      <c r="D109" s="39"/>
      <c r="E109" s="39"/>
      <c r="F109" s="39"/>
      <c r="G109" s="41"/>
      <c r="H109" s="38"/>
      <c r="I109" s="38"/>
      <c r="J109" s="38"/>
      <c r="K109" s="38"/>
      <c r="L109" s="38"/>
      <c r="M109" s="42"/>
    </row>
    <row r="110" spans="2:13">
      <c r="B110" s="5">
        <v>97</v>
      </c>
      <c r="C110" s="39"/>
      <c r="D110" s="39"/>
      <c r="E110" s="39"/>
      <c r="F110" s="39"/>
      <c r="G110" s="41"/>
      <c r="H110" s="38"/>
      <c r="I110" s="38"/>
      <c r="J110" s="38"/>
      <c r="K110" s="38"/>
      <c r="L110" s="38"/>
      <c r="M110" s="39"/>
    </row>
    <row r="111" spans="2:13">
      <c r="B111" s="5">
        <v>98</v>
      </c>
      <c r="C111" s="39"/>
      <c r="D111" s="39"/>
      <c r="E111" s="39"/>
      <c r="F111" s="39"/>
      <c r="G111" s="41"/>
      <c r="H111" s="38"/>
      <c r="I111" s="38"/>
      <c r="J111" s="38"/>
      <c r="K111" s="38"/>
      <c r="L111" s="38"/>
      <c r="M111" s="39"/>
    </row>
    <row r="112" spans="2:13">
      <c r="B112" s="5">
        <v>99</v>
      </c>
      <c r="C112" s="39"/>
      <c r="D112" s="39"/>
      <c r="E112" s="39"/>
      <c r="F112" s="39"/>
      <c r="G112" s="41"/>
      <c r="H112" s="38"/>
      <c r="I112" s="38"/>
      <c r="J112" s="38"/>
      <c r="K112" s="38"/>
      <c r="L112" s="38"/>
      <c r="M112" s="42"/>
    </row>
    <row r="113" spans="2:13">
      <c r="B113" s="5">
        <v>100</v>
      </c>
      <c r="C113" s="39"/>
      <c r="D113" s="39"/>
      <c r="E113" s="39"/>
      <c r="F113" s="39"/>
      <c r="G113" s="41"/>
      <c r="H113" s="38"/>
      <c r="I113" s="38"/>
      <c r="J113" s="38"/>
      <c r="K113" s="38"/>
      <c r="L113" s="38"/>
      <c r="M113" s="39"/>
    </row>
    <row r="114" spans="2:13">
      <c r="B114" s="5">
        <v>101</v>
      </c>
      <c r="C114" s="39"/>
      <c r="D114" s="39"/>
      <c r="E114" s="39"/>
      <c r="F114" s="39"/>
      <c r="G114" s="41"/>
      <c r="H114" s="38"/>
      <c r="I114" s="38"/>
      <c r="J114" s="38"/>
      <c r="K114" s="38"/>
      <c r="L114" s="38"/>
      <c r="M114" s="39"/>
    </row>
    <row r="115" spans="2:13">
      <c r="B115" s="5">
        <v>102</v>
      </c>
      <c r="C115" s="39"/>
      <c r="D115" s="39"/>
      <c r="E115" s="39"/>
      <c r="F115" s="39"/>
      <c r="G115" s="41"/>
      <c r="H115" s="38"/>
      <c r="I115" s="38"/>
      <c r="J115" s="38"/>
      <c r="K115" s="38"/>
      <c r="L115" s="38"/>
      <c r="M115" s="39"/>
    </row>
    <row r="116" spans="2:13">
      <c r="B116" s="5">
        <v>103</v>
      </c>
      <c r="C116" s="39"/>
      <c r="D116" s="39"/>
      <c r="E116" s="39"/>
      <c r="F116" s="39"/>
      <c r="G116" s="41"/>
      <c r="H116" s="38"/>
      <c r="I116" s="38"/>
      <c r="J116" s="38"/>
      <c r="K116" s="38"/>
      <c r="L116" s="38"/>
      <c r="M116" s="39"/>
    </row>
    <row r="117" spans="2:13">
      <c r="B117" s="5">
        <v>104</v>
      </c>
      <c r="C117" s="39"/>
      <c r="D117" s="39"/>
      <c r="E117" s="39"/>
      <c r="F117" s="39"/>
      <c r="G117" s="41"/>
      <c r="H117" s="38"/>
      <c r="I117" s="38"/>
      <c r="J117" s="38"/>
      <c r="K117" s="38"/>
      <c r="L117" s="38"/>
      <c r="M117" s="39"/>
    </row>
    <row r="118" spans="2:13">
      <c r="B118" s="5">
        <v>105</v>
      </c>
      <c r="C118" s="39"/>
      <c r="D118" s="39"/>
      <c r="E118" s="39"/>
      <c r="F118" s="39"/>
      <c r="G118" s="41"/>
      <c r="H118" s="38"/>
      <c r="I118" s="38"/>
      <c r="J118" s="38"/>
      <c r="K118" s="38"/>
      <c r="L118" s="38"/>
      <c r="M118" s="39"/>
    </row>
    <row r="119" spans="2:13">
      <c r="B119" s="5">
        <v>106</v>
      </c>
      <c r="C119" s="39"/>
      <c r="D119" s="39"/>
      <c r="E119" s="39"/>
      <c r="F119" s="39"/>
      <c r="G119" s="41"/>
      <c r="H119" s="38"/>
      <c r="I119" s="38"/>
      <c r="J119" s="38"/>
      <c r="K119" s="38"/>
      <c r="L119" s="38"/>
      <c r="M119" s="39"/>
    </row>
    <row r="120" spans="2:13">
      <c r="B120" s="5">
        <v>107</v>
      </c>
      <c r="C120" s="39"/>
      <c r="D120" s="39"/>
      <c r="E120" s="39"/>
      <c r="F120" s="39"/>
      <c r="G120" s="41"/>
      <c r="H120" s="38"/>
      <c r="I120" s="38"/>
      <c r="J120" s="38"/>
      <c r="K120" s="38"/>
      <c r="L120" s="38"/>
      <c r="M120" s="39"/>
    </row>
    <row r="121" spans="2:13">
      <c r="B121" s="5">
        <v>108</v>
      </c>
      <c r="C121" s="39"/>
      <c r="D121" s="39"/>
      <c r="E121" s="39"/>
      <c r="F121" s="39"/>
      <c r="G121" s="41"/>
      <c r="H121" s="38"/>
      <c r="I121" s="38"/>
      <c r="J121" s="38"/>
      <c r="K121" s="38"/>
      <c r="L121" s="38"/>
      <c r="M121" s="39"/>
    </row>
    <row r="122" spans="2:13">
      <c r="B122" s="5">
        <v>109</v>
      </c>
      <c r="C122" s="39"/>
      <c r="D122" s="39"/>
      <c r="E122" s="39"/>
      <c r="F122" s="39"/>
      <c r="G122" s="41"/>
      <c r="H122" s="38"/>
      <c r="I122" s="38"/>
      <c r="J122" s="38"/>
      <c r="K122" s="38"/>
      <c r="L122" s="38"/>
      <c r="M122" s="39"/>
    </row>
    <row r="123" spans="2:13">
      <c r="B123" s="5">
        <v>110</v>
      </c>
      <c r="C123" s="39"/>
      <c r="D123" s="39"/>
      <c r="E123" s="39"/>
      <c r="F123" s="39"/>
      <c r="G123" s="41"/>
      <c r="H123" s="38"/>
      <c r="I123" s="38"/>
      <c r="J123" s="38"/>
      <c r="K123" s="38"/>
      <c r="L123" s="38"/>
      <c r="M123" s="39"/>
    </row>
    <row r="124" spans="2:13">
      <c r="B124" s="5">
        <v>111</v>
      </c>
      <c r="C124" s="39"/>
      <c r="D124" s="39"/>
      <c r="E124" s="39"/>
      <c r="F124" s="39"/>
      <c r="G124" s="41"/>
      <c r="H124" s="38"/>
      <c r="I124" s="38"/>
      <c r="J124" s="38"/>
      <c r="K124" s="38"/>
      <c r="L124" s="38"/>
      <c r="M124" s="39"/>
    </row>
    <row r="125" spans="2:13">
      <c r="B125" s="5">
        <v>112</v>
      </c>
      <c r="C125" s="39"/>
      <c r="D125" s="39"/>
      <c r="E125" s="39"/>
      <c r="F125" s="39"/>
      <c r="G125" s="41"/>
      <c r="H125" s="38"/>
      <c r="I125" s="38"/>
      <c r="J125" s="38"/>
      <c r="K125" s="38"/>
      <c r="L125" s="38"/>
      <c r="M125" s="39"/>
    </row>
    <row r="126" spans="2:13">
      <c r="B126" s="5">
        <v>113</v>
      </c>
      <c r="C126" s="39"/>
      <c r="D126" s="39"/>
      <c r="E126" s="39"/>
      <c r="F126" s="39"/>
      <c r="G126" s="41"/>
      <c r="H126" s="38"/>
      <c r="I126" s="38"/>
      <c r="J126" s="38"/>
      <c r="K126" s="38"/>
      <c r="L126" s="38"/>
      <c r="M126" s="39"/>
    </row>
    <row r="127" spans="2:13">
      <c r="B127" s="5">
        <v>114</v>
      </c>
      <c r="C127" s="39"/>
      <c r="D127" s="39"/>
      <c r="E127" s="39"/>
      <c r="F127" s="39"/>
      <c r="G127" s="41"/>
      <c r="H127" s="38"/>
      <c r="I127" s="38"/>
      <c r="J127" s="38"/>
      <c r="K127" s="38"/>
      <c r="L127" s="38"/>
      <c r="M127" s="39"/>
    </row>
    <row r="128" spans="2:13">
      <c r="B128" s="5">
        <v>115</v>
      </c>
      <c r="C128" s="39"/>
      <c r="D128" s="39"/>
      <c r="E128" s="39"/>
      <c r="F128" s="39"/>
      <c r="G128" s="41"/>
      <c r="H128" s="38"/>
      <c r="I128" s="38"/>
      <c r="J128" s="38"/>
      <c r="K128" s="38"/>
      <c r="L128" s="38"/>
      <c r="M128" s="39"/>
    </row>
    <row r="129" spans="2:13">
      <c r="B129" s="5">
        <v>116</v>
      </c>
      <c r="C129" s="39"/>
      <c r="D129" s="39"/>
      <c r="E129" s="39"/>
      <c r="F129" s="39"/>
      <c r="G129" s="41"/>
      <c r="H129" s="38"/>
      <c r="I129" s="38"/>
      <c r="J129" s="38"/>
      <c r="K129" s="38"/>
      <c r="L129" s="38"/>
      <c r="M129" s="39"/>
    </row>
    <row r="130" spans="2:13">
      <c r="B130" s="5">
        <v>117</v>
      </c>
      <c r="C130" s="39"/>
      <c r="D130" s="39"/>
      <c r="E130" s="39"/>
      <c r="F130" s="39"/>
      <c r="G130" s="41"/>
      <c r="H130" s="38"/>
      <c r="I130" s="38"/>
      <c r="J130" s="38"/>
      <c r="K130" s="38"/>
      <c r="L130" s="38"/>
      <c r="M130" s="39"/>
    </row>
    <row r="131" spans="2:13">
      <c r="B131" s="5">
        <v>118</v>
      </c>
      <c r="C131" s="39"/>
      <c r="D131" s="39"/>
      <c r="E131" s="39"/>
      <c r="F131" s="39"/>
      <c r="G131" s="41"/>
      <c r="H131" s="38"/>
      <c r="I131" s="38"/>
      <c r="J131" s="38"/>
      <c r="K131" s="38"/>
      <c r="L131" s="38"/>
      <c r="M131" s="39"/>
    </row>
    <row r="132" spans="2:13">
      <c r="B132" s="5">
        <v>119</v>
      </c>
      <c r="C132" s="39"/>
      <c r="D132" s="39"/>
      <c r="E132" s="39"/>
      <c r="F132" s="39"/>
      <c r="G132" s="41"/>
      <c r="H132" s="38"/>
      <c r="I132" s="38"/>
      <c r="J132" s="38"/>
      <c r="K132" s="38"/>
      <c r="L132" s="38"/>
      <c r="M132" s="39"/>
    </row>
    <row r="133" spans="2:13">
      <c r="B133" s="5">
        <v>120</v>
      </c>
      <c r="C133" s="39"/>
      <c r="D133" s="39"/>
      <c r="E133" s="39"/>
      <c r="F133" s="39"/>
      <c r="G133" s="41"/>
      <c r="H133" s="38"/>
      <c r="I133" s="38"/>
      <c r="J133" s="38"/>
      <c r="K133" s="38"/>
      <c r="L133" s="38"/>
      <c r="M133" s="39"/>
    </row>
    <row r="134" spans="2:13">
      <c r="B134" s="5">
        <v>121</v>
      </c>
      <c r="C134" s="39"/>
      <c r="D134" s="39"/>
      <c r="E134" s="39"/>
      <c r="F134" s="39"/>
      <c r="G134" s="41"/>
      <c r="H134" s="38"/>
      <c r="I134" s="38"/>
      <c r="J134" s="38"/>
      <c r="K134" s="38"/>
      <c r="L134" s="38"/>
      <c r="M134" s="39"/>
    </row>
    <row r="135" spans="2:13">
      <c r="B135" s="5">
        <v>122</v>
      </c>
      <c r="C135" s="39"/>
      <c r="D135" s="39"/>
      <c r="E135" s="39"/>
      <c r="F135" s="39"/>
      <c r="G135" s="41"/>
      <c r="H135" s="38"/>
      <c r="I135" s="38"/>
      <c r="J135" s="38"/>
      <c r="K135" s="38"/>
      <c r="L135" s="38"/>
      <c r="M135" s="39"/>
    </row>
    <row r="136" spans="2:13">
      <c r="B136" s="5">
        <v>123</v>
      </c>
      <c r="C136" s="39"/>
      <c r="D136" s="39"/>
      <c r="E136" s="39"/>
      <c r="F136" s="39"/>
      <c r="G136" s="41"/>
      <c r="H136" s="38"/>
      <c r="I136" s="38"/>
      <c r="J136" s="38"/>
      <c r="K136" s="38"/>
      <c r="L136" s="38"/>
      <c r="M136" s="39"/>
    </row>
    <row r="137" spans="2:13">
      <c r="B137" s="5">
        <v>124</v>
      </c>
      <c r="C137" s="39"/>
      <c r="D137" s="39"/>
      <c r="E137" s="39"/>
      <c r="F137" s="39"/>
      <c r="G137" s="41"/>
      <c r="H137" s="38"/>
      <c r="I137" s="38"/>
      <c r="J137" s="38"/>
      <c r="K137" s="38"/>
      <c r="L137" s="38"/>
      <c r="M137" s="39"/>
    </row>
    <row r="138" spans="2:13">
      <c r="B138" s="5">
        <v>125</v>
      </c>
      <c r="C138" s="39"/>
      <c r="D138" s="39"/>
      <c r="E138" s="39"/>
      <c r="F138" s="39"/>
      <c r="G138" s="41"/>
      <c r="H138" s="38"/>
      <c r="I138" s="38"/>
      <c r="J138" s="38"/>
      <c r="K138" s="38"/>
      <c r="L138" s="38"/>
      <c r="M138" s="39"/>
    </row>
    <row r="139" spans="2:13">
      <c r="B139" s="5">
        <v>126</v>
      </c>
      <c r="C139" s="39"/>
      <c r="D139" s="39"/>
      <c r="E139" s="39"/>
      <c r="F139" s="39"/>
      <c r="G139" s="41"/>
      <c r="H139" s="38"/>
      <c r="I139" s="38"/>
      <c r="J139" s="38"/>
      <c r="K139" s="38"/>
      <c r="L139" s="38"/>
      <c r="M139" s="39"/>
    </row>
    <row r="140" spans="2:13">
      <c r="B140" s="5">
        <v>127</v>
      </c>
      <c r="C140" s="39"/>
      <c r="D140" s="39"/>
      <c r="E140" s="39"/>
      <c r="F140" s="39"/>
      <c r="G140" s="41"/>
      <c r="H140" s="38"/>
      <c r="I140" s="38"/>
      <c r="J140" s="38"/>
      <c r="K140" s="38"/>
      <c r="L140" s="38"/>
      <c r="M140" s="39"/>
    </row>
    <row r="141" spans="2:13">
      <c r="B141" s="5">
        <v>128</v>
      </c>
      <c r="C141" s="39"/>
      <c r="D141" s="39"/>
      <c r="E141" s="39"/>
      <c r="F141" s="39"/>
      <c r="G141" s="41"/>
      <c r="H141" s="38"/>
      <c r="I141" s="38"/>
      <c r="J141" s="38"/>
      <c r="K141" s="38"/>
      <c r="L141" s="38"/>
      <c r="M141" s="39"/>
    </row>
    <row r="142" spans="2:13">
      <c r="B142" s="5">
        <v>129</v>
      </c>
      <c r="C142" s="39"/>
      <c r="D142" s="39"/>
      <c r="E142" s="39"/>
      <c r="F142" s="39"/>
      <c r="G142" s="41"/>
      <c r="H142" s="38"/>
      <c r="I142" s="38"/>
      <c r="J142" s="38"/>
      <c r="K142" s="38"/>
      <c r="L142" s="38"/>
      <c r="M142" s="39"/>
    </row>
    <row r="143" spans="2:13">
      <c r="B143" s="5">
        <v>130</v>
      </c>
      <c r="C143" s="39"/>
      <c r="D143" s="39"/>
      <c r="E143" s="39"/>
      <c r="F143" s="39"/>
      <c r="G143" s="41"/>
      <c r="H143" s="38"/>
      <c r="I143" s="38"/>
      <c r="J143" s="38"/>
      <c r="K143" s="38"/>
      <c r="L143" s="38"/>
      <c r="M143" s="39"/>
    </row>
    <row r="144" spans="2:13">
      <c r="B144" s="5">
        <v>131</v>
      </c>
      <c r="C144" s="39"/>
      <c r="D144" s="39"/>
      <c r="E144" s="39"/>
      <c r="F144" s="39"/>
      <c r="G144" s="41"/>
      <c r="H144" s="38"/>
      <c r="I144" s="38"/>
      <c r="J144" s="38"/>
      <c r="K144" s="38"/>
      <c r="L144" s="38"/>
      <c r="M144" s="39"/>
    </row>
    <row r="145" spans="2:13">
      <c r="B145" s="5">
        <v>132</v>
      </c>
      <c r="C145" s="39"/>
      <c r="D145" s="39"/>
      <c r="E145" s="39"/>
      <c r="F145" s="39"/>
      <c r="G145" s="41"/>
      <c r="H145" s="38"/>
      <c r="I145" s="38"/>
      <c r="J145" s="38"/>
      <c r="K145" s="38"/>
      <c r="L145" s="38"/>
      <c r="M145" s="39"/>
    </row>
    <row r="146" spans="2:13">
      <c r="B146" s="5">
        <v>133</v>
      </c>
      <c r="C146" s="39"/>
      <c r="D146" s="39"/>
      <c r="E146" s="39"/>
      <c r="F146" s="39"/>
      <c r="G146" s="41"/>
      <c r="H146" s="38"/>
      <c r="I146" s="38"/>
      <c r="J146" s="38"/>
      <c r="K146" s="38"/>
      <c r="L146" s="38"/>
      <c r="M146" s="39"/>
    </row>
    <row r="147" spans="2:13">
      <c r="B147" s="5">
        <v>134</v>
      </c>
      <c r="C147" s="39"/>
      <c r="D147" s="39"/>
      <c r="E147" s="39"/>
      <c r="F147" s="39"/>
      <c r="G147" s="41"/>
      <c r="H147" s="38"/>
      <c r="I147" s="38"/>
      <c r="J147" s="38"/>
      <c r="K147" s="38"/>
      <c r="L147" s="38"/>
      <c r="M147" s="39"/>
    </row>
    <row r="148" spans="2:13">
      <c r="B148" s="5">
        <v>135</v>
      </c>
      <c r="C148" s="39"/>
      <c r="D148" s="39"/>
      <c r="E148" s="39"/>
      <c r="F148" s="39"/>
      <c r="G148" s="41"/>
      <c r="H148" s="38"/>
      <c r="I148" s="38"/>
      <c r="J148" s="38"/>
      <c r="K148" s="38"/>
      <c r="L148" s="38"/>
      <c r="M148" s="39"/>
    </row>
    <row r="149" spans="2:13">
      <c r="B149" s="5">
        <v>136</v>
      </c>
      <c r="C149" s="39"/>
      <c r="D149" s="39"/>
      <c r="E149" s="39"/>
      <c r="F149" s="39"/>
      <c r="G149" s="41"/>
      <c r="H149" s="38"/>
      <c r="I149" s="38"/>
      <c r="J149" s="38"/>
      <c r="K149" s="38"/>
      <c r="L149" s="38"/>
      <c r="M149" s="39"/>
    </row>
    <row r="150" spans="2:13">
      <c r="B150" s="5">
        <v>137</v>
      </c>
      <c r="C150" s="39"/>
      <c r="D150" s="39"/>
      <c r="E150" s="39"/>
      <c r="F150" s="39"/>
      <c r="G150" s="41"/>
      <c r="H150" s="38"/>
      <c r="I150" s="38"/>
      <c r="J150" s="38"/>
      <c r="K150" s="38"/>
      <c r="L150" s="38"/>
      <c r="M150" s="39"/>
    </row>
    <row r="151" spans="2:13">
      <c r="B151" s="5">
        <v>138</v>
      </c>
      <c r="C151" s="39"/>
      <c r="D151" s="39"/>
      <c r="E151" s="39"/>
      <c r="F151" s="39"/>
      <c r="G151" s="41"/>
      <c r="H151" s="38"/>
      <c r="I151" s="38"/>
      <c r="J151" s="38"/>
      <c r="K151" s="38"/>
      <c r="L151" s="38"/>
      <c r="M151" s="39"/>
    </row>
    <row r="152" spans="2:13">
      <c r="B152" s="5">
        <v>139</v>
      </c>
      <c r="C152" s="39"/>
      <c r="D152" s="39"/>
      <c r="E152" s="39"/>
      <c r="F152" s="39"/>
      <c r="G152" s="41"/>
      <c r="H152" s="38"/>
      <c r="I152" s="38"/>
      <c r="J152" s="38"/>
      <c r="K152" s="38"/>
      <c r="L152" s="38"/>
      <c r="M152" s="39"/>
    </row>
    <row r="153" spans="2:13">
      <c r="B153" s="5">
        <v>140</v>
      </c>
      <c r="C153" s="39"/>
      <c r="D153" s="39"/>
      <c r="E153" s="39"/>
      <c r="F153" s="39"/>
      <c r="G153" s="41"/>
      <c r="H153" s="38"/>
      <c r="I153" s="38"/>
      <c r="J153" s="38"/>
      <c r="K153" s="38"/>
      <c r="L153" s="38"/>
      <c r="M153" s="39"/>
    </row>
    <row r="154" spans="2:13">
      <c r="B154" s="5">
        <v>141</v>
      </c>
      <c r="C154" s="39"/>
      <c r="D154" s="39"/>
      <c r="E154" s="39"/>
      <c r="F154" s="39"/>
      <c r="G154" s="41"/>
      <c r="H154" s="38"/>
      <c r="I154" s="38"/>
      <c r="J154" s="38"/>
      <c r="K154" s="38"/>
      <c r="L154" s="38"/>
      <c r="M154" s="39"/>
    </row>
    <row r="155" spans="2:13">
      <c r="B155" s="5">
        <v>142</v>
      </c>
      <c r="C155" s="39"/>
      <c r="D155" s="39"/>
      <c r="E155" s="39"/>
      <c r="F155" s="39"/>
      <c r="G155" s="41"/>
      <c r="H155" s="38"/>
      <c r="I155" s="38"/>
      <c r="J155" s="38"/>
      <c r="K155" s="38"/>
      <c r="L155" s="38"/>
      <c r="M155" s="39"/>
    </row>
    <row r="156" spans="2:13">
      <c r="B156" s="5">
        <v>143</v>
      </c>
      <c r="C156" s="39"/>
      <c r="D156" s="39"/>
      <c r="E156" s="39"/>
      <c r="F156" s="39"/>
      <c r="G156" s="41"/>
      <c r="H156" s="38"/>
      <c r="I156" s="38"/>
      <c r="J156" s="38"/>
      <c r="K156" s="38"/>
      <c r="L156" s="38"/>
      <c r="M156" s="39"/>
    </row>
    <row r="157" spans="2:13">
      <c r="B157" s="5">
        <v>144</v>
      </c>
      <c r="C157" s="39"/>
      <c r="D157" s="39"/>
      <c r="E157" s="39"/>
      <c r="F157" s="39"/>
      <c r="G157" s="41"/>
      <c r="H157" s="38"/>
      <c r="I157" s="38"/>
      <c r="J157" s="38"/>
      <c r="K157" s="38"/>
      <c r="L157" s="38"/>
      <c r="M157" s="39"/>
    </row>
    <row r="158" spans="2:13">
      <c r="B158" s="5">
        <v>145</v>
      </c>
      <c r="C158" s="39"/>
      <c r="D158" s="39"/>
      <c r="E158" s="39"/>
      <c r="F158" s="39"/>
      <c r="G158" s="41"/>
      <c r="H158" s="38"/>
      <c r="I158" s="38"/>
      <c r="J158" s="38"/>
      <c r="K158" s="38"/>
      <c r="L158" s="38"/>
      <c r="M158" s="39"/>
    </row>
    <row r="159" spans="2:13">
      <c r="B159" s="5">
        <v>146</v>
      </c>
      <c r="C159" s="39"/>
      <c r="D159" s="39"/>
      <c r="E159" s="39"/>
      <c r="F159" s="39"/>
      <c r="G159" s="41"/>
      <c r="H159" s="38"/>
      <c r="I159" s="38"/>
      <c r="J159" s="38"/>
      <c r="K159" s="38"/>
      <c r="L159" s="38"/>
      <c r="M159" s="39"/>
    </row>
    <row r="160" spans="2:13">
      <c r="B160" s="5">
        <v>147</v>
      </c>
      <c r="C160" s="39"/>
      <c r="D160" s="39"/>
      <c r="E160" s="39"/>
      <c r="F160" s="39"/>
      <c r="G160" s="41"/>
      <c r="H160" s="38"/>
      <c r="I160" s="38"/>
      <c r="J160" s="38"/>
      <c r="K160" s="38"/>
      <c r="L160" s="38"/>
      <c r="M160" s="39"/>
    </row>
    <row r="161" spans="2:13">
      <c r="B161" s="5">
        <v>148</v>
      </c>
      <c r="C161" s="39"/>
      <c r="D161" s="39"/>
      <c r="E161" s="39"/>
      <c r="F161" s="39"/>
      <c r="G161" s="41"/>
      <c r="H161" s="38"/>
      <c r="I161" s="38"/>
      <c r="J161" s="38"/>
      <c r="K161" s="38"/>
      <c r="L161" s="38"/>
      <c r="M161" s="39"/>
    </row>
    <row r="162" spans="2:13">
      <c r="B162" s="5">
        <v>149</v>
      </c>
      <c r="C162" s="39"/>
      <c r="D162" s="39"/>
      <c r="E162" s="39"/>
      <c r="F162" s="39"/>
      <c r="G162" s="41"/>
      <c r="H162" s="38"/>
      <c r="I162" s="38"/>
      <c r="J162" s="38"/>
      <c r="K162" s="38"/>
      <c r="L162" s="38"/>
      <c r="M162" s="39"/>
    </row>
    <row r="163" spans="2:13">
      <c r="B163" s="5">
        <v>150</v>
      </c>
      <c r="C163" s="39"/>
      <c r="D163" s="39"/>
      <c r="E163" s="39"/>
      <c r="F163" s="39"/>
      <c r="G163" s="41"/>
      <c r="H163" s="38"/>
      <c r="I163" s="38"/>
      <c r="J163" s="38"/>
      <c r="K163" s="38"/>
      <c r="L163" s="38"/>
      <c r="M163" s="39"/>
    </row>
  </sheetData>
  <sheetProtection sheet="1" objects="1" scenarios="1"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2060"/>
  </sheetPr>
  <dimension ref="B2:DR83"/>
  <sheetViews>
    <sheetView showGridLines="0" tabSelected="1" zoomScale="85" zoomScaleNormal="85" workbookViewId="0">
      <pane xSplit="85" ySplit="17" topLeftCell="DB32" activePane="bottomRight" state="frozen"/>
      <selection pane="topRight" activeCell="CH1" sqref="CH1"/>
      <selection pane="bottomLeft" activeCell="A18" sqref="A18"/>
      <selection pane="bottomRight" activeCell="B31" sqref="B31"/>
    </sheetView>
  </sheetViews>
  <sheetFormatPr defaultColWidth="8.7109375" defaultRowHeight="12.75" outlineLevelRow="1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7" customWidth="1"/>
    <col min="6" max="59" width="8.7109375" style="27" hidden="1" customWidth="1"/>
    <col min="60" max="60" width="1.7109375" style="43" hidden="1" customWidth="1"/>
    <col min="61" max="85" width="8.7109375" style="27" hidden="1" customWidth="1"/>
    <col min="86" max="121" width="8.7109375" style="27" customWidth="1"/>
    <col min="122" max="16384" width="8.7109375" style="6"/>
  </cols>
  <sheetData>
    <row r="2" spans="2:121" ht="16.5">
      <c r="B2" s="25" t="s">
        <v>17</v>
      </c>
      <c r="C2" s="26"/>
      <c r="D2" s="26"/>
      <c r="BH2" s="27"/>
    </row>
    <row r="3" spans="2:121" ht="16.5">
      <c r="B3" s="1"/>
    </row>
    <row r="4" spans="2:121" ht="16.5" hidden="1" outlineLevel="1">
      <c r="B4" s="2" t="s">
        <v>99</v>
      </c>
      <c r="C4" s="6">
        <v>10</v>
      </c>
    </row>
    <row r="5" spans="2:121" ht="16.5" hidden="1" outlineLevel="1">
      <c r="B5" s="2" t="s">
        <v>100</v>
      </c>
      <c r="C5" s="6">
        <v>10</v>
      </c>
    </row>
    <row r="6" spans="2:121" ht="16.5" hidden="1" outlineLevel="1">
      <c r="B6" s="2" t="s">
        <v>101</v>
      </c>
      <c r="C6" s="6">
        <v>5</v>
      </c>
    </row>
    <row r="7" spans="2:121" ht="16.5" hidden="1" outlineLevel="1">
      <c r="B7" s="2" t="s">
        <v>102</v>
      </c>
      <c r="C7" s="6">
        <v>6</v>
      </c>
    </row>
    <row r="8" spans="2:121" ht="16.5" hidden="1" outlineLevel="1">
      <c r="B8" s="2" t="s">
        <v>103</v>
      </c>
      <c r="C8" s="6">
        <v>19</v>
      </c>
    </row>
    <row r="9" spans="2:121" ht="16.5" hidden="1" outlineLevel="1">
      <c r="B9" s="2" t="s">
        <v>104</v>
      </c>
      <c r="C9" s="6">
        <v>37</v>
      </c>
    </row>
    <row r="10" spans="2:121" ht="16.5" collapsed="1">
      <c r="B10" s="13" t="s">
        <v>27</v>
      </c>
      <c r="C10" s="14"/>
      <c r="D10" s="15"/>
      <c r="BH10" s="45"/>
    </row>
    <row r="11" spans="2:121" s="2" customFormat="1" ht="16.5">
      <c r="B11" s="16" t="s">
        <v>20</v>
      </c>
      <c r="C11" s="55" t="s">
        <v>109</v>
      </c>
      <c r="D11" s="18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46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</row>
    <row r="12" spans="2:121" ht="16.5">
      <c r="B12" s="19" t="s">
        <v>28</v>
      </c>
      <c r="C12" s="20"/>
      <c r="D12" s="21"/>
    </row>
    <row r="13" spans="2:121" ht="16.5">
      <c r="B13" s="19" t="s">
        <v>29</v>
      </c>
      <c r="C13" s="20"/>
      <c r="D13" s="21"/>
    </row>
    <row r="14" spans="2:121" ht="16.5">
      <c r="B14" s="22" t="s">
        <v>32</v>
      </c>
      <c r="C14" s="23"/>
      <c r="D14" s="24"/>
    </row>
    <row r="15" spans="2:121">
      <c r="E15" s="6"/>
    </row>
    <row r="16" spans="2:121" ht="17.25" thickBot="1">
      <c r="B16" s="59"/>
      <c r="C16" s="60"/>
      <c r="D16" s="61"/>
      <c r="E16" s="44"/>
      <c r="F16" s="62" t="s">
        <v>34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50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61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34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50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61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2" ht="99" customHeight="1">
      <c r="B17" s="51" t="s">
        <v>98</v>
      </c>
      <c r="C17" s="52" t="s">
        <v>15</v>
      </c>
      <c r="D17" s="53" t="s">
        <v>16</v>
      </c>
      <c r="E17" s="46"/>
      <c r="F17" s="47" t="s">
        <v>35</v>
      </c>
      <c r="G17" s="47" t="s">
        <v>93</v>
      </c>
      <c r="H17" s="47" t="s">
        <v>36</v>
      </c>
      <c r="I17" s="47" t="s">
        <v>37</v>
      </c>
      <c r="J17" s="47" t="s">
        <v>38</v>
      </c>
      <c r="K17" s="47" t="s">
        <v>39</v>
      </c>
      <c r="L17" s="47" t="s">
        <v>40</v>
      </c>
      <c r="M17" s="47" t="s">
        <v>94</v>
      </c>
      <c r="N17" s="47" t="s">
        <v>41</v>
      </c>
      <c r="O17" s="47" t="s">
        <v>42</v>
      </c>
      <c r="P17" s="47" t="s">
        <v>43</v>
      </c>
      <c r="Q17" s="47" t="s">
        <v>44</v>
      </c>
      <c r="R17" s="47" t="s">
        <v>45</v>
      </c>
      <c r="S17" s="47" t="s">
        <v>46</v>
      </c>
      <c r="T17" s="47" t="s">
        <v>47</v>
      </c>
      <c r="U17" s="47" t="s">
        <v>48</v>
      </c>
      <c r="V17" s="47" t="s">
        <v>49</v>
      </c>
      <c r="W17" s="47" t="s">
        <v>79</v>
      </c>
      <c r="X17" s="47" t="s">
        <v>51</v>
      </c>
      <c r="Y17" s="47" t="s">
        <v>54</v>
      </c>
      <c r="Z17" s="48" t="s">
        <v>71</v>
      </c>
      <c r="AA17" s="47" t="s">
        <v>53</v>
      </c>
      <c r="AB17" s="48" t="s">
        <v>52</v>
      </c>
      <c r="AC17" s="47" t="s">
        <v>72</v>
      </c>
      <c r="AD17" s="47" t="s">
        <v>73</v>
      </c>
      <c r="AE17" s="47" t="s">
        <v>75</v>
      </c>
      <c r="AF17" s="47" t="s">
        <v>5</v>
      </c>
      <c r="AG17" s="47" t="s">
        <v>55</v>
      </c>
      <c r="AH17" s="47" t="s">
        <v>76</v>
      </c>
      <c r="AI17" s="47" t="s">
        <v>56</v>
      </c>
      <c r="AJ17" s="47" t="s">
        <v>57</v>
      </c>
      <c r="AK17" s="47" t="s">
        <v>58</v>
      </c>
      <c r="AL17" s="47" t="s">
        <v>59</v>
      </c>
      <c r="AM17" s="48" t="s">
        <v>77</v>
      </c>
      <c r="AN17" s="48" t="s">
        <v>78</v>
      </c>
      <c r="AO17" s="47" t="s">
        <v>79</v>
      </c>
      <c r="AP17" s="47" t="s">
        <v>95</v>
      </c>
      <c r="AQ17" s="47" t="s">
        <v>80</v>
      </c>
      <c r="AR17" s="47" t="s">
        <v>81</v>
      </c>
      <c r="AS17" s="47" t="s">
        <v>82</v>
      </c>
      <c r="AT17" s="47" t="s">
        <v>83</v>
      </c>
      <c r="AU17" s="47" t="s">
        <v>84</v>
      </c>
      <c r="AV17" s="47" t="s">
        <v>85</v>
      </c>
      <c r="AW17" s="48" t="s">
        <v>96</v>
      </c>
      <c r="AX17" s="47" t="s">
        <v>97</v>
      </c>
      <c r="AY17" s="47" t="s">
        <v>63</v>
      </c>
      <c r="AZ17" s="47" t="s">
        <v>6</v>
      </c>
      <c r="BA17" s="47" t="s">
        <v>60</v>
      </c>
      <c r="BB17" s="47" t="s">
        <v>4</v>
      </c>
      <c r="BC17" s="47" t="s">
        <v>64</v>
      </c>
      <c r="BD17" s="47" t="s">
        <v>1</v>
      </c>
      <c r="BE17" s="47" t="s">
        <v>2</v>
      </c>
      <c r="BF17" s="47" t="s">
        <v>65</v>
      </c>
      <c r="BG17" s="47" t="s">
        <v>3</v>
      </c>
      <c r="BI17" s="47" t="s">
        <v>35</v>
      </c>
      <c r="BJ17" s="47" t="s">
        <v>90</v>
      </c>
      <c r="BK17" s="47" t="s">
        <v>36</v>
      </c>
      <c r="BL17" s="47" t="s">
        <v>37</v>
      </c>
      <c r="BM17" s="47" t="s">
        <v>38</v>
      </c>
      <c r="BN17" s="47" t="s">
        <v>39</v>
      </c>
      <c r="BO17" s="47" t="s">
        <v>40</v>
      </c>
      <c r="BP17" s="47" t="s">
        <v>91</v>
      </c>
      <c r="BQ17" s="47" t="s">
        <v>41</v>
      </c>
      <c r="BR17" s="47" t="s">
        <v>42</v>
      </c>
      <c r="BS17" s="47" t="s">
        <v>43</v>
      </c>
      <c r="BT17" s="47" t="s">
        <v>44</v>
      </c>
      <c r="BU17" s="47" t="s">
        <v>45</v>
      </c>
      <c r="BV17" s="47" t="s">
        <v>46</v>
      </c>
      <c r="BW17" s="47" t="s">
        <v>47</v>
      </c>
      <c r="BX17" s="47" t="s">
        <v>48</v>
      </c>
      <c r="BY17" s="47" t="s">
        <v>92</v>
      </c>
      <c r="BZ17" s="47" t="s">
        <v>79</v>
      </c>
      <c r="CA17" s="47" t="s">
        <v>51</v>
      </c>
      <c r="CB17" s="47" t="s">
        <v>54</v>
      </c>
      <c r="CC17" s="47" t="s">
        <v>71</v>
      </c>
      <c r="CD17" s="47" t="s">
        <v>53</v>
      </c>
      <c r="CE17" s="47" t="s">
        <v>52</v>
      </c>
      <c r="CF17" s="47" t="s">
        <v>72</v>
      </c>
      <c r="CG17" s="47" t="s">
        <v>73</v>
      </c>
      <c r="CH17" s="47" t="s">
        <v>74</v>
      </c>
      <c r="CI17" s="47" t="s">
        <v>75</v>
      </c>
      <c r="CJ17" s="47" t="s">
        <v>5</v>
      </c>
      <c r="CK17" s="47" t="s">
        <v>55</v>
      </c>
      <c r="CL17" s="47" t="s">
        <v>76</v>
      </c>
      <c r="CM17" s="47" t="s">
        <v>56</v>
      </c>
      <c r="CN17" s="47" t="s">
        <v>57</v>
      </c>
      <c r="CO17" s="47" t="s">
        <v>58</v>
      </c>
      <c r="CP17" s="47" t="s">
        <v>59</v>
      </c>
      <c r="CQ17" s="47" t="s">
        <v>77</v>
      </c>
      <c r="CR17" s="47" t="s">
        <v>78</v>
      </c>
      <c r="CS17" s="48" t="s">
        <v>79</v>
      </c>
      <c r="CT17" s="47" t="s">
        <v>62</v>
      </c>
      <c r="CU17" s="47" t="s">
        <v>80</v>
      </c>
      <c r="CV17" s="47" t="s">
        <v>81</v>
      </c>
      <c r="CW17" s="47" t="s">
        <v>82</v>
      </c>
      <c r="CX17" s="47" t="s">
        <v>83</v>
      </c>
      <c r="CY17" s="47" t="s">
        <v>84</v>
      </c>
      <c r="CZ17" s="47" t="s">
        <v>85</v>
      </c>
      <c r="DA17" s="49" t="s">
        <v>86</v>
      </c>
      <c r="DB17" s="47" t="s">
        <v>87</v>
      </c>
      <c r="DC17" s="47" t="s">
        <v>63</v>
      </c>
      <c r="DD17" s="47" t="s">
        <v>6</v>
      </c>
      <c r="DE17" s="47" t="s">
        <v>88</v>
      </c>
      <c r="DF17" s="47" t="s">
        <v>60</v>
      </c>
      <c r="DG17" s="47" t="s">
        <v>89</v>
      </c>
      <c r="DH17" s="47" t="s">
        <v>4</v>
      </c>
      <c r="DI17" s="47" t="s">
        <v>64</v>
      </c>
      <c r="DJ17" s="47" t="s">
        <v>1</v>
      </c>
      <c r="DK17" s="47" t="s">
        <v>2</v>
      </c>
      <c r="DL17" s="47" t="s">
        <v>65</v>
      </c>
      <c r="DM17" s="47" t="s">
        <v>3</v>
      </c>
      <c r="DN17" s="47" t="s">
        <v>66</v>
      </c>
      <c r="DO17" s="47" t="s">
        <v>67</v>
      </c>
      <c r="DP17" s="47" t="s">
        <v>68</v>
      </c>
      <c r="DQ17" s="47" t="s">
        <v>69</v>
      </c>
    </row>
    <row r="18" spans="2:122" ht="14.45" customHeight="1">
      <c r="B18" s="11"/>
      <c r="C18" s="12" t="s">
        <v>9</v>
      </c>
      <c r="D18" s="38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  <c r="CW18" s="50"/>
      <c r="CX18" s="50"/>
      <c r="CY18" s="50"/>
      <c r="CZ18" s="50"/>
      <c r="DA18" s="50"/>
      <c r="DB18" s="50"/>
      <c r="DC18" s="50"/>
      <c r="DD18" s="50"/>
      <c r="DE18" s="50"/>
      <c r="DF18" s="50"/>
      <c r="DG18" s="50"/>
      <c r="DH18" s="50"/>
      <c r="DI18" s="50"/>
      <c r="DJ18" s="50"/>
      <c r="DK18" s="50"/>
      <c r="DL18" s="50"/>
      <c r="DM18" s="50"/>
      <c r="DN18" s="50"/>
      <c r="DO18" s="50"/>
      <c r="DP18" s="50"/>
      <c r="DQ18" s="50"/>
    </row>
    <row r="19" spans="2:122" s="7" customFormat="1" ht="14.45" customHeight="1">
      <c r="B19" s="9">
        <v>1</v>
      </c>
      <c r="C19" t="s">
        <v>108</v>
      </c>
      <c r="D19" s="39">
        <v>28</v>
      </c>
      <c r="E19" s="2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43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>
        <v>6</v>
      </c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>
        <f>1+1+1</f>
        <v>3</v>
      </c>
      <c r="DJ19" s="38">
        <f>11+1</f>
        <v>12</v>
      </c>
      <c r="DK19" s="38">
        <f>1+1+1</f>
        <v>3</v>
      </c>
      <c r="DL19" s="38">
        <f>1+1</f>
        <v>2</v>
      </c>
      <c r="DM19" s="38"/>
      <c r="DN19" s="38">
        <f>1+1</f>
        <v>2</v>
      </c>
      <c r="DO19" s="38"/>
      <c r="DP19" s="38"/>
      <c r="DQ19" s="38"/>
      <c r="DR19" s="56">
        <f>+SUM(CH19:DP19)-D19</f>
        <v>0</v>
      </c>
    </row>
    <row r="20" spans="2:122" s="7" customFormat="1" ht="14.45" customHeight="1">
      <c r="B20" s="9">
        <v>2</v>
      </c>
      <c r="C20" t="s">
        <v>110</v>
      </c>
      <c r="D20" s="39">
        <v>2</v>
      </c>
      <c r="E20" s="2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43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>
        <v>2</v>
      </c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56">
        <f>+SUM(CH20:DP20)-D20</f>
        <v>0</v>
      </c>
    </row>
    <row r="21" spans="2:122" s="7" customFormat="1" ht="14.45" customHeight="1">
      <c r="B21" s="9">
        <v>3</v>
      </c>
      <c r="C21" t="s">
        <v>111</v>
      </c>
      <c r="D21" s="39">
        <v>1</v>
      </c>
      <c r="E21" s="27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43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>
        <v>1</v>
      </c>
      <c r="DJ21" s="38"/>
      <c r="DK21" s="38"/>
      <c r="DL21" s="38"/>
      <c r="DM21" s="38"/>
      <c r="DN21" s="38"/>
      <c r="DO21" s="38"/>
      <c r="DP21" s="38"/>
      <c r="DQ21" s="38"/>
      <c r="DR21" s="56">
        <f t="shared" ref="DR21:DR72" si="0">+SUM(CH21:DP21)-D21</f>
        <v>0</v>
      </c>
    </row>
    <row r="22" spans="2:122" s="7" customFormat="1" ht="14.45" customHeight="1">
      <c r="B22" s="9">
        <v>4</v>
      </c>
      <c r="C22" t="s">
        <v>112</v>
      </c>
      <c r="D22" s="39">
        <v>18</v>
      </c>
      <c r="E22" s="27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43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>
        <v>4</v>
      </c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>
        <v>2</v>
      </c>
      <c r="DG22" s="38"/>
      <c r="DH22" s="38"/>
      <c r="DI22" s="38">
        <f>2+2+1+1</f>
        <v>6</v>
      </c>
      <c r="DJ22" s="38"/>
      <c r="DK22" s="38">
        <f>1+1+1</f>
        <v>3</v>
      </c>
      <c r="DL22" s="38"/>
      <c r="DM22" s="38"/>
      <c r="DN22" s="38">
        <f>2+1</f>
        <v>3</v>
      </c>
      <c r="DO22" s="38"/>
      <c r="DP22" s="38"/>
      <c r="DQ22" s="38"/>
      <c r="DR22" s="56">
        <f t="shared" si="0"/>
        <v>0</v>
      </c>
    </row>
    <row r="23" spans="2:122" s="7" customFormat="1" ht="14.45" customHeight="1">
      <c r="B23" s="9">
        <v>5</v>
      </c>
      <c r="C23" t="s">
        <v>113</v>
      </c>
      <c r="D23" s="39">
        <v>2</v>
      </c>
      <c r="E23" s="27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43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>
        <v>2</v>
      </c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56">
        <f t="shared" si="0"/>
        <v>0</v>
      </c>
    </row>
    <row r="24" spans="2:122" s="7" customFormat="1" ht="14.45" customHeight="1">
      <c r="B24" s="9">
        <v>6</v>
      </c>
      <c r="C24" t="s">
        <v>114</v>
      </c>
      <c r="D24" s="39">
        <v>24</v>
      </c>
      <c r="E24" s="27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43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>
        <v>8</v>
      </c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>
        <v>2</v>
      </c>
      <c r="DG24" s="38"/>
      <c r="DH24" s="38"/>
      <c r="DI24" s="38">
        <v>7</v>
      </c>
      <c r="DJ24" s="38"/>
      <c r="DK24" s="38">
        <v>3</v>
      </c>
      <c r="DL24" s="38">
        <v>1</v>
      </c>
      <c r="DM24" s="38"/>
      <c r="DN24" s="38">
        <v>3</v>
      </c>
      <c r="DO24" s="38"/>
      <c r="DP24" s="38"/>
      <c r="DQ24" s="38"/>
      <c r="DR24" s="56">
        <f t="shared" si="0"/>
        <v>0</v>
      </c>
    </row>
    <row r="25" spans="2:122" s="7" customFormat="1" ht="14.45" customHeight="1">
      <c r="B25" s="9">
        <v>7</v>
      </c>
      <c r="C25" t="s">
        <v>115</v>
      </c>
      <c r="D25" s="39">
        <v>1</v>
      </c>
      <c r="E25" s="2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43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>
        <v>1</v>
      </c>
      <c r="DJ25" s="38"/>
      <c r="DK25" s="38"/>
      <c r="DL25" s="38"/>
      <c r="DM25" s="38"/>
      <c r="DN25" s="38"/>
      <c r="DO25" s="38"/>
      <c r="DP25" s="38"/>
      <c r="DQ25" s="38"/>
      <c r="DR25" s="56">
        <f t="shared" si="0"/>
        <v>0</v>
      </c>
    </row>
    <row r="26" spans="2:122" s="7" customFormat="1" ht="14.45" customHeight="1">
      <c r="B26" s="9">
        <v>8</v>
      </c>
      <c r="C26" t="s">
        <v>116</v>
      </c>
      <c r="D26" s="39">
        <v>2</v>
      </c>
      <c r="E26" s="27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43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>
        <v>1</v>
      </c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>
        <v>1</v>
      </c>
      <c r="DJ26" s="38"/>
      <c r="DK26" s="38"/>
      <c r="DL26" s="38"/>
      <c r="DM26" s="38"/>
      <c r="DN26" s="38"/>
      <c r="DO26" s="38"/>
      <c r="DP26" s="38"/>
      <c r="DQ26" s="38"/>
      <c r="DR26" s="56">
        <f t="shared" si="0"/>
        <v>0</v>
      </c>
    </row>
    <row r="27" spans="2:122" s="7" customFormat="1" ht="14.45" customHeight="1">
      <c r="B27" s="9">
        <v>9</v>
      </c>
      <c r="C27" t="s">
        <v>117</v>
      </c>
      <c r="D27" s="39">
        <v>4</v>
      </c>
      <c r="E27" s="27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43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>
        <v>4</v>
      </c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56">
        <f t="shared" si="0"/>
        <v>0</v>
      </c>
    </row>
    <row r="28" spans="2:122" s="7" customFormat="1" ht="14.45" customHeight="1">
      <c r="B28" s="9">
        <v>10</v>
      </c>
      <c r="C28" t="s">
        <v>118</v>
      </c>
      <c r="D28" s="39">
        <v>1</v>
      </c>
      <c r="E28" s="27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43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>
        <v>1</v>
      </c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56">
        <f t="shared" si="0"/>
        <v>0</v>
      </c>
    </row>
    <row r="29" spans="2:122" ht="16.5">
      <c r="B29" s="8"/>
      <c r="C29" s="10" t="s">
        <v>10</v>
      </c>
      <c r="D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</row>
    <row r="30" spans="2:122" ht="16.5">
      <c r="B30" s="9">
        <v>1</v>
      </c>
      <c r="C30" s="39" t="s">
        <v>119</v>
      </c>
      <c r="D30" s="38">
        <v>18</v>
      </c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>
        <v>1</v>
      </c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>
        <v>1</v>
      </c>
      <c r="DG30" s="38"/>
      <c r="DH30" s="38"/>
      <c r="DI30" s="38">
        <v>8</v>
      </c>
      <c r="DJ30" s="38">
        <v>2</v>
      </c>
      <c r="DK30" s="38">
        <v>3</v>
      </c>
      <c r="DL30" s="38"/>
      <c r="DM30" s="38"/>
      <c r="DN30" s="38">
        <v>2</v>
      </c>
      <c r="DO30" s="38">
        <v>1</v>
      </c>
      <c r="DP30" s="38"/>
      <c r="DQ30" s="38"/>
      <c r="DR30" s="56">
        <f t="shared" si="0"/>
        <v>0</v>
      </c>
    </row>
    <row r="31" spans="2:122" ht="16.5">
      <c r="B31" s="9">
        <v>2</v>
      </c>
      <c r="C31" s="39" t="s">
        <v>120</v>
      </c>
      <c r="D31" s="38">
        <v>4</v>
      </c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>
        <v>1</v>
      </c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>
        <v>1</v>
      </c>
      <c r="DJ31" s="38">
        <v>1</v>
      </c>
      <c r="DK31" s="38"/>
      <c r="DL31" s="38"/>
      <c r="DM31" s="38"/>
      <c r="DN31" s="38"/>
      <c r="DO31" s="38">
        <v>1</v>
      </c>
      <c r="DP31" s="38"/>
      <c r="DQ31" s="38"/>
      <c r="DR31" s="56">
        <f t="shared" si="0"/>
        <v>0</v>
      </c>
    </row>
    <row r="32" spans="2:122" ht="16.5">
      <c r="B32" s="9">
        <v>3</v>
      </c>
      <c r="C32" s="39" t="s">
        <v>121</v>
      </c>
      <c r="D32" s="38">
        <v>4</v>
      </c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>
        <v>1</v>
      </c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>
        <v>1</v>
      </c>
      <c r="DJ32" s="38">
        <v>1</v>
      </c>
      <c r="DK32" s="38"/>
      <c r="DL32" s="38"/>
      <c r="DM32" s="38"/>
      <c r="DN32" s="38"/>
      <c r="DO32" s="38">
        <v>1</v>
      </c>
      <c r="DP32" s="38"/>
      <c r="DQ32" s="38"/>
      <c r="DR32" s="56">
        <f t="shared" si="0"/>
        <v>0</v>
      </c>
    </row>
    <row r="33" spans="2:122" ht="16.5">
      <c r="B33" s="9">
        <v>4</v>
      </c>
      <c r="C33" s="39" t="s">
        <v>122</v>
      </c>
      <c r="D33" s="38">
        <v>342</v>
      </c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>
        <v>160</v>
      </c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>
        <v>8</v>
      </c>
      <c r="DG33" s="38"/>
      <c r="DH33" s="38"/>
      <c r="DI33" s="38">
        <v>132</v>
      </c>
      <c r="DJ33" s="38">
        <v>10</v>
      </c>
      <c r="DK33" s="38">
        <v>14</v>
      </c>
      <c r="DL33" s="38">
        <f>2+7</f>
        <v>9</v>
      </c>
      <c r="DM33" s="38"/>
      <c r="DN33" s="38">
        <v>5</v>
      </c>
      <c r="DO33" s="38">
        <v>4</v>
      </c>
      <c r="DP33" s="38"/>
      <c r="DQ33" s="38">
        <v>1</v>
      </c>
      <c r="DR33" s="56">
        <f t="shared" si="0"/>
        <v>0</v>
      </c>
    </row>
    <row r="34" spans="2:122" ht="16.5">
      <c r="B34" s="9">
        <v>5</v>
      </c>
      <c r="C34" s="39" t="s">
        <v>123</v>
      </c>
      <c r="D34" s="38">
        <v>2</v>
      </c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>
        <v>1</v>
      </c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>
        <v>1</v>
      </c>
      <c r="DJ34" s="38"/>
      <c r="DK34" s="38"/>
      <c r="DL34" s="38"/>
      <c r="DM34" s="38"/>
      <c r="DN34" s="38"/>
      <c r="DO34" s="38"/>
      <c r="DP34" s="38"/>
      <c r="DQ34" s="38"/>
      <c r="DR34" s="56">
        <f t="shared" si="0"/>
        <v>0</v>
      </c>
    </row>
    <row r="35" spans="2:122" ht="16.5">
      <c r="B35" s="9">
        <v>6</v>
      </c>
      <c r="C35" s="39" t="s">
        <v>124</v>
      </c>
      <c r="D35" s="38">
        <v>1</v>
      </c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>
        <v>1</v>
      </c>
      <c r="DL35" s="38"/>
      <c r="DM35" s="38"/>
      <c r="DN35" s="38"/>
      <c r="DO35" s="38"/>
      <c r="DP35" s="38"/>
      <c r="DQ35" s="38"/>
      <c r="DR35" s="56">
        <f t="shared" si="0"/>
        <v>0</v>
      </c>
    </row>
    <row r="36" spans="2:122" ht="16.5">
      <c r="B36" s="9">
        <v>7</v>
      </c>
      <c r="C36" s="39" t="s">
        <v>125</v>
      </c>
      <c r="D36" s="38">
        <v>2</v>
      </c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>
        <v>1</v>
      </c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>
        <v>1</v>
      </c>
      <c r="DJ36" s="38"/>
      <c r="DK36" s="38"/>
      <c r="DL36" s="38"/>
      <c r="DM36" s="38"/>
      <c r="DN36" s="38"/>
      <c r="DO36" s="38"/>
      <c r="DP36" s="38"/>
      <c r="DQ36" s="38"/>
      <c r="DR36" s="56">
        <f t="shared" si="0"/>
        <v>0</v>
      </c>
    </row>
    <row r="37" spans="2:122" ht="16.5">
      <c r="B37" s="9">
        <v>8</v>
      </c>
      <c r="C37" s="39" t="s">
        <v>126</v>
      </c>
      <c r="D37" s="38">
        <v>28</v>
      </c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>
        <v>1</v>
      </c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>
        <v>2</v>
      </c>
      <c r="DG37" s="38"/>
      <c r="DH37" s="38"/>
      <c r="DI37" s="38">
        <v>15</v>
      </c>
      <c r="DJ37" s="38">
        <f>1+1</f>
        <v>2</v>
      </c>
      <c r="DK37" s="38">
        <v>4</v>
      </c>
      <c r="DL37" s="38"/>
      <c r="DM37" s="38"/>
      <c r="DN37" s="38">
        <v>2</v>
      </c>
      <c r="DO37" s="38">
        <v>2</v>
      </c>
      <c r="DP37" s="38"/>
      <c r="DQ37" s="38"/>
      <c r="DR37" s="56">
        <f t="shared" si="0"/>
        <v>0</v>
      </c>
    </row>
    <row r="38" spans="2:122" ht="16.5">
      <c r="B38" s="9">
        <v>9</v>
      </c>
      <c r="C38" s="39" t="s">
        <v>127</v>
      </c>
      <c r="D38" s="38">
        <v>1</v>
      </c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>
        <v>1</v>
      </c>
      <c r="DJ38" s="38"/>
      <c r="DK38" s="38"/>
      <c r="DL38" s="38"/>
      <c r="DM38" s="38"/>
      <c r="DN38" s="38"/>
      <c r="DO38" s="38"/>
      <c r="DP38" s="38"/>
      <c r="DQ38" s="38"/>
      <c r="DR38" s="56">
        <f t="shared" si="0"/>
        <v>0</v>
      </c>
    </row>
    <row r="39" spans="2:122" ht="16.5">
      <c r="B39" s="9">
        <v>10</v>
      </c>
      <c r="C39" s="39"/>
      <c r="D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  <c r="DR39" s="56">
        <f t="shared" si="0"/>
        <v>0</v>
      </c>
    </row>
    <row r="40" spans="2:122" ht="16.5">
      <c r="B40" s="8"/>
      <c r="C40" s="10" t="s">
        <v>11</v>
      </c>
      <c r="D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DR40" s="56">
        <f t="shared" si="0"/>
        <v>0</v>
      </c>
    </row>
    <row r="41" spans="2:122" ht="16.5">
      <c r="B41" s="9">
        <v>1</v>
      </c>
      <c r="C41" s="39" t="s">
        <v>128</v>
      </c>
      <c r="D41" s="38">
        <v>3</v>
      </c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>
        <v>3</v>
      </c>
      <c r="DJ41" s="38"/>
      <c r="DK41" s="38"/>
      <c r="DL41" s="38"/>
      <c r="DM41" s="38"/>
      <c r="DN41" s="38"/>
      <c r="DO41" s="38"/>
      <c r="DP41" s="38"/>
      <c r="DQ41" s="38"/>
      <c r="DR41" s="56">
        <f t="shared" si="0"/>
        <v>0</v>
      </c>
    </row>
    <row r="42" spans="2:122" ht="16.5">
      <c r="B42" s="9">
        <v>2</v>
      </c>
      <c r="C42" s="39" t="s">
        <v>129</v>
      </c>
      <c r="D42" s="38">
        <v>14</v>
      </c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>
        <v>14</v>
      </c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56">
        <f t="shared" si="0"/>
        <v>0</v>
      </c>
    </row>
    <row r="43" spans="2:122" ht="16.5">
      <c r="B43" s="9">
        <v>3</v>
      </c>
      <c r="C43" s="39" t="s">
        <v>130</v>
      </c>
      <c r="D43" s="38">
        <v>1</v>
      </c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>
        <v>1</v>
      </c>
      <c r="DJ43" s="38"/>
      <c r="DK43" s="38"/>
      <c r="DL43" s="38"/>
      <c r="DM43" s="38"/>
      <c r="DN43" s="38"/>
      <c r="DO43" s="38"/>
      <c r="DP43" s="38"/>
      <c r="DQ43" s="38"/>
      <c r="DR43" s="56">
        <f t="shared" si="0"/>
        <v>0</v>
      </c>
    </row>
    <row r="44" spans="2:122" ht="16.5">
      <c r="B44" s="9">
        <v>4</v>
      </c>
      <c r="C44" s="39" t="s">
        <v>131</v>
      </c>
      <c r="D44" s="38">
        <v>13</v>
      </c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>
        <v>2</v>
      </c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>
        <v>1</v>
      </c>
      <c r="DJ44" s="38"/>
      <c r="DK44" s="38">
        <v>9</v>
      </c>
      <c r="DL44" s="38">
        <v>1</v>
      </c>
      <c r="DM44" s="38"/>
      <c r="DN44" s="38"/>
      <c r="DO44" s="38"/>
      <c r="DP44" s="38"/>
      <c r="DQ44" s="38"/>
      <c r="DR44" s="56">
        <f t="shared" si="0"/>
        <v>0</v>
      </c>
    </row>
    <row r="45" spans="2:122" ht="16.5">
      <c r="B45" s="9">
        <v>5</v>
      </c>
      <c r="C45" s="39" t="s">
        <v>132</v>
      </c>
      <c r="D45" s="38">
        <v>7</v>
      </c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>
        <v>2</v>
      </c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>
        <v>2</v>
      </c>
      <c r="DJ45" s="38"/>
      <c r="DK45" s="38">
        <v>1</v>
      </c>
      <c r="DL45" s="38"/>
      <c r="DM45" s="38"/>
      <c r="DN45" s="38">
        <v>2</v>
      </c>
      <c r="DO45" s="38"/>
      <c r="DP45" s="38"/>
      <c r="DQ45" s="38"/>
      <c r="DR45" s="56">
        <f t="shared" si="0"/>
        <v>0</v>
      </c>
    </row>
    <row r="46" spans="2:122" ht="16.5">
      <c r="B46" s="8"/>
      <c r="C46" s="10" t="s">
        <v>12</v>
      </c>
      <c r="D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56">
        <f t="shared" si="0"/>
        <v>0</v>
      </c>
    </row>
    <row r="47" spans="2:122" ht="16.5">
      <c r="B47" s="9">
        <v>1</v>
      </c>
      <c r="C47" s="39" t="s">
        <v>133</v>
      </c>
      <c r="D47" s="38">
        <v>1</v>
      </c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>
        <v>1</v>
      </c>
      <c r="DJ47" s="38"/>
      <c r="DK47" s="38"/>
      <c r="DL47" s="38"/>
      <c r="DM47" s="38"/>
      <c r="DN47" s="38"/>
      <c r="DO47" s="38"/>
      <c r="DP47" s="38"/>
      <c r="DQ47" s="38"/>
      <c r="DR47" s="56">
        <f t="shared" si="0"/>
        <v>0</v>
      </c>
    </row>
    <row r="48" spans="2:122" ht="16.5">
      <c r="B48" s="9">
        <v>2</v>
      </c>
      <c r="C48" s="39" t="s">
        <v>134</v>
      </c>
      <c r="D48" s="38">
        <v>2</v>
      </c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>
        <v>2</v>
      </c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56">
        <f t="shared" si="0"/>
        <v>0</v>
      </c>
    </row>
    <row r="49" spans="2:122" ht="16.5">
      <c r="B49" s="9">
        <v>3</v>
      </c>
      <c r="C49" s="39" t="s">
        <v>135</v>
      </c>
      <c r="D49" s="38">
        <v>1</v>
      </c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>
        <v>1</v>
      </c>
      <c r="DJ49" s="38"/>
      <c r="DK49" s="38"/>
      <c r="DL49" s="38"/>
      <c r="DM49" s="38"/>
      <c r="DN49" s="38"/>
      <c r="DO49" s="38"/>
      <c r="DP49" s="38"/>
      <c r="DQ49" s="38"/>
      <c r="DR49" s="56">
        <f t="shared" si="0"/>
        <v>0</v>
      </c>
    </row>
    <row r="50" spans="2:122" ht="16.5">
      <c r="B50" s="9">
        <v>4</v>
      </c>
      <c r="C50" s="39" t="s">
        <v>136</v>
      </c>
      <c r="D50" s="38">
        <v>2</v>
      </c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>
        <v>1</v>
      </c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>
        <v>1</v>
      </c>
      <c r="DJ50" s="38"/>
      <c r="DK50" s="38"/>
      <c r="DL50" s="38"/>
      <c r="DM50" s="38"/>
      <c r="DN50" s="38"/>
      <c r="DO50" s="38"/>
      <c r="DP50" s="38"/>
      <c r="DQ50" s="38"/>
      <c r="DR50" s="56">
        <f t="shared" si="0"/>
        <v>0</v>
      </c>
    </row>
    <row r="51" spans="2:122" ht="16.5">
      <c r="B51" s="9">
        <v>5</v>
      </c>
      <c r="C51" s="39" t="s">
        <v>137</v>
      </c>
      <c r="D51" s="38">
        <v>36</v>
      </c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>
        <v>17</v>
      </c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>
        <v>0</v>
      </c>
      <c r="DG51" s="38"/>
      <c r="DH51" s="38"/>
      <c r="DI51" s="38">
        <v>8</v>
      </c>
      <c r="DJ51" s="38">
        <v>10</v>
      </c>
      <c r="DK51" s="38"/>
      <c r="DL51" s="38">
        <v>1</v>
      </c>
      <c r="DM51" s="38"/>
      <c r="DN51" s="38"/>
      <c r="DO51" s="38"/>
      <c r="DP51" s="38"/>
      <c r="DQ51" s="38"/>
      <c r="DR51" s="56">
        <f t="shared" si="0"/>
        <v>0</v>
      </c>
    </row>
    <row r="52" spans="2:122" ht="16.5">
      <c r="B52" s="9">
        <v>6</v>
      </c>
      <c r="C52" s="39" t="s">
        <v>138</v>
      </c>
      <c r="D52" s="38">
        <v>175</v>
      </c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>
        <v>127</v>
      </c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>
        <v>2</v>
      </c>
      <c r="DG52" s="38"/>
      <c r="DH52" s="38"/>
      <c r="DI52" s="38">
        <v>17</v>
      </c>
      <c r="DJ52" s="38">
        <v>18</v>
      </c>
      <c r="DK52" s="38">
        <v>4</v>
      </c>
      <c r="DL52" s="38">
        <v>4</v>
      </c>
      <c r="DM52" s="38"/>
      <c r="DN52" s="38">
        <v>3</v>
      </c>
      <c r="DO52" s="38"/>
      <c r="DP52" s="38"/>
      <c r="DQ52" s="38"/>
      <c r="DR52" s="56">
        <f t="shared" si="0"/>
        <v>0</v>
      </c>
    </row>
    <row r="53" spans="2:122" ht="16.5">
      <c r="B53" s="8"/>
      <c r="C53" s="10" t="s">
        <v>13</v>
      </c>
      <c r="D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>
        <v>0</v>
      </c>
      <c r="DJ53" s="38"/>
      <c r="DK53" s="38"/>
      <c r="DL53" s="38"/>
      <c r="DM53" s="38"/>
      <c r="DN53" s="38"/>
      <c r="DO53" s="38"/>
      <c r="DP53" s="38"/>
      <c r="DQ53" s="38"/>
      <c r="DR53" s="56">
        <f t="shared" si="0"/>
        <v>0</v>
      </c>
    </row>
    <row r="54" spans="2:122" ht="16.5">
      <c r="B54" s="9">
        <v>1</v>
      </c>
      <c r="C54" s="39" t="s">
        <v>139</v>
      </c>
      <c r="D54" s="38">
        <v>1</v>
      </c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>
        <v>1</v>
      </c>
      <c r="DJ54" s="38"/>
      <c r="DK54" s="38"/>
      <c r="DL54" s="38"/>
      <c r="DM54" s="38"/>
      <c r="DN54" s="38"/>
      <c r="DO54" s="38"/>
      <c r="DP54" s="38"/>
      <c r="DQ54" s="38"/>
      <c r="DR54" s="56">
        <f t="shared" si="0"/>
        <v>0</v>
      </c>
    </row>
    <row r="55" spans="2:122" ht="16.5">
      <c r="B55" s="9">
        <v>2</v>
      </c>
      <c r="C55" s="39" t="s">
        <v>140</v>
      </c>
      <c r="D55" s="38">
        <v>13</v>
      </c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>
        <v>11</v>
      </c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>
        <v>2</v>
      </c>
      <c r="DJ55" s="38"/>
      <c r="DK55" s="38"/>
      <c r="DL55" s="38"/>
      <c r="DM55" s="38"/>
      <c r="DN55" s="38"/>
      <c r="DO55" s="38"/>
      <c r="DP55" s="38"/>
      <c r="DQ55" s="38"/>
      <c r="DR55" s="56">
        <f t="shared" si="0"/>
        <v>0</v>
      </c>
    </row>
    <row r="56" spans="2:122" ht="16.5">
      <c r="B56" s="9">
        <v>3</v>
      </c>
      <c r="C56" s="39" t="s">
        <v>141</v>
      </c>
      <c r="D56" s="38">
        <v>5</v>
      </c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>
        <v>2</v>
      </c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>
        <v>3</v>
      </c>
      <c r="DJ56" s="38"/>
      <c r="DK56" s="38"/>
      <c r="DL56" s="38"/>
      <c r="DM56" s="38"/>
      <c r="DN56" s="38"/>
      <c r="DO56" s="38"/>
      <c r="DP56" s="38"/>
      <c r="DQ56" s="38"/>
      <c r="DR56" s="56">
        <f t="shared" si="0"/>
        <v>0</v>
      </c>
    </row>
    <row r="57" spans="2:122" ht="16.5">
      <c r="B57" s="9">
        <v>4</v>
      </c>
      <c r="C57" s="39" t="s">
        <v>142</v>
      </c>
      <c r="D57" s="38">
        <v>1</v>
      </c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>
        <v>1</v>
      </c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56">
        <f t="shared" si="0"/>
        <v>0</v>
      </c>
    </row>
    <row r="58" spans="2:122" ht="16.5">
      <c r="B58" s="9">
        <v>5</v>
      </c>
      <c r="C58" s="39" t="s">
        <v>143</v>
      </c>
      <c r="D58" s="38">
        <v>1</v>
      </c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>
        <v>1</v>
      </c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56">
        <f t="shared" si="0"/>
        <v>0</v>
      </c>
    </row>
    <row r="59" spans="2:122" ht="16.5">
      <c r="B59" s="9">
        <v>6</v>
      </c>
      <c r="C59" s="39" t="s">
        <v>144</v>
      </c>
      <c r="D59" s="38">
        <v>2</v>
      </c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>
        <v>2</v>
      </c>
      <c r="DJ59" s="38"/>
      <c r="DK59" s="38"/>
      <c r="DL59" s="38"/>
      <c r="DM59" s="38"/>
      <c r="DN59" s="38"/>
      <c r="DO59" s="38"/>
      <c r="DP59" s="38"/>
      <c r="DQ59" s="38"/>
      <c r="DR59" s="56">
        <f t="shared" si="0"/>
        <v>0</v>
      </c>
    </row>
    <row r="60" spans="2:122" ht="16.5">
      <c r="B60" s="9">
        <v>7</v>
      </c>
      <c r="C60" s="39" t="s">
        <v>145</v>
      </c>
      <c r="D60" s="38">
        <v>1</v>
      </c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>
        <v>1</v>
      </c>
      <c r="DK60" s="38"/>
      <c r="DL60" s="38"/>
      <c r="DM60" s="38"/>
      <c r="DN60" s="38"/>
      <c r="DO60" s="38"/>
      <c r="DP60" s="38"/>
      <c r="DQ60" s="38"/>
      <c r="DR60" s="56">
        <f t="shared" si="0"/>
        <v>0</v>
      </c>
    </row>
    <row r="61" spans="2:122" ht="16.5">
      <c r="B61" s="9">
        <v>8</v>
      </c>
      <c r="C61" s="39" t="s">
        <v>146</v>
      </c>
      <c r="D61" s="38">
        <v>14</v>
      </c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>
        <v>4</v>
      </c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>
        <v>6</v>
      </c>
      <c r="DJ61" s="38">
        <v>4</v>
      </c>
      <c r="DK61" s="38"/>
      <c r="DL61" s="38"/>
      <c r="DM61" s="38"/>
      <c r="DN61" s="38"/>
      <c r="DO61" s="38"/>
      <c r="DP61" s="38"/>
      <c r="DQ61" s="38"/>
      <c r="DR61" s="56">
        <f t="shared" si="0"/>
        <v>0</v>
      </c>
    </row>
    <row r="62" spans="2:122" ht="16.5">
      <c r="B62" s="9">
        <v>9</v>
      </c>
      <c r="C62" s="39" t="s">
        <v>147</v>
      </c>
      <c r="D62" s="38">
        <v>4</v>
      </c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>
        <v>0</v>
      </c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>
        <v>3</v>
      </c>
      <c r="DJ62" s="38">
        <v>1</v>
      </c>
      <c r="DK62" s="38"/>
      <c r="DL62" s="38"/>
      <c r="DM62" s="38"/>
      <c r="DN62" s="38"/>
      <c r="DO62" s="38"/>
      <c r="DP62" s="38"/>
      <c r="DQ62" s="38"/>
      <c r="DR62" s="56">
        <f t="shared" si="0"/>
        <v>0</v>
      </c>
    </row>
    <row r="63" spans="2:122" ht="16.5">
      <c r="B63" s="9">
        <v>10</v>
      </c>
      <c r="C63" s="39" t="s">
        <v>148</v>
      </c>
      <c r="D63" s="38">
        <v>3</v>
      </c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>
        <v>3</v>
      </c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56">
        <f t="shared" si="0"/>
        <v>0</v>
      </c>
    </row>
    <row r="64" spans="2:122" ht="16.5">
      <c r="B64" s="9">
        <v>11</v>
      </c>
      <c r="C64" s="39" t="s">
        <v>149</v>
      </c>
      <c r="D64" s="38">
        <v>15</v>
      </c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>
        <v>15</v>
      </c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56">
        <f t="shared" si="0"/>
        <v>0</v>
      </c>
    </row>
    <row r="65" spans="2:122" ht="16.5">
      <c r="B65" s="9">
        <v>12</v>
      </c>
      <c r="C65" s="39" t="s">
        <v>150</v>
      </c>
      <c r="D65" s="38">
        <v>10</v>
      </c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>
        <v>6</v>
      </c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>
        <v>3</v>
      </c>
      <c r="DJ65" s="38"/>
      <c r="DK65" s="38"/>
      <c r="DL65" s="38">
        <v>1</v>
      </c>
      <c r="DM65" s="38"/>
      <c r="DN65" s="38"/>
      <c r="DO65" s="38"/>
      <c r="DP65" s="38"/>
      <c r="DQ65" s="38"/>
      <c r="DR65" s="56">
        <f t="shared" si="0"/>
        <v>0</v>
      </c>
    </row>
    <row r="66" spans="2:122" ht="16.5">
      <c r="B66" s="9">
        <v>13</v>
      </c>
      <c r="C66" s="39" t="s">
        <v>151</v>
      </c>
      <c r="D66" s="38">
        <v>2</v>
      </c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>
        <v>1</v>
      </c>
      <c r="DJ66" s="38"/>
      <c r="DK66" s="38">
        <v>1</v>
      </c>
      <c r="DL66" s="38"/>
      <c r="DM66" s="38"/>
      <c r="DN66" s="38"/>
      <c r="DO66" s="38"/>
      <c r="DP66" s="38"/>
      <c r="DQ66" s="38"/>
      <c r="DR66" s="56">
        <f t="shared" si="0"/>
        <v>0</v>
      </c>
    </row>
    <row r="67" spans="2:122" ht="16.5">
      <c r="B67" s="9">
        <v>14</v>
      </c>
      <c r="C67" s="39" t="s">
        <v>152</v>
      </c>
      <c r="D67" s="38">
        <v>3</v>
      </c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>
        <v>1</v>
      </c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>
        <v>2</v>
      </c>
      <c r="DJ67" s="38"/>
      <c r="DK67" s="38"/>
      <c r="DL67" s="38"/>
      <c r="DM67" s="38"/>
      <c r="DN67" s="38"/>
      <c r="DO67" s="38"/>
      <c r="DP67" s="38"/>
      <c r="DQ67" s="38"/>
      <c r="DR67" s="56">
        <f t="shared" si="0"/>
        <v>0</v>
      </c>
    </row>
    <row r="68" spans="2:122" ht="16.5">
      <c r="B68" s="9">
        <v>15</v>
      </c>
      <c r="C68" s="39" t="s">
        <v>153</v>
      </c>
      <c r="D68" s="38">
        <v>1</v>
      </c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>
        <v>1</v>
      </c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56">
        <f t="shared" si="0"/>
        <v>0</v>
      </c>
    </row>
    <row r="69" spans="2:122" ht="16.5">
      <c r="B69" s="9">
        <v>16</v>
      </c>
      <c r="C69" s="39" t="s">
        <v>154</v>
      </c>
      <c r="D69" s="38">
        <v>3</v>
      </c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>
        <v>2</v>
      </c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>
        <v>1</v>
      </c>
      <c r="DJ69" s="38"/>
      <c r="DK69" s="38"/>
      <c r="DL69" s="38"/>
      <c r="DM69" s="38"/>
      <c r="DN69" s="38"/>
      <c r="DO69" s="38"/>
      <c r="DP69" s="38"/>
      <c r="DQ69" s="38"/>
      <c r="DR69" s="56">
        <f t="shared" si="0"/>
        <v>0</v>
      </c>
    </row>
    <row r="70" spans="2:122" ht="16.5">
      <c r="B70" s="9">
        <v>17</v>
      </c>
      <c r="C70" s="39" t="s">
        <v>155</v>
      </c>
      <c r="D70" s="38">
        <v>3</v>
      </c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>
        <v>2</v>
      </c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>
        <v>1</v>
      </c>
      <c r="DJ70" s="38"/>
      <c r="DK70" s="38"/>
      <c r="DL70" s="38"/>
      <c r="DM70" s="38"/>
      <c r="DN70" s="38"/>
      <c r="DO70" s="38"/>
      <c r="DP70" s="38"/>
      <c r="DQ70" s="38"/>
      <c r="DR70" s="56">
        <f t="shared" si="0"/>
        <v>0</v>
      </c>
    </row>
    <row r="71" spans="2:122" ht="16.5">
      <c r="B71" s="9">
        <v>18</v>
      </c>
      <c r="C71" s="39" t="s">
        <v>156</v>
      </c>
      <c r="D71" s="38">
        <v>22</v>
      </c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>
        <v>21</v>
      </c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>
        <v>1</v>
      </c>
      <c r="DJ71" s="38"/>
      <c r="DK71" s="38"/>
      <c r="DL71" s="38"/>
      <c r="DM71" s="38"/>
      <c r="DN71" s="38"/>
      <c r="DO71" s="38"/>
      <c r="DP71" s="38"/>
      <c r="DQ71" s="38"/>
      <c r="DR71" s="56">
        <f t="shared" si="0"/>
        <v>0</v>
      </c>
    </row>
    <row r="72" spans="2:122" ht="16.5">
      <c r="B72" s="9">
        <v>19</v>
      </c>
      <c r="C72" s="39" t="s">
        <v>157</v>
      </c>
      <c r="D72" s="38">
        <v>1</v>
      </c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>
        <v>1</v>
      </c>
      <c r="DJ72" s="38"/>
      <c r="DK72" s="38"/>
      <c r="DL72" s="38"/>
      <c r="DM72" s="38"/>
      <c r="DN72" s="38"/>
      <c r="DO72" s="38"/>
      <c r="DP72" s="38"/>
      <c r="DQ72" s="38"/>
      <c r="DR72" s="56">
        <f t="shared" si="0"/>
        <v>0</v>
      </c>
    </row>
    <row r="73" spans="2:122" ht="16.5">
      <c r="B73" s="8"/>
      <c r="C73" s="10" t="s">
        <v>14</v>
      </c>
      <c r="D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</row>
    <row r="74" spans="2:122" ht="16.5">
      <c r="B74" s="9">
        <v>1</v>
      </c>
      <c r="C74" s="39" t="s">
        <v>158</v>
      </c>
      <c r="D74" s="38">
        <v>1</v>
      </c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>
        <v>1</v>
      </c>
      <c r="DJ74" s="38"/>
      <c r="DK74" s="38"/>
      <c r="DL74" s="38"/>
      <c r="DM74" s="38"/>
      <c r="DN74" s="38"/>
      <c r="DO74" s="38"/>
      <c r="DP74" s="38"/>
      <c r="DQ74" s="38"/>
    </row>
    <row r="75" spans="2:122" ht="16.5">
      <c r="B75" s="9">
        <v>2</v>
      </c>
      <c r="C75" s="39" t="s">
        <v>159</v>
      </c>
      <c r="D75" s="38">
        <v>1</v>
      </c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>
        <v>1</v>
      </c>
      <c r="DJ75" s="38"/>
      <c r="DK75" s="38"/>
      <c r="DL75" s="38"/>
      <c r="DM75" s="38"/>
      <c r="DN75" s="38"/>
      <c r="DO75" s="38"/>
      <c r="DP75" s="38"/>
      <c r="DQ75" s="38"/>
    </row>
    <row r="76" spans="2:122" ht="16.5">
      <c r="B76" s="9">
        <v>3</v>
      </c>
      <c r="C76" s="39" t="s">
        <v>160</v>
      </c>
      <c r="D76" s="38">
        <v>2</v>
      </c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>
        <v>2</v>
      </c>
      <c r="DJ76" s="38"/>
      <c r="DK76" s="38"/>
      <c r="DL76" s="38"/>
      <c r="DM76" s="38"/>
      <c r="DN76" s="38"/>
      <c r="DO76" s="38"/>
      <c r="DP76" s="38"/>
      <c r="DQ76" s="38"/>
    </row>
    <row r="77" spans="2:122" ht="16.5">
      <c r="B77" s="9">
        <v>4</v>
      </c>
      <c r="C77" s="39" t="s">
        <v>161</v>
      </c>
      <c r="D77" s="38">
        <v>11</v>
      </c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>
        <v>2</v>
      </c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>
        <v>2</v>
      </c>
      <c r="DG77" s="38"/>
      <c r="DH77" s="38"/>
      <c r="DI77" s="38">
        <f>2+2</f>
        <v>4</v>
      </c>
      <c r="DJ77" s="38">
        <v>1</v>
      </c>
      <c r="DK77" s="38">
        <v>2</v>
      </c>
      <c r="DL77" s="38"/>
      <c r="DM77" s="38"/>
      <c r="DN77" s="38"/>
      <c r="DO77" s="38"/>
      <c r="DP77" s="38"/>
      <c r="DQ77" s="38"/>
    </row>
    <row r="78" spans="2:122" ht="16.5">
      <c r="B78" s="9">
        <v>5</v>
      </c>
      <c r="C78" s="39" t="s">
        <v>162</v>
      </c>
      <c r="D78" s="38">
        <v>1</v>
      </c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>
        <v>1</v>
      </c>
      <c r="DO78" s="38"/>
      <c r="DP78" s="38"/>
      <c r="DQ78" s="38"/>
    </row>
    <row r="79" spans="2:122" ht="16.5">
      <c r="B79" s="9">
        <v>6</v>
      </c>
      <c r="C79" s="39" t="s">
        <v>163</v>
      </c>
      <c r="D79" s="38">
        <v>6</v>
      </c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>
        <v>1</v>
      </c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>
        <v>1</v>
      </c>
      <c r="DG79" s="38"/>
      <c r="DH79" s="38"/>
      <c r="DI79" s="38">
        <v>2</v>
      </c>
      <c r="DJ79" s="38"/>
      <c r="DK79" s="38">
        <v>1</v>
      </c>
      <c r="DL79" s="38"/>
      <c r="DM79" s="38"/>
      <c r="DN79" s="38">
        <v>1</v>
      </c>
      <c r="DO79" s="38"/>
      <c r="DP79" s="38"/>
      <c r="DQ79" s="38"/>
    </row>
    <row r="80" spans="2:122" ht="16.5">
      <c r="B80" s="9">
        <v>7</v>
      </c>
      <c r="C80" s="39" t="s">
        <v>164</v>
      </c>
      <c r="D80" s="38">
        <v>2</v>
      </c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>
        <v>2</v>
      </c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</row>
    <row r="81" spans="2:121" ht="16.5">
      <c r="B81" s="9">
        <v>8</v>
      </c>
      <c r="C81" s="39" t="s">
        <v>165</v>
      </c>
      <c r="D81" s="38">
        <v>1</v>
      </c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>
        <v>1</v>
      </c>
      <c r="DJ81" s="38"/>
      <c r="DK81" s="38"/>
      <c r="DL81" s="38"/>
      <c r="DM81" s="38"/>
      <c r="DN81" s="38"/>
      <c r="DO81" s="38"/>
      <c r="DP81" s="38"/>
      <c r="DQ81" s="38"/>
    </row>
    <row r="82" spans="2:121" ht="16.5">
      <c r="B82" s="9">
        <v>9</v>
      </c>
      <c r="C82" s="39" t="s">
        <v>166</v>
      </c>
      <c r="D82" s="38">
        <v>1</v>
      </c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>
        <v>1</v>
      </c>
      <c r="DK82" s="38"/>
      <c r="DL82" s="38"/>
      <c r="DM82" s="38"/>
      <c r="DN82" s="38"/>
      <c r="DO82" s="38"/>
      <c r="DP82" s="38"/>
      <c r="DQ82" s="38"/>
    </row>
    <row r="83" spans="2:121" ht="16.5">
      <c r="B83" s="9">
        <v>10</v>
      </c>
      <c r="C83" s="39" t="s">
        <v>167</v>
      </c>
      <c r="D83" s="38">
        <v>2</v>
      </c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>
        <v>1</v>
      </c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>
        <v>1</v>
      </c>
      <c r="DJ83" s="38"/>
      <c r="DK83" s="38"/>
      <c r="DL83" s="38"/>
      <c r="DM83" s="38"/>
      <c r="DN83" s="38"/>
      <c r="DO83" s="38"/>
      <c r="DP83" s="38"/>
      <c r="DQ83" s="38"/>
    </row>
  </sheetData>
  <sheetProtection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D18:BG83 BI18:DQ83">
      <formula1>0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MISS2018</cp:lastModifiedBy>
  <dcterms:created xsi:type="dcterms:W3CDTF">2018-04-02T20:38:47Z</dcterms:created>
  <dcterms:modified xsi:type="dcterms:W3CDTF">2018-08-28T07:09:27Z</dcterms:modified>
</cp:coreProperties>
</file>