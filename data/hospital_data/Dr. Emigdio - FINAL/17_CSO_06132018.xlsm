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2" codeName="{8C4F1C90-05EB-6A55-5F09-09C24B55AC0B}"/>
  <workbookPr codeName="ThisWorkbook"/>
  <workbookProtection workbookAlgorithmName="SHA-512" workbookHashValue="c44O9NEa4W2Rr8w3wHLdT6qhpl0Kg4MJmWVdhSDUS1peMZF+1ZMybn/uj9tmkxJoI650hwk/zW8/3ktejs1IPw==" workbookSaltValue="zNhXjkdUXQhg1rNAplv1uw==" workbookSpinCount="100000" lockStructure="1"/>
  <bookViews>
    <workbookView xWindow="0" yWindow="0" windowWidth="11655" windowHeight="4575"/>
  </bookViews>
  <sheets>
    <sheet name="7.1CSO supplies costs" sheetId="1" r:id="rId1"/>
  </sheets>
  <externalReferences>
    <externalReference r:id="rId2"/>
  </externalReferences>
  <definedNames>
    <definedName name="Drugs">'[1]1.0 Drugs&amp;Med List'!$B$16:$B$315</definedName>
  </definedNames>
  <calcPr calcId="144525"/>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8" i="1" l="1"/>
  <c r="D17" i="1" l="1"/>
  <c r="D16" i="1"/>
  <c r="D15" i="1"/>
  <c r="BG34" i="1" l="1"/>
  <c r="BF34" i="1"/>
  <c r="BE34" i="1"/>
  <c r="BD34" i="1"/>
  <c r="BC34" i="1"/>
  <c r="BB34" i="1"/>
  <c r="BA34" i="1"/>
  <c r="AZ34" i="1"/>
  <c r="AY34" i="1"/>
  <c r="AX34" i="1"/>
  <c r="AW34" i="1"/>
  <c r="AV34" i="1"/>
  <c r="AU34" i="1"/>
  <c r="AT34" i="1"/>
  <c r="AS34" i="1"/>
  <c r="AR34" i="1"/>
  <c r="AQ34" i="1"/>
  <c r="AP34" i="1"/>
  <c r="AO34" i="1"/>
  <c r="AN34" i="1"/>
  <c r="AM34" i="1"/>
  <c r="AL34" i="1"/>
  <c r="AK34" i="1"/>
  <c r="AJ34" i="1"/>
  <c r="AI34" i="1"/>
  <c r="AH34" i="1"/>
  <c r="AG34" i="1"/>
  <c r="AF34" i="1"/>
  <c r="AE34" i="1"/>
  <c r="AD34" i="1"/>
  <c r="AC34" i="1"/>
  <c r="AB34" i="1"/>
  <c r="AA34" i="1"/>
  <c r="Z34" i="1"/>
  <c r="Y34" i="1"/>
  <c r="X34" i="1"/>
  <c r="W34" i="1"/>
  <c r="V34" i="1"/>
  <c r="U34" i="1"/>
  <c r="T34" i="1"/>
  <c r="S34" i="1"/>
  <c r="R34" i="1"/>
  <c r="Q34" i="1"/>
  <c r="P34" i="1"/>
  <c r="O34" i="1"/>
  <c r="N34" i="1"/>
  <c r="M34" i="1"/>
  <c r="L34" i="1"/>
  <c r="K34" i="1"/>
  <c r="J34" i="1"/>
  <c r="I34" i="1"/>
  <c r="H34" i="1"/>
  <c r="G34" i="1"/>
  <c r="F34" i="1"/>
  <c r="DQ34" i="1"/>
  <c r="DP34" i="1"/>
  <c r="DO34" i="1"/>
  <c r="DN34" i="1"/>
  <c r="DM34" i="1"/>
  <c r="DL34" i="1"/>
  <c r="DK34" i="1"/>
  <c r="DJ34" i="1"/>
  <c r="DI34" i="1"/>
  <c r="DH34" i="1"/>
  <c r="DG34" i="1"/>
  <c r="DF34" i="1"/>
  <c r="DE34" i="1"/>
  <c r="DD34" i="1"/>
  <c r="DC34" i="1"/>
  <c r="DB34" i="1"/>
  <c r="DA34" i="1"/>
  <c r="CZ34" i="1"/>
  <c r="CY34" i="1"/>
  <c r="CX34" i="1"/>
  <c r="CW34" i="1"/>
  <c r="CV34" i="1"/>
  <c r="CU34" i="1"/>
  <c r="CT34" i="1"/>
  <c r="CS34" i="1"/>
  <c r="CR34" i="1"/>
  <c r="CQ34" i="1"/>
  <c r="CP34" i="1"/>
  <c r="CO34" i="1"/>
  <c r="CN34" i="1"/>
  <c r="CM34" i="1"/>
  <c r="CL34" i="1"/>
  <c r="CK34" i="1"/>
  <c r="CJ34" i="1"/>
  <c r="CI34" i="1"/>
  <c r="CH34" i="1"/>
  <c r="CG34" i="1"/>
  <c r="CF34" i="1"/>
  <c r="CE34" i="1"/>
  <c r="CD34" i="1"/>
  <c r="CC34" i="1"/>
  <c r="CB34" i="1"/>
  <c r="CA34" i="1"/>
  <c r="BZ34" i="1"/>
  <c r="BY34" i="1"/>
  <c r="BX34" i="1"/>
  <c r="BW34" i="1"/>
  <c r="BV34" i="1"/>
  <c r="BU34" i="1"/>
  <c r="BT34" i="1"/>
  <c r="BS34" i="1"/>
  <c r="BR34" i="1"/>
  <c r="BQ34" i="1"/>
  <c r="BP34" i="1"/>
  <c r="BO34" i="1"/>
  <c r="BN34" i="1"/>
  <c r="BM34" i="1"/>
  <c r="BL34" i="1"/>
  <c r="BK34" i="1"/>
  <c r="BJ34" i="1"/>
  <c r="BI34" i="1"/>
  <c r="D34" i="1" l="1"/>
</calcChain>
</file>

<file path=xl/sharedStrings.xml><?xml version="1.0" encoding="utf-8"?>
<sst xmlns="http://schemas.openxmlformats.org/spreadsheetml/2006/main" count="143" uniqueCount="90">
  <si>
    <t>Delivery Room</t>
  </si>
  <si>
    <t>Category of supplies</t>
  </si>
  <si>
    <t>Housekeeping supplies</t>
  </si>
  <si>
    <r>
      <rPr>
        <b/>
        <sz val="11"/>
        <color theme="1"/>
        <rFont val="Arial Narrow"/>
        <family val="2"/>
      </rPr>
      <t>Objective:</t>
    </r>
    <r>
      <rPr>
        <sz val="11"/>
        <color theme="1"/>
        <rFont val="Arial Narrow"/>
        <family val="2"/>
      </rPr>
      <t xml:space="preserve"> Identify costs of supplies consumed in each unit/department of the hospital</t>
    </r>
  </si>
  <si>
    <t xml:space="preserve">Oxygen </t>
  </si>
  <si>
    <t>Dental Supplies</t>
  </si>
  <si>
    <t>Office supplies (Including Forms)</t>
  </si>
  <si>
    <t>Administrative/Overhead services</t>
  </si>
  <si>
    <t>Office of the Medical Center Chief</t>
  </si>
  <si>
    <t>Office of the Administrative Officer</t>
  </si>
  <si>
    <t>Human Resource Management</t>
  </si>
  <si>
    <t>Procurement</t>
  </si>
  <si>
    <t>Materials Management</t>
  </si>
  <si>
    <t>Engineering and Facilities Management</t>
  </si>
  <si>
    <t>Budget and Accounting</t>
  </si>
  <si>
    <t>Medical Social Work</t>
  </si>
  <si>
    <t>Office of the Chief Nurse</t>
  </si>
  <si>
    <t>Health Info Mgt (Admitting)</t>
  </si>
  <si>
    <t>Central Supply Office</t>
  </si>
  <si>
    <t>Billing and Claims</t>
  </si>
  <si>
    <t>Cash Operations</t>
  </si>
  <si>
    <t>Security</t>
  </si>
  <si>
    <t>Office of the Chief of Medical Professional Staff</t>
  </si>
  <si>
    <t>Ancillary services/Support services</t>
  </si>
  <si>
    <t>Laundry</t>
  </si>
  <si>
    <t>Blood Bank</t>
  </si>
  <si>
    <t>Pharmacy</t>
  </si>
  <si>
    <t>Nutrition and Dietetics</t>
  </si>
  <si>
    <t>Operating Room / Aneasthesiology / PACU / Recovery Room</t>
  </si>
  <si>
    <t>Medical ICU</t>
  </si>
  <si>
    <t>Neonatal ICU*</t>
  </si>
  <si>
    <t>Surgical ICU*</t>
  </si>
  <si>
    <t>Pediatric ICU*</t>
  </si>
  <si>
    <t>Radiation Oncology Unit*</t>
  </si>
  <si>
    <t>Clinical/Medical services</t>
  </si>
  <si>
    <t>Outpatient Department</t>
  </si>
  <si>
    <t>Emergency Medicine Department</t>
  </si>
  <si>
    <t>Dialysis Unit</t>
  </si>
  <si>
    <t>Dental</t>
  </si>
  <si>
    <t>Internal Medicine Ward</t>
  </si>
  <si>
    <t>Pediatric Ward</t>
  </si>
  <si>
    <t>Surgical Ward</t>
  </si>
  <si>
    <t>Ob/Gyne Ward</t>
  </si>
  <si>
    <t>Private Ward</t>
  </si>
  <si>
    <t>Neurosurgery Ward*</t>
  </si>
  <si>
    <t>Orthopedic Ward*</t>
  </si>
  <si>
    <t>Psychiatric Ward*</t>
  </si>
  <si>
    <t>ENT Ward*</t>
  </si>
  <si>
    <t>Total</t>
  </si>
  <si>
    <t>Others</t>
  </si>
  <si>
    <t>Sterilization</t>
  </si>
  <si>
    <t>Laboratory</t>
  </si>
  <si>
    <t>Radiology / Diagnostic Imaging (CT Scan, MRI, ECG, Mammography, Endoscopy)</t>
  </si>
  <si>
    <t>Physiotherapy / Rehabilitation</t>
  </si>
  <si>
    <t>Respiratory Unit</t>
  </si>
  <si>
    <t>Burn Unit</t>
  </si>
  <si>
    <t>Morgue</t>
  </si>
  <si>
    <t>Animal Bite Center</t>
  </si>
  <si>
    <t>TB Dots</t>
  </si>
  <si>
    <t>HIV Aids</t>
  </si>
  <si>
    <t>Family Planning Unit</t>
  </si>
  <si>
    <t>Smoking Cessation</t>
  </si>
  <si>
    <t>Malaria</t>
  </si>
  <si>
    <t>Heart Station</t>
  </si>
  <si>
    <t>Diabetes MAP</t>
  </si>
  <si>
    <t>Hypertension MAP</t>
  </si>
  <si>
    <t>Nuclear Medicine</t>
  </si>
  <si>
    <t>Endoscopy Unit</t>
  </si>
  <si>
    <t>Medical and other supplies and consumables dispensed by Central Supply Office/Unit</t>
  </si>
  <si>
    <t>#</t>
  </si>
  <si>
    <t>Period covered:</t>
  </si>
  <si>
    <t>IT Departments</t>
  </si>
  <si>
    <t>Housekeeping</t>
  </si>
  <si>
    <t>Outpatient Department (general)</t>
  </si>
  <si>
    <t xml:space="preserve">Diabetes </t>
  </si>
  <si>
    <t>Hypertension</t>
  </si>
  <si>
    <t>IT Department</t>
  </si>
  <si>
    <t xml:space="preserve">Housekeeping </t>
  </si>
  <si>
    <t>Office of the Chief of Medical Professional Staff / Chief of Clinics</t>
  </si>
  <si>
    <r>
      <t xml:space="preserve">Level of care </t>
    </r>
    <r>
      <rPr>
        <b/>
        <sz val="11"/>
        <color rgb="FFFF0000"/>
        <rFont val="Arial Narrow"/>
        <family val="2"/>
      </rPr>
      <t>(always update)</t>
    </r>
    <r>
      <rPr>
        <b/>
        <sz val="11"/>
        <color rgb="FF000000"/>
        <rFont val="Arial Narrow"/>
        <family val="2"/>
      </rPr>
      <t>:</t>
    </r>
  </si>
  <si>
    <t># Supplies</t>
  </si>
  <si>
    <r>
      <rPr>
        <b/>
        <sz val="11"/>
        <color theme="1"/>
        <rFont val="Arial Narrow"/>
        <family val="2"/>
      </rPr>
      <t>Data Collector:</t>
    </r>
    <r>
      <rPr>
        <sz val="11"/>
        <color theme="1"/>
        <rFont val="Arial Narrow"/>
        <family val="2"/>
      </rPr>
      <t xml:space="preserve"> Central supply office supervisor/staff and Procurement officer</t>
    </r>
  </si>
  <si>
    <r>
      <rPr>
        <b/>
        <sz val="11"/>
        <color theme="1"/>
        <rFont val="Arial Narrow"/>
        <family val="2"/>
      </rPr>
      <t>Source Documents:</t>
    </r>
    <r>
      <rPr>
        <sz val="11"/>
        <color theme="1"/>
        <rFont val="Arial Narrow"/>
        <family val="2"/>
      </rPr>
      <t xml:space="preserve">  Central supply logbook, Inventory report, Stock cards, Consumption report</t>
    </r>
  </si>
  <si>
    <r>
      <rPr>
        <b/>
        <sz val="11"/>
        <color theme="1"/>
        <rFont val="Arial Narrow"/>
        <family val="2"/>
      </rPr>
      <t>Instructions:</t>
    </r>
    <r>
      <rPr>
        <sz val="11"/>
        <color theme="1"/>
        <rFont val="Arial Narrow"/>
        <family val="2"/>
      </rPr>
      <t xml:space="preserve"> Record all expenses of medical and other supplies used by  various departments. If you have a report or data of CSO supplies and consumables by each departments for 2017, please input data. On the other hand, if you do not have such data, you can start recording the data by departments  for every day from 28 of May to 1st of June, 2018. At the end of all 5 days, please make summary of 5 days and encode in the below table for submission. </t>
    </r>
  </si>
  <si>
    <t>Total amount of consumption cost (peso/₱)</t>
  </si>
  <si>
    <t>Medical supplies (Consignment)</t>
  </si>
  <si>
    <t>Medical supplies (General Fund)</t>
  </si>
  <si>
    <t>Other (Laundry Supplies)</t>
  </si>
  <si>
    <t>May 21 to 25, 2018</t>
  </si>
  <si>
    <t>Radiology</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</si>
</sst>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0.00_-;\-* #,##0.00_-;_-* &quot;-&quot;??_-;_-@_-"/>
  </numFmts>
  <fonts count="21" x14ac:knownFonts="1">
    <font>
      <sz val="11"/>
      <color theme="1"/>
      <name val="Calibri"/>
      <family val="2"/>
      <scheme val="minor"/>
    </font>
    <font>
      <sz val="11"/>
      <name val="Arial"/>
      <family val="2"/>
    </font>
    <font>
      <sz val="11"/>
      <color theme="1"/>
      <name val="Arial Narrow"/>
      <family val="2"/>
    </font>
    <font>
      <b/>
      <sz val="11"/>
      <color theme="1"/>
      <name val="Arial Narrow"/>
      <family val="2"/>
    </font>
    <font>
      <b/>
      <i/>
      <sz val="10"/>
      <name val="Arial Narrow"/>
      <family val="2"/>
    </font>
    <font>
      <sz val="10"/>
      <color theme="1"/>
      <name val="Arial Narrow"/>
      <family val="2"/>
    </font>
    <font>
      <i/>
      <sz val="10"/>
      <color theme="1"/>
      <name val="Arial Narrow"/>
      <family val="2"/>
    </font>
    <font>
      <b/>
      <i/>
      <sz val="11"/>
      <color theme="1"/>
      <name val="Arial Narrow"/>
      <family val="2"/>
    </font>
    <font>
      <b/>
      <sz val="10"/>
      <color theme="1"/>
      <name val="Arial Narrow"/>
      <family val="2"/>
    </font>
    <font>
      <sz val="11"/>
      <color theme="1"/>
      <name val="Calibri"/>
      <family val="2"/>
      <scheme val="minor"/>
    </font>
    <font>
      <sz val="11"/>
      <color rgb="FF0070C0"/>
      <name val="Arial Narrow"/>
      <family val="2"/>
    </font>
    <font>
      <sz val="8"/>
      <color rgb="FF008000"/>
      <name val="Calibri"/>
      <family val="2"/>
    </font>
    <font>
      <sz val="8"/>
      <color rgb="FF800000"/>
      <name val="Calibri"/>
      <family val="2"/>
    </font>
    <font>
      <sz val="11"/>
      <color rgb="FF000000"/>
      <name val="Arial Narrow"/>
      <family val="2"/>
    </font>
    <font>
      <sz val="11"/>
      <name val="Calibri"/>
      <family val="2"/>
    </font>
    <font>
      <b/>
      <sz val="11"/>
      <color rgb="FF000000"/>
      <name val="Arial Narrow"/>
      <family val="2"/>
    </font>
    <font>
      <b/>
      <sz val="11"/>
      <name val="Calibri"/>
      <family val="2"/>
    </font>
    <font>
      <sz val="11"/>
      <name val="Arial Narrow"/>
      <family val="2"/>
    </font>
    <font>
      <b/>
      <sz val="11"/>
      <color rgb="FFFF0000"/>
      <name val="Arial Narrow"/>
      <family val="2"/>
    </font>
    <font>
      <sz val="11"/>
      <color rgb="FF0000FF"/>
      <name val="Calibri"/>
      <family val="2"/>
    </font>
    <font>
      <sz val="11"/>
      <color rgb="FF333333"/>
      <name val="Calibri"/>
      <family val="2"/>
    </font>
  </fonts>
  <fills count="5">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0" tint="-4.9989318521683403E-2"/>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3">
    <xf numFmtId="0" fontId="0" fillId="0" borderId="0"/>
    <xf numFmtId="0" fontId="1" fillId="0" borderId="0"/>
    <xf numFmtId="164" fontId="9" fillId="0" borderId="0" applyFont="0" applyFill="0" applyBorder="0" applyAlignment="0" applyProtection="0"/>
  </cellStyleXfs>
  <cellXfs count="51">
    <xf numFmtId="0" fontId="0" fillId="0" borderId="0" xfId="0"/>
    <xf numFmtId="0" fontId="3" fillId="0" borderId="0" xfId="0" applyFont="1"/>
    <xf numFmtId="0" fontId="5" fillId="0" borderId="0" xfId="0" applyFont="1"/>
    <xf numFmtId="0" fontId="6" fillId="0" borderId="0" xfId="0" applyFont="1"/>
    <xf numFmtId="0" fontId="5" fillId="0" borderId="0" xfId="0" applyFont="1" applyAlignment="1">
      <alignment horizontal="center"/>
    </xf>
    <xf numFmtId="0" fontId="5" fillId="0" borderId="0" xfId="0" applyFont="1" applyAlignment="1">
      <alignment horizontal="center" vertical="center" wrapText="1"/>
    </xf>
    <xf numFmtId="0" fontId="2" fillId="0" borderId="0" xfId="0" applyFont="1"/>
    <xf numFmtId="0" fontId="8" fillId="0" borderId="1" xfId="0" applyFont="1" applyBorder="1"/>
    <xf numFmtId="0" fontId="8" fillId="0" borderId="0" xfId="0" applyFont="1"/>
    <xf numFmtId="164" fontId="10" fillId="2" borderId="1" xfId="2" applyFont="1" applyFill="1" applyBorder="1" applyProtection="1">
      <protection locked="0"/>
    </xf>
    <xf numFmtId="164" fontId="8" fillId="0" borderId="1" xfId="0" applyNumberFormat="1" applyFont="1" applyBorder="1"/>
    <xf numFmtId="0" fontId="5" fillId="0" borderId="1" xfId="0" applyFont="1" applyBorder="1" applyAlignment="1">
      <alignment horizontal="right" vertical="center"/>
    </xf>
    <xf numFmtId="0" fontId="10" fillId="2" borderId="1" xfId="0" applyFont="1" applyFill="1" applyBorder="1" applyAlignment="1" applyProtection="1">
      <alignment wrapText="1"/>
      <protection locked="0"/>
    </xf>
    <xf numFmtId="0" fontId="5" fillId="0" borderId="0" xfId="0" applyFont="1" applyProtection="1"/>
    <xf numFmtId="0" fontId="5" fillId="0" borderId="0" xfId="0" applyFont="1" applyAlignment="1" applyProtection="1">
      <alignment horizontal="center" wrapText="1"/>
    </xf>
    <xf numFmtId="0" fontId="13" fillId="4" borderId="1" xfId="1" applyFont="1" applyFill="1" applyBorder="1" applyAlignment="1">
      <alignment horizontal="left" vertical="center" wrapText="1"/>
    </xf>
    <xf numFmtId="0" fontId="17" fillId="4" borderId="1" xfId="1" applyFont="1" applyFill="1" applyBorder="1" applyAlignment="1">
      <alignment horizontal="left" vertical="center" wrapText="1"/>
    </xf>
    <xf numFmtId="0" fontId="14" fillId="4" borderId="1" xfId="1" applyFont="1" applyFill="1" applyBorder="1" applyAlignment="1">
      <alignment horizontal="left" vertical="center" wrapText="1"/>
    </xf>
    <xf numFmtId="164" fontId="10" fillId="2" borderId="2" xfId="2" applyFont="1" applyFill="1" applyBorder="1" applyProtection="1">
      <protection locked="0"/>
    </xf>
    <xf numFmtId="0" fontId="4" fillId="4" borderId="1" xfId="1" applyFont="1" applyFill="1" applyBorder="1" applyAlignment="1">
      <alignment vertical="center"/>
    </xf>
    <xf numFmtId="0" fontId="4" fillId="4" borderId="1" xfId="1" applyFont="1" applyFill="1" applyBorder="1" applyAlignment="1">
      <alignment vertical="top" wrapText="1"/>
    </xf>
    <xf numFmtId="0" fontId="5" fillId="3" borderId="3" xfId="0" applyFont="1" applyFill="1" applyBorder="1"/>
    <xf numFmtId="0" fontId="5" fillId="3" borderId="4" xfId="0" applyFont="1" applyFill="1" applyBorder="1"/>
    <xf numFmtId="0" fontId="5" fillId="3" borderId="5" xfId="0" applyFont="1" applyFill="1" applyBorder="1"/>
    <xf numFmtId="0" fontId="2" fillId="4" borderId="9" xfId="0" applyFont="1" applyFill="1" applyBorder="1"/>
    <xf numFmtId="0" fontId="2" fillId="4" borderId="0" xfId="0" applyFont="1" applyFill="1" applyBorder="1"/>
    <xf numFmtId="0" fontId="2" fillId="4" borderId="10" xfId="0" applyFont="1" applyFill="1" applyBorder="1"/>
    <xf numFmtId="0" fontId="3" fillId="4" borderId="9" xfId="0" applyFont="1" applyFill="1" applyBorder="1"/>
    <xf numFmtId="0" fontId="10" fillId="0" borderId="1" xfId="0" applyFont="1" applyBorder="1" applyAlignment="1" applyProtection="1">
      <alignment horizontal="center" vertical="center"/>
      <protection locked="0"/>
    </xf>
    <xf numFmtId="0" fontId="3" fillId="3" borderId="0" xfId="0" applyFont="1" applyFill="1"/>
    <xf numFmtId="0" fontId="5" fillId="3" borderId="0" xfId="0" applyFont="1" applyFill="1"/>
    <xf numFmtId="0" fontId="15" fillId="4" borderId="0" xfId="0" applyFont="1" applyFill="1" applyBorder="1" applyAlignment="1" applyProtection="1">
      <alignment horizontal="left" vertical="center"/>
    </xf>
    <xf numFmtId="0" fontId="7" fillId="0" borderId="0" xfId="0" applyFont="1" applyProtection="1"/>
    <xf numFmtId="0" fontId="3" fillId="0" borderId="0" xfId="0" applyFont="1" applyProtection="1"/>
    <xf numFmtId="0" fontId="5" fillId="4" borderId="1" xfId="0" applyFont="1" applyFill="1" applyBorder="1" applyAlignment="1">
      <alignment horizontal="center" vertical="center"/>
    </xf>
    <xf numFmtId="0" fontId="15" fillId="3" borderId="1" xfId="1" applyFont="1" applyFill="1" applyBorder="1" applyAlignment="1">
      <alignment horizontal="center" vertical="center" wrapText="1"/>
    </xf>
    <xf numFmtId="0" fontId="16" fillId="3" borderId="1" xfId="1" applyFont="1" applyFill="1" applyBorder="1" applyAlignment="1">
      <alignment wrapText="1"/>
    </xf>
    <xf numFmtId="0" fontId="15" fillId="4" borderId="1" xfId="1" applyFont="1" applyFill="1" applyBorder="1" applyAlignment="1">
      <alignment horizontal="center" vertical="center" wrapText="1"/>
    </xf>
    <xf numFmtId="0" fontId="16" fillId="4" borderId="1" xfId="1" applyFont="1" applyFill="1" applyBorder="1" applyAlignment="1">
      <alignment wrapText="1"/>
    </xf>
    <xf numFmtId="0" fontId="2" fillId="4" borderId="6" xfId="0" applyFont="1" applyFill="1" applyBorder="1" applyAlignment="1">
      <alignment horizontal="left" wrapText="1"/>
    </xf>
    <xf numFmtId="0" fontId="2" fillId="4" borderId="7" xfId="0" applyFont="1" applyFill="1" applyBorder="1" applyAlignment="1">
      <alignment horizontal="left" wrapText="1"/>
    </xf>
    <xf numFmtId="0" fontId="2" fillId="4" borderId="8" xfId="0" applyFont="1" applyFill="1" applyBorder="1" applyAlignment="1">
      <alignment horizontal="left" wrapText="1"/>
    </xf>
    <xf numFmtId="0" fontId="13" fillId="3" borderId="3" xfId="1" applyFont="1" applyFill="1" applyBorder="1" applyAlignment="1">
      <alignment wrapText="1"/>
    </xf>
    <xf numFmtId="0" fontId="13" fillId="3" borderId="4" xfId="1" applyFont="1" applyFill="1" applyBorder="1" applyAlignment="1">
      <alignment wrapText="1"/>
    </xf>
    <xf numFmtId="0" fontId="13" fillId="3" borderId="5" xfId="1" applyFont="1" applyFill="1" applyBorder="1" applyAlignment="1">
      <alignment wrapText="1"/>
    </xf>
    <xf numFmtId="0" fontId="13" fillId="3" borderId="1" xfId="1" applyFont="1" applyFill="1" applyBorder="1" applyAlignment="1">
      <alignment wrapText="1"/>
    </xf>
    <xf numFmtId="0" fontId="14" fillId="3" borderId="1" xfId="1" applyFont="1" applyFill="1" applyBorder="1" applyAlignment="1">
      <alignment wrapText="1"/>
    </xf>
    <xf numFmtId="0" fontId="13" fillId="3" borderId="1" xfId="1" applyFont="1" applyFill="1" applyBorder="1" applyAlignment="1">
      <alignment horizontal="center" vertical="center" wrapText="1"/>
    </xf>
    <xf numFmtId="0" fontId="2" fillId="4" borderId="11" xfId="0" applyFont="1" applyFill="1" applyBorder="1" applyAlignment="1">
      <alignment horizontal="left" vertical="top" wrapText="1"/>
    </xf>
    <xf numFmtId="0" fontId="2" fillId="4" borderId="12" xfId="0" applyFont="1" applyFill="1" applyBorder="1" applyAlignment="1">
      <alignment horizontal="left" vertical="top" wrapText="1"/>
    </xf>
    <xf numFmtId="0" fontId="2" fillId="4" borderId="13" xfId="0" applyFont="1" applyFill="1" applyBorder="1" applyAlignment="1">
      <alignment horizontal="left" vertical="top" wrapText="1"/>
    </xf>
  </cellXfs>
  <cellStyles count="3">
    <cellStyle name="Comma" xfId="2" builtinId="3"/>
    <cellStyle name="Normal" xfId="0" builtinId="0"/>
    <cellStyle name="Normal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xdr:colOff>
          <xdr:row>14</xdr:row>
          <xdr:rowOff>19050</xdr:rowOff>
        </xdr:from>
        <xdr:to>
          <xdr:col>1</xdr:col>
          <xdr:colOff>762000</xdr:colOff>
          <xdr:row>14</xdr:row>
          <xdr:rowOff>161925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809625</xdr:colOff>
          <xdr:row>14</xdr:row>
          <xdr:rowOff>19050</xdr:rowOff>
        </xdr:from>
        <xdr:to>
          <xdr:col>1</xdr:col>
          <xdr:colOff>1524000</xdr:colOff>
          <xdr:row>14</xdr:row>
          <xdr:rowOff>161925</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800000"/>
                  </a:solidFill>
                  <a:latin typeface="Calibri"/>
                  <a:cs typeface="Calibri"/>
                </a:rPr>
                <a:t>Delete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1800225</xdr:colOff>
          <xdr:row>10</xdr:row>
          <xdr:rowOff>0</xdr:rowOff>
        </xdr:from>
        <xdr:to>
          <xdr:col>2</xdr:col>
          <xdr:colOff>2886075</xdr:colOff>
          <xdr:row>11</xdr:row>
          <xdr:rowOff>9525</xdr:rowOff>
        </xdr:to>
        <xdr:sp macro="" textlink="">
          <xdr:nvSpPr>
            <xdr:cNvPr id="1027" name="SelectI"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FF"/>
                  </a:solidFill>
                  <a:latin typeface="Calibri"/>
                  <a:cs typeface="Calibri"/>
                </a:rPr>
                <a:t>Level 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3038475</xdr:colOff>
          <xdr:row>10</xdr:row>
          <xdr:rowOff>0</xdr:rowOff>
        </xdr:from>
        <xdr:to>
          <xdr:col>3</xdr:col>
          <xdr:colOff>790575</xdr:colOff>
          <xdr:row>11</xdr:row>
          <xdr:rowOff>9525</xdr:rowOff>
        </xdr:to>
        <xdr:sp macro="" textlink="">
          <xdr:nvSpPr>
            <xdr:cNvPr id="1028" name="SelectIIandIII" hidden="1">
              <a:extLst>
                <a:ext uri="{63B3BB69-23CF-44E3-9099-C40C66FF867C}">
                  <a14:compatExt spid="_x0000_s102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333333"/>
                  </a:solidFill>
                  <a:latin typeface="Calibri"/>
                  <a:cs typeface="Calibri"/>
                </a:rPr>
                <a:t>Level II and III</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Users/julienne/Desktop/Costing%20-%20San%20Fernandino/Pharmacy%20Department%20Costing%20Form.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 Drugs&amp;Med List"/>
      <sheetName val="2.1 AsthmaAdult"/>
      <sheetName val="2.2 AsthmaPedia"/>
      <sheetName val="2.3 Caesarian"/>
      <sheetName val="2.4 DengueAdult"/>
      <sheetName val="2.4 DenguePedia"/>
      <sheetName val="2.5Hypertension"/>
      <sheetName val="2.1 DrugMedUtilDay1"/>
      <sheetName val="2.2 DrugMedUtilDay2"/>
      <sheetName val="3.1 MedSupplyConsList"/>
      <sheetName val="4.1MedSuppConsDay1"/>
      <sheetName val="4.2MedSuppConsDay2"/>
    </sheetNames>
    <sheetDataSet>
      <sheetData sheetId="0">
        <row r="16">
          <cell r="B16" t="str">
            <v>Mefanamic Acid (Dolfenal)</v>
          </cell>
        </row>
        <row r="17">
          <cell r="B17">
            <v>0</v>
          </cell>
        </row>
        <row r="18">
          <cell r="B18">
            <v>0</v>
          </cell>
        </row>
        <row r="19">
          <cell r="B19">
            <v>0</v>
          </cell>
        </row>
        <row r="20">
          <cell r="B20">
            <v>0</v>
          </cell>
        </row>
        <row r="21">
          <cell r="B21">
            <v>0</v>
          </cell>
        </row>
        <row r="22">
          <cell r="B22">
            <v>0</v>
          </cell>
        </row>
        <row r="23">
          <cell r="B23">
            <v>0</v>
          </cell>
        </row>
        <row r="24">
          <cell r="B24">
            <v>0</v>
          </cell>
        </row>
        <row r="25">
          <cell r="B25">
            <v>0</v>
          </cell>
        </row>
        <row r="26">
          <cell r="B26">
            <v>0</v>
          </cell>
        </row>
        <row r="27">
          <cell r="B27">
            <v>0</v>
          </cell>
        </row>
        <row r="28">
          <cell r="B28">
            <v>0</v>
          </cell>
        </row>
        <row r="29">
          <cell r="B29">
            <v>0</v>
          </cell>
        </row>
        <row r="30">
          <cell r="B30">
            <v>0</v>
          </cell>
        </row>
        <row r="31">
          <cell r="B31">
            <v>0</v>
          </cell>
        </row>
        <row r="32">
          <cell r="B32">
            <v>0</v>
          </cell>
        </row>
        <row r="33">
          <cell r="B33">
            <v>0</v>
          </cell>
        </row>
        <row r="34">
          <cell r="B34">
            <v>0</v>
          </cell>
        </row>
        <row r="35">
          <cell r="B35">
            <v>0</v>
          </cell>
        </row>
        <row r="36">
          <cell r="B36">
            <v>0</v>
          </cell>
        </row>
        <row r="37">
          <cell r="B37">
            <v>0</v>
          </cell>
        </row>
        <row r="38">
          <cell r="B38">
            <v>0</v>
          </cell>
        </row>
        <row r="39">
          <cell r="B39">
            <v>0</v>
          </cell>
        </row>
        <row r="40">
          <cell r="B40">
            <v>0</v>
          </cell>
        </row>
        <row r="41">
          <cell r="B41">
            <v>0</v>
          </cell>
        </row>
        <row r="42">
          <cell r="B42">
            <v>0</v>
          </cell>
        </row>
        <row r="43">
          <cell r="B43">
            <v>0</v>
          </cell>
        </row>
        <row r="44">
          <cell r="B44">
            <v>0</v>
          </cell>
        </row>
        <row r="45">
          <cell r="B45">
            <v>0</v>
          </cell>
        </row>
        <row r="46">
          <cell r="B46">
            <v>0</v>
          </cell>
        </row>
        <row r="47">
          <cell r="B47">
            <v>0</v>
          </cell>
        </row>
        <row r="48">
          <cell r="B48">
            <v>0</v>
          </cell>
        </row>
        <row r="49">
          <cell r="B49">
            <v>0</v>
          </cell>
        </row>
        <row r="50">
          <cell r="B50">
            <v>0</v>
          </cell>
        </row>
        <row r="51">
          <cell r="B51">
            <v>0</v>
          </cell>
        </row>
        <row r="52">
          <cell r="B52">
            <v>0</v>
          </cell>
        </row>
        <row r="53">
          <cell r="B53">
            <v>0</v>
          </cell>
        </row>
        <row r="54">
          <cell r="B54">
            <v>0</v>
          </cell>
        </row>
        <row r="55">
          <cell r="B55">
            <v>0</v>
          </cell>
        </row>
        <row r="56">
          <cell r="B56">
            <v>0</v>
          </cell>
        </row>
        <row r="57">
          <cell r="B57">
            <v>0</v>
          </cell>
        </row>
        <row r="58">
          <cell r="B58">
            <v>0</v>
          </cell>
        </row>
        <row r="59">
          <cell r="B59">
            <v>0</v>
          </cell>
        </row>
        <row r="60">
          <cell r="B60">
            <v>0</v>
          </cell>
        </row>
        <row r="61">
          <cell r="B61">
            <v>0</v>
          </cell>
        </row>
        <row r="62">
          <cell r="B62">
            <v>0</v>
          </cell>
        </row>
        <row r="63">
          <cell r="B63">
            <v>0</v>
          </cell>
        </row>
        <row r="64">
          <cell r="B64">
            <v>0</v>
          </cell>
        </row>
        <row r="65">
          <cell r="B65">
            <v>0</v>
          </cell>
        </row>
        <row r="66">
          <cell r="B66">
            <v>0</v>
          </cell>
        </row>
        <row r="67">
          <cell r="B67">
            <v>0</v>
          </cell>
        </row>
        <row r="68">
          <cell r="B68">
            <v>0</v>
          </cell>
        </row>
        <row r="69">
          <cell r="B69">
            <v>0</v>
          </cell>
        </row>
        <row r="70">
          <cell r="B70">
            <v>0</v>
          </cell>
        </row>
        <row r="71">
          <cell r="B71">
            <v>0</v>
          </cell>
        </row>
        <row r="72">
          <cell r="B72">
            <v>0</v>
          </cell>
        </row>
        <row r="73">
          <cell r="B73">
            <v>0</v>
          </cell>
        </row>
        <row r="74">
          <cell r="B74">
            <v>0</v>
          </cell>
        </row>
        <row r="75">
          <cell r="B75">
            <v>0</v>
          </cell>
        </row>
        <row r="76">
          <cell r="B76">
            <v>0</v>
          </cell>
        </row>
        <row r="77">
          <cell r="B77">
            <v>0</v>
          </cell>
        </row>
        <row r="78">
          <cell r="B78">
            <v>0</v>
          </cell>
        </row>
        <row r="79">
          <cell r="B79">
            <v>0</v>
          </cell>
        </row>
        <row r="80">
          <cell r="B80">
            <v>0</v>
          </cell>
        </row>
        <row r="81">
          <cell r="B81">
            <v>0</v>
          </cell>
        </row>
        <row r="82">
          <cell r="B82">
            <v>0</v>
          </cell>
        </row>
        <row r="83">
          <cell r="B83">
            <v>0</v>
          </cell>
        </row>
        <row r="84">
          <cell r="B84">
            <v>0</v>
          </cell>
        </row>
        <row r="85">
          <cell r="B85">
            <v>0</v>
          </cell>
        </row>
        <row r="86">
          <cell r="B86">
            <v>0</v>
          </cell>
        </row>
        <row r="87">
          <cell r="B87">
            <v>0</v>
          </cell>
        </row>
        <row r="88">
          <cell r="B88">
            <v>0</v>
          </cell>
        </row>
        <row r="89">
          <cell r="B89">
            <v>0</v>
          </cell>
        </row>
        <row r="90">
          <cell r="B90">
            <v>0</v>
          </cell>
        </row>
        <row r="91">
          <cell r="B91">
            <v>0</v>
          </cell>
        </row>
        <row r="92">
          <cell r="B92">
            <v>0</v>
          </cell>
        </row>
        <row r="93">
          <cell r="B93">
            <v>0</v>
          </cell>
        </row>
        <row r="94">
          <cell r="B94">
            <v>0</v>
          </cell>
        </row>
        <row r="95">
          <cell r="B95">
            <v>0</v>
          </cell>
        </row>
        <row r="96">
          <cell r="B96">
            <v>0</v>
          </cell>
        </row>
        <row r="97">
          <cell r="B97">
            <v>0</v>
          </cell>
        </row>
        <row r="98">
          <cell r="B98">
            <v>0</v>
          </cell>
        </row>
        <row r="99">
          <cell r="B99">
            <v>0</v>
          </cell>
        </row>
        <row r="100">
          <cell r="B100">
            <v>0</v>
          </cell>
        </row>
        <row r="101">
          <cell r="B101">
            <v>0</v>
          </cell>
        </row>
        <row r="102">
          <cell r="B102">
            <v>0</v>
          </cell>
        </row>
        <row r="103">
          <cell r="B103">
            <v>0</v>
          </cell>
        </row>
        <row r="104">
          <cell r="B104">
            <v>0</v>
          </cell>
        </row>
        <row r="105">
          <cell r="B105">
            <v>0</v>
          </cell>
        </row>
        <row r="106">
          <cell r="B106">
            <v>0</v>
          </cell>
        </row>
        <row r="107">
          <cell r="B107">
            <v>0</v>
          </cell>
        </row>
        <row r="108">
          <cell r="B108">
            <v>0</v>
          </cell>
        </row>
        <row r="109">
          <cell r="B109">
            <v>0</v>
          </cell>
        </row>
        <row r="110">
          <cell r="B110">
            <v>0</v>
          </cell>
        </row>
        <row r="111">
          <cell r="B111">
            <v>0</v>
          </cell>
        </row>
        <row r="112">
          <cell r="B112">
            <v>0</v>
          </cell>
        </row>
        <row r="113">
          <cell r="B113">
            <v>0</v>
          </cell>
        </row>
        <row r="114">
          <cell r="B114">
            <v>0</v>
          </cell>
        </row>
        <row r="115">
          <cell r="B115">
            <v>0</v>
          </cell>
        </row>
        <row r="116">
          <cell r="B116">
            <v>0</v>
          </cell>
        </row>
        <row r="117">
          <cell r="B117">
            <v>0</v>
          </cell>
        </row>
        <row r="118">
          <cell r="B118">
            <v>0</v>
          </cell>
        </row>
        <row r="119">
          <cell r="B119">
            <v>0</v>
          </cell>
        </row>
        <row r="120">
          <cell r="B120">
            <v>0</v>
          </cell>
        </row>
        <row r="121">
          <cell r="B121">
            <v>0</v>
          </cell>
        </row>
        <row r="122">
          <cell r="B122">
            <v>0</v>
          </cell>
        </row>
        <row r="123">
          <cell r="B123">
            <v>0</v>
          </cell>
        </row>
        <row r="124">
          <cell r="B124">
            <v>0</v>
          </cell>
        </row>
        <row r="125">
          <cell r="B125">
            <v>0</v>
          </cell>
        </row>
        <row r="126">
          <cell r="B126">
            <v>0</v>
          </cell>
        </row>
        <row r="127">
          <cell r="B127">
            <v>0</v>
          </cell>
        </row>
        <row r="128">
          <cell r="B128">
            <v>0</v>
          </cell>
        </row>
        <row r="129">
          <cell r="B129">
            <v>0</v>
          </cell>
        </row>
        <row r="130">
          <cell r="B130">
            <v>0</v>
          </cell>
        </row>
        <row r="131">
          <cell r="B131">
            <v>0</v>
          </cell>
        </row>
        <row r="132">
          <cell r="B132">
            <v>0</v>
          </cell>
        </row>
        <row r="133">
          <cell r="B133">
            <v>0</v>
          </cell>
        </row>
        <row r="134">
          <cell r="B134">
            <v>0</v>
          </cell>
        </row>
        <row r="135">
          <cell r="B135">
            <v>0</v>
          </cell>
        </row>
        <row r="136">
          <cell r="B136">
            <v>0</v>
          </cell>
        </row>
        <row r="137">
          <cell r="B137">
            <v>0</v>
          </cell>
        </row>
        <row r="138">
          <cell r="B138">
            <v>0</v>
          </cell>
        </row>
        <row r="139">
          <cell r="B139">
            <v>0</v>
          </cell>
        </row>
        <row r="140">
          <cell r="B140">
            <v>0</v>
          </cell>
        </row>
        <row r="141">
          <cell r="B141">
            <v>0</v>
          </cell>
        </row>
        <row r="142">
          <cell r="B142">
            <v>0</v>
          </cell>
        </row>
        <row r="143">
          <cell r="B143">
            <v>0</v>
          </cell>
        </row>
        <row r="144">
          <cell r="B144">
            <v>0</v>
          </cell>
        </row>
        <row r="145">
          <cell r="B145">
            <v>0</v>
          </cell>
        </row>
        <row r="146">
          <cell r="B146">
            <v>0</v>
          </cell>
        </row>
        <row r="147">
          <cell r="B147">
            <v>0</v>
          </cell>
        </row>
        <row r="148">
          <cell r="B148">
            <v>0</v>
          </cell>
        </row>
        <row r="149">
          <cell r="B149">
            <v>0</v>
          </cell>
        </row>
        <row r="150">
          <cell r="B150">
            <v>0</v>
          </cell>
        </row>
        <row r="151">
          <cell r="B151">
            <v>0</v>
          </cell>
        </row>
        <row r="152">
          <cell r="B152">
            <v>0</v>
          </cell>
        </row>
        <row r="153">
          <cell r="B153">
            <v>0</v>
          </cell>
        </row>
        <row r="154">
          <cell r="B154">
            <v>0</v>
          </cell>
        </row>
        <row r="155">
          <cell r="B155">
            <v>0</v>
          </cell>
        </row>
        <row r="156">
          <cell r="B156">
            <v>0</v>
          </cell>
        </row>
        <row r="157">
          <cell r="B157">
            <v>0</v>
          </cell>
        </row>
        <row r="158">
          <cell r="B158">
            <v>0</v>
          </cell>
        </row>
        <row r="159">
          <cell r="B159">
            <v>0</v>
          </cell>
        </row>
        <row r="160">
          <cell r="B160">
            <v>0</v>
          </cell>
        </row>
        <row r="161">
          <cell r="B161">
            <v>0</v>
          </cell>
        </row>
        <row r="162">
          <cell r="B162">
            <v>0</v>
          </cell>
        </row>
        <row r="163">
          <cell r="B163">
            <v>0</v>
          </cell>
        </row>
        <row r="164">
          <cell r="B164">
            <v>0</v>
          </cell>
        </row>
        <row r="165">
          <cell r="B165">
            <v>0</v>
          </cell>
        </row>
        <row r="166">
          <cell r="B166">
            <v>0</v>
          </cell>
        </row>
        <row r="167">
          <cell r="B167">
            <v>0</v>
          </cell>
        </row>
        <row r="168">
          <cell r="B168">
            <v>0</v>
          </cell>
        </row>
        <row r="169">
          <cell r="B169">
            <v>0</v>
          </cell>
        </row>
        <row r="170">
          <cell r="B170">
            <v>0</v>
          </cell>
        </row>
        <row r="171">
          <cell r="B171">
            <v>0</v>
          </cell>
        </row>
        <row r="172">
          <cell r="B172">
            <v>0</v>
          </cell>
        </row>
        <row r="173">
          <cell r="B173">
            <v>0</v>
          </cell>
        </row>
        <row r="174">
          <cell r="B174">
            <v>0</v>
          </cell>
        </row>
        <row r="175">
          <cell r="B175">
            <v>0</v>
          </cell>
        </row>
        <row r="176">
          <cell r="B176">
            <v>0</v>
          </cell>
        </row>
        <row r="177">
          <cell r="B177">
            <v>0</v>
          </cell>
        </row>
        <row r="178">
          <cell r="B178">
            <v>0</v>
          </cell>
        </row>
        <row r="179">
          <cell r="B179">
            <v>0</v>
          </cell>
        </row>
        <row r="180">
          <cell r="B180">
            <v>0</v>
          </cell>
        </row>
        <row r="181">
          <cell r="B181">
            <v>0</v>
          </cell>
        </row>
        <row r="182">
          <cell r="B182">
            <v>0</v>
          </cell>
        </row>
        <row r="183">
          <cell r="B183">
            <v>0</v>
          </cell>
        </row>
        <row r="184">
          <cell r="B184">
            <v>0</v>
          </cell>
        </row>
        <row r="185">
          <cell r="B185">
            <v>0</v>
          </cell>
        </row>
        <row r="186">
          <cell r="B186">
            <v>0</v>
          </cell>
        </row>
        <row r="187">
          <cell r="B187">
            <v>0</v>
          </cell>
        </row>
        <row r="188">
          <cell r="B188">
            <v>0</v>
          </cell>
        </row>
        <row r="189">
          <cell r="B189">
            <v>0</v>
          </cell>
        </row>
        <row r="190">
          <cell r="B190">
            <v>0</v>
          </cell>
        </row>
        <row r="191">
          <cell r="B191">
            <v>0</v>
          </cell>
        </row>
        <row r="192">
          <cell r="B192">
            <v>0</v>
          </cell>
        </row>
        <row r="193">
          <cell r="B193">
            <v>0</v>
          </cell>
        </row>
        <row r="194">
          <cell r="B194">
            <v>0</v>
          </cell>
        </row>
        <row r="195">
          <cell r="B195">
            <v>0</v>
          </cell>
        </row>
        <row r="196">
          <cell r="B196">
            <v>0</v>
          </cell>
        </row>
        <row r="197">
          <cell r="B197">
            <v>0</v>
          </cell>
        </row>
        <row r="198">
          <cell r="B198">
            <v>0</v>
          </cell>
        </row>
        <row r="199">
          <cell r="B199">
            <v>0</v>
          </cell>
        </row>
        <row r="200">
          <cell r="B200">
            <v>0</v>
          </cell>
        </row>
        <row r="201">
          <cell r="B201">
            <v>0</v>
          </cell>
        </row>
        <row r="202">
          <cell r="B202">
            <v>0</v>
          </cell>
        </row>
        <row r="203">
          <cell r="B203">
            <v>0</v>
          </cell>
        </row>
        <row r="204">
          <cell r="B204">
            <v>0</v>
          </cell>
        </row>
        <row r="205">
          <cell r="B205">
            <v>0</v>
          </cell>
        </row>
        <row r="206">
          <cell r="B206">
            <v>0</v>
          </cell>
        </row>
        <row r="207">
          <cell r="B207">
            <v>0</v>
          </cell>
        </row>
        <row r="208">
          <cell r="B208">
            <v>0</v>
          </cell>
        </row>
        <row r="209">
          <cell r="B209">
            <v>0</v>
          </cell>
        </row>
        <row r="210">
          <cell r="B210">
            <v>0</v>
          </cell>
        </row>
        <row r="211">
          <cell r="B211">
            <v>0</v>
          </cell>
        </row>
        <row r="212">
          <cell r="B212">
            <v>0</v>
          </cell>
        </row>
        <row r="213">
          <cell r="B213">
            <v>0</v>
          </cell>
        </row>
        <row r="214">
          <cell r="B214">
            <v>0</v>
          </cell>
        </row>
        <row r="215">
          <cell r="B215">
            <v>0</v>
          </cell>
        </row>
        <row r="216">
          <cell r="B216">
            <v>0</v>
          </cell>
        </row>
        <row r="217">
          <cell r="B217">
            <v>0</v>
          </cell>
        </row>
        <row r="218">
          <cell r="B218">
            <v>0</v>
          </cell>
        </row>
        <row r="219">
          <cell r="B219">
            <v>0</v>
          </cell>
        </row>
        <row r="220">
          <cell r="B220">
            <v>0</v>
          </cell>
        </row>
        <row r="221">
          <cell r="B221">
            <v>0</v>
          </cell>
        </row>
        <row r="222">
          <cell r="B222">
            <v>0</v>
          </cell>
        </row>
        <row r="223">
          <cell r="B223">
            <v>0</v>
          </cell>
        </row>
        <row r="224">
          <cell r="B224">
            <v>0</v>
          </cell>
        </row>
        <row r="225">
          <cell r="B225">
            <v>0</v>
          </cell>
        </row>
        <row r="226">
          <cell r="B226">
            <v>0</v>
          </cell>
        </row>
        <row r="227">
          <cell r="B227">
            <v>0</v>
          </cell>
        </row>
        <row r="228">
          <cell r="B228">
            <v>0</v>
          </cell>
        </row>
        <row r="229">
          <cell r="B229">
            <v>0</v>
          </cell>
        </row>
        <row r="230">
          <cell r="B230">
            <v>0</v>
          </cell>
        </row>
        <row r="231">
          <cell r="B231">
            <v>0</v>
          </cell>
        </row>
        <row r="232">
          <cell r="B232">
            <v>0</v>
          </cell>
        </row>
        <row r="233">
          <cell r="B233">
            <v>0</v>
          </cell>
        </row>
        <row r="234">
          <cell r="B234">
            <v>0</v>
          </cell>
        </row>
        <row r="235">
          <cell r="B235">
            <v>0</v>
          </cell>
        </row>
        <row r="236">
          <cell r="B236">
            <v>0</v>
          </cell>
        </row>
        <row r="237">
          <cell r="B237">
            <v>0</v>
          </cell>
        </row>
        <row r="238">
          <cell r="B238">
            <v>0</v>
          </cell>
        </row>
        <row r="239">
          <cell r="B239">
            <v>0</v>
          </cell>
        </row>
        <row r="240">
          <cell r="B240">
            <v>0</v>
          </cell>
        </row>
        <row r="241">
          <cell r="B241">
            <v>0</v>
          </cell>
        </row>
        <row r="242">
          <cell r="B242">
            <v>0</v>
          </cell>
        </row>
        <row r="243">
          <cell r="B243">
            <v>0</v>
          </cell>
        </row>
        <row r="244">
          <cell r="B244">
            <v>0</v>
          </cell>
        </row>
        <row r="245">
          <cell r="B245">
            <v>0</v>
          </cell>
        </row>
        <row r="246">
          <cell r="B246">
            <v>0</v>
          </cell>
        </row>
        <row r="247">
          <cell r="B247">
            <v>0</v>
          </cell>
        </row>
        <row r="248">
          <cell r="B248">
            <v>0</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0</v>
          </cell>
        </row>
        <row r="260">
          <cell r="B260">
            <v>0</v>
          </cell>
        </row>
        <row r="261">
          <cell r="B261">
            <v>0</v>
          </cell>
        </row>
        <row r="262">
          <cell r="B262">
            <v>0</v>
          </cell>
        </row>
        <row r="263">
          <cell r="B263">
            <v>0</v>
          </cell>
        </row>
        <row r="264">
          <cell r="B264">
            <v>0</v>
          </cell>
        </row>
        <row r="265">
          <cell r="B265">
            <v>0</v>
          </cell>
        </row>
        <row r="266">
          <cell r="B266">
            <v>0</v>
          </cell>
        </row>
        <row r="267">
          <cell r="B267">
            <v>0</v>
          </cell>
        </row>
        <row r="268">
          <cell r="B268">
            <v>0</v>
          </cell>
        </row>
        <row r="269">
          <cell r="B269">
            <v>0</v>
          </cell>
        </row>
        <row r="270">
          <cell r="B270">
            <v>0</v>
          </cell>
        </row>
        <row r="271">
          <cell r="B271">
            <v>0</v>
          </cell>
        </row>
        <row r="272">
          <cell r="B272">
            <v>0</v>
          </cell>
        </row>
        <row r="273">
          <cell r="B273">
            <v>0</v>
          </cell>
        </row>
        <row r="274">
          <cell r="B274">
            <v>0</v>
          </cell>
        </row>
        <row r="275">
          <cell r="B275">
            <v>0</v>
          </cell>
        </row>
        <row r="276">
          <cell r="B276">
            <v>0</v>
          </cell>
        </row>
        <row r="277">
          <cell r="B277">
            <v>0</v>
          </cell>
        </row>
        <row r="278">
          <cell r="B278">
            <v>0</v>
          </cell>
        </row>
        <row r="279">
          <cell r="B279">
            <v>0</v>
          </cell>
        </row>
        <row r="280">
          <cell r="B280">
            <v>0</v>
          </cell>
        </row>
        <row r="281">
          <cell r="B281">
            <v>0</v>
          </cell>
        </row>
        <row r="282">
          <cell r="B282">
            <v>0</v>
          </cell>
        </row>
        <row r="283">
          <cell r="B283">
            <v>0</v>
          </cell>
        </row>
        <row r="284">
          <cell r="B284">
            <v>0</v>
          </cell>
        </row>
        <row r="285">
          <cell r="B285">
            <v>0</v>
          </cell>
        </row>
        <row r="286">
          <cell r="B286">
            <v>0</v>
          </cell>
        </row>
        <row r="287">
          <cell r="B287">
            <v>0</v>
          </cell>
        </row>
        <row r="288">
          <cell r="B288">
            <v>0</v>
          </cell>
        </row>
        <row r="289">
          <cell r="B289">
            <v>0</v>
          </cell>
        </row>
        <row r="290">
          <cell r="B290">
            <v>0</v>
          </cell>
        </row>
        <row r="291">
          <cell r="B291">
            <v>0</v>
          </cell>
        </row>
        <row r="292">
          <cell r="B292">
            <v>0</v>
          </cell>
        </row>
        <row r="293">
          <cell r="B293">
            <v>0</v>
          </cell>
        </row>
        <row r="294">
          <cell r="B294">
            <v>0</v>
          </cell>
        </row>
        <row r="295">
          <cell r="B295">
            <v>0</v>
          </cell>
        </row>
        <row r="296">
          <cell r="B296">
            <v>0</v>
          </cell>
        </row>
        <row r="297">
          <cell r="B297">
            <v>0</v>
          </cell>
        </row>
        <row r="298">
          <cell r="B298">
            <v>0</v>
          </cell>
        </row>
        <row r="299">
          <cell r="B299">
            <v>0</v>
          </cell>
        </row>
        <row r="300">
          <cell r="B300">
            <v>0</v>
          </cell>
        </row>
        <row r="301">
          <cell r="B301">
            <v>0</v>
          </cell>
        </row>
        <row r="302">
          <cell r="B302">
            <v>0</v>
          </cell>
        </row>
        <row r="303">
          <cell r="B303">
            <v>0</v>
          </cell>
        </row>
        <row r="304">
          <cell r="B304">
            <v>0</v>
          </cell>
        </row>
        <row r="305">
          <cell r="B305">
            <v>0</v>
          </cell>
        </row>
        <row r="306">
          <cell r="B306">
            <v>0</v>
          </cell>
        </row>
        <row r="307">
          <cell r="B307">
            <v>0</v>
          </cell>
        </row>
        <row r="308">
          <cell r="B308">
            <v>0</v>
          </cell>
        </row>
        <row r="309">
          <cell r="B309">
            <v>0</v>
          </cell>
        </row>
        <row r="310">
          <cell r="B310">
            <v>0</v>
          </cell>
        </row>
        <row r="311">
          <cell r="B311">
            <v>0</v>
          </cell>
        </row>
        <row r="312">
          <cell r="B312">
            <v>0</v>
          </cell>
        </row>
        <row r="313">
          <cell r="B313">
            <v>0</v>
          </cell>
        </row>
      </sheetData>
      <sheetData sheetId="1"/>
      <sheetData sheetId="2"/>
      <sheetData sheetId="3"/>
      <sheetData sheetId="4"/>
      <sheetData sheetId="5"/>
      <sheetData sheetId="6"/>
      <sheetData sheetId="7"/>
      <sheetData sheetId="8"/>
      <sheetData sheetId="9"/>
      <sheetData sheetId="10"/>
      <sheetData sheetId="1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70C0"/>
  </sheetPr>
  <dimension ref="B2:DQ35"/>
  <sheetViews>
    <sheetView showGridLines="0" tabSelected="1" topLeftCell="X1" zoomScale="85" zoomScaleNormal="85" workbookViewId="0">
      <selection activeCell="AJ18" sqref="AJ18"/>
    </sheetView>
  </sheetViews>
  <sheetFormatPr defaultColWidth="8.7109375" defaultRowHeight="16.5" outlineLevelRow="1" x14ac:dyDescent="0.3"/>
  <cols>
    <col min="1" max="1" width="3.85546875" style="2" customWidth="1"/>
    <col min="2" max="2" width="26.85546875" style="2" customWidth="1"/>
    <col min="3" max="3" width="46.42578125" style="2" customWidth="1"/>
    <col min="4" max="4" width="12.85546875" style="2" customWidth="1"/>
    <col min="5" max="5" width="1.42578125" style="6" customWidth="1"/>
    <col min="6" max="59" width="8.7109375" style="6" customWidth="1"/>
    <col min="60" max="60" width="1.85546875" style="6" customWidth="1"/>
    <col min="61" max="121" width="8.7109375" style="6" hidden="1" customWidth="1"/>
    <col min="122" max="16384" width="8.7109375" style="2"/>
  </cols>
  <sheetData>
    <row r="2" spans="2:121" x14ac:dyDescent="0.3">
      <c r="B2" s="29" t="s">
        <v>68</v>
      </c>
      <c r="C2" s="30"/>
      <c r="D2" s="30"/>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13"/>
      <c r="AK2" s="13"/>
      <c r="AL2" s="13"/>
      <c r="AM2" s="13"/>
      <c r="AN2" s="13"/>
      <c r="AO2" s="13"/>
      <c r="AP2" s="13"/>
      <c r="AQ2" s="13"/>
      <c r="AR2" s="13"/>
      <c r="AS2" s="13"/>
      <c r="AT2" s="13"/>
      <c r="AU2" s="13"/>
      <c r="AV2" s="13"/>
      <c r="AW2" s="13"/>
      <c r="AX2" s="13"/>
      <c r="AY2" s="13"/>
      <c r="AZ2" s="13"/>
      <c r="BA2" s="13"/>
      <c r="BB2" s="13"/>
      <c r="BC2" s="13"/>
      <c r="BD2" s="13"/>
      <c r="BE2" s="13"/>
      <c r="BF2" s="13"/>
      <c r="BG2" s="13"/>
      <c r="BH2" s="13"/>
      <c r="BI2" s="13"/>
      <c r="BJ2" s="13"/>
      <c r="BK2" s="13"/>
      <c r="BL2" s="13"/>
      <c r="BM2" s="13"/>
      <c r="BN2" s="13"/>
      <c r="BO2" s="13"/>
      <c r="BP2" s="13"/>
      <c r="BQ2" s="13"/>
      <c r="BR2" s="13"/>
      <c r="BS2" s="13"/>
      <c r="BT2" s="13"/>
      <c r="BU2" s="13"/>
      <c r="BV2" s="13"/>
      <c r="BW2" s="13"/>
      <c r="BX2" s="13"/>
      <c r="BY2" s="13"/>
      <c r="BZ2" s="13"/>
      <c r="CA2" s="13"/>
      <c r="CB2" s="13"/>
      <c r="CC2" s="13"/>
      <c r="CD2" s="13"/>
      <c r="CE2" s="13"/>
      <c r="CF2" s="13"/>
      <c r="CG2" s="13"/>
      <c r="CH2" s="13"/>
      <c r="CI2" s="13"/>
      <c r="CJ2" s="13"/>
      <c r="CK2" s="13"/>
      <c r="CL2" s="13"/>
      <c r="CM2" s="13"/>
      <c r="CN2" s="13"/>
      <c r="CO2" s="13"/>
      <c r="CP2" s="13"/>
      <c r="CQ2" s="13"/>
      <c r="CR2" s="13"/>
      <c r="CS2" s="13"/>
      <c r="CT2" s="13"/>
      <c r="CU2" s="13"/>
      <c r="CV2" s="13"/>
      <c r="CW2" s="13"/>
      <c r="CX2" s="13"/>
      <c r="CY2" s="13"/>
      <c r="CZ2" s="13"/>
      <c r="DA2" s="13"/>
      <c r="DB2" s="13"/>
      <c r="DC2" s="13"/>
      <c r="DD2" s="13"/>
      <c r="DE2" s="13"/>
      <c r="DF2" s="13"/>
      <c r="DG2" s="13"/>
      <c r="DH2" s="13"/>
      <c r="DI2" s="13"/>
      <c r="DJ2" s="13"/>
      <c r="DK2" s="13"/>
      <c r="DL2" s="13"/>
      <c r="DM2" s="13"/>
      <c r="DN2" s="13"/>
      <c r="DO2" s="13"/>
      <c r="DP2" s="13"/>
      <c r="DQ2" s="13"/>
    </row>
    <row r="3" spans="2:121" x14ac:dyDescent="0.3">
      <c r="B3" s="1"/>
    </row>
    <row r="4" spans="2:121" hidden="1" outlineLevel="1" x14ac:dyDescent="0.3">
      <c r="B4" s="2" t="s">
        <v>80</v>
      </c>
      <c r="C4" s="3">
        <v>18</v>
      </c>
    </row>
    <row r="5" spans="2:121" s="6" customFormat="1" ht="13.5" customHeight="1" collapsed="1" x14ac:dyDescent="0.3">
      <c r="B5" s="39" t="s">
        <v>3</v>
      </c>
      <c r="C5" s="40"/>
      <c r="D5" s="41"/>
    </row>
    <row r="6" spans="2:121" s="6" customFormat="1" x14ac:dyDescent="0.3">
      <c r="B6" s="24" t="s">
        <v>81</v>
      </c>
      <c r="C6" s="25"/>
      <c r="D6" s="26"/>
    </row>
    <row r="7" spans="2:121" s="6" customFormat="1" x14ac:dyDescent="0.3">
      <c r="B7" s="24" t="s">
        <v>82</v>
      </c>
      <c r="C7" s="25"/>
      <c r="D7" s="26"/>
    </row>
    <row r="8" spans="2:121" s="6" customFormat="1" x14ac:dyDescent="0.3">
      <c r="B8" s="27" t="s">
        <v>70</v>
      </c>
      <c r="C8" s="28" t="s">
        <v>88</v>
      </c>
      <c r="D8" s="26"/>
    </row>
    <row r="9" spans="2:121" s="6" customFormat="1" ht="68.099999999999994" customHeight="1" x14ac:dyDescent="0.3">
      <c r="B9" s="48" t="s">
        <v>83</v>
      </c>
      <c r="C9" s="49"/>
      <c r="D9" s="50"/>
    </row>
    <row r="10" spans="2:121" ht="12.75" x14ac:dyDescent="0.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c r="BR10" s="2"/>
      <c r="BS10" s="2"/>
      <c r="BT10" s="2"/>
      <c r="BU10" s="2"/>
      <c r="BV10" s="2"/>
      <c r="BW10" s="2"/>
      <c r="BX10" s="2"/>
      <c r="BY10" s="2"/>
      <c r="BZ10" s="2"/>
      <c r="CA10" s="2"/>
      <c r="CB10" s="2"/>
      <c r="CC10" s="2"/>
      <c r="CD10" s="2"/>
      <c r="CE10" s="2"/>
      <c r="CF10" s="2"/>
      <c r="CG10" s="2"/>
      <c r="CH10" s="2"/>
      <c r="CI10" s="2"/>
      <c r="CJ10" s="2"/>
      <c r="CK10" s="2"/>
      <c r="CL10" s="2"/>
      <c r="CM10" s="2"/>
      <c r="CN10" s="2"/>
      <c r="CO10" s="2"/>
      <c r="CP10" s="2"/>
      <c r="CQ10" s="2"/>
      <c r="CR10" s="2"/>
      <c r="CS10" s="2"/>
      <c r="CT10" s="2"/>
      <c r="CU10" s="2"/>
      <c r="CV10" s="2"/>
      <c r="CW10" s="2"/>
      <c r="CX10" s="2"/>
      <c r="CY10" s="2"/>
      <c r="CZ10" s="2"/>
      <c r="DA10" s="2"/>
      <c r="DB10" s="2"/>
      <c r="DC10" s="2"/>
      <c r="DD10" s="2"/>
      <c r="DE10" s="2"/>
      <c r="DF10" s="2"/>
      <c r="DG10" s="2"/>
      <c r="DH10" s="2"/>
      <c r="DI10" s="2"/>
      <c r="DJ10" s="2"/>
      <c r="DK10" s="2"/>
      <c r="DL10" s="2"/>
      <c r="DM10" s="2"/>
      <c r="DN10" s="2"/>
      <c r="DO10" s="2"/>
      <c r="DP10" s="2"/>
      <c r="DQ10" s="2"/>
    </row>
    <row r="11" spans="2:121" s="13" customFormat="1" x14ac:dyDescent="0.2">
      <c r="B11" s="31" t="s">
        <v>79</v>
      </c>
      <c r="C11" s="31"/>
    </row>
    <row r="12" spans="2:121" s="13" customFormat="1" x14ac:dyDescent="0.3">
      <c r="B12" s="32"/>
      <c r="C12" s="32"/>
      <c r="D12" s="33"/>
    </row>
    <row r="13" spans="2:121" ht="14.45" customHeight="1" x14ac:dyDescent="0.3">
      <c r="B13" s="21"/>
      <c r="C13" s="22"/>
      <c r="D13" s="23"/>
      <c r="E13" s="14"/>
      <c r="F13" s="42" t="s">
        <v>7</v>
      </c>
      <c r="G13" s="43"/>
      <c r="H13" s="43"/>
      <c r="I13" s="43"/>
      <c r="J13" s="43"/>
      <c r="K13" s="43"/>
      <c r="L13" s="43"/>
      <c r="M13" s="43"/>
      <c r="N13" s="43"/>
      <c r="O13" s="43"/>
      <c r="P13" s="43"/>
      <c r="Q13" s="43"/>
      <c r="R13" s="43"/>
      <c r="S13" s="43"/>
      <c r="T13" s="43"/>
      <c r="U13" s="43"/>
      <c r="V13" s="43"/>
      <c r="W13" s="44"/>
      <c r="X13" s="45" t="s">
        <v>23</v>
      </c>
      <c r="Y13" s="46"/>
      <c r="Z13" s="46"/>
      <c r="AA13" s="46"/>
      <c r="AB13" s="46"/>
      <c r="AC13" s="46"/>
      <c r="AD13" s="46"/>
      <c r="AE13" s="46"/>
      <c r="AF13" s="46"/>
      <c r="AG13" s="46"/>
      <c r="AH13" s="46"/>
      <c r="AI13" s="46"/>
      <c r="AJ13" s="46"/>
      <c r="AK13" s="46"/>
      <c r="AL13" s="46"/>
      <c r="AM13" s="46"/>
      <c r="AN13" s="46"/>
      <c r="AO13" s="46"/>
      <c r="AP13" s="47" t="s">
        <v>34</v>
      </c>
      <c r="AQ13" s="46"/>
      <c r="AR13" s="46"/>
      <c r="AS13" s="46"/>
      <c r="AT13" s="46"/>
      <c r="AU13" s="46"/>
      <c r="AV13" s="46"/>
      <c r="AW13" s="46"/>
      <c r="AX13" s="46"/>
      <c r="AY13" s="46"/>
      <c r="AZ13" s="46"/>
      <c r="BA13" s="46"/>
      <c r="BB13" s="46"/>
      <c r="BC13" s="46"/>
      <c r="BD13" s="46"/>
      <c r="BE13" s="46"/>
      <c r="BF13" s="46"/>
      <c r="BG13" s="46"/>
      <c r="BH13" s="14"/>
      <c r="BI13" s="35" t="s">
        <v>7</v>
      </c>
      <c r="BJ13" s="36"/>
      <c r="BK13" s="36"/>
      <c r="BL13" s="36"/>
      <c r="BM13" s="36"/>
      <c r="BN13" s="36"/>
      <c r="BO13" s="36"/>
      <c r="BP13" s="36"/>
      <c r="BQ13" s="36"/>
      <c r="BR13" s="36"/>
      <c r="BS13" s="36"/>
      <c r="BT13" s="36"/>
      <c r="BU13" s="36"/>
      <c r="BV13" s="36"/>
      <c r="BW13" s="36"/>
      <c r="BX13" s="36"/>
      <c r="BY13" s="36"/>
      <c r="BZ13" s="36"/>
      <c r="CA13" s="37" t="s">
        <v>23</v>
      </c>
      <c r="CB13" s="38"/>
      <c r="CC13" s="38"/>
      <c r="CD13" s="38"/>
      <c r="CE13" s="38"/>
      <c r="CF13" s="38"/>
      <c r="CG13" s="38"/>
      <c r="CH13" s="38"/>
      <c r="CI13" s="38"/>
      <c r="CJ13" s="38"/>
      <c r="CK13" s="38"/>
      <c r="CL13" s="38"/>
      <c r="CM13" s="38"/>
      <c r="CN13" s="38"/>
      <c r="CO13" s="38"/>
      <c r="CP13" s="38"/>
      <c r="CQ13" s="38"/>
      <c r="CR13" s="38"/>
      <c r="CS13" s="38"/>
      <c r="CT13" s="35" t="s">
        <v>34</v>
      </c>
      <c r="CU13" s="35"/>
      <c r="CV13" s="35"/>
      <c r="CW13" s="35"/>
      <c r="CX13" s="35"/>
      <c r="CY13" s="35"/>
      <c r="CZ13" s="35"/>
      <c r="DA13" s="35"/>
      <c r="DB13" s="35"/>
      <c r="DC13" s="36"/>
      <c r="DD13" s="36"/>
      <c r="DE13" s="36"/>
      <c r="DF13" s="36"/>
      <c r="DG13" s="36"/>
      <c r="DH13" s="36"/>
      <c r="DI13" s="36"/>
      <c r="DJ13" s="36"/>
      <c r="DK13" s="36"/>
      <c r="DL13" s="36"/>
      <c r="DM13" s="36"/>
      <c r="DN13" s="36"/>
      <c r="DO13" s="36"/>
      <c r="DP13" s="36"/>
      <c r="DQ13" s="36"/>
    </row>
    <row r="14" spans="2:121" s="4" customFormat="1" ht="71.25" customHeight="1" x14ac:dyDescent="0.2">
      <c r="B14" s="34" t="s">
        <v>69</v>
      </c>
      <c r="C14" s="19" t="s">
        <v>1</v>
      </c>
      <c r="D14" s="20" t="s">
        <v>84</v>
      </c>
      <c r="E14" s="14"/>
      <c r="F14" s="15" t="s">
        <v>8</v>
      </c>
      <c r="G14" s="15" t="s">
        <v>71</v>
      </c>
      <c r="H14" s="15" t="s">
        <v>9</v>
      </c>
      <c r="I14" s="15" t="s">
        <v>10</v>
      </c>
      <c r="J14" s="15" t="s">
        <v>11</v>
      </c>
      <c r="K14" s="15" t="s">
        <v>12</v>
      </c>
      <c r="L14" s="15" t="s">
        <v>13</v>
      </c>
      <c r="M14" s="15" t="s">
        <v>72</v>
      </c>
      <c r="N14" s="15" t="s">
        <v>14</v>
      </c>
      <c r="O14" s="15" t="s">
        <v>15</v>
      </c>
      <c r="P14" s="15" t="s">
        <v>16</v>
      </c>
      <c r="Q14" s="15" t="s">
        <v>17</v>
      </c>
      <c r="R14" s="15" t="s">
        <v>18</v>
      </c>
      <c r="S14" s="15" t="s">
        <v>19</v>
      </c>
      <c r="T14" s="15" t="s">
        <v>20</v>
      </c>
      <c r="U14" s="15" t="s">
        <v>21</v>
      </c>
      <c r="V14" s="15" t="s">
        <v>22</v>
      </c>
      <c r="W14" s="15" t="s">
        <v>49</v>
      </c>
      <c r="X14" s="15" t="s">
        <v>24</v>
      </c>
      <c r="Y14" s="15" t="s">
        <v>27</v>
      </c>
      <c r="Z14" s="16" t="s">
        <v>50</v>
      </c>
      <c r="AA14" s="15" t="s">
        <v>26</v>
      </c>
      <c r="AB14" s="16" t="s">
        <v>25</v>
      </c>
      <c r="AC14" s="15" t="s">
        <v>51</v>
      </c>
      <c r="AD14" s="15" t="s">
        <v>52</v>
      </c>
      <c r="AE14" s="15" t="s">
        <v>53</v>
      </c>
      <c r="AF14" s="15" t="s">
        <v>0</v>
      </c>
      <c r="AG14" s="15" t="s">
        <v>28</v>
      </c>
      <c r="AH14" s="15" t="s">
        <v>54</v>
      </c>
      <c r="AI14" s="15" t="s">
        <v>29</v>
      </c>
      <c r="AJ14" s="15" t="s">
        <v>30</v>
      </c>
      <c r="AK14" s="15" t="s">
        <v>31</v>
      </c>
      <c r="AL14" s="15" t="s">
        <v>32</v>
      </c>
      <c r="AM14" s="16" t="s">
        <v>55</v>
      </c>
      <c r="AN14" s="16" t="s">
        <v>56</v>
      </c>
      <c r="AO14" s="15" t="s">
        <v>49</v>
      </c>
      <c r="AP14" s="15" t="s">
        <v>73</v>
      </c>
      <c r="AQ14" s="15" t="s">
        <v>57</v>
      </c>
      <c r="AR14" s="15" t="s">
        <v>58</v>
      </c>
      <c r="AS14" s="15" t="s">
        <v>59</v>
      </c>
      <c r="AT14" s="15" t="s">
        <v>60</v>
      </c>
      <c r="AU14" s="15" t="s">
        <v>61</v>
      </c>
      <c r="AV14" s="15" t="s">
        <v>62</v>
      </c>
      <c r="AW14" s="16" t="s">
        <v>74</v>
      </c>
      <c r="AX14" s="15" t="s">
        <v>75</v>
      </c>
      <c r="AY14" s="15" t="s">
        <v>36</v>
      </c>
      <c r="AZ14" s="15" t="s">
        <v>37</v>
      </c>
      <c r="BA14" s="15" t="s">
        <v>33</v>
      </c>
      <c r="BB14" s="15" t="s">
        <v>38</v>
      </c>
      <c r="BC14" s="15" t="s">
        <v>39</v>
      </c>
      <c r="BD14" s="15" t="s">
        <v>40</v>
      </c>
      <c r="BE14" s="15" t="s">
        <v>41</v>
      </c>
      <c r="BF14" s="15" t="s">
        <v>42</v>
      </c>
      <c r="BG14" s="15" t="s">
        <v>43</v>
      </c>
      <c r="BH14" s="14"/>
      <c r="BI14" s="15" t="s">
        <v>8</v>
      </c>
      <c r="BJ14" s="15" t="s">
        <v>76</v>
      </c>
      <c r="BK14" s="15" t="s">
        <v>9</v>
      </c>
      <c r="BL14" s="15" t="s">
        <v>10</v>
      </c>
      <c r="BM14" s="15" t="s">
        <v>11</v>
      </c>
      <c r="BN14" s="15" t="s">
        <v>12</v>
      </c>
      <c r="BO14" s="15" t="s">
        <v>13</v>
      </c>
      <c r="BP14" s="15" t="s">
        <v>77</v>
      </c>
      <c r="BQ14" s="15" t="s">
        <v>14</v>
      </c>
      <c r="BR14" s="15" t="s">
        <v>15</v>
      </c>
      <c r="BS14" s="15" t="s">
        <v>16</v>
      </c>
      <c r="BT14" s="15" t="s">
        <v>17</v>
      </c>
      <c r="BU14" s="15" t="s">
        <v>18</v>
      </c>
      <c r="BV14" s="15" t="s">
        <v>19</v>
      </c>
      <c r="BW14" s="15" t="s">
        <v>20</v>
      </c>
      <c r="BX14" s="15" t="s">
        <v>21</v>
      </c>
      <c r="BY14" s="15" t="s">
        <v>78</v>
      </c>
      <c r="BZ14" s="15" t="s">
        <v>49</v>
      </c>
      <c r="CA14" s="15" t="s">
        <v>24</v>
      </c>
      <c r="CB14" s="15" t="s">
        <v>27</v>
      </c>
      <c r="CC14" s="15" t="s">
        <v>50</v>
      </c>
      <c r="CD14" s="15" t="s">
        <v>26</v>
      </c>
      <c r="CE14" s="15" t="s">
        <v>25</v>
      </c>
      <c r="CF14" s="15" t="s">
        <v>51</v>
      </c>
      <c r="CG14" s="15" t="s">
        <v>52</v>
      </c>
      <c r="CH14" s="15" t="s">
        <v>63</v>
      </c>
      <c r="CI14" s="15" t="s">
        <v>53</v>
      </c>
      <c r="CJ14" s="15" t="s">
        <v>0</v>
      </c>
      <c r="CK14" s="15" t="s">
        <v>28</v>
      </c>
      <c r="CL14" s="15" t="s">
        <v>54</v>
      </c>
      <c r="CM14" s="15" t="s">
        <v>29</v>
      </c>
      <c r="CN14" s="15" t="s">
        <v>30</v>
      </c>
      <c r="CO14" s="15" t="s">
        <v>31</v>
      </c>
      <c r="CP14" s="15" t="s">
        <v>32</v>
      </c>
      <c r="CQ14" s="15" t="s">
        <v>55</v>
      </c>
      <c r="CR14" s="15" t="s">
        <v>56</v>
      </c>
      <c r="CS14" s="16" t="s">
        <v>49</v>
      </c>
      <c r="CT14" s="15" t="s">
        <v>35</v>
      </c>
      <c r="CU14" s="15" t="s">
        <v>57</v>
      </c>
      <c r="CV14" s="15" t="s">
        <v>58</v>
      </c>
      <c r="CW14" s="15" t="s">
        <v>59</v>
      </c>
      <c r="CX14" s="15" t="s">
        <v>60</v>
      </c>
      <c r="CY14" s="15" t="s">
        <v>61</v>
      </c>
      <c r="CZ14" s="15" t="s">
        <v>62</v>
      </c>
      <c r="DA14" s="17" t="s">
        <v>64</v>
      </c>
      <c r="DB14" s="15" t="s">
        <v>65</v>
      </c>
      <c r="DC14" s="15" t="s">
        <v>36</v>
      </c>
      <c r="DD14" s="15" t="s">
        <v>37</v>
      </c>
      <c r="DE14" s="15" t="s">
        <v>66</v>
      </c>
      <c r="DF14" s="15" t="s">
        <v>33</v>
      </c>
      <c r="DG14" s="15" t="s">
        <v>67</v>
      </c>
      <c r="DH14" s="15" t="s">
        <v>38</v>
      </c>
      <c r="DI14" s="15" t="s">
        <v>39</v>
      </c>
      <c r="DJ14" s="15" t="s">
        <v>40</v>
      </c>
      <c r="DK14" s="15" t="s">
        <v>41</v>
      </c>
      <c r="DL14" s="15" t="s">
        <v>42</v>
      </c>
      <c r="DM14" s="15" t="s">
        <v>43</v>
      </c>
      <c r="DN14" s="15" t="s">
        <v>44</v>
      </c>
      <c r="DO14" s="15" t="s">
        <v>45</v>
      </c>
      <c r="DP14" s="15" t="s">
        <v>46</v>
      </c>
      <c r="DQ14" s="15" t="s">
        <v>47</v>
      </c>
    </row>
    <row r="15" spans="2:121" s="5" customFormat="1" x14ac:dyDescent="0.3">
      <c r="B15" s="11">
        <v>1</v>
      </c>
      <c r="C15" s="12" t="s">
        <v>2</v>
      </c>
      <c r="D15" s="9">
        <f>M15+W15+Y15+AF15+AP15</f>
        <v>8270.880000000001</v>
      </c>
      <c r="E15" s="14"/>
      <c r="F15" s="18"/>
      <c r="G15" s="18"/>
      <c r="H15" s="18"/>
      <c r="I15" s="18"/>
      <c r="J15" s="18"/>
      <c r="K15" s="18"/>
      <c r="L15" s="18"/>
      <c r="M15" s="18">
        <v>4521.38</v>
      </c>
      <c r="N15" s="18"/>
      <c r="O15" s="18"/>
      <c r="P15" s="18"/>
      <c r="Q15" s="18"/>
      <c r="R15" s="18"/>
      <c r="S15" s="18"/>
      <c r="T15" s="18"/>
      <c r="U15" s="18"/>
      <c r="V15" s="18"/>
      <c r="W15" s="18">
        <v>1202.5</v>
      </c>
      <c r="X15" s="18"/>
      <c r="Y15" s="18">
        <v>2150</v>
      </c>
      <c r="Z15" s="18"/>
      <c r="AA15" s="18"/>
      <c r="AB15" s="18"/>
      <c r="AC15" s="18"/>
      <c r="AD15" s="18"/>
      <c r="AE15" s="18"/>
      <c r="AF15" s="18">
        <v>129</v>
      </c>
      <c r="AG15" s="18"/>
      <c r="AH15" s="18"/>
      <c r="AI15" s="18"/>
      <c r="AJ15" s="18"/>
      <c r="AK15" s="18"/>
      <c r="AL15" s="18"/>
      <c r="AM15" s="18"/>
      <c r="AN15" s="18"/>
      <c r="AO15" s="18"/>
      <c r="AP15" s="18">
        <v>268</v>
      </c>
      <c r="AQ15" s="18"/>
      <c r="AR15" s="18"/>
      <c r="AS15" s="18"/>
      <c r="AT15" s="18"/>
      <c r="AU15" s="18"/>
      <c r="AV15" s="18"/>
      <c r="AW15" s="18"/>
      <c r="AX15" s="18"/>
      <c r="AY15" s="18"/>
      <c r="AZ15" s="18"/>
      <c r="BA15" s="18"/>
      <c r="BB15" s="18"/>
      <c r="BC15" s="18"/>
      <c r="BD15" s="18"/>
      <c r="BE15" s="18"/>
      <c r="BF15" s="18"/>
      <c r="BG15" s="18"/>
      <c r="BH15" s="14"/>
      <c r="BI15" s="18"/>
      <c r="BJ15" s="18"/>
      <c r="BK15" s="18"/>
      <c r="BL15" s="18"/>
      <c r="BM15" s="18"/>
      <c r="BN15" s="18"/>
      <c r="BO15" s="18"/>
      <c r="BP15" s="18"/>
      <c r="BQ15" s="18"/>
      <c r="BR15" s="18"/>
      <c r="BS15" s="18"/>
      <c r="BT15" s="18"/>
      <c r="BU15" s="18"/>
      <c r="BV15" s="18"/>
      <c r="BW15" s="18"/>
      <c r="BX15" s="18"/>
      <c r="BY15" s="18"/>
      <c r="BZ15" s="18"/>
      <c r="CA15" s="18"/>
      <c r="CB15" s="18"/>
      <c r="CC15" s="18"/>
      <c r="CD15" s="18"/>
      <c r="CE15" s="18"/>
      <c r="CF15" s="18"/>
      <c r="CG15" s="18"/>
      <c r="CH15" s="18"/>
      <c r="CI15" s="18"/>
      <c r="CJ15" s="18"/>
      <c r="CK15" s="18"/>
      <c r="CL15" s="18"/>
      <c r="CM15" s="18"/>
      <c r="CN15" s="18"/>
      <c r="CO15" s="18"/>
      <c r="CP15" s="18"/>
      <c r="CQ15" s="18"/>
      <c r="CR15" s="18"/>
      <c r="CS15" s="18"/>
      <c r="CT15" s="18"/>
      <c r="CU15" s="18"/>
      <c r="CV15" s="18"/>
      <c r="CW15" s="18"/>
      <c r="CX15" s="18"/>
      <c r="CY15" s="18"/>
      <c r="CZ15" s="18"/>
      <c r="DA15" s="18"/>
      <c r="DB15" s="18"/>
      <c r="DC15" s="18"/>
      <c r="DD15" s="18"/>
      <c r="DE15" s="18"/>
      <c r="DF15" s="18"/>
      <c r="DG15" s="18"/>
      <c r="DH15" s="18"/>
      <c r="DI15" s="18"/>
      <c r="DJ15" s="18"/>
      <c r="DK15" s="18"/>
      <c r="DL15" s="18"/>
      <c r="DM15" s="18"/>
      <c r="DN15" s="18"/>
      <c r="DO15" s="18"/>
      <c r="DP15" s="18"/>
      <c r="DQ15" s="18"/>
    </row>
    <row r="16" spans="2:121" x14ac:dyDescent="0.3">
      <c r="B16" s="11">
        <v>2</v>
      </c>
      <c r="C16" s="12" t="s">
        <v>6</v>
      </c>
      <c r="D16" s="9">
        <f>G16+H16+Q16+W16+AF16+AP16</f>
        <v>7153.85</v>
      </c>
      <c r="E16" s="14"/>
      <c r="F16" s="18"/>
      <c r="G16" s="18">
        <v>2354</v>
      </c>
      <c r="H16" s="18">
        <v>3366</v>
      </c>
      <c r="I16" s="18"/>
      <c r="J16" s="18"/>
      <c r="K16" s="18"/>
      <c r="L16" s="18"/>
      <c r="M16" s="18"/>
      <c r="N16" s="18"/>
      <c r="O16" s="18"/>
      <c r="P16" s="18"/>
      <c r="Q16" s="18">
        <v>610</v>
      </c>
      <c r="R16" s="18"/>
      <c r="S16" s="18"/>
      <c r="T16" s="18"/>
      <c r="U16" s="18"/>
      <c r="V16" s="18"/>
      <c r="W16" s="18">
        <v>264.85000000000002</v>
      </c>
      <c r="X16" s="18"/>
      <c r="Y16" s="18"/>
      <c r="Z16" s="18"/>
      <c r="AA16" s="18"/>
      <c r="AB16" s="18"/>
      <c r="AC16" s="18"/>
      <c r="AD16" s="18"/>
      <c r="AE16" s="18"/>
      <c r="AF16" s="18">
        <v>27</v>
      </c>
      <c r="AG16" s="18"/>
      <c r="AH16" s="18"/>
      <c r="AI16" s="18"/>
      <c r="AJ16" s="18"/>
      <c r="AK16" s="18"/>
      <c r="AL16" s="18"/>
      <c r="AM16" s="18"/>
      <c r="AN16" s="18"/>
      <c r="AO16" s="18"/>
      <c r="AP16" s="18">
        <v>532</v>
      </c>
      <c r="AQ16" s="18"/>
      <c r="AR16" s="18"/>
      <c r="AS16" s="18"/>
      <c r="AT16" s="18"/>
      <c r="AU16" s="18"/>
      <c r="AV16" s="18"/>
      <c r="AW16" s="18"/>
      <c r="AX16" s="18"/>
      <c r="AY16" s="18"/>
      <c r="AZ16" s="18"/>
      <c r="BA16" s="18"/>
      <c r="BB16" s="18"/>
      <c r="BC16" s="18"/>
      <c r="BD16" s="18"/>
      <c r="BE16" s="18"/>
      <c r="BF16" s="18"/>
      <c r="BG16" s="18"/>
      <c r="BH16" s="14"/>
      <c r="BI16" s="18"/>
      <c r="BJ16" s="18"/>
      <c r="BK16" s="18"/>
      <c r="BL16" s="18"/>
      <c r="BM16" s="18"/>
      <c r="BN16" s="18"/>
      <c r="BO16" s="18"/>
      <c r="BP16" s="18"/>
      <c r="BQ16" s="18"/>
      <c r="BR16" s="18"/>
      <c r="BS16" s="18"/>
      <c r="BT16" s="18"/>
      <c r="BU16" s="18"/>
      <c r="BV16" s="18"/>
      <c r="BW16" s="18"/>
      <c r="BX16" s="18"/>
      <c r="BY16" s="18"/>
      <c r="BZ16" s="18"/>
      <c r="CA16" s="18"/>
      <c r="CB16" s="18"/>
      <c r="CC16" s="18"/>
      <c r="CD16" s="18"/>
      <c r="CE16" s="18"/>
      <c r="CF16" s="18"/>
      <c r="CG16" s="18"/>
      <c r="CH16" s="18"/>
      <c r="CI16" s="18"/>
      <c r="CJ16" s="18"/>
      <c r="CK16" s="18"/>
      <c r="CL16" s="18"/>
      <c r="CM16" s="18"/>
      <c r="CN16" s="18"/>
      <c r="CO16" s="18"/>
      <c r="CP16" s="18"/>
      <c r="CQ16" s="18"/>
      <c r="CR16" s="18"/>
      <c r="CS16" s="18"/>
      <c r="CT16" s="18"/>
      <c r="CU16" s="18"/>
      <c r="CV16" s="18"/>
      <c r="CW16" s="18"/>
      <c r="CX16" s="18"/>
      <c r="CY16" s="18"/>
      <c r="CZ16" s="18"/>
      <c r="DA16" s="18"/>
      <c r="DB16" s="18"/>
      <c r="DC16" s="18"/>
      <c r="DD16" s="18"/>
      <c r="DE16" s="18"/>
      <c r="DF16" s="18"/>
      <c r="DG16" s="18"/>
      <c r="DH16" s="18"/>
      <c r="DI16" s="18"/>
      <c r="DJ16" s="18"/>
      <c r="DK16" s="18"/>
      <c r="DL16" s="18"/>
      <c r="DM16" s="18"/>
      <c r="DN16" s="18"/>
      <c r="DO16" s="18"/>
      <c r="DP16" s="18"/>
      <c r="DQ16" s="18"/>
    </row>
    <row r="17" spans="2:121" x14ac:dyDescent="0.3">
      <c r="B17" s="11">
        <v>3</v>
      </c>
      <c r="C17" s="12" t="s">
        <v>85</v>
      </c>
      <c r="D17" s="9">
        <f>R17</f>
        <v>65454</v>
      </c>
      <c r="E17" s="14"/>
      <c r="F17" s="18"/>
      <c r="G17" s="18"/>
      <c r="H17" s="18"/>
      <c r="I17" s="18"/>
      <c r="J17" s="18"/>
      <c r="K17" s="18"/>
      <c r="L17" s="18"/>
      <c r="M17" s="18"/>
      <c r="N17" s="18"/>
      <c r="O17" s="18"/>
      <c r="P17" s="18"/>
      <c r="Q17" s="18"/>
      <c r="R17" s="18">
        <v>65454</v>
      </c>
      <c r="S17" s="18"/>
      <c r="T17" s="18"/>
      <c r="U17" s="18"/>
      <c r="V17" s="18"/>
      <c r="W17" s="18"/>
      <c r="X17" s="18"/>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c r="AX17" s="18"/>
      <c r="AY17" s="18"/>
      <c r="AZ17" s="18"/>
      <c r="BA17" s="18"/>
      <c r="BB17" s="18"/>
      <c r="BC17" s="18"/>
      <c r="BD17" s="18"/>
      <c r="BE17" s="18"/>
      <c r="BF17" s="18"/>
      <c r="BG17" s="18"/>
      <c r="BH17" s="14"/>
      <c r="BI17" s="18"/>
      <c r="BJ17" s="18"/>
      <c r="BK17" s="18"/>
      <c r="BL17" s="18"/>
      <c r="BM17" s="18"/>
      <c r="BN17" s="18"/>
      <c r="BO17" s="18"/>
      <c r="BP17" s="18"/>
      <c r="BQ17" s="18"/>
      <c r="BR17" s="18"/>
      <c r="BS17" s="18"/>
      <c r="BT17" s="18"/>
      <c r="BU17" s="18"/>
      <c r="BV17" s="18"/>
      <c r="BW17" s="18"/>
      <c r="BX17" s="18"/>
      <c r="BY17" s="18"/>
      <c r="BZ17" s="18"/>
      <c r="CA17" s="18"/>
      <c r="CB17" s="18"/>
      <c r="CC17" s="18"/>
      <c r="CD17" s="18"/>
      <c r="CE17" s="18"/>
      <c r="CF17" s="18"/>
      <c r="CG17" s="18"/>
      <c r="CH17" s="18"/>
      <c r="CI17" s="18"/>
      <c r="CJ17" s="18"/>
      <c r="CK17" s="18"/>
      <c r="CL17" s="18"/>
      <c r="CM17" s="18"/>
      <c r="CN17" s="18"/>
      <c r="CO17" s="18"/>
      <c r="CP17" s="18"/>
      <c r="CQ17" s="18"/>
      <c r="CR17" s="18"/>
      <c r="CS17" s="18"/>
      <c r="CT17" s="18"/>
      <c r="CU17" s="18"/>
      <c r="CV17" s="18"/>
      <c r="CW17" s="18"/>
      <c r="CX17" s="18"/>
      <c r="CY17" s="18"/>
      <c r="CZ17" s="18"/>
      <c r="DA17" s="18"/>
      <c r="DB17" s="18"/>
      <c r="DC17" s="18"/>
      <c r="DD17" s="18"/>
      <c r="DE17" s="18"/>
      <c r="DF17" s="18"/>
      <c r="DG17" s="18"/>
      <c r="DH17" s="18"/>
      <c r="DI17" s="18"/>
      <c r="DJ17" s="18"/>
      <c r="DK17" s="18"/>
      <c r="DL17" s="18"/>
      <c r="DM17" s="18"/>
      <c r="DN17" s="18"/>
      <c r="DO17" s="18"/>
      <c r="DP17" s="18"/>
      <c r="DQ17" s="18"/>
    </row>
    <row r="18" spans="2:121" x14ac:dyDescent="0.3">
      <c r="B18" s="11">
        <v>4</v>
      </c>
      <c r="C18" s="12" t="s">
        <v>86</v>
      </c>
      <c r="D18" s="9">
        <f>W18+AF18+AP18</f>
        <v>10338</v>
      </c>
      <c r="E18" s="14"/>
      <c r="F18" s="18"/>
      <c r="G18" s="18"/>
      <c r="H18" s="18"/>
      <c r="I18" s="18"/>
      <c r="J18" s="18"/>
      <c r="K18" s="18"/>
      <c r="L18" s="18"/>
      <c r="M18" s="18"/>
      <c r="N18" s="18"/>
      <c r="O18" s="18"/>
      <c r="P18" s="18"/>
      <c r="Q18" s="18"/>
      <c r="R18" s="18"/>
      <c r="S18" s="18"/>
      <c r="T18" s="18"/>
      <c r="U18" s="18"/>
      <c r="V18" s="18"/>
      <c r="W18" s="18">
        <v>6627</v>
      </c>
      <c r="X18" s="18"/>
      <c r="Y18" s="18"/>
      <c r="Z18" s="18"/>
      <c r="AA18" s="18"/>
      <c r="AB18" s="18"/>
      <c r="AC18" s="18"/>
      <c r="AD18" s="18"/>
      <c r="AE18" s="18"/>
      <c r="AF18" s="18">
        <v>3008</v>
      </c>
      <c r="AG18" s="18"/>
      <c r="AH18" s="18"/>
      <c r="AI18" s="18"/>
      <c r="AJ18" s="18"/>
      <c r="AK18" s="18"/>
      <c r="AL18" s="18"/>
      <c r="AM18" s="18"/>
      <c r="AN18" s="18"/>
      <c r="AO18" s="18"/>
      <c r="AP18" s="18">
        <v>703</v>
      </c>
      <c r="AQ18" s="18"/>
      <c r="AR18" s="18"/>
      <c r="AS18" s="18"/>
      <c r="AT18" s="18"/>
      <c r="AU18" s="18"/>
      <c r="AV18" s="18"/>
      <c r="AW18" s="18"/>
      <c r="AX18" s="18"/>
      <c r="AY18" s="18"/>
      <c r="AZ18" s="18"/>
      <c r="BA18" s="18"/>
      <c r="BB18" s="18"/>
      <c r="BC18" s="18"/>
      <c r="BD18" s="18"/>
      <c r="BE18" s="18"/>
      <c r="BF18" s="18"/>
      <c r="BG18" s="18"/>
      <c r="BH18" s="14"/>
      <c r="BI18" s="18"/>
      <c r="BJ18" s="18"/>
      <c r="BK18" s="18"/>
      <c r="BL18" s="18"/>
      <c r="BM18" s="18"/>
      <c r="BN18" s="18"/>
      <c r="BO18" s="18"/>
      <c r="BP18" s="18"/>
      <c r="BQ18" s="18"/>
      <c r="BR18" s="18"/>
      <c r="BS18" s="18"/>
      <c r="BT18" s="18"/>
      <c r="BU18" s="18"/>
      <c r="BV18" s="18"/>
      <c r="BW18" s="18"/>
      <c r="BX18" s="18"/>
      <c r="BY18" s="18"/>
      <c r="BZ18" s="18"/>
      <c r="CA18" s="18"/>
      <c r="CB18" s="18"/>
      <c r="CC18" s="18"/>
      <c r="CD18" s="18"/>
      <c r="CE18" s="18"/>
      <c r="CF18" s="18"/>
      <c r="CG18" s="18"/>
      <c r="CH18" s="18"/>
      <c r="CI18" s="18"/>
      <c r="CJ18" s="18"/>
      <c r="CK18" s="18"/>
      <c r="CL18" s="18"/>
      <c r="CM18" s="18"/>
      <c r="CN18" s="18"/>
      <c r="CO18" s="18"/>
      <c r="CP18" s="18"/>
      <c r="CQ18" s="18"/>
      <c r="CR18" s="18"/>
      <c r="CS18" s="18"/>
      <c r="CT18" s="18"/>
      <c r="CU18" s="18"/>
      <c r="CV18" s="18"/>
      <c r="CW18" s="18"/>
      <c r="CX18" s="18"/>
      <c r="CY18" s="18"/>
      <c r="CZ18" s="18"/>
      <c r="DA18" s="18"/>
      <c r="DB18" s="18"/>
      <c r="DC18" s="18"/>
      <c r="DD18" s="18"/>
      <c r="DE18" s="18"/>
      <c r="DF18" s="18"/>
      <c r="DG18" s="18"/>
      <c r="DH18" s="18"/>
      <c r="DI18" s="18"/>
      <c r="DJ18" s="18"/>
      <c r="DK18" s="18"/>
      <c r="DL18" s="18"/>
      <c r="DM18" s="18"/>
      <c r="DN18" s="18"/>
      <c r="DO18" s="18"/>
      <c r="DP18" s="18"/>
      <c r="DQ18" s="18"/>
    </row>
    <row r="19" spans="2:121" x14ac:dyDescent="0.3">
      <c r="B19" s="11">
        <v>5</v>
      </c>
      <c r="C19" s="12" t="s">
        <v>5</v>
      </c>
      <c r="D19" s="9">
        <v>0</v>
      </c>
      <c r="F19" s="18"/>
      <c r="G19" s="18"/>
      <c r="H19" s="18"/>
      <c r="I19" s="18"/>
      <c r="J19" s="18"/>
      <c r="K19" s="18"/>
      <c r="L19" s="18"/>
      <c r="M19" s="18"/>
      <c r="N19" s="18"/>
      <c r="O19" s="18"/>
      <c r="P19" s="18"/>
      <c r="Q19" s="18"/>
      <c r="R19" s="18"/>
      <c r="S19" s="18"/>
      <c r="T19" s="18"/>
      <c r="U19" s="18"/>
      <c r="V19" s="18"/>
      <c r="W19" s="18"/>
      <c r="X19" s="18"/>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c r="AX19" s="18"/>
      <c r="AY19" s="18"/>
      <c r="AZ19" s="18"/>
      <c r="BA19" s="18"/>
      <c r="BB19" s="18"/>
      <c r="BC19" s="18"/>
      <c r="BD19" s="18"/>
      <c r="BE19" s="18"/>
      <c r="BF19" s="18"/>
      <c r="BG19" s="18"/>
      <c r="BI19" s="18"/>
      <c r="BJ19" s="18"/>
      <c r="BK19" s="18"/>
      <c r="BL19" s="18"/>
      <c r="BM19" s="18"/>
      <c r="BN19" s="18"/>
      <c r="BO19" s="18"/>
      <c r="BP19" s="18"/>
      <c r="BQ19" s="18"/>
      <c r="BR19" s="18"/>
      <c r="BS19" s="18"/>
      <c r="BT19" s="18"/>
      <c r="BU19" s="18"/>
      <c r="BV19" s="18"/>
      <c r="BW19" s="18"/>
      <c r="BX19" s="18"/>
      <c r="BY19" s="18"/>
      <c r="BZ19" s="18"/>
      <c r="CA19" s="18"/>
      <c r="CB19" s="18"/>
      <c r="CC19" s="18"/>
      <c r="CD19" s="18"/>
      <c r="CE19" s="18"/>
      <c r="CF19" s="18"/>
      <c r="CG19" s="18"/>
      <c r="CH19" s="18"/>
      <c r="CI19" s="18"/>
      <c r="CJ19" s="18"/>
      <c r="CK19" s="18"/>
      <c r="CL19" s="18"/>
      <c r="CM19" s="18"/>
      <c r="CN19" s="18"/>
      <c r="CO19" s="18"/>
      <c r="CP19" s="18"/>
      <c r="CQ19" s="18"/>
      <c r="CR19" s="18"/>
      <c r="CS19" s="18"/>
      <c r="CT19" s="18"/>
      <c r="CU19" s="18"/>
      <c r="CV19" s="18"/>
      <c r="CW19" s="18"/>
      <c r="CX19" s="18"/>
      <c r="CY19" s="18"/>
      <c r="CZ19" s="18"/>
      <c r="DA19" s="18"/>
      <c r="DB19" s="18"/>
      <c r="DC19" s="18"/>
      <c r="DD19" s="18"/>
      <c r="DE19" s="18"/>
      <c r="DF19" s="18"/>
      <c r="DG19" s="18"/>
      <c r="DH19" s="18"/>
      <c r="DI19" s="18"/>
      <c r="DJ19" s="18"/>
      <c r="DK19" s="18"/>
      <c r="DL19" s="18"/>
      <c r="DM19" s="18"/>
      <c r="DN19" s="18"/>
      <c r="DO19" s="18"/>
      <c r="DP19" s="18"/>
      <c r="DQ19" s="18"/>
    </row>
    <row r="20" spans="2:121" x14ac:dyDescent="0.3">
      <c r="B20" s="11">
        <v>6</v>
      </c>
      <c r="C20" s="12" t="s">
        <v>4</v>
      </c>
      <c r="D20" s="9">
        <v>7520</v>
      </c>
      <c r="F20" s="18"/>
      <c r="G20" s="18"/>
      <c r="H20" s="18"/>
      <c r="I20" s="18"/>
      <c r="J20" s="18"/>
      <c r="K20" s="18"/>
      <c r="L20" s="18"/>
      <c r="M20" s="18"/>
      <c r="N20" s="18"/>
      <c r="O20" s="18"/>
      <c r="P20" s="18"/>
      <c r="Q20" s="18"/>
      <c r="R20" s="18"/>
      <c r="S20" s="18"/>
      <c r="T20" s="18"/>
      <c r="U20" s="18"/>
      <c r="V20" s="18"/>
      <c r="W20" s="18">
        <v>7520</v>
      </c>
      <c r="X20" s="18"/>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c r="AX20" s="18"/>
      <c r="AY20" s="18"/>
      <c r="AZ20" s="18"/>
      <c r="BA20" s="18"/>
      <c r="BB20" s="18"/>
      <c r="BC20" s="18"/>
      <c r="BD20" s="18"/>
      <c r="BE20" s="18"/>
      <c r="BF20" s="18"/>
      <c r="BG20" s="18"/>
      <c r="BI20" s="18"/>
      <c r="BJ20" s="18"/>
      <c r="BK20" s="18"/>
      <c r="BL20" s="18"/>
      <c r="BM20" s="18"/>
      <c r="BN20" s="18"/>
      <c r="BO20" s="18"/>
      <c r="BP20" s="18"/>
      <c r="BQ20" s="18"/>
      <c r="BR20" s="18"/>
      <c r="BS20" s="18"/>
      <c r="BT20" s="18"/>
      <c r="BU20" s="18"/>
      <c r="BV20" s="18"/>
      <c r="BW20" s="18"/>
      <c r="BX20" s="18"/>
      <c r="BY20" s="18"/>
      <c r="BZ20" s="18"/>
      <c r="CA20" s="18"/>
      <c r="CB20" s="18"/>
      <c r="CC20" s="18"/>
      <c r="CD20" s="18"/>
      <c r="CE20" s="18"/>
      <c r="CF20" s="18"/>
      <c r="CG20" s="18"/>
      <c r="CH20" s="18"/>
      <c r="CI20" s="18"/>
      <c r="CJ20" s="18"/>
      <c r="CK20" s="18"/>
      <c r="CL20" s="18"/>
      <c r="CM20" s="18"/>
      <c r="CN20" s="18"/>
      <c r="CO20" s="18"/>
      <c r="CP20" s="18"/>
      <c r="CQ20" s="18"/>
      <c r="CR20" s="18"/>
      <c r="CS20" s="18"/>
      <c r="CT20" s="18"/>
      <c r="CU20" s="18"/>
      <c r="CV20" s="18"/>
      <c r="CW20" s="18"/>
      <c r="CX20" s="18"/>
      <c r="CY20" s="18"/>
      <c r="CZ20" s="18"/>
      <c r="DA20" s="18"/>
      <c r="DB20" s="18"/>
      <c r="DC20" s="18"/>
      <c r="DD20" s="18"/>
      <c r="DE20" s="18"/>
      <c r="DF20" s="18"/>
      <c r="DG20" s="18"/>
      <c r="DH20" s="18"/>
      <c r="DI20" s="18"/>
      <c r="DJ20" s="18"/>
      <c r="DK20" s="18"/>
      <c r="DL20" s="18"/>
      <c r="DM20" s="18"/>
      <c r="DN20" s="18"/>
      <c r="DO20" s="18"/>
      <c r="DP20" s="18"/>
      <c r="DQ20" s="18"/>
    </row>
    <row r="21" spans="2:121" x14ac:dyDescent="0.3">
      <c r="B21" s="11">
        <v>7</v>
      </c>
      <c r="C21" s="12" t="s">
        <v>87</v>
      </c>
      <c r="D21" s="9">
        <v>1658</v>
      </c>
      <c r="F21" s="18"/>
      <c r="G21" s="18"/>
      <c r="H21" s="18"/>
      <c r="I21" s="18"/>
      <c r="J21" s="18"/>
      <c r="K21" s="18"/>
      <c r="L21" s="18"/>
      <c r="M21" s="18"/>
      <c r="N21" s="18"/>
      <c r="O21" s="18"/>
      <c r="P21" s="18"/>
      <c r="Q21" s="18"/>
      <c r="R21" s="18"/>
      <c r="S21" s="18"/>
      <c r="T21" s="18"/>
      <c r="U21" s="18"/>
      <c r="V21" s="18"/>
      <c r="W21" s="18"/>
      <c r="X21" s="18">
        <v>1658</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c r="AX21" s="18"/>
      <c r="AY21" s="18"/>
      <c r="AZ21" s="18"/>
      <c r="BA21" s="18"/>
      <c r="BB21" s="18"/>
      <c r="BC21" s="18"/>
      <c r="BD21" s="18"/>
      <c r="BE21" s="18"/>
      <c r="BF21" s="18"/>
      <c r="BG21" s="18"/>
      <c r="BI21" s="18"/>
      <c r="BJ21" s="18"/>
      <c r="BK21" s="18"/>
      <c r="BL21" s="18"/>
      <c r="BM21" s="18"/>
      <c r="BN21" s="18"/>
      <c r="BO21" s="18"/>
      <c r="BP21" s="18"/>
      <c r="BQ21" s="18"/>
      <c r="BR21" s="18"/>
      <c r="BS21" s="18"/>
      <c r="BT21" s="18"/>
      <c r="BU21" s="18"/>
      <c r="BV21" s="18"/>
      <c r="BW21" s="18"/>
      <c r="BX21" s="18"/>
      <c r="BY21" s="18"/>
      <c r="BZ21" s="18"/>
      <c r="CA21" s="18"/>
      <c r="CB21" s="18"/>
      <c r="CC21" s="18"/>
      <c r="CD21" s="18"/>
      <c r="CE21" s="18"/>
      <c r="CF21" s="18"/>
      <c r="CG21" s="18"/>
      <c r="CH21" s="18"/>
      <c r="CI21" s="18"/>
      <c r="CJ21" s="18"/>
      <c r="CK21" s="18"/>
      <c r="CL21" s="18"/>
      <c r="CM21" s="18"/>
      <c r="CN21" s="18"/>
      <c r="CO21" s="18"/>
      <c r="CP21" s="18"/>
      <c r="CQ21" s="18"/>
      <c r="CR21" s="18"/>
      <c r="CS21" s="18"/>
      <c r="CT21" s="18"/>
      <c r="CU21" s="18"/>
      <c r="CV21" s="18"/>
      <c r="CW21" s="18"/>
      <c r="CX21" s="18"/>
      <c r="CY21" s="18"/>
      <c r="CZ21" s="18"/>
      <c r="DA21" s="18"/>
      <c r="DB21" s="18"/>
      <c r="DC21" s="18"/>
      <c r="DD21" s="18"/>
      <c r="DE21" s="18"/>
      <c r="DF21" s="18"/>
      <c r="DG21" s="18"/>
      <c r="DH21" s="18"/>
      <c r="DI21" s="18"/>
      <c r="DJ21" s="18"/>
      <c r="DK21" s="18"/>
      <c r="DL21" s="18"/>
      <c r="DM21" s="18"/>
      <c r="DN21" s="18"/>
      <c r="DO21" s="18"/>
      <c r="DP21" s="18"/>
      <c r="DQ21" s="18"/>
    </row>
    <row r="22" spans="2:121" x14ac:dyDescent="0.3">
      <c r="B22" s="11">
        <v>8</v>
      </c>
      <c r="C22" s="12" t="s">
        <v>89</v>
      </c>
      <c r="D22" s="9">
        <v>0</v>
      </c>
      <c r="F22" s="18"/>
      <c r="G22" s="18"/>
      <c r="H22" s="18"/>
      <c r="I22" s="18"/>
      <c r="J22" s="18"/>
      <c r="K22" s="18"/>
      <c r="L22" s="18"/>
      <c r="M22" s="18"/>
      <c r="N22" s="18"/>
      <c r="O22" s="18"/>
      <c r="P22" s="18"/>
      <c r="Q22" s="18"/>
      <c r="R22" s="18"/>
      <c r="S22" s="18"/>
      <c r="T22" s="18"/>
      <c r="U22" s="18"/>
      <c r="V22" s="18"/>
      <c r="W22" s="18"/>
      <c r="X22" s="18"/>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c r="AX22" s="18"/>
      <c r="AY22" s="18"/>
      <c r="AZ22" s="18"/>
      <c r="BA22" s="18"/>
      <c r="BB22" s="18"/>
      <c r="BC22" s="18"/>
      <c r="BD22" s="18"/>
      <c r="BE22" s="18"/>
      <c r="BF22" s="18"/>
      <c r="BG22" s="18"/>
      <c r="BI22" s="18"/>
      <c r="BJ22" s="18"/>
      <c r="BK22" s="18"/>
      <c r="BL22" s="18"/>
      <c r="BM22" s="18"/>
      <c r="BN22" s="18"/>
      <c r="BO22" s="18"/>
      <c r="BP22" s="18"/>
      <c r="BQ22" s="18"/>
      <c r="BR22" s="18"/>
      <c r="BS22" s="18"/>
      <c r="BT22" s="18"/>
      <c r="BU22" s="18"/>
      <c r="BV22" s="18"/>
      <c r="BW22" s="18"/>
      <c r="BX22" s="18"/>
      <c r="BY22" s="18"/>
      <c r="BZ22" s="18"/>
      <c r="CA22" s="18"/>
      <c r="CB22" s="18"/>
      <c r="CC22" s="18"/>
      <c r="CD22" s="18"/>
      <c r="CE22" s="18"/>
      <c r="CF22" s="18"/>
      <c r="CG22" s="18"/>
      <c r="CH22" s="18"/>
      <c r="CI22" s="18"/>
      <c r="CJ22" s="18"/>
      <c r="CK22" s="18"/>
      <c r="CL22" s="18"/>
      <c r="CM22" s="18"/>
      <c r="CN22" s="18"/>
      <c r="CO22" s="18"/>
      <c r="CP22" s="18"/>
      <c r="CQ22" s="18"/>
      <c r="CR22" s="18"/>
      <c r="CS22" s="18"/>
      <c r="CT22" s="18"/>
      <c r="CU22" s="18"/>
      <c r="CV22" s="18"/>
      <c r="CW22" s="18"/>
      <c r="CX22" s="18"/>
      <c r="CY22" s="18"/>
      <c r="CZ22" s="18"/>
      <c r="DA22" s="18"/>
      <c r="DB22" s="18"/>
      <c r="DC22" s="18"/>
      <c r="DD22" s="18"/>
      <c r="DE22" s="18"/>
      <c r="DF22" s="18"/>
      <c r="DG22" s="18"/>
      <c r="DH22" s="18"/>
      <c r="DI22" s="18"/>
      <c r="DJ22" s="18"/>
      <c r="DK22" s="18"/>
      <c r="DL22" s="18"/>
      <c r="DM22" s="18"/>
      <c r="DN22" s="18"/>
      <c r="DO22" s="18"/>
      <c r="DP22" s="18"/>
      <c r="DQ22" s="18"/>
    </row>
    <row r="23" spans="2:121" x14ac:dyDescent="0.3">
      <c r="B23" s="11">
        <v>9</v>
      </c>
      <c r="C23" s="12" t="s">
        <v>51</v>
      </c>
      <c r="D23" s="9">
        <v>0</v>
      </c>
      <c r="F23" s="18"/>
      <c r="G23" s="18"/>
      <c r="H23" s="18"/>
      <c r="I23" s="18"/>
      <c r="J23" s="18"/>
      <c r="K23" s="18"/>
      <c r="L23" s="18"/>
      <c r="M23" s="18"/>
      <c r="N23" s="18"/>
      <c r="O23" s="18"/>
      <c r="P23" s="18"/>
      <c r="Q23" s="18"/>
      <c r="R23" s="18"/>
      <c r="S23" s="18"/>
      <c r="T23" s="18"/>
      <c r="U23" s="18"/>
      <c r="V23" s="18"/>
      <c r="W23" s="18"/>
      <c r="X23" s="18"/>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c r="AX23" s="18"/>
      <c r="AY23" s="18"/>
      <c r="AZ23" s="18"/>
      <c r="BA23" s="18"/>
      <c r="BB23" s="18"/>
      <c r="BC23" s="18"/>
      <c r="BD23" s="18"/>
      <c r="BE23" s="18"/>
      <c r="BF23" s="18"/>
      <c r="BG23" s="18"/>
      <c r="BI23" s="18"/>
      <c r="BJ23" s="18"/>
      <c r="BK23" s="18"/>
      <c r="BL23" s="18"/>
      <c r="BM23" s="18"/>
      <c r="BN23" s="18"/>
      <c r="BO23" s="18"/>
      <c r="BP23" s="18"/>
      <c r="BQ23" s="18"/>
      <c r="BR23" s="18"/>
      <c r="BS23" s="18"/>
      <c r="BT23" s="18"/>
      <c r="BU23" s="18"/>
      <c r="BV23" s="18"/>
      <c r="BW23" s="18"/>
      <c r="BX23" s="18"/>
      <c r="BY23" s="18"/>
      <c r="BZ23" s="18"/>
      <c r="CA23" s="18"/>
      <c r="CB23" s="18"/>
      <c r="CC23" s="18"/>
      <c r="CD23" s="18"/>
      <c r="CE23" s="18"/>
      <c r="CF23" s="18"/>
      <c r="CG23" s="18"/>
      <c r="CH23" s="18"/>
      <c r="CI23" s="18"/>
      <c r="CJ23" s="18"/>
      <c r="CK23" s="18"/>
      <c r="CL23" s="18"/>
      <c r="CM23" s="18"/>
      <c r="CN23" s="18"/>
      <c r="CO23" s="18"/>
      <c r="CP23" s="18"/>
      <c r="CQ23" s="18"/>
      <c r="CR23" s="18"/>
      <c r="CS23" s="18"/>
      <c r="CT23" s="18"/>
      <c r="CU23" s="18"/>
      <c r="CV23" s="18"/>
      <c r="CW23" s="18"/>
      <c r="CX23" s="18"/>
      <c r="CY23" s="18"/>
      <c r="CZ23" s="18"/>
      <c r="DA23" s="18"/>
      <c r="DB23" s="18"/>
      <c r="DC23" s="18"/>
      <c r="DD23" s="18"/>
      <c r="DE23" s="18"/>
      <c r="DF23" s="18"/>
      <c r="DG23" s="18"/>
      <c r="DH23" s="18"/>
      <c r="DI23" s="18"/>
      <c r="DJ23" s="18"/>
      <c r="DK23" s="18"/>
      <c r="DL23" s="18"/>
      <c r="DM23" s="18"/>
      <c r="DN23" s="18"/>
      <c r="DO23" s="18"/>
      <c r="DP23" s="18"/>
      <c r="DQ23" s="18"/>
    </row>
    <row r="24" spans="2:121" x14ac:dyDescent="0.3">
      <c r="B24" s="11">
        <v>10</v>
      </c>
      <c r="C24" s="12"/>
      <c r="D24" s="9"/>
      <c r="F24" s="18"/>
      <c r="G24" s="18"/>
      <c r="H24" s="18"/>
      <c r="I24" s="18"/>
      <c r="J24" s="18"/>
      <c r="K24" s="18"/>
      <c r="L24" s="18"/>
      <c r="M24" s="18"/>
      <c r="N24" s="18"/>
      <c r="O24" s="18"/>
      <c r="P24" s="18"/>
      <c r="Q24" s="18"/>
      <c r="R24" s="18"/>
      <c r="S24" s="18"/>
      <c r="T24" s="18"/>
      <c r="U24" s="18"/>
      <c r="V24" s="18"/>
      <c r="W24" s="18"/>
      <c r="X24" s="18"/>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c r="AX24" s="18"/>
      <c r="AY24" s="18"/>
      <c r="AZ24" s="18"/>
      <c r="BA24" s="18"/>
      <c r="BB24" s="18"/>
      <c r="BC24" s="18"/>
      <c r="BD24" s="18"/>
      <c r="BE24" s="18"/>
      <c r="BF24" s="18"/>
      <c r="BG24" s="18"/>
      <c r="BI24" s="18"/>
      <c r="BJ24" s="18"/>
      <c r="BK24" s="18"/>
      <c r="BL24" s="18"/>
      <c r="BM24" s="18"/>
      <c r="BN24" s="18"/>
      <c r="BO24" s="18"/>
      <c r="BP24" s="18"/>
      <c r="BQ24" s="18"/>
      <c r="BR24" s="18"/>
      <c r="BS24" s="18"/>
      <c r="BT24" s="18"/>
      <c r="BU24" s="18"/>
      <c r="BV24" s="18"/>
      <c r="BW24" s="18"/>
      <c r="BX24" s="18"/>
      <c r="BY24" s="18"/>
      <c r="BZ24" s="18"/>
      <c r="CA24" s="18"/>
      <c r="CB24" s="18"/>
      <c r="CC24" s="18"/>
      <c r="CD24" s="18"/>
      <c r="CE24" s="18"/>
      <c r="CF24" s="18"/>
      <c r="CG24" s="18"/>
      <c r="CH24" s="18"/>
      <c r="CI24" s="18"/>
      <c r="CJ24" s="18"/>
      <c r="CK24" s="18"/>
      <c r="CL24" s="18"/>
      <c r="CM24" s="18"/>
      <c r="CN24" s="18"/>
      <c r="CO24" s="18"/>
      <c r="CP24" s="18"/>
      <c r="CQ24" s="18"/>
      <c r="CR24" s="18"/>
      <c r="CS24" s="18"/>
      <c r="CT24" s="18"/>
      <c r="CU24" s="18"/>
      <c r="CV24" s="18"/>
      <c r="CW24" s="18"/>
      <c r="CX24" s="18"/>
      <c r="CY24" s="18"/>
      <c r="CZ24" s="18"/>
      <c r="DA24" s="18"/>
      <c r="DB24" s="18"/>
      <c r="DC24" s="18"/>
      <c r="DD24" s="18"/>
      <c r="DE24" s="18"/>
      <c r="DF24" s="18"/>
      <c r="DG24" s="18"/>
      <c r="DH24" s="18"/>
      <c r="DI24" s="18"/>
      <c r="DJ24" s="18"/>
      <c r="DK24" s="18"/>
      <c r="DL24" s="18"/>
      <c r="DM24" s="18"/>
      <c r="DN24" s="18"/>
      <c r="DO24" s="18"/>
      <c r="DP24" s="18"/>
      <c r="DQ24" s="18"/>
    </row>
    <row r="25" spans="2:121" x14ac:dyDescent="0.3">
      <c r="B25" s="11">
        <v>11</v>
      </c>
      <c r="C25" s="12"/>
      <c r="D25" s="9"/>
      <c r="F25" s="18"/>
      <c r="G25" s="18"/>
      <c r="H25" s="18"/>
      <c r="I25" s="18"/>
      <c r="J25" s="18"/>
      <c r="K25" s="18"/>
      <c r="L25" s="18"/>
      <c r="M25" s="18"/>
      <c r="N25" s="18"/>
      <c r="O25" s="18"/>
      <c r="P25" s="18"/>
      <c r="Q25" s="18"/>
      <c r="R25" s="18"/>
      <c r="S25" s="18"/>
      <c r="T25" s="18"/>
      <c r="U25" s="18"/>
      <c r="V25" s="18"/>
      <c r="W25" s="18"/>
      <c r="X25" s="18"/>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c r="AX25" s="18"/>
      <c r="AY25" s="18"/>
      <c r="AZ25" s="18"/>
      <c r="BA25" s="18"/>
      <c r="BB25" s="18"/>
      <c r="BC25" s="18"/>
      <c r="BD25" s="18"/>
      <c r="BE25" s="18"/>
      <c r="BF25" s="18"/>
      <c r="BG25" s="18"/>
      <c r="BI25" s="18"/>
      <c r="BJ25" s="18"/>
      <c r="BK25" s="18"/>
      <c r="BL25" s="18"/>
      <c r="BM25" s="18"/>
      <c r="BN25" s="18"/>
      <c r="BO25" s="18"/>
      <c r="BP25" s="18"/>
      <c r="BQ25" s="18"/>
      <c r="BR25" s="18"/>
      <c r="BS25" s="18"/>
      <c r="BT25" s="18"/>
      <c r="BU25" s="18"/>
      <c r="BV25" s="18"/>
      <c r="BW25" s="18"/>
      <c r="BX25" s="18"/>
      <c r="BY25" s="18"/>
      <c r="BZ25" s="18"/>
      <c r="CA25" s="18"/>
      <c r="CB25" s="18"/>
      <c r="CC25" s="18"/>
      <c r="CD25" s="18"/>
      <c r="CE25" s="18"/>
      <c r="CF25" s="18"/>
      <c r="CG25" s="18"/>
      <c r="CH25" s="18"/>
      <c r="CI25" s="18"/>
      <c r="CJ25" s="18"/>
      <c r="CK25" s="18"/>
      <c r="CL25" s="18"/>
      <c r="CM25" s="18"/>
      <c r="CN25" s="18"/>
      <c r="CO25" s="18"/>
      <c r="CP25" s="18"/>
      <c r="CQ25" s="18"/>
      <c r="CR25" s="18"/>
      <c r="CS25" s="18"/>
      <c r="CT25" s="18"/>
      <c r="CU25" s="18"/>
      <c r="CV25" s="18"/>
      <c r="CW25" s="18"/>
      <c r="CX25" s="18"/>
      <c r="CY25" s="18"/>
      <c r="CZ25" s="18"/>
      <c r="DA25" s="18"/>
      <c r="DB25" s="18"/>
      <c r="DC25" s="18"/>
      <c r="DD25" s="18"/>
      <c r="DE25" s="18"/>
      <c r="DF25" s="18"/>
      <c r="DG25" s="18"/>
      <c r="DH25" s="18"/>
      <c r="DI25" s="18"/>
      <c r="DJ25" s="18"/>
      <c r="DK25" s="18"/>
      <c r="DL25" s="18"/>
      <c r="DM25" s="18"/>
      <c r="DN25" s="18"/>
      <c r="DO25" s="18"/>
      <c r="DP25" s="18"/>
      <c r="DQ25" s="18"/>
    </row>
    <row r="26" spans="2:121" x14ac:dyDescent="0.3">
      <c r="B26" s="11">
        <v>12</v>
      </c>
      <c r="C26" s="12"/>
      <c r="D26" s="9"/>
      <c r="F26" s="18"/>
      <c r="G26" s="18"/>
      <c r="H26" s="18"/>
      <c r="I26" s="18"/>
      <c r="J26" s="18"/>
      <c r="K26" s="18"/>
      <c r="L26" s="18"/>
      <c r="M26" s="18"/>
      <c r="N26" s="18"/>
      <c r="O26" s="18"/>
      <c r="P26" s="18"/>
      <c r="Q26" s="18"/>
      <c r="R26" s="18"/>
      <c r="S26" s="18"/>
      <c r="T26" s="18"/>
      <c r="U26" s="18"/>
      <c r="V26" s="18"/>
      <c r="W26" s="18"/>
      <c r="X26" s="18"/>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c r="AX26" s="18"/>
      <c r="AY26" s="18"/>
      <c r="AZ26" s="18"/>
      <c r="BA26" s="18"/>
      <c r="BB26" s="18"/>
      <c r="BC26" s="18"/>
      <c r="BD26" s="18"/>
      <c r="BE26" s="18"/>
      <c r="BF26" s="18"/>
      <c r="BG26" s="18"/>
      <c r="BI26" s="18"/>
      <c r="BJ26" s="18"/>
      <c r="BK26" s="18"/>
      <c r="BL26" s="18"/>
      <c r="BM26" s="18"/>
      <c r="BN26" s="18"/>
      <c r="BO26" s="18"/>
      <c r="BP26" s="18"/>
      <c r="BQ26" s="18"/>
      <c r="BR26" s="18"/>
      <c r="BS26" s="18"/>
      <c r="BT26" s="18"/>
      <c r="BU26" s="18"/>
      <c r="BV26" s="18"/>
      <c r="BW26" s="18"/>
      <c r="BX26" s="18"/>
      <c r="BY26" s="18"/>
      <c r="BZ26" s="18"/>
      <c r="CA26" s="18"/>
      <c r="CB26" s="18"/>
      <c r="CC26" s="18"/>
      <c r="CD26" s="18"/>
      <c r="CE26" s="18"/>
      <c r="CF26" s="18"/>
      <c r="CG26" s="18"/>
      <c r="CH26" s="18"/>
      <c r="CI26" s="18"/>
      <c r="CJ26" s="18"/>
      <c r="CK26" s="18"/>
      <c r="CL26" s="18"/>
      <c r="CM26" s="18"/>
      <c r="CN26" s="18"/>
      <c r="CO26" s="18"/>
      <c r="CP26" s="18"/>
      <c r="CQ26" s="18"/>
      <c r="CR26" s="18"/>
      <c r="CS26" s="18"/>
      <c r="CT26" s="18"/>
      <c r="CU26" s="18"/>
      <c r="CV26" s="18"/>
      <c r="CW26" s="18"/>
      <c r="CX26" s="18"/>
      <c r="CY26" s="18"/>
      <c r="CZ26" s="18"/>
      <c r="DA26" s="18"/>
      <c r="DB26" s="18"/>
      <c r="DC26" s="18"/>
      <c r="DD26" s="18"/>
      <c r="DE26" s="18"/>
      <c r="DF26" s="18"/>
      <c r="DG26" s="18"/>
      <c r="DH26" s="18"/>
      <c r="DI26" s="18"/>
      <c r="DJ26" s="18"/>
      <c r="DK26" s="18"/>
      <c r="DL26" s="18"/>
      <c r="DM26" s="18"/>
      <c r="DN26" s="18"/>
      <c r="DO26" s="18"/>
      <c r="DP26" s="18"/>
      <c r="DQ26" s="18"/>
    </row>
    <row r="27" spans="2:121" x14ac:dyDescent="0.3">
      <c r="B27" s="11">
        <v>13</v>
      </c>
      <c r="C27" s="12"/>
      <c r="D27" s="9"/>
      <c r="F27" s="18"/>
      <c r="G27" s="18"/>
      <c r="H27" s="18"/>
      <c r="I27" s="18"/>
      <c r="J27" s="18"/>
      <c r="K27" s="18"/>
      <c r="L27" s="18"/>
      <c r="M27" s="18"/>
      <c r="N27" s="18"/>
      <c r="O27" s="18"/>
      <c r="P27" s="18"/>
      <c r="Q27" s="18"/>
      <c r="R27" s="18"/>
      <c r="S27" s="18"/>
      <c r="T27" s="18"/>
      <c r="U27" s="18"/>
      <c r="V27" s="18"/>
      <c r="W27" s="18"/>
      <c r="X27" s="18"/>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c r="AX27" s="18"/>
      <c r="AY27" s="18"/>
      <c r="AZ27" s="18"/>
      <c r="BA27" s="18"/>
      <c r="BB27" s="18"/>
      <c r="BC27" s="18"/>
      <c r="BD27" s="18"/>
      <c r="BE27" s="18"/>
      <c r="BF27" s="18"/>
      <c r="BG27" s="18"/>
      <c r="BI27" s="18"/>
      <c r="BJ27" s="18"/>
      <c r="BK27" s="18"/>
      <c r="BL27" s="18"/>
      <c r="BM27" s="18"/>
      <c r="BN27" s="18"/>
      <c r="BO27" s="18"/>
      <c r="BP27" s="18"/>
      <c r="BQ27" s="18"/>
      <c r="BR27" s="18"/>
      <c r="BS27" s="18"/>
      <c r="BT27" s="18"/>
      <c r="BU27" s="18"/>
      <c r="BV27" s="18"/>
      <c r="BW27" s="18"/>
      <c r="BX27" s="18"/>
      <c r="BY27" s="18"/>
      <c r="BZ27" s="18"/>
      <c r="CA27" s="18"/>
      <c r="CB27" s="18"/>
      <c r="CC27" s="18"/>
      <c r="CD27" s="18"/>
      <c r="CE27" s="18"/>
      <c r="CF27" s="18"/>
      <c r="CG27" s="18"/>
      <c r="CH27" s="18"/>
      <c r="CI27" s="18"/>
      <c r="CJ27" s="18"/>
      <c r="CK27" s="18"/>
      <c r="CL27" s="18"/>
      <c r="CM27" s="18"/>
      <c r="CN27" s="18"/>
      <c r="CO27" s="18"/>
      <c r="CP27" s="18"/>
      <c r="CQ27" s="18"/>
      <c r="CR27" s="18"/>
      <c r="CS27" s="18"/>
      <c r="CT27" s="18"/>
      <c r="CU27" s="18"/>
      <c r="CV27" s="18"/>
      <c r="CW27" s="18"/>
      <c r="CX27" s="18"/>
      <c r="CY27" s="18"/>
      <c r="CZ27" s="18"/>
      <c r="DA27" s="18"/>
      <c r="DB27" s="18"/>
      <c r="DC27" s="18"/>
      <c r="DD27" s="18"/>
      <c r="DE27" s="18"/>
      <c r="DF27" s="18"/>
      <c r="DG27" s="18"/>
      <c r="DH27" s="18"/>
      <c r="DI27" s="18"/>
      <c r="DJ27" s="18"/>
      <c r="DK27" s="18"/>
      <c r="DL27" s="18"/>
      <c r="DM27" s="18"/>
      <c r="DN27" s="18"/>
      <c r="DO27" s="18"/>
      <c r="DP27" s="18"/>
      <c r="DQ27" s="18"/>
    </row>
    <row r="28" spans="2:121" x14ac:dyDescent="0.3">
      <c r="B28" s="11">
        <v>14</v>
      </c>
      <c r="C28" s="12"/>
      <c r="D28" s="9"/>
      <c r="F28" s="18"/>
      <c r="G28" s="18"/>
      <c r="H28" s="18"/>
      <c r="I28" s="18"/>
      <c r="J28" s="18"/>
      <c r="K28" s="18"/>
      <c r="L28" s="18"/>
      <c r="M28" s="18"/>
      <c r="N28" s="18"/>
      <c r="O28" s="18"/>
      <c r="P28" s="18"/>
      <c r="Q28" s="18"/>
      <c r="R28" s="18"/>
      <c r="S28" s="18"/>
      <c r="T28" s="18"/>
      <c r="U28" s="18"/>
      <c r="V28" s="18"/>
      <c r="W28" s="18"/>
      <c r="X28" s="18"/>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c r="AX28" s="18"/>
      <c r="AY28" s="18"/>
      <c r="AZ28" s="18"/>
      <c r="BA28" s="18"/>
      <c r="BB28" s="18"/>
      <c r="BC28" s="18"/>
      <c r="BD28" s="18"/>
      <c r="BE28" s="18"/>
      <c r="BF28" s="18"/>
      <c r="BG28" s="18"/>
      <c r="BI28" s="18"/>
      <c r="BJ28" s="18"/>
      <c r="BK28" s="18"/>
      <c r="BL28" s="18"/>
      <c r="BM28" s="18"/>
      <c r="BN28" s="18"/>
      <c r="BO28" s="18"/>
      <c r="BP28" s="18"/>
      <c r="BQ28" s="18"/>
      <c r="BR28" s="18"/>
      <c r="BS28" s="18"/>
      <c r="BT28" s="18"/>
      <c r="BU28" s="18"/>
      <c r="BV28" s="18"/>
      <c r="BW28" s="18"/>
      <c r="BX28" s="18"/>
      <c r="BY28" s="18"/>
      <c r="BZ28" s="18"/>
      <c r="CA28" s="18"/>
      <c r="CB28" s="18"/>
      <c r="CC28" s="18"/>
      <c r="CD28" s="18"/>
      <c r="CE28" s="18"/>
      <c r="CF28" s="18"/>
      <c r="CG28" s="18"/>
      <c r="CH28" s="18"/>
      <c r="CI28" s="18"/>
      <c r="CJ28" s="18"/>
      <c r="CK28" s="18"/>
      <c r="CL28" s="18"/>
      <c r="CM28" s="18"/>
      <c r="CN28" s="18"/>
      <c r="CO28" s="18"/>
      <c r="CP28" s="18"/>
      <c r="CQ28" s="18"/>
      <c r="CR28" s="18"/>
      <c r="CS28" s="18"/>
      <c r="CT28" s="18"/>
      <c r="CU28" s="18"/>
      <c r="CV28" s="18"/>
      <c r="CW28" s="18"/>
      <c r="CX28" s="18"/>
      <c r="CY28" s="18"/>
      <c r="CZ28" s="18"/>
      <c r="DA28" s="18"/>
      <c r="DB28" s="18"/>
      <c r="DC28" s="18"/>
      <c r="DD28" s="18"/>
      <c r="DE28" s="18"/>
      <c r="DF28" s="18"/>
      <c r="DG28" s="18"/>
      <c r="DH28" s="18"/>
      <c r="DI28" s="18"/>
      <c r="DJ28" s="18"/>
      <c r="DK28" s="18"/>
      <c r="DL28" s="18"/>
      <c r="DM28" s="18"/>
      <c r="DN28" s="18"/>
      <c r="DO28" s="18"/>
      <c r="DP28" s="18"/>
      <c r="DQ28" s="18"/>
    </row>
    <row r="29" spans="2:121" x14ac:dyDescent="0.3">
      <c r="B29" s="11">
        <v>15</v>
      </c>
      <c r="C29" s="12"/>
      <c r="D29" s="9"/>
      <c r="F29" s="18"/>
      <c r="G29" s="18"/>
      <c r="H29" s="18"/>
      <c r="I29" s="18"/>
      <c r="J29" s="18"/>
      <c r="K29" s="18"/>
      <c r="L29" s="18"/>
      <c r="M29" s="18"/>
      <c r="N29" s="18"/>
      <c r="O29" s="18"/>
      <c r="P29" s="18"/>
      <c r="Q29" s="18"/>
      <c r="R29" s="18"/>
      <c r="S29" s="18"/>
      <c r="T29" s="18"/>
      <c r="U29" s="18"/>
      <c r="V29" s="18"/>
      <c r="W29" s="18"/>
      <c r="X29" s="18"/>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c r="AX29" s="18"/>
      <c r="AY29" s="18"/>
      <c r="AZ29" s="18"/>
      <c r="BA29" s="18"/>
      <c r="BB29" s="18"/>
      <c r="BC29" s="18"/>
      <c r="BD29" s="18"/>
      <c r="BE29" s="18"/>
      <c r="BF29" s="18"/>
      <c r="BG29" s="18"/>
      <c r="BI29" s="18"/>
      <c r="BJ29" s="18"/>
      <c r="BK29" s="18"/>
      <c r="BL29" s="18"/>
      <c r="BM29" s="18"/>
      <c r="BN29" s="18"/>
      <c r="BO29" s="18"/>
      <c r="BP29" s="18"/>
      <c r="BQ29" s="18"/>
      <c r="BR29" s="18"/>
      <c r="BS29" s="18"/>
      <c r="BT29" s="18"/>
      <c r="BU29" s="18"/>
      <c r="BV29" s="18"/>
      <c r="BW29" s="18"/>
      <c r="BX29" s="18"/>
      <c r="BY29" s="18"/>
      <c r="BZ29" s="18"/>
      <c r="CA29" s="18"/>
      <c r="CB29" s="18"/>
      <c r="CC29" s="18"/>
      <c r="CD29" s="18"/>
      <c r="CE29" s="18"/>
      <c r="CF29" s="18"/>
      <c r="CG29" s="18"/>
      <c r="CH29" s="18"/>
      <c r="CI29" s="18"/>
      <c r="CJ29" s="18"/>
      <c r="CK29" s="18"/>
      <c r="CL29" s="18"/>
      <c r="CM29" s="18"/>
      <c r="CN29" s="18"/>
      <c r="CO29" s="18"/>
      <c r="CP29" s="18"/>
      <c r="CQ29" s="18"/>
      <c r="CR29" s="18"/>
      <c r="CS29" s="18"/>
      <c r="CT29" s="18"/>
      <c r="CU29" s="18"/>
      <c r="CV29" s="18"/>
      <c r="CW29" s="18"/>
      <c r="CX29" s="18"/>
      <c r="CY29" s="18"/>
      <c r="CZ29" s="18"/>
      <c r="DA29" s="18"/>
      <c r="DB29" s="18"/>
      <c r="DC29" s="18"/>
      <c r="DD29" s="18"/>
      <c r="DE29" s="18"/>
      <c r="DF29" s="18"/>
      <c r="DG29" s="18"/>
      <c r="DH29" s="18"/>
      <c r="DI29" s="18"/>
      <c r="DJ29" s="18"/>
      <c r="DK29" s="18"/>
      <c r="DL29" s="18"/>
      <c r="DM29" s="18"/>
      <c r="DN29" s="18"/>
      <c r="DO29" s="18"/>
      <c r="DP29" s="18"/>
      <c r="DQ29" s="18"/>
    </row>
    <row r="30" spans="2:121" x14ac:dyDescent="0.3">
      <c r="B30" s="11">
        <v>16</v>
      </c>
      <c r="C30" s="12"/>
      <c r="D30" s="9"/>
      <c r="F30" s="18"/>
      <c r="G30" s="18"/>
      <c r="H30" s="18"/>
      <c r="I30" s="18"/>
      <c r="J30" s="18"/>
      <c r="K30" s="18"/>
      <c r="L30" s="18"/>
      <c r="M30" s="18"/>
      <c r="N30" s="18"/>
      <c r="O30" s="18"/>
      <c r="P30" s="18"/>
      <c r="Q30" s="18"/>
      <c r="R30" s="18"/>
      <c r="S30" s="18"/>
      <c r="T30" s="18"/>
      <c r="U30" s="18"/>
      <c r="V30" s="18"/>
      <c r="W30" s="18"/>
      <c r="X30" s="18"/>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c r="AX30" s="18"/>
      <c r="AY30" s="18"/>
      <c r="AZ30" s="18"/>
      <c r="BA30" s="18"/>
      <c r="BB30" s="18"/>
      <c r="BC30" s="18"/>
      <c r="BD30" s="18"/>
      <c r="BE30" s="18"/>
      <c r="BF30" s="18"/>
      <c r="BG30" s="18"/>
      <c r="BI30" s="18"/>
      <c r="BJ30" s="18"/>
      <c r="BK30" s="18"/>
      <c r="BL30" s="18"/>
      <c r="BM30" s="18"/>
      <c r="BN30" s="18"/>
      <c r="BO30" s="18"/>
      <c r="BP30" s="18"/>
      <c r="BQ30" s="18"/>
      <c r="BR30" s="18"/>
      <c r="BS30" s="18"/>
      <c r="BT30" s="18"/>
      <c r="BU30" s="18"/>
      <c r="BV30" s="18"/>
      <c r="BW30" s="18"/>
      <c r="BX30" s="18"/>
      <c r="BY30" s="18"/>
      <c r="BZ30" s="18"/>
      <c r="CA30" s="18"/>
      <c r="CB30" s="18"/>
      <c r="CC30" s="18"/>
      <c r="CD30" s="18"/>
      <c r="CE30" s="18"/>
      <c r="CF30" s="18"/>
      <c r="CG30" s="18"/>
      <c r="CH30" s="18"/>
      <c r="CI30" s="18"/>
      <c r="CJ30" s="18"/>
      <c r="CK30" s="18"/>
      <c r="CL30" s="18"/>
      <c r="CM30" s="18"/>
      <c r="CN30" s="18"/>
      <c r="CO30" s="18"/>
      <c r="CP30" s="18"/>
      <c r="CQ30" s="18"/>
      <c r="CR30" s="18"/>
      <c r="CS30" s="18"/>
      <c r="CT30" s="18"/>
      <c r="CU30" s="18"/>
      <c r="CV30" s="18"/>
      <c r="CW30" s="18"/>
      <c r="CX30" s="18"/>
      <c r="CY30" s="18"/>
      <c r="CZ30" s="18"/>
      <c r="DA30" s="18"/>
      <c r="DB30" s="18"/>
      <c r="DC30" s="18"/>
      <c r="DD30" s="18"/>
      <c r="DE30" s="18"/>
      <c r="DF30" s="18"/>
      <c r="DG30" s="18"/>
      <c r="DH30" s="18"/>
      <c r="DI30" s="18"/>
      <c r="DJ30" s="18"/>
      <c r="DK30" s="18"/>
      <c r="DL30" s="18"/>
      <c r="DM30" s="18"/>
      <c r="DN30" s="18"/>
      <c r="DO30" s="18"/>
      <c r="DP30" s="18"/>
      <c r="DQ30" s="18"/>
    </row>
    <row r="31" spans="2:121" x14ac:dyDescent="0.3">
      <c r="B31" s="11">
        <v>17</v>
      </c>
      <c r="C31" s="12"/>
      <c r="D31" s="9"/>
      <c r="F31" s="18"/>
      <c r="G31" s="18"/>
      <c r="H31" s="18"/>
      <c r="I31" s="18"/>
      <c r="J31" s="18"/>
      <c r="K31" s="18"/>
      <c r="L31" s="18"/>
      <c r="M31" s="18"/>
      <c r="N31" s="18"/>
      <c r="O31" s="18"/>
      <c r="P31" s="18"/>
      <c r="Q31" s="18"/>
      <c r="R31" s="18"/>
      <c r="S31" s="18"/>
      <c r="T31" s="18"/>
      <c r="U31" s="18"/>
      <c r="V31" s="18"/>
      <c r="W31" s="18"/>
      <c r="X31" s="18"/>
      <c r="Y31" s="18"/>
      <c r="Z31" s="18"/>
      <c r="AA31" s="18"/>
      <c r="AB31" s="18"/>
      <c r="AC31" s="18"/>
      <c r="AD31" s="18"/>
      <c r="AE31" s="18"/>
      <c r="AF31" s="18"/>
      <c r="AG31" s="18"/>
      <c r="AH31" s="18"/>
      <c r="AI31" s="18"/>
      <c r="AJ31" s="18"/>
      <c r="AK31" s="18"/>
      <c r="AL31" s="18"/>
      <c r="AM31" s="18"/>
      <c r="AN31" s="18"/>
      <c r="AO31" s="18"/>
      <c r="AP31" s="18"/>
      <c r="AQ31" s="18"/>
      <c r="AR31" s="18"/>
      <c r="AS31" s="18"/>
      <c r="AT31" s="18"/>
      <c r="AU31" s="18"/>
      <c r="AV31" s="18"/>
      <c r="AW31" s="18"/>
      <c r="AX31" s="18"/>
      <c r="AY31" s="18"/>
      <c r="AZ31" s="18"/>
      <c r="BA31" s="18"/>
      <c r="BB31" s="18"/>
      <c r="BC31" s="18"/>
      <c r="BD31" s="18"/>
      <c r="BE31" s="18"/>
      <c r="BF31" s="18"/>
      <c r="BG31" s="18"/>
      <c r="BI31" s="18"/>
      <c r="BJ31" s="18"/>
      <c r="BK31" s="18"/>
      <c r="BL31" s="18"/>
      <c r="BM31" s="18"/>
      <c r="BN31" s="18"/>
      <c r="BO31" s="18"/>
      <c r="BP31" s="18"/>
      <c r="BQ31" s="18"/>
      <c r="BR31" s="18"/>
      <c r="BS31" s="18"/>
      <c r="BT31" s="18"/>
      <c r="BU31" s="18"/>
      <c r="BV31" s="18"/>
      <c r="BW31" s="18"/>
      <c r="BX31" s="18"/>
      <c r="BY31" s="18"/>
      <c r="BZ31" s="18"/>
      <c r="CA31" s="18"/>
      <c r="CB31" s="18"/>
      <c r="CC31" s="18"/>
      <c r="CD31" s="18"/>
      <c r="CE31" s="18"/>
      <c r="CF31" s="18"/>
      <c r="CG31" s="18"/>
      <c r="CH31" s="18"/>
      <c r="CI31" s="18"/>
      <c r="CJ31" s="18"/>
      <c r="CK31" s="18"/>
      <c r="CL31" s="18"/>
      <c r="CM31" s="18"/>
      <c r="CN31" s="18"/>
      <c r="CO31" s="18"/>
      <c r="CP31" s="18"/>
      <c r="CQ31" s="18"/>
      <c r="CR31" s="18"/>
      <c r="CS31" s="18"/>
      <c r="CT31" s="18"/>
      <c r="CU31" s="18"/>
      <c r="CV31" s="18"/>
      <c r="CW31" s="18"/>
      <c r="CX31" s="18"/>
      <c r="CY31" s="18"/>
      <c r="CZ31" s="18"/>
      <c r="DA31" s="18"/>
      <c r="DB31" s="18"/>
      <c r="DC31" s="18"/>
      <c r="DD31" s="18"/>
      <c r="DE31" s="18"/>
      <c r="DF31" s="18"/>
      <c r="DG31" s="18"/>
      <c r="DH31" s="18"/>
      <c r="DI31" s="18"/>
      <c r="DJ31" s="18"/>
      <c r="DK31" s="18"/>
      <c r="DL31" s="18"/>
      <c r="DM31" s="18"/>
      <c r="DN31" s="18"/>
      <c r="DO31" s="18"/>
      <c r="DP31" s="18"/>
      <c r="DQ31" s="18"/>
    </row>
    <row r="32" spans="2:121" x14ac:dyDescent="0.3">
      <c r="B32" s="11">
        <v>18</v>
      </c>
      <c r="C32" s="12"/>
      <c r="D32" s="9"/>
      <c r="F32" s="18"/>
      <c r="G32" s="18"/>
      <c r="H32" s="18"/>
      <c r="I32" s="18"/>
      <c r="J32" s="18"/>
      <c r="K32" s="18"/>
      <c r="L32" s="18"/>
      <c r="M32" s="18"/>
      <c r="N32" s="18"/>
      <c r="O32" s="18"/>
      <c r="P32" s="18"/>
      <c r="Q32" s="18"/>
      <c r="R32" s="18"/>
      <c r="S32" s="18"/>
      <c r="T32" s="18"/>
      <c r="U32" s="18"/>
      <c r="V32" s="18"/>
      <c r="W32" s="18"/>
      <c r="X32" s="18"/>
      <c r="Y32" s="18"/>
      <c r="Z32" s="18"/>
      <c r="AA32" s="18"/>
      <c r="AB32" s="18"/>
      <c r="AC32" s="18"/>
      <c r="AD32" s="18"/>
      <c r="AE32" s="18"/>
      <c r="AF32" s="18"/>
      <c r="AG32" s="18"/>
      <c r="AH32" s="18"/>
      <c r="AI32" s="18"/>
      <c r="AJ32" s="18"/>
      <c r="AK32" s="18"/>
      <c r="AL32" s="18"/>
      <c r="AM32" s="18"/>
      <c r="AN32" s="18"/>
      <c r="AO32" s="18"/>
      <c r="AP32" s="18"/>
      <c r="AQ32" s="18"/>
      <c r="AR32" s="18"/>
      <c r="AS32" s="18"/>
      <c r="AT32" s="18"/>
      <c r="AU32" s="18"/>
      <c r="AV32" s="18"/>
      <c r="AW32" s="18"/>
      <c r="AX32" s="18"/>
      <c r="AY32" s="18"/>
      <c r="AZ32" s="18"/>
      <c r="BA32" s="18"/>
      <c r="BB32" s="18"/>
      <c r="BC32" s="18"/>
      <c r="BD32" s="18"/>
      <c r="BE32" s="18"/>
      <c r="BF32" s="18"/>
      <c r="BG32" s="18"/>
      <c r="BI32" s="18"/>
      <c r="BJ32" s="18"/>
      <c r="BK32" s="18"/>
      <c r="BL32" s="18"/>
      <c r="BM32" s="18"/>
      <c r="BN32" s="18"/>
      <c r="BO32" s="18"/>
      <c r="BP32" s="18"/>
      <c r="BQ32" s="18"/>
      <c r="BR32" s="18"/>
      <c r="BS32" s="18"/>
      <c r="BT32" s="18"/>
      <c r="BU32" s="18"/>
      <c r="BV32" s="18"/>
      <c r="BW32" s="18"/>
      <c r="BX32" s="18"/>
      <c r="BY32" s="18"/>
      <c r="BZ32" s="18"/>
      <c r="CA32" s="18"/>
      <c r="CB32" s="18"/>
      <c r="CC32" s="18"/>
      <c r="CD32" s="18"/>
      <c r="CE32" s="18"/>
      <c r="CF32" s="18"/>
      <c r="CG32" s="18"/>
      <c r="CH32" s="18"/>
      <c r="CI32" s="18"/>
      <c r="CJ32" s="18"/>
      <c r="CK32" s="18"/>
      <c r="CL32" s="18"/>
      <c r="CM32" s="18"/>
      <c r="CN32" s="18"/>
      <c r="CO32" s="18"/>
      <c r="CP32" s="18"/>
      <c r="CQ32" s="18"/>
      <c r="CR32" s="18"/>
      <c r="CS32" s="18"/>
      <c r="CT32" s="18"/>
      <c r="CU32" s="18"/>
      <c r="CV32" s="18"/>
      <c r="CW32" s="18"/>
      <c r="CX32" s="18"/>
      <c r="CY32" s="18"/>
      <c r="CZ32" s="18"/>
      <c r="DA32" s="18"/>
      <c r="DB32" s="18"/>
      <c r="DC32" s="18"/>
      <c r="DD32" s="18"/>
      <c r="DE32" s="18"/>
      <c r="DF32" s="18"/>
      <c r="DG32" s="18"/>
      <c r="DH32" s="18"/>
      <c r="DI32" s="18"/>
      <c r="DJ32" s="18"/>
      <c r="DK32" s="18"/>
      <c r="DL32" s="18"/>
      <c r="DM32" s="18"/>
      <c r="DN32" s="18"/>
      <c r="DO32" s="18"/>
      <c r="DP32" s="18"/>
      <c r="DQ32" s="18"/>
    </row>
    <row r="34" spans="2:121" x14ac:dyDescent="0.3">
      <c r="B34" s="7"/>
      <c r="C34" s="7" t="s">
        <v>48</v>
      </c>
      <c r="D34" s="10">
        <f>SUM(D15:D33)</f>
        <v>100394.73</v>
      </c>
      <c r="F34" s="10">
        <f t="shared" ref="F34:AK34" si="0">SUM(F15:F33)</f>
        <v>0</v>
      </c>
      <c r="G34" s="10">
        <f t="shared" si="0"/>
        <v>2354</v>
      </c>
      <c r="H34" s="10">
        <f t="shared" si="0"/>
        <v>3366</v>
      </c>
      <c r="I34" s="10">
        <f t="shared" si="0"/>
        <v>0</v>
      </c>
      <c r="J34" s="10">
        <f t="shared" si="0"/>
        <v>0</v>
      </c>
      <c r="K34" s="10">
        <f t="shared" si="0"/>
        <v>0</v>
      </c>
      <c r="L34" s="10">
        <f t="shared" si="0"/>
        <v>0</v>
      </c>
      <c r="M34" s="10">
        <f t="shared" si="0"/>
        <v>4521.38</v>
      </c>
      <c r="N34" s="10">
        <f t="shared" si="0"/>
        <v>0</v>
      </c>
      <c r="O34" s="10">
        <f t="shared" si="0"/>
        <v>0</v>
      </c>
      <c r="P34" s="10">
        <f t="shared" si="0"/>
        <v>0</v>
      </c>
      <c r="Q34" s="10">
        <f t="shared" si="0"/>
        <v>610</v>
      </c>
      <c r="R34" s="10">
        <f t="shared" si="0"/>
        <v>65454</v>
      </c>
      <c r="S34" s="10">
        <f t="shared" si="0"/>
        <v>0</v>
      </c>
      <c r="T34" s="10">
        <f t="shared" si="0"/>
        <v>0</v>
      </c>
      <c r="U34" s="10">
        <f t="shared" si="0"/>
        <v>0</v>
      </c>
      <c r="V34" s="10">
        <f t="shared" si="0"/>
        <v>0</v>
      </c>
      <c r="W34" s="10">
        <f t="shared" si="0"/>
        <v>15614.35</v>
      </c>
      <c r="X34" s="10">
        <f t="shared" si="0"/>
        <v>1658</v>
      </c>
      <c r="Y34" s="10">
        <f t="shared" si="0"/>
        <v>2150</v>
      </c>
      <c r="Z34" s="10">
        <f t="shared" si="0"/>
        <v>0</v>
      </c>
      <c r="AA34" s="10">
        <f t="shared" si="0"/>
        <v>0</v>
      </c>
      <c r="AB34" s="10">
        <f t="shared" si="0"/>
        <v>0</v>
      </c>
      <c r="AC34" s="10">
        <f t="shared" si="0"/>
        <v>0</v>
      </c>
      <c r="AD34" s="10">
        <f t="shared" si="0"/>
        <v>0</v>
      </c>
      <c r="AE34" s="10">
        <f t="shared" si="0"/>
        <v>0</v>
      </c>
      <c r="AF34" s="10">
        <f t="shared" si="0"/>
        <v>3164</v>
      </c>
      <c r="AG34" s="10">
        <f t="shared" si="0"/>
        <v>0</v>
      </c>
      <c r="AH34" s="10">
        <f t="shared" si="0"/>
        <v>0</v>
      </c>
      <c r="AI34" s="10">
        <f t="shared" si="0"/>
        <v>0</v>
      </c>
      <c r="AJ34" s="10">
        <f t="shared" si="0"/>
        <v>0</v>
      </c>
      <c r="AK34" s="10">
        <f t="shared" si="0"/>
        <v>0</v>
      </c>
      <c r="AL34" s="10">
        <f t="shared" ref="AL34:BG34" si="1">SUM(AL15:AL33)</f>
        <v>0</v>
      </c>
      <c r="AM34" s="10">
        <f t="shared" si="1"/>
        <v>0</v>
      </c>
      <c r="AN34" s="10">
        <f t="shared" si="1"/>
        <v>0</v>
      </c>
      <c r="AO34" s="10">
        <f t="shared" si="1"/>
        <v>0</v>
      </c>
      <c r="AP34" s="10">
        <f t="shared" si="1"/>
        <v>1503</v>
      </c>
      <c r="AQ34" s="10">
        <f t="shared" si="1"/>
        <v>0</v>
      </c>
      <c r="AR34" s="10">
        <f t="shared" si="1"/>
        <v>0</v>
      </c>
      <c r="AS34" s="10">
        <f t="shared" si="1"/>
        <v>0</v>
      </c>
      <c r="AT34" s="10">
        <f t="shared" si="1"/>
        <v>0</v>
      </c>
      <c r="AU34" s="10">
        <f t="shared" si="1"/>
        <v>0</v>
      </c>
      <c r="AV34" s="10">
        <f t="shared" si="1"/>
        <v>0</v>
      </c>
      <c r="AW34" s="10">
        <f t="shared" si="1"/>
        <v>0</v>
      </c>
      <c r="AX34" s="10">
        <f t="shared" si="1"/>
        <v>0</v>
      </c>
      <c r="AY34" s="10">
        <f t="shared" si="1"/>
        <v>0</v>
      </c>
      <c r="AZ34" s="10">
        <f t="shared" si="1"/>
        <v>0</v>
      </c>
      <c r="BA34" s="10">
        <f t="shared" si="1"/>
        <v>0</v>
      </c>
      <c r="BB34" s="10">
        <f t="shared" si="1"/>
        <v>0</v>
      </c>
      <c r="BC34" s="10">
        <f t="shared" si="1"/>
        <v>0</v>
      </c>
      <c r="BD34" s="10">
        <f t="shared" si="1"/>
        <v>0</v>
      </c>
      <c r="BE34" s="10">
        <f t="shared" si="1"/>
        <v>0</v>
      </c>
      <c r="BF34" s="10">
        <f t="shared" si="1"/>
        <v>0</v>
      </c>
      <c r="BG34" s="10">
        <f t="shared" si="1"/>
        <v>0</v>
      </c>
      <c r="BI34" s="10">
        <f t="shared" ref="BI34:CN34" si="2">SUM(BI15:BI33)</f>
        <v>0</v>
      </c>
      <c r="BJ34" s="10">
        <f t="shared" si="2"/>
        <v>0</v>
      </c>
      <c r="BK34" s="10">
        <f t="shared" si="2"/>
        <v>0</v>
      </c>
      <c r="BL34" s="10">
        <f t="shared" si="2"/>
        <v>0</v>
      </c>
      <c r="BM34" s="10">
        <f t="shared" si="2"/>
        <v>0</v>
      </c>
      <c r="BN34" s="10">
        <f t="shared" si="2"/>
        <v>0</v>
      </c>
      <c r="BO34" s="10">
        <f t="shared" si="2"/>
        <v>0</v>
      </c>
      <c r="BP34" s="10">
        <f t="shared" si="2"/>
        <v>0</v>
      </c>
      <c r="BQ34" s="10">
        <f t="shared" si="2"/>
        <v>0</v>
      </c>
      <c r="BR34" s="10">
        <f t="shared" si="2"/>
        <v>0</v>
      </c>
      <c r="BS34" s="10">
        <f t="shared" si="2"/>
        <v>0</v>
      </c>
      <c r="BT34" s="10">
        <f t="shared" si="2"/>
        <v>0</v>
      </c>
      <c r="BU34" s="10">
        <f t="shared" si="2"/>
        <v>0</v>
      </c>
      <c r="BV34" s="10">
        <f t="shared" si="2"/>
        <v>0</v>
      </c>
      <c r="BW34" s="10">
        <f t="shared" si="2"/>
        <v>0</v>
      </c>
      <c r="BX34" s="10">
        <f t="shared" si="2"/>
        <v>0</v>
      </c>
      <c r="BY34" s="10">
        <f t="shared" si="2"/>
        <v>0</v>
      </c>
      <c r="BZ34" s="10">
        <f t="shared" si="2"/>
        <v>0</v>
      </c>
      <c r="CA34" s="10">
        <f t="shared" si="2"/>
        <v>0</v>
      </c>
      <c r="CB34" s="10">
        <f t="shared" si="2"/>
        <v>0</v>
      </c>
      <c r="CC34" s="10">
        <f t="shared" si="2"/>
        <v>0</v>
      </c>
      <c r="CD34" s="10">
        <f t="shared" si="2"/>
        <v>0</v>
      </c>
      <c r="CE34" s="10">
        <f t="shared" si="2"/>
        <v>0</v>
      </c>
      <c r="CF34" s="10">
        <f t="shared" si="2"/>
        <v>0</v>
      </c>
      <c r="CG34" s="10">
        <f t="shared" si="2"/>
        <v>0</v>
      </c>
      <c r="CH34" s="10">
        <f t="shared" si="2"/>
        <v>0</v>
      </c>
      <c r="CI34" s="10">
        <f t="shared" si="2"/>
        <v>0</v>
      </c>
      <c r="CJ34" s="10">
        <f t="shared" si="2"/>
        <v>0</v>
      </c>
      <c r="CK34" s="10">
        <f t="shared" si="2"/>
        <v>0</v>
      </c>
      <c r="CL34" s="10">
        <f t="shared" si="2"/>
        <v>0</v>
      </c>
      <c r="CM34" s="10">
        <f t="shared" si="2"/>
        <v>0</v>
      </c>
      <c r="CN34" s="10">
        <f t="shared" si="2"/>
        <v>0</v>
      </c>
      <c r="CO34" s="10">
        <f t="shared" ref="CO34:DQ34" si="3">SUM(CO15:CO33)</f>
        <v>0</v>
      </c>
      <c r="CP34" s="10">
        <f t="shared" si="3"/>
        <v>0</v>
      </c>
      <c r="CQ34" s="10">
        <f t="shared" si="3"/>
        <v>0</v>
      </c>
      <c r="CR34" s="10">
        <f t="shared" si="3"/>
        <v>0</v>
      </c>
      <c r="CS34" s="10">
        <f t="shared" si="3"/>
        <v>0</v>
      </c>
      <c r="CT34" s="10">
        <f t="shared" si="3"/>
        <v>0</v>
      </c>
      <c r="CU34" s="10">
        <f t="shared" si="3"/>
        <v>0</v>
      </c>
      <c r="CV34" s="10">
        <f t="shared" si="3"/>
        <v>0</v>
      </c>
      <c r="CW34" s="10">
        <f t="shared" si="3"/>
        <v>0</v>
      </c>
      <c r="CX34" s="10">
        <f t="shared" si="3"/>
        <v>0</v>
      </c>
      <c r="CY34" s="10">
        <f t="shared" si="3"/>
        <v>0</v>
      </c>
      <c r="CZ34" s="10">
        <f t="shared" si="3"/>
        <v>0</v>
      </c>
      <c r="DA34" s="10">
        <f t="shared" si="3"/>
        <v>0</v>
      </c>
      <c r="DB34" s="10">
        <f t="shared" si="3"/>
        <v>0</v>
      </c>
      <c r="DC34" s="10">
        <f t="shared" si="3"/>
        <v>0</v>
      </c>
      <c r="DD34" s="10">
        <f t="shared" si="3"/>
        <v>0</v>
      </c>
      <c r="DE34" s="10">
        <f t="shared" si="3"/>
        <v>0</v>
      </c>
      <c r="DF34" s="10">
        <f t="shared" si="3"/>
        <v>0</v>
      </c>
      <c r="DG34" s="10">
        <f t="shared" si="3"/>
        <v>0</v>
      </c>
      <c r="DH34" s="10">
        <f t="shared" si="3"/>
        <v>0</v>
      </c>
      <c r="DI34" s="10">
        <f t="shared" si="3"/>
        <v>0</v>
      </c>
      <c r="DJ34" s="10">
        <f t="shared" si="3"/>
        <v>0</v>
      </c>
      <c r="DK34" s="10">
        <f t="shared" si="3"/>
        <v>0</v>
      </c>
      <c r="DL34" s="10">
        <f t="shared" si="3"/>
        <v>0</v>
      </c>
      <c r="DM34" s="10">
        <f t="shared" si="3"/>
        <v>0</v>
      </c>
      <c r="DN34" s="10">
        <f t="shared" si="3"/>
        <v>0</v>
      </c>
      <c r="DO34" s="10">
        <f t="shared" si="3"/>
        <v>0</v>
      </c>
      <c r="DP34" s="10">
        <f t="shared" si="3"/>
        <v>0</v>
      </c>
      <c r="DQ34" s="10">
        <f t="shared" si="3"/>
        <v>0</v>
      </c>
    </row>
    <row r="35" spans="2:121" s="8" customFormat="1" x14ac:dyDescent="0.3">
      <c r="B35" s="2"/>
      <c r="C35" s="2"/>
      <c r="D35" s="2"/>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6"/>
      <c r="AK35" s="6"/>
      <c r="AL35" s="6"/>
      <c r="AM35" s="6"/>
      <c r="AN35" s="6"/>
      <c r="AO35" s="6"/>
      <c r="AP35" s="6"/>
      <c r="AQ35" s="6"/>
      <c r="AR35" s="6"/>
      <c r="AS35" s="6"/>
      <c r="AT35" s="6"/>
      <c r="AU35" s="6"/>
      <c r="AV35" s="6"/>
      <c r="AW35" s="6"/>
      <c r="AX35" s="6"/>
      <c r="AY35" s="6"/>
      <c r="AZ35" s="6"/>
      <c r="BA35" s="6"/>
      <c r="BB35" s="6"/>
      <c r="BC35" s="6"/>
      <c r="BD35" s="6"/>
      <c r="BE35" s="6"/>
      <c r="BF35" s="6"/>
      <c r="BG35" s="6"/>
      <c r="BH35" s="6"/>
      <c r="BI35" s="6"/>
      <c r="BJ35" s="6"/>
      <c r="BK35" s="6"/>
      <c r="BL35" s="6"/>
      <c r="BM35" s="6"/>
      <c r="BN35" s="6"/>
      <c r="BO35" s="6"/>
      <c r="BP35" s="6"/>
      <c r="BQ35" s="6"/>
      <c r="BR35" s="6"/>
      <c r="BS35" s="6"/>
      <c r="BT35" s="6"/>
      <c r="BU35" s="6"/>
      <c r="BV35" s="6"/>
      <c r="BW35" s="6"/>
      <c r="BX35" s="6"/>
      <c r="BY35" s="6"/>
      <c r="BZ35" s="6"/>
      <c r="CA35" s="6"/>
      <c r="CB35" s="6"/>
      <c r="CC35" s="6"/>
      <c r="CD35" s="6"/>
      <c r="CE35" s="6"/>
      <c r="CF35" s="6"/>
      <c r="CG35" s="6"/>
      <c r="CH35" s="6"/>
      <c r="CI35" s="6"/>
      <c r="CJ35" s="6"/>
      <c r="CK35" s="6"/>
      <c r="CL35" s="6"/>
      <c r="CM35" s="6"/>
      <c r="CN35" s="6"/>
      <c r="CO35" s="6"/>
      <c r="CP35" s="6"/>
      <c r="CQ35" s="6"/>
      <c r="CR35" s="6"/>
      <c r="CS35" s="6"/>
      <c r="CT35" s="6"/>
      <c r="CU35" s="6"/>
      <c r="CV35" s="6"/>
      <c r="CW35" s="6"/>
      <c r="CX35" s="6"/>
      <c r="CY35" s="6"/>
      <c r="CZ35" s="6"/>
      <c r="DA35" s="6"/>
      <c r="DB35" s="6"/>
      <c r="DC35" s="6"/>
      <c r="DD35" s="6"/>
      <c r="DE35" s="6"/>
      <c r="DF35" s="6"/>
      <c r="DG35" s="6"/>
      <c r="DH35" s="6"/>
      <c r="DI35" s="6"/>
      <c r="DJ35" s="6"/>
      <c r="DK35" s="6"/>
      <c r="DL35" s="6"/>
      <c r="DM35" s="6"/>
      <c r="DN35" s="6"/>
      <c r="DO35" s="6"/>
      <c r="DP35" s="6"/>
      <c r="DQ35" s="6"/>
    </row>
  </sheetData>
  <sheetProtection algorithmName="SHA-512" hashValue="/XxN0nXANUTfTF9+kAbfv+GqW8B18ZefgOS2kZQrhLbVXKnxYF37cU0aY10wtPkFt43dqfD/n+2RZUwgzt/0wg==" saltValue="7lx4vBG/uSvzhk0PbK/k6w==" spinCount="100000" sheet="1" objects="1" scenarios="1" formatColumns="0" formatRows="0" sort="0" autoFilter="0"/>
  <mergeCells count="8">
    <mergeCell ref="BI13:BZ13"/>
    <mergeCell ref="CA13:CS13"/>
    <mergeCell ref="CT13:DQ13"/>
    <mergeCell ref="B5:D5"/>
    <mergeCell ref="F13:W13"/>
    <mergeCell ref="X13:AO13"/>
    <mergeCell ref="AP13:BG13"/>
    <mergeCell ref="B9:D9"/>
  </mergeCells>
  <dataValidations count="1">
    <dataValidation type="decimal" operator="greaterThanOrEqual" allowBlank="1" showInputMessage="1" showErrorMessage="1" sqref="BI15:DQ32 F15:BG32">
      <formula1>0</formula1>
    </dataValidation>
  </dataValidations>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Add_Supplies" altText="Add Diagnosis">
                <anchor moveWithCells="1">
                  <from>
                    <xdr:col>1</xdr:col>
                    <xdr:colOff>38100</xdr:colOff>
                    <xdr:row>14</xdr:row>
                    <xdr:rowOff>19050</xdr:rowOff>
                  </from>
                  <to>
                    <xdr:col>1</xdr:col>
                    <xdr:colOff>762000</xdr:colOff>
                    <xdr:row>14</xdr:row>
                    <xdr:rowOff>161925</xdr:rowOff>
                  </to>
                </anchor>
              </controlPr>
            </control>
          </mc:Choice>
        </mc:AlternateContent>
        <mc:AlternateContent xmlns:mc="http://schemas.openxmlformats.org/markup-compatibility/2006">
          <mc:Choice Requires="x14">
            <control shapeId="1026" r:id="rId5" name="Button 2">
              <controlPr defaultSize="0" print="0" autoFill="0" autoPict="0" macro="[0]!Delete_Supplies" altText="Delete Diagnosis">
                <anchor moveWithCells="1">
                  <from>
                    <xdr:col>1</xdr:col>
                    <xdr:colOff>809625</xdr:colOff>
                    <xdr:row>14</xdr:row>
                    <xdr:rowOff>19050</xdr:rowOff>
                  </from>
                  <to>
                    <xdr:col>1</xdr:col>
                    <xdr:colOff>1524000</xdr:colOff>
                    <xdr:row>14</xdr:row>
                    <xdr:rowOff>161925</xdr:rowOff>
                  </to>
                </anchor>
              </controlPr>
            </control>
          </mc:Choice>
        </mc:AlternateContent>
        <mc:AlternateContent xmlns:mc="http://schemas.openxmlformats.org/markup-compatibility/2006">
          <mc:Choice Requires="x14">
            <control shapeId="1027" r:id="rId6" name="SelectI">
              <controlPr defaultSize="0" print="0" autoFill="0" autoPict="0" macro="[0]!Select_Level_I" altText="Select Level I and II Health Facilities">
                <anchor moveWithCells="1">
                  <from>
                    <xdr:col>2</xdr:col>
                    <xdr:colOff>1800225</xdr:colOff>
                    <xdr:row>10</xdr:row>
                    <xdr:rowOff>0</xdr:rowOff>
                  </from>
                  <to>
                    <xdr:col>2</xdr:col>
                    <xdr:colOff>2886075</xdr:colOff>
                    <xdr:row>11</xdr:row>
                    <xdr:rowOff>9525</xdr:rowOff>
                  </to>
                </anchor>
              </controlPr>
            </control>
          </mc:Choice>
        </mc:AlternateContent>
        <mc:AlternateContent xmlns:mc="http://schemas.openxmlformats.org/markup-compatibility/2006">
          <mc:Choice Requires="x14">
            <control shapeId="1028" r:id="rId7" name="SelectIIandIII">
              <controlPr defaultSize="0" print="0" autoFill="0" autoPict="0" macro="[0]!Select_Level_IIandIII" altText="Select Level I and II Health Facilities">
                <anchor moveWithCells="1">
                  <from>
                    <xdr:col>2</xdr:col>
                    <xdr:colOff>3038475</xdr:colOff>
                    <xdr:row>10</xdr:row>
                    <xdr:rowOff>0</xdr:rowOff>
                  </from>
                  <to>
                    <xdr:col>3</xdr:col>
                    <xdr:colOff>790575</xdr:colOff>
                    <xdr:row>11</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7.1CSO supplies costs</vt:lpstr>
    </vt:vector>
  </TitlesOfParts>
  <Company>HP</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Benjamin S. Simbul, Jr., MD</cp:lastModifiedBy>
  <dcterms:created xsi:type="dcterms:W3CDTF">2018-04-04T07:34:36Z</dcterms:created>
  <dcterms:modified xsi:type="dcterms:W3CDTF">2018-07-29T01:38:25Z</dcterms:modified>
</cp:coreProperties>
</file>