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<sst xmlns="http://schemas.openxmlformats.org/spreadsheetml/2006/main" count="489" uniqueCount="194">
  <si>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</si>
  <si>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</si>
  <si>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</si>
  <si>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</si>
  <si>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</si>
  <si>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</si>
  <si>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</si>
  <si>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</si>
  <si>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</si>
  <si>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</si>
  <si>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</si>
  <si>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</si>
  <si>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</si>
  <si>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</si>
  <si>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</si>
  <si>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</si>
  <si>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</si>
  <si>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</si>
  <si>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</si>
  <si>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</si>
  <si>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</si>
  <si>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</si>
  <si>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</si>
  <si>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</si>
  <si>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</si>
  <si>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</si>
  <si>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</si>
  <si>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</si>
  <si>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</si>
  <si>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</si>
  <si>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</si>
  <si>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</si>
  <si>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</si>
  <si>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</si>
  <si>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</si>
  <si>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</si>
  <si>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</si>
  <si>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</si>
  <si>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</si>
  <si>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</si>
  <si>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</si>
  <si>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</si>
  <si>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</si>
  <si>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</si>
  <si>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</si>
  <si>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</si>
  <si>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</si>
  <si>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</si>
  <si>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</si>
  <si>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</si>
  <si>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</si>
  <si>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</si>
  <si>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</si>
  <si>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</si>
  <si>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</si>
  <si>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</si>
  <si>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</si>
  <si>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</si>
  <si>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</si>
  <si>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</si>
  <si>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</si>
  <si>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</si>
  <si>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</si>
  <si>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</si>
  <si>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</si>
  <si>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</si>
  <si>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</si>
  <si>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</si>
  <si>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</si>
  <si>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</si>
  <si>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</si>
  <si>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</si>
  <si>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</si>
  <si>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</si>
  <si>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</si>
  <si>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</si>
  <si>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</si>
  <si>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</si>
  <si>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</si>
  <si>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</si>
  <si>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</si>
  <si>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</si>
  <si>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</si>
  <si>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</si>
  <si>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</si>
  <si>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</si>
  <si>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</si>
  <si>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</si>
  <si>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</si>
  <si>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</si>
  <si>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</si>
  <si>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</si>
  <si>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</si>
  <si>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</si>
  <si>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</si>
  <si>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</si>
  <si>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</si>
  <si>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</si>
  <si>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</si>
  <si>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</si>
  <si>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</si>
  <si>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</si>
  <si>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</si>
  <si>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</si>
  <si>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</si>
  <si>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</si>
  <si>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</si>
  <si>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</si>
  <si>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</si>
  <si>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</si>
  <si>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</si>
  <si>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</si>
  <si>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</si>
  <si>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</si>
  <si>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</si>
  <si>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</si>
  <si>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</si>
  <si>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</si>
  <si>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</si>
  <si>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</si>
  <si>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</si>
  <si>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</si>
  <si>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</si>
  <si>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</si>
  <si>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</si>
  <si>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</si>
  <si>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</si>
  <si>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</si>
  <si>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</si>
  <si>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</si>
  <si>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</si>
  <si>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</si>
  <si>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</si>
  <si>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</si>
  <si>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</si>
  <si>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</si>
  <si>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</si>
  <si>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</si>
  <si>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</si>
  <si>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</si>
  <si>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</si>
  <si>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</si>
  <si>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</si>
  <si>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</si>
  <si>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</si>
  <si>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</si>
  <si>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</si>
  <si>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</si>
  <si>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</si>
  <si>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</si>
  <si>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</si>
  <si>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</si>
  <si>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</si>
  <si>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</si>
  <si>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</si>
  <si>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</si>
  <si>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</si>
  <si>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</si>
  <si>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</si>
  <si>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</si>
  <si>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</si>
  <si>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</si>
  <si>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</si>
  <si>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</si>
  <si>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</si>
  <si>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</si>
  <si>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THERMOMETER</t>
  </si>
  <si>
    <t>PC</t>
  </si>
  <si>
    <t>IV CATH</t>
  </si>
  <si>
    <t>MACROSET</t>
  </si>
  <si>
    <t>DISPOSABLE NEEDLE</t>
  </si>
  <si>
    <t>SYRINGE 3CC</t>
  </si>
  <si>
    <t>SYRINGE 5CC</t>
  </si>
  <si>
    <t>ACUTE GASTRITIS</t>
  </si>
  <si>
    <t>K29.1</t>
  </si>
  <si>
    <t>FERROUS FUMARATE</t>
  </si>
  <si>
    <t>CAP</t>
  </si>
  <si>
    <t>200.00MG</t>
  </si>
  <si>
    <t>CEFTRIAXONE SODIUM</t>
  </si>
  <si>
    <t>1.00GRAM</t>
  </si>
  <si>
    <t>PNSS</t>
  </si>
  <si>
    <t>1LITER</t>
  </si>
  <si>
    <t>KETOSTERIL</t>
  </si>
  <si>
    <t>TABLET</t>
  </si>
  <si>
    <t>600.00MG</t>
  </si>
  <si>
    <t>AMLODIPINE</t>
  </si>
  <si>
    <t>5.00MG</t>
  </si>
  <si>
    <t>HYDROGEN PEROXIDE</t>
  </si>
  <si>
    <t>SURGICAL GAUZE</t>
  </si>
  <si>
    <t>ADULT - O2 CAN</t>
  </si>
  <si>
    <t>S.GLOVES</t>
  </si>
  <si>
    <t>CBC</t>
  </si>
  <si>
    <t>URINALYSIS</t>
  </si>
  <si>
    <t>FECALYSIS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</si>
</sst>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3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191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167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192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193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177</v>
      </c>
      <c r="F11" s="55">
        <v>3</v>
      </c>
      <c r="G11" s="55">
        <f>'1.1 Case data_general'!E31</f>
        <v>4</v>
      </c>
      <c r="H11" s="55">
        <v>30</v>
      </c>
      <c r="I11" s="55">
        <v>2.2000000000000002</v>
      </c>
      <c r="J11" s="55">
        <f>H11*I11</f>
        <v>66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165</v>
      </c>
      <c r="E12" s="27" t="s">
        <v>179</v>
      </c>
      <c r="F12" s="55">
        <v>2</v>
      </c>
      <c r="G12" s="55">
        <f>G11</f>
        <v>4</v>
      </c>
      <c r="H12" s="55">
        <v>7</v>
      </c>
      <c r="I12" s="55">
        <v>55</v>
      </c>
      <c r="J12" s="55">
        <f t="shared" ref="J12:J26" si="0">H12*I12</f>
        <v>385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164</v>
      </c>
      <c r="E13" s="27" t="s">
        <v>181</v>
      </c>
      <c r="F13" s="55">
        <v>1</v>
      </c>
      <c r="G13" s="55">
        <f t="shared" ref="G13:G15" si="1">G12</f>
        <v>4</v>
      </c>
      <c r="H13" s="55">
        <v>3</v>
      </c>
      <c r="I13" s="55">
        <v>71.3</v>
      </c>
      <c r="J13" s="55">
        <f t="shared" si="0"/>
        <v>213.89999999999998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183</v>
      </c>
      <c r="E14" s="27" t="s">
        <v>184</v>
      </c>
      <c r="F14" s="55">
        <v>3</v>
      </c>
      <c r="G14" s="55">
        <f t="shared" si="1"/>
        <v>4</v>
      </c>
      <c r="H14" s="55">
        <v>25</v>
      </c>
      <c r="I14" s="55">
        <v>54.5</v>
      </c>
      <c r="J14" s="55">
        <f t="shared" si="0"/>
        <v>1362.5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183</v>
      </c>
      <c r="E15" s="27" t="s">
        <v>186</v>
      </c>
      <c r="F15" s="55">
        <v>1</v>
      </c>
      <c r="G15" s="55">
        <f t="shared" si="1"/>
        <v>4</v>
      </c>
      <c r="H15" s="55">
        <v>10</v>
      </c>
      <c r="I15" s="55">
        <v>54.5</v>
      </c>
      <c r="J15" s="55">
        <f t="shared" si="0"/>
        <v>545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167</v>
      </c>
      <c r="E17" s="55">
        <v>4</v>
      </c>
      <c r="F17" s="55">
        <v>3.4</v>
      </c>
      <c r="G17" s="55">
        <f t="shared" ref="G17:G26" si="0">E17*F17</f>
        <v>13.6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167</v>
      </c>
      <c r="E18" s="55">
        <v>2</v>
      </c>
      <c r="F18" s="55">
        <v>55</v>
      </c>
      <c r="G18" s="55">
        <f t="shared" si="0"/>
        <v>110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167</v>
      </c>
      <c r="E19" s="55">
        <v>5</v>
      </c>
      <c r="F19" s="55">
        <v>5</v>
      </c>
      <c r="G19" s="55">
        <f t="shared" si="0"/>
        <v>25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167</v>
      </c>
      <c r="E20" s="55">
        <v>5</v>
      </c>
      <c r="F20" s="55">
        <v>6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169</v>
      </c>
      <c r="D21" s="70" t="s">
        <v>167</v>
      </c>
      <c r="E21" s="55">
        <v>1</v>
      </c>
      <c r="F21" s="55">
        <v>29</v>
      </c>
      <c r="G21" s="55">
        <f t="shared" si="0"/>
        <v>29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187</v>
      </c>
      <c r="D22" s="70" t="s">
        <v>167</v>
      </c>
      <c r="E22" s="55">
        <v>1</v>
      </c>
      <c r="F22" s="55">
        <v>48</v>
      </c>
      <c r="G22" s="55">
        <f t="shared" si="0"/>
        <v>48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188</v>
      </c>
      <c r="D23" s="70" t="s">
        <v>167</v>
      </c>
      <c r="E23" s="55">
        <v>3</v>
      </c>
      <c r="F23" s="55">
        <v>30</v>
      </c>
      <c r="G23" s="55">
        <f t="shared" si="0"/>
        <v>90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189</v>
      </c>
      <c r="D24" s="70" t="s">
        <v>167</v>
      </c>
      <c r="E24" s="55">
        <v>1</v>
      </c>
      <c r="F24" s="55">
        <v>39</v>
      </c>
      <c r="G24" s="55">
        <f t="shared" si="0"/>
        <v>39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190</v>
      </c>
      <c r="D25" s="70" t="s">
        <v>167</v>
      </c>
      <c r="E25" s="55">
        <v>1</v>
      </c>
      <c r="F25" s="55">
        <v>22</v>
      </c>
      <c r="G25" s="55">
        <f t="shared" si="0"/>
        <v>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2018-06-08T05:46:21Z</dcterms:modified>
</cp:coreProperties>
</file>