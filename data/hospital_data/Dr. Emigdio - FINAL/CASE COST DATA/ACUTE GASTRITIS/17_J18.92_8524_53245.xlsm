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Supplies_Medical'!$C$15:$C$49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Drugs&amp;Med'!$B$2:$J$33</definedName>
  </definedNames>
  <calcPr calcId="144525"/>
</workbook>
</file>

<file path=xl/calcChain.xml><?xml version="1.0" encoding="utf-8"?>
<calcChain xmlns="http://schemas.openxmlformats.org/spreadsheetml/2006/main">
  <c r="G27" i="9" l="1"/>
  <c r="J32" i="2"/>
  <c r="J31" i="2"/>
  <c r="J30" i="2"/>
  <c r="J29" i="2"/>
  <c r="J28" i="2"/>
  <c r="J27" i="2"/>
  <c r="G11" i="2" l="1"/>
  <c r="G12" i="2" s="1"/>
  <c r="G13" i="2" s="1"/>
  <c r="G14" i="2" s="1"/>
  <c r="G15" i="2" s="1"/>
  <c r="G16" i="2" s="1"/>
  <c r="G17" i="2" s="1"/>
  <c r="G18" i="2" s="1"/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<sst xmlns="http://schemas.openxmlformats.org/spreadsheetml/2006/main" count="486" uniqueCount="194">
  <si>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</si>
  <si>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</si>
  <si>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</si>
  <si>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</si>
  <si>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</si>
  <si>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</si>
  <si>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</si>
  <si>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</si>
  <si>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</si>
  <si>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</si>
  <si>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</si>
  <si>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</si>
  <si>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</si>
  <si>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</si>
  <si>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</si>
  <si>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</si>
  <si>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</si>
  <si>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</si>
  <si>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</si>
  <si>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</si>
  <si>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</si>
  <si>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</si>
  <si>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</si>
  <si>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</si>
  <si>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</si>
  <si>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</si>
  <si>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</si>
  <si>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</si>
  <si>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</si>
  <si>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</si>
  <si>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</si>
  <si>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</si>
  <si>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</si>
  <si>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</si>
  <si>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</si>
  <si>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</si>
  <si>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</si>
  <si>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</si>
  <si>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</si>
  <si>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</si>
  <si>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</si>
  <si>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</si>
  <si>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</si>
  <si>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</si>
  <si>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</si>
  <si>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</si>
  <si>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</si>
  <si>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</si>
  <si>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</si>
  <si>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</si>
  <si>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</si>
  <si>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</si>
  <si>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</si>
  <si>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</si>
  <si>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</si>
  <si>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</si>
  <si>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</si>
  <si>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</si>
  <si>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</si>
  <si>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</si>
  <si>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</si>
  <si>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</si>
  <si>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</si>
  <si>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</si>
  <si>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</si>
  <si>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</si>
  <si>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</si>
  <si>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</si>
  <si>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</si>
  <si>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</si>
  <si>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</si>
  <si>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</si>
  <si>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</si>
  <si>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</si>
  <si>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</si>
  <si>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</si>
  <si>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</si>
  <si>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</si>
  <si>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</si>
  <si>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</si>
  <si>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</si>
  <si>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</si>
  <si>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</si>
  <si>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</si>
  <si>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</si>
  <si>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</si>
  <si>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</si>
  <si>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</si>
  <si>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</si>
  <si>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</si>
  <si>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</si>
  <si>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</si>
  <si>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</si>
  <si>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</si>
  <si>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</si>
  <si>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</si>
  <si>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</si>
  <si>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</si>
  <si>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</si>
  <si>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</si>
  <si>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</si>
  <si>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</si>
  <si>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</si>
  <si>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</si>
  <si>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</si>
  <si>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</si>
  <si>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</si>
  <si>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</si>
  <si>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</si>
  <si>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</si>
  <si>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</si>
  <si>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</si>
  <si>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</si>
  <si>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</si>
  <si>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</si>
  <si>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</si>
  <si>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</si>
  <si>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</si>
  <si>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</si>
  <si>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</si>
  <si>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</si>
  <si>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</si>
  <si>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</si>
  <si>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</si>
  <si>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</si>
  <si>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</si>
  <si>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</si>
  <si>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</si>
  <si>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</si>
  <si>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</si>
  <si>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</si>
  <si>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</si>
  <si>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</si>
  <si>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</si>
  <si>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</si>
  <si>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</si>
  <si>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</si>
  <si>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</si>
  <si>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</si>
  <si>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</si>
  <si>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</si>
  <si>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</si>
  <si>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</si>
  <si>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</si>
  <si>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</si>
  <si>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</si>
  <si>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</si>
  <si>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</si>
  <si>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</si>
  <si>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</si>
  <si>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</si>
  <si>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</si>
  <si>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</si>
  <si>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</si>
  <si>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</si>
  <si>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</si>
  <si>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</si>
  <si>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</si>
  <si>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</si>
  <si>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</si>
  <si>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</si>
  <si>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</si>
  <si>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</si>
  <si>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</si>
  <si>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</si>
  <si>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</si>
  <si>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STERILE WATER</t>
  </si>
  <si>
    <t>THERMOMETER</t>
  </si>
  <si>
    <t>PC</t>
  </si>
  <si>
    <t>IV CATH</t>
  </si>
  <si>
    <t>1.00GRAM</t>
  </si>
  <si>
    <t>AMP</t>
  </si>
  <si>
    <t>50.00ML</t>
  </si>
  <si>
    <t>SYRINGE 3CC</t>
  </si>
  <si>
    <t>SYRINGE 5CC</t>
  </si>
  <si>
    <t>40.00MG</t>
  </si>
  <si>
    <t>1 LITER</t>
  </si>
  <si>
    <t>MICROSET</t>
  </si>
  <si>
    <t>ACUTE GASTRITIS</t>
  </si>
  <si>
    <t>K29.1</t>
  </si>
  <si>
    <t>OMEPRAZOLE</t>
  </si>
  <si>
    <t>CEFOXITIN</t>
  </si>
  <si>
    <t>HYOSCINE</t>
  </si>
  <si>
    <t>20.00MG</t>
  </si>
  <si>
    <t>METOCLOPRAMIDE</t>
  </si>
  <si>
    <t>KETOROLAC</t>
  </si>
  <si>
    <t>30.00MG</t>
  </si>
  <si>
    <t>ALUMINUM-MAGNESIUM</t>
  </si>
  <si>
    <t>SUSP</t>
  </si>
  <si>
    <t>225.00MG</t>
  </si>
  <si>
    <t>PLRS</t>
  </si>
  <si>
    <t>1LITER</t>
  </si>
  <si>
    <t>CBC</t>
  </si>
  <si>
    <t>URINALYSIS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</si>
</sst>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28</xdr:row>
          <xdr:rowOff>28575</xdr:rowOff>
        </xdr:from>
        <xdr:to>
          <xdr:col>1</xdr:col>
          <xdr:colOff>762000</xdr:colOff>
          <xdr:row>28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28</xdr:row>
          <xdr:rowOff>28575</xdr:rowOff>
        </xdr:from>
        <xdr:to>
          <xdr:col>1</xdr:col>
          <xdr:colOff>1533525</xdr:colOff>
          <xdr:row>28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28575</xdr:rowOff>
        </xdr:from>
        <xdr:to>
          <xdr:col>1</xdr:col>
          <xdr:colOff>771525</xdr:colOff>
          <xdr:row>39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39</xdr:row>
          <xdr:rowOff>28575</xdr:rowOff>
        </xdr:from>
        <xdr:to>
          <xdr:col>1</xdr:col>
          <xdr:colOff>1543050</xdr:colOff>
          <xdr:row>39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8" zoomScaleNormal="100" workbookViewId="0">
      <selection activeCell="C35" sqref="C3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192</v>
      </c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193</v>
      </c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3"/>
  <sheetViews>
    <sheetView topLeftCell="A5" workbookViewId="0">
      <selection activeCell="F19" sqref="F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22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165</v>
      </c>
      <c r="E11" s="27" t="s">
        <v>175</v>
      </c>
      <c r="F11" s="55">
        <v>2</v>
      </c>
      <c r="G11" s="55">
        <f>'1.1 Case data_general'!E31</f>
        <v>2</v>
      </c>
      <c r="H11" s="55">
        <v>3</v>
      </c>
      <c r="I11" s="55">
        <v>255</v>
      </c>
      <c r="J11" s="55">
        <f>H11*I11</f>
        <v>765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165</v>
      </c>
      <c r="E12" s="27" t="s">
        <v>170</v>
      </c>
      <c r="F12" s="55">
        <v>2</v>
      </c>
      <c r="G12" s="55">
        <f>G11</f>
        <v>2</v>
      </c>
      <c r="H12" s="55">
        <v>3</v>
      </c>
      <c r="I12" s="55">
        <v>750</v>
      </c>
      <c r="J12" s="55">
        <f t="shared" ref="J12:J32" si="0">H12*I12</f>
        <v>2250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171</v>
      </c>
      <c r="E13" s="27" t="s">
        <v>183</v>
      </c>
      <c r="F13" s="55">
        <v>2</v>
      </c>
      <c r="G13" s="55">
        <f t="shared" ref="G13:G16" si="1">G12</f>
        <v>2</v>
      </c>
      <c r="H13" s="55">
        <v>2</v>
      </c>
      <c r="I13" s="55">
        <v>48</v>
      </c>
      <c r="J13" s="55">
        <f t="shared" si="0"/>
        <v>96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171</v>
      </c>
      <c r="E14" s="27" t="s">
        <v>176</v>
      </c>
      <c r="F14" s="55">
        <v>2</v>
      </c>
      <c r="G14" s="55">
        <f t="shared" si="1"/>
        <v>2</v>
      </c>
      <c r="H14" s="55">
        <v>3</v>
      </c>
      <c r="I14" s="55">
        <v>17</v>
      </c>
      <c r="J14" s="55">
        <f t="shared" si="0"/>
        <v>51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185</v>
      </c>
      <c r="D15" s="27" t="s">
        <v>171</v>
      </c>
      <c r="E15" s="27" t="s">
        <v>186</v>
      </c>
      <c r="F15" s="55">
        <v>0.5</v>
      </c>
      <c r="G15" s="55">
        <f t="shared" si="1"/>
        <v>2</v>
      </c>
      <c r="H15" s="55">
        <v>1</v>
      </c>
      <c r="I15" s="55">
        <v>105</v>
      </c>
      <c r="J15" s="55">
        <f t="shared" si="0"/>
        <v>105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187</v>
      </c>
      <c r="D16" s="27" t="s">
        <v>188</v>
      </c>
      <c r="E16" s="27" t="s">
        <v>189</v>
      </c>
      <c r="F16" s="55">
        <v>0.5</v>
      </c>
      <c r="G16" s="55">
        <f t="shared" si="1"/>
        <v>2</v>
      </c>
      <c r="H16" s="55">
        <v>1</v>
      </c>
      <c r="I16" s="55">
        <v>98</v>
      </c>
      <c r="J16" s="55">
        <f t="shared" si="0"/>
        <v>98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190</v>
      </c>
      <c r="D17" s="27" t="s">
        <v>164</v>
      </c>
      <c r="E17" s="27" t="s">
        <v>191</v>
      </c>
      <c r="F17" s="55">
        <v>2</v>
      </c>
      <c r="G17" s="55">
        <f>G16</f>
        <v>2</v>
      </c>
      <c r="H17" s="55">
        <v>4</v>
      </c>
      <c r="I17" s="55">
        <v>71.3</v>
      </c>
      <c r="J17" s="55">
        <f t="shared" si="0"/>
        <v>285.2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166</v>
      </c>
      <c r="D18" s="27" t="s">
        <v>165</v>
      </c>
      <c r="E18" s="27" t="s">
        <v>172</v>
      </c>
      <c r="F18" s="55">
        <v>1</v>
      </c>
      <c r="G18" s="55">
        <f>G17</f>
        <v>2</v>
      </c>
      <c r="H18" s="55">
        <v>1</v>
      </c>
      <c r="I18" s="55">
        <v>35</v>
      </c>
      <c r="J18" s="55">
        <f t="shared" si="0"/>
        <v>35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0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0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 t="shared" si="0"/>
        <v>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 t="shared" si="0"/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>
        <f t="shared" si="0"/>
        <v>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>
        <f t="shared" si="0"/>
        <v>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19" ht="12.75" customHeight="1" x14ac:dyDescent="0.25">
      <c r="A33" s="33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</row>
    <row r="34" spans="1:19" ht="15.75" customHeight="1" x14ac:dyDescent="0.25"/>
    <row r="35" spans="1:19" ht="15.75" customHeight="1" x14ac:dyDescent="0.25"/>
    <row r="36" spans="1:19" ht="15.75" customHeight="1" x14ac:dyDescent="0.25"/>
    <row r="37" spans="1:19" ht="15.75" customHeight="1" x14ac:dyDescent="0.25"/>
    <row r="38" spans="1:19" ht="15.75" customHeight="1" x14ac:dyDescent="0.25"/>
    <row r="39" spans="1:19" ht="15.75" customHeight="1" x14ac:dyDescent="0.25"/>
    <row r="40" spans="1:19" ht="15.75" customHeight="1" x14ac:dyDescent="0.25"/>
    <row r="41" spans="1:19" ht="15.75" customHeight="1" x14ac:dyDescent="0.25"/>
    <row r="42" spans="1:19" ht="15.75" customHeight="1" x14ac:dyDescent="0.25"/>
    <row r="43" spans="1:19" ht="15.75" customHeight="1" x14ac:dyDescent="0.25"/>
    <row r="44" spans="1:19" ht="15.75" customHeight="1" x14ac:dyDescent="0.25"/>
    <row r="45" spans="1:19" ht="15.75" customHeight="1" x14ac:dyDescent="0.25"/>
    <row r="46" spans="1:19" ht="15.75" customHeight="1" x14ac:dyDescent="0.25"/>
    <row r="47" spans="1:19" ht="15.75" customHeight="1" x14ac:dyDescent="0.25"/>
    <row r="48" spans="1:19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</sheetData>
  <sheetProtection algorithmName="SHA-512" hashValue="eu9tFcBeVSSJWP+5uxlAdaDEOlY9njAulstbYFtc0Cz3GQwwOCt6+M6AwbstYmg8djSbg7J9D8wU4a2KYZMsvQ==" saltValue="Uz4i0E+L2YV721HsYDXwP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3"/>
  <sheetViews>
    <sheetView topLeftCell="A13"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12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169</v>
      </c>
      <c r="D17" s="70" t="s">
        <v>168</v>
      </c>
      <c r="E17" s="55">
        <v>2</v>
      </c>
      <c r="F17" s="55">
        <v>55</v>
      </c>
      <c r="G17" s="55">
        <f t="shared" ref="G17:G27" si="0">E17*F17</f>
        <v>110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177</v>
      </c>
      <c r="D18" s="70" t="s">
        <v>168</v>
      </c>
      <c r="E18" s="55">
        <v>1</v>
      </c>
      <c r="F18" s="55">
        <v>31</v>
      </c>
      <c r="G18" s="55">
        <f t="shared" si="0"/>
        <v>31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173</v>
      </c>
      <c r="D19" s="70" t="s">
        <v>168</v>
      </c>
      <c r="E19" s="55">
        <v>8</v>
      </c>
      <c r="F19" s="55">
        <v>5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174</v>
      </c>
      <c r="D20" s="70" t="s">
        <v>168</v>
      </c>
      <c r="E20" s="55">
        <v>8</v>
      </c>
      <c r="F20" s="55">
        <v>6</v>
      </c>
      <c r="G20" s="55">
        <f t="shared" si="0"/>
        <v>48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136" t="s">
        <v>76</v>
      </c>
      <c r="C28" s="137"/>
      <c r="D28" s="137"/>
      <c r="E28" s="137"/>
      <c r="F28" s="137"/>
      <c r="G28" s="138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2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3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4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5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6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7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8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9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10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136" t="s">
        <v>29</v>
      </c>
      <c r="C39" s="137"/>
      <c r="D39" s="137"/>
      <c r="E39" s="137"/>
      <c r="F39" s="137"/>
      <c r="G39" s="138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2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3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4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5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6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7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8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9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10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</sheetData>
  <sheetProtection algorithmName="SHA-512" hashValue="gmZ/pc5JrU2lMlufpHjiplKB5GgFuKcJUinfGUWLtyQ/AQOYkTkjRMwm0nZRVTVdU7fNXIk3dImc77k7SFygKg==" saltValue="HbeHxp9rkGHI8wO9ntAhkg==" spinCount="100000" sheet="1" objects="1" scenarios="1" formatColumns="0" formatRows="0" sort="0" autoFilter="0"/>
  <mergeCells count="9">
    <mergeCell ref="B7:G7"/>
    <mergeCell ref="B28:G28"/>
    <mergeCell ref="B39:G3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28</xdr:row>
                    <xdr:rowOff>28575</xdr:rowOff>
                  </from>
                  <to>
                    <xdr:col>1</xdr:col>
                    <xdr:colOff>762000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28</xdr:row>
                    <xdr:rowOff>28575</xdr:rowOff>
                  </from>
                  <to>
                    <xdr:col>1</xdr:col>
                    <xdr:colOff>1533525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39</xdr:row>
                    <xdr:rowOff>28575</xdr:rowOff>
                  </from>
                  <to>
                    <xdr:col>1</xdr:col>
                    <xdr:colOff>771525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39</xdr:row>
                    <xdr:rowOff>28575</xdr:rowOff>
                  </from>
                  <to>
                    <xdr:col>1</xdr:col>
                    <xdr:colOff>1543050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10</v>
      </c>
      <c r="E13" s="55"/>
      <c r="F13" s="55"/>
      <c r="G13" s="55">
        <f>D13</f>
        <v>10</v>
      </c>
      <c r="H13" s="55"/>
      <c r="I13" s="55"/>
      <c r="J13" s="55"/>
      <c r="K13" s="55"/>
      <c r="L13" s="55"/>
      <c r="M13" s="55"/>
      <c r="N13" s="55"/>
      <c r="P13" s="88">
        <f>SUM(D13:N13)</f>
        <v>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10</v>
      </c>
      <c r="E30" s="88">
        <f t="shared" si="1"/>
        <v>0</v>
      </c>
      <c r="F30" s="88">
        <f t="shared" si="1"/>
        <v>0</v>
      </c>
      <c r="G30" s="88">
        <f t="shared" si="1"/>
        <v>10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2018-06-08T05:49:32Z</dcterms:modified>
</cp:coreProperties>
</file>