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OMIS USER\Desktop\NEW REPORT SAMPLE\MAY 2018\MAY 21,2018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1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62913"/>
</workbook>
</file>

<file path=xl/calcChain.xml><?xml version="1.0" encoding="utf-8"?>
<calcChain xmlns="http://schemas.openxmlformats.org/spreadsheetml/2006/main">
  <c r="G13" i="10" l="1"/>
  <c r="G17" i="9" l="1"/>
  <c r="G18" i="9"/>
  <c r="G19" i="9"/>
  <c r="G20" i="9"/>
  <c r="G21" i="9"/>
  <c r="G22" i="9"/>
  <c r="G23" i="9"/>
  <c r="G24" i="9"/>
  <c r="G25" i="9"/>
  <c r="G26" i="9"/>
  <c r="G16" i="9"/>
  <c r="J17" i="2" l="1"/>
  <c r="J18" i="2"/>
  <c r="J19" i="2"/>
  <c r="J20" i="2"/>
  <c r="J21" i="2"/>
  <c r="J22" i="2"/>
  <c r="J23" i="2"/>
  <c r="J24" i="2"/>
  <c r="J25" i="2"/>
  <c r="J26" i="2"/>
  <c r="J12" i="2"/>
  <c r="J13" i="2"/>
  <c r="J14" i="2"/>
  <c r="J15" i="2"/>
  <c r="J1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<sst xmlns="http://schemas.openxmlformats.org/spreadsheetml/2006/main" count="484" uniqueCount="190">
  <si>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</si>
  <si>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</si>
  <si>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</si>
  <si>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</si>
  <si>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</si>
  <si>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</si>
  <si>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</si>
  <si>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</si>
  <si>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</si>
  <si>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</si>
  <si>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</si>
  <si>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</si>
  <si>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</si>
  <si>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</si>
  <si>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</si>
  <si>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</si>
  <si>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</si>
  <si>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</si>
  <si>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</si>
  <si>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</si>
  <si>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</si>
  <si>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</si>
  <si>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</si>
  <si>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</si>
  <si>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</si>
  <si>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</si>
  <si>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</si>
  <si>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</si>
  <si>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</si>
  <si>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</si>
  <si>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</si>
  <si>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</si>
  <si>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</si>
  <si>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</si>
  <si>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</si>
  <si>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</si>
  <si>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</si>
  <si>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</si>
  <si>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</si>
  <si>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</si>
  <si>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</si>
  <si>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</si>
  <si>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</si>
  <si>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</si>
  <si>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</si>
  <si>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</si>
  <si>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</si>
  <si>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</si>
  <si>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</si>
  <si>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</si>
  <si>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</si>
  <si>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</si>
  <si>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</si>
  <si>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</si>
  <si>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</si>
  <si>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</si>
  <si>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</si>
  <si>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</si>
  <si>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</si>
  <si>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</si>
  <si>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</si>
  <si>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</si>
  <si>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</si>
  <si>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</si>
  <si>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</si>
  <si>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</si>
  <si>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</si>
  <si>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</si>
  <si>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</si>
  <si>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</si>
  <si>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</si>
  <si>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</si>
  <si>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</si>
  <si>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</si>
  <si>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</si>
  <si>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</si>
  <si>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</si>
  <si>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</si>
  <si>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</si>
  <si>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</si>
  <si>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</si>
  <si>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</si>
  <si>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</si>
  <si>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</si>
  <si>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</si>
  <si>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</si>
  <si>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</si>
  <si>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</si>
  <si>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</si>
  <si>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</si>
  <si>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</si>
  <si>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</si>
  <si>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</si>
  <si>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</si>
  <si>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</si>
  <si>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</si>
  <si>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</si>
  <si>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</si>
  <si>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</si>
  <si>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</si>
  <si>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</si>
  <si>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</si>
  <si>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</si>
  <si>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</si>
  <si>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</si>
  <si>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</si>
  <si>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</si>
  <si>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</si>
  <si>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</si>
  <si>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</si>
  <si>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</si>
  <si>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</si>
  <si>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</si>
  <si>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</si>
  <si>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</si>
  <si>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</si>
  <si>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</si>
  <si>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</si>
  <si>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</si>
  <si>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</si>
  <si>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</si>
  <si>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</si>
  <si>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</si>
  <si>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</si>
  <si>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</si>
  <si>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</si>
  <si>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</si>
  <si>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</si>
  <si>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</si>
  <si>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</si>
  <si>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</si>
  <si>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</si>
  <si>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</si>
  <si>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</si>
  <si>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</si>
  <si>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</si>
  <si>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</si>
  <si>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</si>
  <si>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</si>
  <si>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</si>
  <si>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</si>
  <si>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</si>
  <si>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</si>
  <si>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</si>
  <si>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</si>
  <si>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</si>
  <si>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</si>
  <si>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</si>
  <si>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</si>
  <si>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</si>
  <si>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</si>
  <si>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</si>
  <si>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</si>
  <si>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</si>
  <si>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</si>
  <si>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</si>
  <si>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</si>
  <si>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</si>
  <si>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</si>
  <si>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</si>
  <si>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</si>
  <si>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</si>
  <si>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</si>
  <si>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</si>
  <si>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IV FLUID</t>
  </si>
  <si>
    <t>VIAL</t>
  </si>
  <si>
    <t>STERILE WATER</t>
  </si>
  <si>
    <t>THERMOMETER</t>
  </si>
  <si>
    <t>PC</t>
  </si>
  <si>
    <t>Syringe 3cc</t>
  </si>
  <si>
    <t>Syringe 5cc</t>
  </si>
  <si>
    <t>IV CATH</t>
  </si>
  <si>
    <t>MACROSET</t>
  </si>
  <si>
    <t>AMPICILLIN SODIUM</t>
  </si>
  <si>
    <t>500.00MG</t>
  </si>
  <si>
    <t>PARACETAMOL</t>
  </si>
  <si>
    <t>AMP</t>
  </si>
  <si>
    <t>50.00ML</t>
  </si>
  <si>
    <t>OMEPRAZOLE</t>
  </si>
  <si>
    <t>40.00MG</t>
  </si>
  <si>
    <t>TABLET</t>
  </si>
  <si>
    <t>DISPOSABLE NEEDLE</t>
  </si>
  <si>
    <t>PLASTER MIRCROPORE</t>
  </si>
  <si>
    <t>ID BRACELET</t>
  </si>
  <si>
    <t>SEPTICEMIA</t>
  </si>
  <si>
    <t>A41.8</t>
  </si>
  <si>
    <t>PROMETHAZINE HYDROCHLORIDE</t>
  </si>
  <si>
    <t>25.00MG</t>
  </si>
  <si>
    <t>PNSS</t>
  </si>
  <si>
    <t>1LITER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</si>
</sst>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32</xdr:row>
          <xdr:rowOff>19050</xdr:rowOff>
        </xdr:from>
        <xdr:to>
          <xdr:col>1</xdr:col>
          <xdr:colOff>733425</xdr:colOff>
          <xdr:row>32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32</xdr:row>
          <xdr:rowOff>19050</xdr:rowOff>
        </xdr:from>
        <xdr:to>
          <xdr:col>1</xdr:col>
          <xdr:colOff>1504950</xdr:colOff>
          <xdr:row>32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733425</xdr:colOff>
          <xdr:row>37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1504950</xdr:colOff>
          <xdr:row>37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27" zoomScaleNormal="100" workbookViewId="0">
      <selection activeCell="G27" sqref="G27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184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5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5" t="s">
        <v>52</v>
      </c>
      <c r="C21" s="116"/>
      <c r="D21" s="116"/>
      <c r="E21" s="116"/>
      <c r="F21" s="117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/>
      <c r="D22" s="29"/>
      <c r="E22" s="55"/>
      <c r="F22" s="55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2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3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4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5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18" t="s">
        <v>43</v>
      </c>
      <c r="C27" s="119"/>
      <c r="D27" s="119"/>
      <c r="E27" s="119"/>
      <c r="F27" s="129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110" t="s">
        <v>159</v>
      </c>
      <c r="C28" s="113" t="s">
        <v>162</v>
      </c>
      <c r="D28" s="13"/>
      <c r="E28" s="13"/>
      <c r="F28" s="1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4" t="s">
        <v>124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4" t="s">
        <v>161</v>
      </c>
      <c r="C30" s="114" t="s">
        <v>138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5" t="s">
        <v>17</v>
      </c>
      <c r="C31" s="7"/>
      <c r="D31" s="7"/>
      <c r="E31" s="56">
        <v>3</v>
      </c>
      <c r="F31" s="7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thickBot="1" x14ac:dyDescent="0.35">
      <c r="A32" s="1"/>
      <c r="B32" s="115" t="s">
        <v>18</v>
      </c>
      <c r="C32" s="116"/>
      <c r="D32" s="116"/>
      <c r="E32" s="116"/>
      <c r="F32" s="11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30">
        <v>1</v>
      </c>
      <c r="C33" s="31"/>
      <c r="D33" s="23"/>
      <c r="E33" s="57"/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2</v>
      </c>
      <c r="C34" s="27"/>
      <c r="D34" s="23"/>
      <c r="E34" s="55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3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4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thickBot="1" x14ac:dyDescent="0.35">
      <c r="A37" s="1"/>
      <c r="B37" s="118" t="s">
        <v>19</v>
      </c>
      <c r="C37" s="119"/>
      <c r="D37" s="116"/>
      <c r="E37" s="119"/>
      <c r="F37" s="117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1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2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3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4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5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44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45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53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55</v>
      </c>
      <c r="C59" s="17" t="s">
        <v>51</v>
      </c>
      <c r="D59" s="17" t="s">
        <v>56</v>
      </c>
      <c r="E59" s="18" t="s">
        <v>57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/>
      <c r="D60" s="55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0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ueN7nJl3+B6UXgpf8n41r62afwqaw45nnPhR35cmUYwLJ8r+8WE7kw93J3ndv7XyUsEhXg2FTcvynQY9UHwhoQ==" saltValue="1yrU/jV11I4MGbuWT5zPh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1:F21"/>
    <mergeCell ref="B32:F32"/>
    <mergeCell ref="B27:F27"/>
    <mergeCell ref="B37:F37"/>
    <mergeCell ref="B45:F45"/>
  </mergeCells>
  <dataValidations count="1">
    <dataValidation type="decimal" operator="greaterThanOrEqual" allowBlank="1" showInputMessage="1" showErrorMessage="1" sqref="E31 E38:E42 E44 E22:F26 E46:F49 E51:F56 D60:F69 E33:E35 E3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32</xdr:row>
                    <xdr:rowOff>19050</xdr:rowOff>
                  </from>
                  <to>
                    <xdr:col>1</xdr:col>
                    <xdr:colOff>733425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32</xdr:row>
                    <xdr:rowOff>19050</xdr:rowOff>
                  </from>
                  <to>
                    <xdr:col>1</xdr:col>
                    <xdr:colOff>1504950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733425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1504950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C29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abSelected="1" topLeftCell="A5" workbookViewId="0">
      <selection activeCell="F17" sqref="F17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SEPTICEMIA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178</v>
      </c>
      <c r="D11" s="27" t="s">
        <v>165</v>
      </c>
      <c r="E11" s="27" t="s">
        <v>179</v>
      </c>
      <c r="F11" s="55">
        <v>1</v>
      </c>
      <c r="G11" s="55">
        <v>3</v>
      </c>
      <c r="H11" s="55">
        <v>8</v>
      </c>
      <c r="I11" s="55">
        <v>255</v>
      </c>
      <c r="J11" s="55">
        <f>H11*I11</f>
        <v>2040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186</v>
      </c>
      <c r="D12" s="27" t="s">
        <v>176</v>
      </c>
      <c r="E12" s="27" t="s">
        <v>187</v>
      </c>
      <c r="F12" s="55">
        <v>1</v>
      </c>
      <c r="G12" s="55">
        <v>3</v>
      </c>
      <c r="H12" s="55">
        <v>1</v>
      </c>
      <c r="I12" s="55">
        <v>22</v>
      </c>
      <c r="J12" s="55">
        <f t="shared" ref="J12:J26" si="0">H12*I12</f>
        <v>22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188</v>
      </c>
      <c r="D13" s="27" t="s">
        <v>164</v>
      </c>
      <c r="E13" s="27" t="s">
        <v>189</v>
      </c>
      <c r="F13" s="55">
        <v>2</v>
      </c>
      <c r="G13" s="55">
        <v>3</v>
      </c>
      <c r="H13" s="55">
        <v>6</v>
      </c>
      <c r="I13" s="55">
        <v>71.3</v>
      </c>
      <c r="J13" s="55">
        <f t="shared" si="0"/>
        <v>427.79999999999995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173</v>
      </c>
      <c r="D14" s="27" t="s">
        <v>165</v>
      </c>
      <c r="E14" s="27" t="s">
        <v>174</v>
      </c>
      <c r="F14" s="55">
        <v>4</v>
      </c>
      <c r="G14" s="55">
        <v>3</v>
      </c>
      <c r="H14" s="55">
        <v>12</v>
      </c>
      <c r="I14" s="55">
        <v>19.100000000000001</v>
      </c>
      <c r="J14" s="55">
        <f t="shared" si="0"/>
        <v>229.20000000000002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166</v>
      </c>
      <c r="D15" s="27" t="s">
        <v>165</v>
      </c>
      <c r="E15" s="27" t="s">
        <v>177</v>
      </c>
      <c r="F15" s="55">
        <v>1</v>
      </c>
      <c r="G15" s="55">
        <v>3</v>
      </c>
      <c r="H15" s="55">
        <v>3</v>
      </c>
      <c r="I15" s="55">
        <v>35</v>
      </c>
      <c r="J15" s="55">
        <f t="shared" si="0"/>
        <v>105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175</v>
      </c>
      <c r="D16" s="27" t="s">
        <v>180</v>
      </c>
      <c r="E16" s="27" t="s">
        <v>174</v>
      </c>
      <c r="F16" s="55">
        <v>3</v>
      </c>
      <c r="G16" s="55">
        <v>3</v>
      </c>
      <c r="H16" s="55">
        <v>10</v>
      </c>
      <c r="I16" s="55">
        <v>1</v>
      </c>
      <c r="J16" s="55">
        <f t="shared" si="0"/>
        <v>10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E24" sqref="E24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SEPTICEMIA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167</v>
      </c>
      <c r="D16" s="70" t="s">
        <v>168</v>
      </c>
      <c r="E16" s="55">
        <v>1</v>
      </c>
      <c r="F16" s="55">
        <v>73</v>
      </c>
      <c r="G16" s="55">
        <f>E16*F16</f>
        <v>73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169</v>
      </c>
      <c r="D17" s="70" t="s">
        <v>168</v>
      </c>
      <c r="E17" s="55">
        <v>13</v>
      </c>
      <c r="F17" s="55">
        <v>5</v>
      </c>
      <c r="G17" s="55">
        <f t="shared" ref="G17:G26" si="0">E17*F17</f>
        <v>65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170</v>
      </c>
      <c r="D18" s="70" t="s">
        <v>168</v>
      </c>
      <c r="E18" s="55">
        <v>13</v>
      </c>
      <c r="F18" s="55">
        <v>6</v>
      </c>
      <c r="G18" s="55">
        <f t="shared" si="0"/>
        <v>78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181</v>
      </c>
      <c r="D19" s="70" t="s">
        <v>168</v>
      </c>
      <c r="E19" s="55">
        <v>6</v>
      </c>
      <c r="F19" s="55">
        <v>3.4</v>
      </c>
      <c r="G19" s="55">
        <f t="shared" si="0"/>
        <v>20.399999999999999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171</v>
      </c>
      <c r="D20" s="70" t="s">
        <v>168</v>
      </c>
      <c r="E20" s="55">
        <v>1</v>
      </c>
      <c r="F20" s="55">
        <v>55</v>
      </c>
      <c r="G20" s="55">
        <f t="shared" si="0"/>
        <v>55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172</v>
      </c>
      <c r="D21" s="70" t="s">
        <v>168</v>
      </c>
      <c r="E21" s="55">
        <v>1</v>
      </c>
      <c r="F21" s="55">
        <v>29</v>
      </c>
      <c r="G21" s="55">
        <f t="shared" si="0"/>
        <v>29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183</v>
      </c>
      <c r="D22" s="70" t="s">
        <v>168</v>
      </c>
      <c r="E22" s="55">
        <v>1</v>
      </c>
      <c r="F22" s="55">
        <v>5.71</v>
      </c>
      <c r="G22" s="55">
        <f t="shared" si="0"/>
        <v>5.71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182</v>
      </c>
      <c r="D23" s="70" t="s">
        <v>168</v>
      </c>
      <c r="E23" s="55">
        <v>1</v>
      </c>
      <c r="F23" s="55">
        <v>54</v>
      </c>
      <c r="G23" s="55">
        <f t="shared" si="0"/>
        <v>54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>
        <f t="shared" si="0"/>
        <v>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>
        <f t="shared" si="0"/>
        <v>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>
        <f t="shared" si="0"/>
        <v>0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D14" sqref="D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SEPTICEMIA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15</v>
      </c>
      <c r="E13" s="55"/>
      <c r="F13" s="55"/>
      <c r="G13" s="55">
        <f>D13</f>
        <v>15</v>
      </c>
      <c r="H13" s="55"/>
      <c r="I13" s="55"/>
      <c r="J13" s="55"/>
      <c r="K13" s="55"/>
      <c r="L13" s="55"/>
      <c r="M13" s="55"/>
      <c r="N13" s="55"/>
      <c r="P13" s="88">
        <f>SUM(D13:N13)</f>
        <v>30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15</v>
      </c>
      <c r="E30" s="88">
        <f t="shared" si="1"/>
        <v>0</v>
      </c>
      <c r="F30" s="88">
        <f t="shared" si="1"/>
        <v>0</v>
      </c>
      <c r="G30" s="88">
        <f t="shared" si="1"/>
        <v>15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30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data_general'!$C$28</f>
        <v>Level I</v>
      </c>
      <c r="G1" s="112" t="str">
        <f>'1.1 Case data_general'!$C$29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 CF1</cp:lastModifiedBy>
  <dcterms:created xsi:type="dcterms:W3CDTF">2018-05-11T08:46:15Z</dcterms:created>
  <dcterms:modified xsi:type="dcterms:W3CDTF">2018-06-06T08:34:12Z</dcterms:modified>
</cp:coreProperties>
</file>