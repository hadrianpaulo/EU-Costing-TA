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3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Drugs&amp;Med'!$B$2:$J$33</definedName>
  </definedNames>
  <calcPr calcId="162913"/>
</workbook>
</file>

<file path=xl/calcChain.xml><?xml version="1.0" encoding="utf-8"?>
<calcChain xmlns="http://schemas.openxmlformats.org/spreadsheetml/2006/main">
  <c r="G27" i="9" l="1"/>
  <c r="J32" i="2"/>
  <c r="J31" i="2"/>
  <c r="J30" i="2"/>
  <c r="J29" i="2"/>
  <c r="J28" i="2"/>
  <c r="J27" i="2"/>
  <c r="G11" i="2" l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<sst xmlns="http://schemas.openxmlformats.org/spreadsheetml/2006/main" count="540" uniqueCount="220">
  <si>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</si>
  <si>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</si>
  <si>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</si>
  <si>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</si>
  <si>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</si>
  <si>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</si>
  <si>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</si>
  <si>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</si>
  <si>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</si>
  <si>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</si>
  <si>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</si>
  <si>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</si>
  <si>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</si>
  <si>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</si>
  <si>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</si>
  <si>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</si>
  <si>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</si>
  <si>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</si>
  <si>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</si>
  <si>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</si>
  <si>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</si>
  <si>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</si>
  <si>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</si>
  <si>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</si>
  <si>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</si>
  <si>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</si>
  <si>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</si>
  <si>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</si>
  <si>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</si>
  <si>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</si>
  <si>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</si>
  <si>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</si>
  <si>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</si>
  <si>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</si>
  <si>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</si>
  <si>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</si>
  <si>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</si>
  <si>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</si>
  <si>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</si>
  <si>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</si>
  <si>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</si>
  <si>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</si>
  <si>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</si>
  <si>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</si>
  <si>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</si>
  <si>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</si>
  <si>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</si>
  <si>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</si>
  <si>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</si>
  <si>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</si>
  <si>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</si>
  <si>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</si>
  <si>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</si>
  <si>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</si>
  <si>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</si>
  <si>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</si>
  <si>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</si>
  <si>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</si>
  <si>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</si>
  <si>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</si>
  <si>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</si>
  <si>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</si>
  <si>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</si>
  <si>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</si>
  <si>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</si>
  <si>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</si>
  <si>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</si>
  <si>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</si>
  <si>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</si>
  <si>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</si>
  <si>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</si>
  <si>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</si>
  <si>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</si>
  <si>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</si>
  <si>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</si>
  <si>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</si>
  <si>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</si>
  <si>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</si>
  <si>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</si>
  <si>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</si>
  <si>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</si>
  <si>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</si>
  <si>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</si>
  <si>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</si>
  <si>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</si>
  <si>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</si>
  <si>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</si>
  <si>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</si>
  <si>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</si>
  <si>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</si>
  <si>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</si>
  <si>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</si>
  <si>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</si>
  <si>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</si>
  <si>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</si>
  <si>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</si>
  <si>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</si>
  <si>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</si>
  <si>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</si>
  <si>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</si>
  <si>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</si>
  <si>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</si>
  <si>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</si>
  <si>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</si>
  <si>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</si>
  <si>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</si>
  <si>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</si>
  <si>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</si>
  <si>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</si>
  <si>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</si>
  <si>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</si>
  <si>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</si>
  <si>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</si>
  <si>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</si>
  <si>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</si>
  <si>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</si>
  <si>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</si>
  <si>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</si>
  <si>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</si>
  <si>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</si>
  <si>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</si>
  <si>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</si>
  <si>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</si>
  <si>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</si>
  <si>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</si>
  <si>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</si>
  <si>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</si>
  <si>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</si>
  <si>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</si>
  <si>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</si>
  <si>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</si>
  <si>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</si>
  <si>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</si>
  <si>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</si>
  <si>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</si>
  <si>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</si>
  <si>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</si>
  <si>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</si>
  <si>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</si>
  <si>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</si>
  <si>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</si>
  <si>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</si>
  <si>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</si>
  <si>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</si>
  <si>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</si>
  <si>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</si>
  <si>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</si>
  <si>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</si>
  <si>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</si>
  <si>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</si>
  <si>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</si>
  <si>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</si>
  <si>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</si>
  <si>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</si>
  <si>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</si>
  <si>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</si>
  <si>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</si>
  <si>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</si>
  <si>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</si>
  <si>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</si>
  <si>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</si>
  <si>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</si>
  <si>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</si>
  <si>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</si>
  <si>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</si>
  <si>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</si>
  <si>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</si>
  <si>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</si>
  <si>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</si>
  <si>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</si>
  <si>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MACROSET</t>
  </si>
  <si>
    <t>500.00MG</t>
  </si>
  <si>
    <t>1.00MG</t>
  </si>
  <si>
    <t>AMP</t>
  </si>
  <si>
    <t>150.00MG</t>
  </si>
  <si>
    <t>50.00ML</t>
  </si>
  <si>
    <t>TABLET</t>
  </si>
  <si>
    <t>DISPOSABLE NEEDLE</t>
  </si>
  <si>
    <t>SEPTICEMIA</t>
  </si>
  <si>
    <t>A41.8</t>
  </si>
  <si>
    <t>PNSS</t>
  </si>
  <si>
    <t>1LITER</t>
  </si>
  <si>
    <t>10.00MG</t>
  </si>
  <si>
    <t>SYRINGE 3CC</t>
  </si>
  <si>
    <t>SYRINGE 5CC</t>
  </si>
  <si>
    <t>CAP</t>
  </si>
  <si>
    <t>SERRAPEPTASE</t>
  </si>
  <si>
    <t>CLINDAMYCIN</t>
  </si>
  <si>
    <t>PLASTER MICROPORE</t>
  </si>
  <si>
    <t>CEFUROXIME SODIUM</t>
  </si>
  <si>
    <t>750.00MG</t>
  </si>
  <si>
    <t>SURGICAL GAUZE</t>
  </si>
  <si>
    <t>S.GLOVES</t>
  </si>
  <si>
    <t>20.00MG</t>
  </si>
  <si>
    <t>VITAMIN B-COMPLEX</t>
  </si>
  <si>
    <t>NAPROXEN</t>
  </si>
  <si>
    <t>300.00MG</t>
  </si>
  <si>
    <t>MEFENAMIC ACID</t>
  </si>
  <si>
    <t>PIRACETAM</t>
  </si>
  <si>
    <t>1.00G</t>
  </si>
  <si>
    <t>ANTITETANUS SERUM</t>
  </si>
  <si>
    <t>1500.00IU</t>
  </si>
  <si>
    <t>TETANUS TOXOID</t>
  </si>
  <si>
    <t>0.50ML</t>
  </si>
  <si>
    <t>CETIRIZINE</t>
  </si>
  <si>
    <t>10MG</t>
  </si>
  <si>
    <t>FUROSEMIDE</t>
  </si>
  <si>
    <t>CLOXACILLIN</t>
  </si>
  <si>
    <t>HYDRALAZINE</t>
  </si>
  <si>
    <t>CITICOLINE</t>
  </si>
  <si>
    <t>250.00MG</t>
  </si>
  <si>
    <t>OXACILLIN</t>
  </si>
  <si>
    <t>CATOPRIL</t>
  </si>
  <si>
    <t>25.00MG</t>
  </si>
  <si>
    <t>DIOSMIN + HISPERIDIN</t>
  </si>
  <si>
    <t>CHLORPHENIRAMINE MALEATE</t>
  </si>
  <si>
    <t>LORATIDINE</t>
  </si>
  <si>
    <t>HYDROGEN PEROXIDE</t>
  </si>
  <si>
    <t>INSULIN SYRINGE</t>
  </si>
  <si>
    <t>ADULT O2 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</si>
</sst>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7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abSelected="1" topLeftCell="A10" workbookViewId="0">
      <selection activeCell="F32" sqref="F3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22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173</v>
      </c>
      <c r="E11" s="27" t="s">
        <v>172</v>
      </c>
      <c r="F11" s="55">
        <v>2</v>
      </c>
      <c r="G11" s="55">
        <f>'1.1 Case data_general'!E31</f>
        <v>7</v>
      </c>
      <c r="H11" s="55">
        <v>8</v>
      </c>
      <c r="I11" s="55">
        <v>62</v>
      </c>
      <c r="J11" s="55">
        <f>H11*I11</f>
        <v>496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176</v>
      </c>
      <c r="E12" s="27" t="s">
        <v>171</v>
      </c>
      <c r="F12" s="55">
        <v>2</v>
      </c>
      <c r="G12" s="55">
        <f>G11</f>
        <v>7</v>
      </c>
      <c r="H12" s="55">
        <v>10</v>
      </c>
      <c r="I12" s="55">
        <v>5.8</v>
      </c>
      <c r="J12" s="55">
        <f t="shared" ref="J12:J32" si="0">H12*I12</f>
        <v>58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185</v>
      </c>
      <c r="E13" s="27" t="s">
        <v>196</v>
      </c>
      <c r="F13" s="55">
        <v>4</v>
      </c>
      <c r="G13" s="55">
        <f t="shared" ref="G13:G16" si="1">G12</f>
        <v>7</v>
      </c>
      <c r="H13" s="55">
        <v>19</v>
      </c>
      <c r="I13" s="55">
        <v>4.5999999999999996</v>
      </c>
      <c r="J13" s="55">
        <f t="shared" si="0"/>
        <v>87.399999999999991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197</v>
      </c>
      <c r="D14" s="27" t="s">
        <v>185</v>
      </c>
      <c r="E14" s="27" t="s">
        <v>171</v>
      </c>
      <c r="F14" s="55">
        <v>4</v>
      </c>
      <c r="G14" s="55">
        <f t="shared" si="1"/>
        <v>7</v>
      </c>
      <c r="H14" s="55">
        <v>10</v>
      </c>
      <c r="I14" s="55">
        <v>3.2</v>
      </c>
      <c r="J14" s="55">
        <f t="shared" si="0"/>
        <v>32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165</v>
      </c>
      <c r="E15" s="27" t="s">
        <v>190</v>
      </c>
      <c r="F15" s="55">
        <v>3</v>
      </c>
      <c r="G15" s="55">
        <f t="shared" si="1"/>
        <v>7</v>
      </c>
      <c r="H15" s="55">
        <v>16</v>
      </c>
      <c r="I15" s="55">
        <v>48</v>
      </c>
      <c r="J15" s="55">
        <f t="shared" si="0"/>
        <v>768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173</v>
      </c>
      <c r="E16" s="27" t="s">
        <v>199</v>
      </c>
      <c r="F16" s="55">
        <v>2</v>
      </c>
      <c r="G16" s="55">
        <f t="shared" si="1"/>
        <v>7</v>
      </c>
      <c r="H16" s="55">
        <v>11</v>
      </c>
      <c r="I16" s="55">
        <v>65</v>
      </c>
      <c r="J16" s="55">
        <f t="shared" si="0"/>
        <v>715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200</v>
      </c>
      <c r="D17" s="27" t="s">
        <v>173</v>
      </c>
      <c r="E17" s="27" t="s">
        <v>201</v>
      </c>
      <c r="F17" s="55">
        <v>0.5</v>
      </c>
      <c r="G17" s="55">
        <f>G16</f>
        <v>7</v>
      </c>
      <c r="H17" s="55">
        <v>4</v>
      </c>
      <c r="I17" s="55">
        <v>71</v>
      </c>
      <c r="J17" s="55">
        <f t="shared" si="0"/>
        <v>284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202</v>
      </c>
      <c r="D18" s="27" t="s">
        <v>173</v>
      </c>
      <c r="E18" s="27" t="s">
        <v>203</v>
      </c>
      <c r="F18" s="55">
        <v>0.5</v>
      </c>
      <c r="G18" s="55">
        <f>G17</f>
        <v>7</v>
      </c>
      <c r="H18" s="55">
        <v>1</v>
      </c>
      <c r="I18" s="55">
        <v>105</v>
      </c>
      <c r="J18" s="55">
        <f t="shared" si="0"/>
        <v>105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204</v>
      </c>
      <c r="D19" s="27" t="s">
        <v>176</v>
      </c>
      <c r="E19" s="27" t="s">
        <v>205</v>
      </c>
      <c r="F19" s="55">
        <v>1</v>
      </c>
      <c r="G19" s="55">
        <f t="shared" ref="G19:G21" si="2">G18</f>
        <v>7</v>
      </c>
      <c r="H19" s="55">
        <v>5</v>
      </c>
      <c r="I19" s="55">
        <v>2.5</v>
      </c>
      <c r="J19" s="55">
        <f t="shared" si="0"/>
        <v>12.5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206</v>
      </c>
      <c r="D20" s="27" t="s">
        <v>173</v>
      </c>
      <c r="E20" s="27" t="s">
        <v>182</v>
      </c>
      <c r="F20" s="55">
        <v>1</v>
      </c>
      <c r="G20" s="55">
        <f t="shared" si="2"/>
        <v>7</v>
      </c>
      <c r="H20" s="55">
        <v>2</v>
      </c>
      <c r="I20" s="55">
        <v>19</v>
      </c>
      <c r="J20" s="55">
        <f t="shared" si="0"/>
        <v>38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207</v>
      </c>
      <c r="D21" s="27" t="s">
        <v>165</v>
      </c>
      <c r="E21" s="27" t="s">
        <v>171</v>
      </c>
      <c r="F21" s="55">
        <v>1</v>
      </c>
      <c r="G21" s="55">
        <f t="shared" si="2"/>
        <v>7</v>
      </c>
      <c r="H21" s="55">
        <v>4</v>
      </c>
      <c r="I21" s="55">
        <v>35</v>
      </c>
      <c r="J21" s="55">
        <f t="shared" si="0"/>
        <v>140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208</v>
      </c>
      <c r="D22" s="27" t="s">
        <v>173</v>
      </c>
      <c r="E22" s="27" t="s">
        <v>193</v>
      </c>
      <c r="F22" s="55">
        <v>0.5</v>
      </c>
      <c r="G22" s="55">
        <v>7</v>
      </c>
      <c r="H22" s="55">
        <v>2</v>
      </c>
      <c r="I22" s="55">
        <v>292</v>
      </c>
      <c r="J22" s="55">
        <f t="shared" si="0"/>
        <v>584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180</v>
      </c>
      <c r="D23" s="27" t="s">
        <v>164</v>
      </c>
      <c r="E23" s="27" t="s">
        <v>181</v>
      </c>
      <c r="F23" s="55">
        <v>2</v>
      </c>
      <c r="G23" s="55">
        <v>7</v>
      </c>
      <c r="H23" s="55">
        <v>14</v>
      </c>
      <c r="I23" s="55">
        <v>71.3</v>
      </c>
      <c r="J23" s="55">
        <f t="shared" si="0"/>
        <v>998.19999999999993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 t="s">
        <v>209</v>
      </c>
      <c r="D24" s="27" t="s">
        <v>173</v>
      </c>
      <c r="E24" s="27" t="s">
        <v>210</v>
      </c>
      <c r="F24" s="55">
        <v>1</v>
      </c>
      <c r="G24" s="55">
        <v>7</v>
      </c>
      <c r="H24" s="55">
        <v>11</v>
      </c>
      <c r="I24" s="55">
        <v>238</v>
      </c>
      <c r="J24" s="55">
        <f t="shared" si="0"/>
        <v>2618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 t="s">
        <v>187</v>
      </c>
      <c r="D25" s="27" t="s">
        <v>173</v>
      </c>
      <c r="E25" s="27" t="s">
        <v>174</v>
      </c>
      <c r="F25" s="55">
        <v>1</v>
      </c>
      <c r="G25" s="55">
        <v>7</v>
      </c>
      <c r="H25" s="55">
        <v>3</v>
      </c>
      <c r="I25" s="55">
        <v>398</v>
      </c>
      <c r="J25" s="55">
        <f t="shared" si="0"/>
        <v>1194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 t="s">
        <v>186</v>
      </c>
      <c r="D26" s="27" t="s">
        <v>176</v>
      </c>
      <c r="E26" s="27" t="s">
        <v>182</v>
      </c>
      <c r="F26" s="55">
        <v>2</v>
      </c>
      <c r="G26" s="55">
        <v>7</v>
      </c>
      <c r="H26" s="55">
        <v>10</v>
      </c>
      <c r="I26" s="55">
        <v>68</v>
      </c>
      <c r="J26" s="55">
        <f t="shared" si="0"/>
        <v>680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 t="s">
        <v>211</v>
      </c>
      <c r="D27" s="27" t="s">
        <v>165</v>
      </c>
      <c r="E27" s="27" t="s">
        <v>171</v>
      </c>
      <c r="F27" s="55">
        <v>3</v>
      </c>
      <c r="G27" s="55">
        <v>7</v>
      </c>
      <c r="H27" s="55">
        <v>9</v>
      </c>
      <c r="I27" s="55">
        <v>140</v>
      </c>
      <c r="J27" s="55">
        <f t="shared" si="0"/>
        <v>1260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 t="s">
        <v>212</v>
      </c>
      <c r="D28" s="27" t="s">
        <v>176</v>
      </c>
      <c r="E28" s="27" t="s">
        <v>213</v>
      </c>
      <c r="F28" s="55">
        <v>0.5</v>
      </c>
      <c r="G28" s="55">
        <v>7</v>
      </c>
      <c r="H28" s="55">
        <v>3</v>
      </c>
      <c r="I28" s="55">
        <v>3</v>
      </c>
      <c r="J28" s="55">
        <f t="shared" si="0"/>
        <v>9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 t="s">
        <v>214</v>
      </c>
      <c r="D29" s="27" t="s">
        <v>176</v>
      </c>
      <c r="E29" s="27" t="s">
        <v>171</v>
      </c>
      <c r="F29" s="55">
        <v>1</v>
      </c>
      <c r="G29" s="55">
        <v>7</v>
      </c>
      <c r="H29" s="55">
        <v>8</v>
      </c>
      <c r="I29" s="55">
        <v>59</v>
      </c>
      <c r="J29" s="55">
        <f t="shared" si="0"/>
        <v>472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 t="s">
        <v>215</v>
      </c>
      <c r="D30" s="27" t="s">
        <v>173</v>
      </c>
      <c r="E30" s="27" t="s">
        <v>182</v>
      </c>
      <c r="F30" s="55">
        <v>2</v>
      </c>
      <c r="G30" s="55">
        <v>7</v>
      </c>
      <c r="H30" s="55">
        <v>8</v>
      </c>
      <c r="I30" s="55">
        <v>59</v>
      </c>
      <c r="J30" s="55">
        <f t="shared" si="0"/>
        <v>472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 t="s">
        <v>216</v>
      </c>
      <c r="D31" s="27" t="s">
        <v>176</v>
      </c>
      <c r="E31" s="27" t="s">
        <v>182</v>
      </c>
      <c r="F31" s="55">
        <v>1</v>
      </c>
      <c r="G31" s="55">
        <v>7</v>
      </c>
      <c r="H31" s="55">
        <v>5</v>
      </c>
      <c r="I31" s="55">
        <v>5</v>
      </c>
      <c r="J31" s="55">
        <f t="shared" si="0"/>
        <v>25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 t="s">
        <v>166</v>
      </c>
      <c r="D32" s="27" t="s">
        <v>165</v>
      </c>
      <c r="E32" s="27" t="s">
        <v>175</v>
      </c>
      <c r="F32" s="55">
        <v>1</v>
      </c>
      <c r="G32" s="55">
        <v>7</v>
      </c>
      <c r="H32" s="55">
        <v>1</v>
      </c>
      <c r="I32" s="55">
        <v>35</v>
      </c>
      <c r="J32" s="55">
        <f t="shared" si="0"/>
        <v>35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19" ht="12.75" customHeight="1" x14ac:dyDescent="0.25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eu9tFcBeVSSJWP+5uxlAdaDEOlY9njAulstbYFtc0Cz3GQwwOCt6+M6AwbstYmg8djSbg7J9D8wU4a2KYZMsvQ==" saltValue="Uz4i0E+L2YV721HsYDXwP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7" workbookViewId="0">
      <selection activeCell="C19" sqref="C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4</v>
      </c>
      <c r="F17" s="55">
        <v>55</v>
      </c>
      <c r="G17" s="55">
        <f t="shared" ref="G17:G27" si="0">E17*F17</f>
        <v>220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4</v>
      </c>
      <c r="F18" s="55">
        <v>31</v>
      </c>
      <c r="G18" s="55">
        <f t="shared" si="0"/>
        <v>124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168</v>
      </c>
      <c r="E19" s="55">
        <v>26</v>
      </c>
      <c r="F19" s="55">
        <v>5</v>
      </c>
      <c r="G19" s="55">
        <f t="shared" si="0"/>
        <v>130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168</v>
      </c>
      <c r="E20" s="55">
        <v>28</v>
      </c>
      <c r="F20" s="55">
        <v>6</v>
      </c>
      <c r="G20" s="55">
        <f t="shared" si="0"/>
        <v>168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168</v>
      </c>
      <c r="E21" s="55">
        <v>3</v>
      </c>
      <c r="F21" s="55">
        <v>54</v>
      </c>
      <c r="G21" s="55">
        <f t="shared" si="0"/>
        <v>162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168</v>
      </c>
      <c r="E22" s="55">
        <v>4</v>
      </c>
      <c r="F22" s="55">
        <v>3.4</v>
      </c>
      <c r="G22" s="55">
        <f t="shared" si="0"/>
        <v>13.6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217</v>
      </c>
      <c r="D23" s="70" t="s">
        <v>168</v>
      </c>
      <c r="E23" s="55">
        <v>2</v>
      </c>
      <c r="F23" s="55">
        <v>48</v>
      </c>
      <c r="G23" s="55">
        <f t="shared" si="0"/>
        <v>96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218</v>
      </c>
      <c r="D24" s="70" t="s">
        <v>168</v>
      </c>
      <c r="E24" s="55">
        <v>4</v>
      </c>
      <c r="F24" s="55">
        <v>15.5</v>
      </c>
      <c r="G24" s="55">
        <f t="shared" si="0"/>
        <v>62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219</v>
      </c>
      <c r="D25" s="70" t="s">
        <v>168</v>
      </c>
      <c r="E25" s="55">
        <v>1</v>
      </c>
      <c r="F25" s="55">
        <v>39</v>
      </c>
      <c r="G25" s="55">
        <f t="shared" si="0"/>
        <v>39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191</v>
      </c>
      <c r="D26" s="70" t="s">
        <v>168</v>
      </c>
      <c r="E26" s="55">
        <v>6</v>
      </c>
      <c r="F26" s="55">
        <v>30</v>
      </c>
      <c r="G26" s="55">
        <f t="shared" si="0"/>
        <v>180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192</v>
      </c>
      <c r="D27" s="70" t="s">
        <v>168</v>
      </c>
      <c r="E27" s="55">
        <v>3</v>
      </c>
      <c r="F27" s="55">
        <v>22</v>
      </c>
      <c r="G27" s="55">
        <f t="shared" si="0"/>
        <v>66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76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29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gmZ/pc5JrU2lMlufpHjiplKB5GgFuKcJUinfGUWLtyQ/AQOYkTkjRMwm0nZRVTVdU7fNXIk3dImc77k7SFygKg==" saltValue="HbeHxp9rkGHI8wO9ntAhk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/>
      <c r="G13" s="55">
        <f>D13</f>
        <v>35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0</v>
      </c>
      <c r="G30" s="88">
        <f t="shared" si="1"/>
        <v>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2018-06-06T08:56:56Z</dcterms:modified>
</cp:coreProperties>
</file>