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3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1" i="2" l="1"/>
  <c r="G12" i="2" s="1"/>
  <c r="G13" i="2" s="1"/>
  <c r="G14" i="2" s="1"/>
  <c r="G15" i="2" s="1"/>
  <c r="G16" i="2" s="1"/>
  <c r="G17" i="2" s="1"/>
  <c r="G18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<sst xmlns="http://schemas.openxmlformats.org/spreadsheetml/2006/main" count="496" uniqueCount="198">
  <si>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</si>
  <si>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</si>
  <si>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</si>
  <si>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</si>
  <si>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</si>
  <si>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</si>
  <si>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</si>
  <si>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</si>
  <si>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</si>
  <si>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</si>
  <si>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</si>
  <si>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</si>
  <si>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</si>
  <si>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</si>
  <si>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</si>
  <si>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</si>
  <si>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</si>
  <si>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</si>
  <si>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</si>
  <si>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</si>
  <si>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</si>
  <si>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</si>
  <si>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</si>
  <si>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</si>
  <si>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</si>
  <si>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</si>
  <si>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</si>
  <si>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</si>
  <si>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</si>
  <si>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</si>
  <si>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</si>
  <si>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</si>
  <si>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</si>
  <si>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</si>
  <si>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</si>
  <si>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</si>
  <si>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</si>
  <si>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</si>
  <si>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</si>
  <si>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</si>
  <si>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</si>
  <si>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</si>
  <si>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</si>
  <si>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</si>
  <si>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</si>
  <si>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</si>
  <si>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</si>
  <si>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</si>
  <si>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</si>
  <si>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</si>
  <si>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</si>
  <si>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</si>
  <si>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</si>
  <si>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</si>
  <si>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</si>
  <si>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</si>
  <si>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</si>
  <si>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</si>
  <si>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</si>
  <si>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</si>
  <si>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</si>
  <si>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</si>
  <si>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</si>
  <si>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</si>
  <si>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</si>
  <si>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</si>
  <si>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</si>
  <si>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</si>
  <si>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</si>
  <si>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</si>
  <si>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</si>
  <si>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</si>
  <si>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</si>
  <si>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</si>
  <si>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</si>
  <si>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</si>
  <si>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</si>
  <si>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</si>
  <si>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</si>
  <si>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</si>
  <si>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</si>
  <si>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</si>
  <si>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</si>
  <si>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</si>
  <si>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</si>
  <si>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</si>
  <si>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</si>
  <si>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</si>
  <si>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</si>
  <si>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</si>
  <si>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</si>
  <si>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</si>
  <si>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</si>
  <si>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</si>
  <si>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</si>
  <si>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</si>
  <si>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</si>
  <si>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</si>
  <si>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</si>
  <si>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</si>
  <si>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</si>
  <si>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</si>
  <si>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</si>
  <si>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</si>
  <si>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</si>
  <si>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</si>
  <si>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</si>
  <si>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</si>
  <si>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</si>
  <si>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</si>
  <si>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</si>
  <si>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</si>
  <si>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</si>
  <si>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</si>
  <si>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</si>
  <si>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</si>
  <si>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</si>
  <si>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</si>
  <si>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</si>
  <si>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</si>
  <si>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</si>
  <si>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</si>
  <si>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</si>
  <si>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</si>
  <si>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</si>
  <si>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</si>
  <si>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</si>
  <si>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</si>
  <si>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</si>
  <si>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</si>
  <si>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</si>
  <si>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</si>
  <si>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</si>
  <si>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</si>
  <si>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</si>
  <si>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</si>
  <si>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</si>
  <si>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</si>
  <si>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</si>
  <si>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</si>
  <si>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</si>
  <si>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</si>
  <si>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</si>
  <si>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</si>
  <si>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</si>
  <si>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</si>
  <si>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</si>
  <si>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</si>
  <si>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</si>
  <si>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</si>
  <si>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</si>
  <si>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</si>
  <si>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</si>
  <si>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</si>
  <si>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</si>
  <si>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</si>
  <si>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</si>
  <si>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</si>
  <si>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</si>
  <si>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</si>
  <si>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</si>
  <si>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</si>
  <si>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</si>
  <si>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</si>
  <si>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</si>
  <si>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</si>
  <si>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</si>
  <si>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</si>
  <si>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</si>
  <si>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</si>
  <si>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MACROSET</t>
  </si>
  <si>
    <t>CEFOXITIN</t>
  </si>
  <si>
    <t>1.00GRAM</t>
  </si>
  <si>
    <t>AMPICILLIN SODIUM</t>
  </si>
  <si>
    <t>500.00MG</t>
  </si>
  <si>
    <t>AMP</t>
  </si>
  <si>
    <t>50.00ML</t>
  </si>
  <si>
    <t>TABLET</t>
  </si>
  <si>
    <t>DISPOSABLE NEEDLE</t>
  </si>
  <si>
    <t>SEPTICEMIA</t>
  </si>
  <si>
    <t>A41.8</t>
  </si>
  <si>
    <t>1LITER</t>
  </si>
  <si>
    <t>10.00MG</t>
  </si>
  <si>
    <t>SYRINGE 3CC</t>
  </si>
  <si>
    <t>SYRINGE 5CC</t>
  </si>
  <si>
    <t>SERRAPEPTASE</t>
  </si>
  <si>
    <t>SYRUP</t>
  </si>
  <si>
    <t>SALBUTAMOL</t>
  </si>
  <si>
    <t>2.00MG</t>
  </si>
  <si>
    <t>METOCLOPRAMIDE</t>
  </si>
  <si>
    <t>CEFUROXIME SODIUM</t>
  </si>
  <si>
    <t>750.00MG</t>
  </si>
  <si>
    <t>D5LRS</t>
  </si>
  <si>
    <t>SYRINGE 10CC</t>
  </si>
  <si>
    <t>ICC/TBS</t>
  </si>
  <si>
    <t>PLASTER - MICROPORE</t>
  </si>
  <si>
    <t>SURGICAL GAUZE</t>
  </si>
  <si>
    <t>S.GLOVES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</si>
</sst>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21"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7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8" workbookViewId="0">
      <selection activeCell="F18" sqref="F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165</v>
      </c>
      <c r="E11" s="27" t="s">
        <v>172</v>
      </c>
      <c r="F11" s="55">
        <v>1</v>
      </c>
      <c r="G11" s="55">
        <f>'1.1 Case data_general'!E31</f>
        <v>7</v>
      </c>
      <c r="H11" s="55">
        <v>3</v>
      </c>
      <c r="I11" s="55">
        <v>750</v>
      </c>
      <c r="J11" s="55">
        <f>H11*I11</f>
        <v>2250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186</v>
      </c>
      <c r="E12" s="27" t="s">
        <v>188</v>
      </c>
      <c r="F12" s="55">
        <v>1</v>
      </c>
      <c r="G12" s="55">
        <f>G11</f>
        <v>7</v>
      </c>
      <c r="H12" s="55">
        <v>1</v>
      </c>
      <c r="I12" s="55">
        <v>30</v>
      </c>
      <c r="J12" s="55">
        <f t="shared" ref="J12:J26" si="0">H12*I12</f>
        <v>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175</v>
      </c>
      <c r="E13" s="27" t="s">
        <v>188</v>
      </c>
      <c r="F13" s="55">
        <v>1</v>
      </c>
      <c r="G13" s="55">
        <f t="shared" ref="G13:G16" si="1">G12</f>
        <v>7</v>
      </c>
      <c r="H13" s="55">
        <v>2</v>
      </c>
      <c r="I13" s="55">
        <v>17</v>
      </c>
      <c r="J13" s="55">
        <f t="shared" si="0"/>
        <v>34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165</v>
      </c>
      <c r="E14" s="27" t="s">
        <v>191</v>
      </c>
      <c r="F14" s="55">
        <v>1</v>
      </c>
      <c r="G14" s="55">
        <f t="shared" si="1"/>
        <v>7</v>
      </c>
      <c r="H14" s="55">
        <v>2</v>
      </c>
      <c r="I14" s="55">
        <v>48</v>
      </c>
      <c r="J14" s="55">
        <f t="shared" si="0"/>
        <v>96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164</v>
      </c>
      <c r="E15" s="27" t="s">
        <v>181</v>
      </c>
      <c r="F15" s="55">
        <v>1</v>
      </c>
      <c r="G15" s="55">
        <f t="shared" si="1"/>
        <v>7</v>
      </c>
      <c r="H15" s="55">
        <v>9</v>
      </c>
      <c r="I15" s="55">
        <v>71.3</v>
      </c>
      <c r="J15" s="55">
        <f t="shared" si="0"/>
        <v>641.69999999999993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173</v>
      </c>
      <c r="D16" s="27" t="s">
        <v>165</v>
      </c>
      <c r="E16" s="27" t="s">
        <v>174</v>
      </c>
      <c r="F16" s="55">
        <v>4</v>
      </c>
      <c r="G16" s="55">
        <f t="shared" si="1"/>
        <v>7</v>
      </c>
      <c r="H16" s="55">
        <v>25</v>
      </c>
      <c r="I16" s="55">
        <v>19.100000000000001</v>
      </c>
      <c r="J16" s="55">
        <f t="shared" si="0"/>
        <v>477.50000000000006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177</v>
      </c>
      <c r="E17" s="27" t="s">
        <v>182</v>
      </c>
      <c r="F17" s="55">
        <v>2</v>
      </c>
      <c r="G17" s="55">
        <f>G16</f>
        <v>7</v>
      </c>
      <c r="H17" s="55">
        <v>10</v>
      </c>
      <c r="I17" s="55">
        <v>68</v>
      </c>
      <c r="J17" s="55">
        <f t="shared" si="0"/>
        <v>680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166</v>
      </c>
      <c r="D18" s="27" t="s">
        <v>165</v>
      </c>
      <c r="E18" s="27" t="s">
        <v>176</v>
      </c>
      <c r="F18" s="55">
        <v>1</v>
      </c>
      <c r="G18" s="55">
        <f t="shared" ref="G18" si="2">G17</f>
        <v>7</v>
      </c>
      <c r="H18" s="55">
        <v>2</v>
      </c>
      <c r="I18" s="55">
        <v>35</v>
      </c>
      <c r="J18" s="55">
        <f t="shared" si="0"/>
        <v>70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168</v>
      </c>
      <c r="E17" s="55">
        <v>2</v>
      </c>
      <c r="F17" s="55">
        <v>3.4</v>
      </c>
      <c r="G17" s="55">
        <f t="shared" ref="G17:G26" si="0">E17*F17</f>
        <v>6.8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168</v>
      </c>
      <c r="E18" s="55">
        <v>1</v>
      </c>
      <c r="F18" s="55">
        <v>55</v>
      </c>
      <c r="G18" s="55">
        <f t="shared" si="0"/>
        <v>55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168</v>
      </c>
      <c r="E19" s="55">
        <v>1</v>
      </c>
      <c r="F19" s="55">
        <v>31</v>
      </c>
      <c r="G19" s="55">
        <f t="shared" si="0"/>
        <v>31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194</v>
      </c>
      <c r="D20" s="70" t="s">
        <v>168</v>
      </c>
      <c r="E20" s="55">
        <v>4</v>
      </c>
      <c r="F20" s="55">
        <v>6</v>
      </c>
      <c r="G20" s="55">
        <f t="shared" si="0"/>
        <v>24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168</v>
      </c>
      <c r="E21" s="55">
        <v>41</v>
      </c>
      <c r="F21" s="55">
        <v>5</v>
      </c>
      <c r="G21" s="55">
        <f t="shared" si="0"/>
        <v>205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184</v>
      </c>
      <c r="D22" s="70" t="s">
        <v>168</v>
      </c>
      <c r="E22" s="55">
        <v>53</v>
      </c>
      <c r="F22" s="55">
        <v>6</v>
      </c>
      <c r="G22" s="55">
        <f t="shared" si="0"/>
        <v>318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193</v>
      </c>
      <c r="D23" s="70" t="s">
        <v>168</v>
      </c>
      <c r="E23" s="55">
        <v>53</v>
      </c>
      <c r="F23" s="55">
        <v>7</v>
      </c>
      <c r="G23" s="55">
        <f t="shared" si="0"/>
        <v>371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195</v>
      </c>
      <c r="D24" s="70" t="s">
        <v>168</v>
      </c>
      <c r="E24" s="55">
        <v>1</v>
      </c>
      <c r="F24" s="55">
        <v>54</v>
      </c>
      <c r="G24" s="55">
        <f t="shared" si="0"/>
        <v>54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196</v>
      </c>
      <c r="D25" s="70" t="s">
        <v>168</v>
      </c>
      <c r="E25" s="55">
        <v>2</v>
      </c>
      <c r="F25" s="55">
        <v>30</v>
      </c>
      <c r="G25" s="55">
        <f t="shared" si="0"/>
        <v>60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197</v>
      </c>
      <c r="D26" s="70" t="s">
        <v>168</v>
      </c>
      <c r="E26" s="55">
        <v>1</v>
      </c>
      <c r="F26" s="55">
        <v>22</v>
      </c>
      <c r="G26" s="55">
        <f t="shared" si="0"/>
        <v>22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6" sqref="D16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35</v>
      </c>
      <c r="E13" s="55"/>
      <c r="F13" s="55"/>
      <c r="G13" s="55">
        <f>D13</f>
        <v>35</v>
      </c>
      <c r="H13" s="55"/>
      <c r="I13" s="55"/>
      <c r="J13" s="55"/>
      <c r="K13" s="55"/>
      <c r="L13" s="55"/>
      <c r="M13" s="55"/>
      <c r="N13" s="55"/>
      <c r="P13" s="88">
        <f>SUM(D13:N13)</f>
        <v>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35</v>
      </c>
      <c r="E30" s="88">
        <f t="shared" si="1"/>
        <v>0</v>
      </c>
      <c r="F30" s="88">
        <f t="shared" si="1"/>
        <v>0</v>
      </c>
      <c r="G30" s="88">
        <f t="shared" si="1"/>
        <v>35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2018-06-06T08:45:31Z</dcterms:modified>
</cp:coreProperties>
</file>