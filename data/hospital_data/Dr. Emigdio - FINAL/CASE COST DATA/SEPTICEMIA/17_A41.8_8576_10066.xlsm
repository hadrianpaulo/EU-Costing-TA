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30" i="9" l="1"/>
  <c r="G29" i="9"/>
  <c r="G28" i="9"/>
  <c r="G27" i="9"/>
  <c r="G11" i="2"/>
  <c r="G13" i="10"/>
  <c r="G12" i="2"/>
  <c r="G13" i="2" s="1"/>
  <c r="G14" i="2" s="1"/>
  <c r="G15" i="2" s="1"/>
  <c r="G16" i="2" s="1"/>
  <c r="G17" i="2" s="1"/>
  <c r="G18" i="2" s="1"/>
  <c r="G19" i="2" s="1"/>
  <c r="G20" i="2" s="1"/>
  <c r="G21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<sst xmlns="http://schemas.openxmlformats.org/spreadsheetml/2006/main" count="500" uniqueCount="201">
  <si>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</si>
  <si>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</si>
  <si>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</si>
  <si>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</si>
  <si>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</si>
  <si>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</si>
  <si>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</si>
  <si>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</si>
  <si>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</si>
  <si>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</si>
  <si>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</si>
  <si>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</si>
  <si>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</si>
  <si>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</si>
  <si>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</si>
  <si>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</si>
  <si>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</si>
  <si>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</si>
  <si>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</si>
  <si>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</si>
  <si>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</si>
  <si>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</si>
  <si>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</si>
  <si>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</si>
  <si>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</si>
  <si>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</si>
  <si>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</si>
  <si>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</si>
  <si>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</si>
  <si>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</si>
  <si>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</si>
  <si>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</si>
  <si>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</si>
  <si>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</si>
  <si>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</si>
  <si>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</si>
  <si>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</si>
  <si>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</si>
  <si>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</si>
  <si>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</si>
  <si>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</si>
  <si>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</si>
  <si>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</si>
  <si>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</si>
  <si>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</si>
  <si>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</si>
  <si>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</si>
  <si>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</si>
  <si>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</si>
  <si>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</si>
  <si>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</si>
  <si>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</si>
  <si>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</si>
  <si>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</si>
  <si>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</si>
  <si>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</si>
  <si>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</si>
  <si>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</si>
  <si>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</si>
  <si>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</si>
  <si>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</si>
  <si>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</si>
  <si>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</si>
  <si>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</si>
  <si>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</si>
  <si>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</si>
  <si>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</si>
  <si>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</si>
  <si>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</si>
  <si>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</si>
  <si>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</si>
  <si>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</si>
  <si>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</si>
  <si>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</si>
  <si>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</si>
  <si>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</si>
  <si>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</si>
  <si>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</si>
  <si>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</si>
  <si>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</si>
  <si>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</si>
  <si>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</si>
  <si>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</si>
  <si>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</si>
  <si>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</si>
  <si>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</si>
  <si>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</si>
  <si>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</si>
  <si>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</si>
  <si>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</si>
  <si>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</si>
  <si>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</si>
  <si>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</si>
  <si>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</si>
  <si>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</si>
  <si>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</si>
  <si>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</si>
  <si>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</si>
  <si>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</si>
  <si>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</si>
  <si>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</si>
  <si>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</si>
  <si>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</si>
  <si>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</si>
  <si>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</si>
  <si>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</si>
  <si>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</si>
  <si>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</si>
  <si>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</si>
  <si>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</si>
  <si>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</si>
  <si>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</si>
  <si>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</si>
  <si>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</si>
  <si>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</si>
  <si>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</si>
  <si>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</si>
  <si>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</si>
  <si>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</si>
  <si>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</si>
  <si>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</si>
  <si>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</si>
  <si>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</si>
  <si>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</si>
  <si>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</si>
  <si>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</si>
  <si>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</si>
  <si>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</si>
  <si>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</si>
  <si>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</si>
  <si>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</si>
  <si>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</si>
  <si>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</si>
  <si>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</si>
  <si>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</si>
  <si>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</si>
  <si>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</si>
  <si>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</si>
  <si>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</si>
  <si>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</si>
  <si>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</si>
  <si>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</si>
  <si>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</si>
  <si>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</si>
  <si>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</si>
  <si>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</si>
  <si>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</si>
  <si>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</si>
  <si>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</si>
  <si>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</si>
  <si>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</si>
  <si>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</si>
  <si>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</si>
  <si>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</si>
  <si>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</si>
  <si>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</si>
  <si>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</si>
  <si>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</si>
  <si>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</si>
  <si>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</si>
  <si>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</si>
  <si>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</si>
  <si>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</si>
  <si>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</si>
  <si>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TABLET</t>
  </si>
  <si>
    <t>VIAL</t>
  </si>
  <si>
    <t>STERILE WATER</t>
  </si>
  <si>
    <t>THERMOMETER</t>
  </si>
  <si>
    <t>PC</t>
  </si>
  <si>
    <t>Syringe 3cc</t>
  </si>
  <si>
    <t>Syringe 5cc</t>
  </si>
  <si>
    <t>DISPOSABLE NEEDLE</t>
  </si>
  <si>
    <t>IV CATH</t>
  </si>
  <si>
    <t>MACROSET</t>
  </si>
  <si>
    <t>AMP</t>
  </si>
  <si>
    <t>500.00MG</t>
  </si>
  <si>
    <t>20.00MG</t>
  </si>
  <si>
    <t>D5LRS</t>
  </si>
  <si>
    <t>1LITER</t>
  </si>
  <si>
    <t>CEFOXITIN</t>
  </si>
  <si>
    <t>1.00GRAM</t>
  </si>
  <si>
    <t>HYOSCINE</t>
  </si>
  <si>
    <t>150.00MG</t>
  </si>
  <si>
    <t>METOCLOPRAMIDE</t>
  </si>
  <si>
    <t>10.00MG</t>
  </si>
  <si>
    <t>AMPICILLIN</t>
  </si>
  <si>
    <t>PARACETAMOL</t>
  </si>
  <si>
    <t>50.00ML</t>
  </si>
  <si>
    <t>O2 CAN</t>
  </si>
  <si>
    <t>200.00MG</t>
  </si>
  <si>
    <t>IVFLUID</t>
  </si>
  <si>
    <t>SEPTICEMIA</t>
  </si>
  <si>
    <t>A41.8</t>
  </si>
  <si>
    <t>IBUPROFEN</t>
  </si>
  <si>
    <t>HEXETIDINE</t>
  </si>
  <si>
    <t>SOL</t>
  </si>
  <si>
    <t>160.00ML</t>
  </si>
  <si>
    <t>SERRAPEPTASE</t>
  </si>
  <si>
    <t>MECOBALAMIN</t>
  </si>
  <si>
    <t>CBC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</si>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</sst>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6" sqref="C3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199</v>
      </c>
      <c r="D33" s="23"/>
      <c r="E33" s="57">
        <v>2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168</v>
      </c>
      <c r="D34" s="23"/>
      <c r="E34" s="55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200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165</v>
      </c>
      <c r="E11" s="27" t="s">
        <v>180</v>
      </c>
      <c r="F11" s="55">
        <v>2</v>
      </c>
      <c r="G11" s="55">
        <f>'1.1 Case data_general'!E31</f>
        <v>3</v>
      </c>
      <c r="H11" s="55">
        <v>4</v>
      </c>
      <c r="I11" s="55">
        <v>750</v>
      </c>
      <c r="J11" s="55">
        <f>H11*I11</f>
        <v>3000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164</v>
      </c>
      <c r="E12" s="27" t="s">
        <v>189</v>
      </c>
      <c r="F12" s="55">
        <v>2</v>
      </c>
      <c r="G12" s="55">
        <f>G11</f>
        <v>3</v>
      </c>
      <c r="H12" s="55">
        <v>10</v>
      </c>
      <c r="I12" s="55">
        <v>2</v>
      </c>
      <c r="J12" s="55">
        <f t="shared" ref="J12:J26" si="0">H12*I12</f>
        <v>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174</v>
      </c>
      <c r="E13" s="27" t="s">
        <v>176</v>
      </c>
      <c r="F13" s="55">
        <v>2</v>
      </c>
      <c r="G13" s="55">
        <f t="shared" ref="G13:G21" si="1">G12</f>
        <v>3</v>
      </c>
      <c r="H13" s="55">
        <v>1</v>
      </c>
      <c r="I13" s="55">
        <v>48</v>
      </c>
      <c r="J13" s="55">
        <f t="shared" si="0"/>
        <v>48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174</v>
      </c>
      <c r="E14" s="27" t="s">
        <v>184</v>
      </c>
      <c r="F14" s="55">
        <v>2</v>
      </c>
      <c r="G14" s="55">
        <f t="shared" si="1"/>
        <v>3</v>
      </c>
      <c r="H14" s="55">
        <v>3</v>
      </c>
      <c r="I14" s="55">
        <v>17</v>
      </c>
      <c r="J14" s="55">
        <f t="shared" si="0"/>
        <v>51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195</v>
      </c>
      <c r="E15" s="27" t="s">
        <v>196</v>
      </c>
      <c r="F15" s="55">
        <v>2</v>
      </c>
      <c r="G15" s="55">
        <f t="shared" si="1"/>
        <v>3</v>
      </c>
      <c r="H15" s="55">
        <v>1</v>
      </c>
      <c r="I15" s="55">
        <v>158</v>
      </c>
      <c r="J15" s="55">
        <f t="shared" si="0"/>
        <v>158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190</v>
      </c>
      <c r="E16" s="27" t="s">
        <v>178</v>
      </c>
      <c r="F16" s="55">
        <v>1</v>
      </c>
      <c r="G16" s="55">
        <f t="shared" si="1"/>
        <v>3</v>
      </c>
      <c r="H16" s="55">
        <v>3</v>
      </c>
      <c r="I16" s="55">
        <v>71.3</v>
      </c>
      <c r="J16" s="55">
        <f t="shared" si="0"/>
        <v>213.89999999999998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165</v>
      </c>
      <c r="E17" s="27" t="s">
        <v>175</v>
      </c>
      <c r="F17" s="55">
        <v>2</v>
      </c>
      <c r="G17" s="55">
        <f t="shared" si="1"/>
        <v>3</v>
      </c>
      <c r="H17" s="55">
        <v>8</v>
      </c>
      <c r="I17" s="55">
        <v>19.100000000000001</v>
      </c>
      <c r="J17" s="55">
        <f t="shared" si="0"/>
        <v>152.80000000000001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164</v>
      </c>
      <c r="E18" s="27" t="s">
        <v>184</v>
      </c>
      <c r="F18" s="55">
        <v>2</v>
      </c>
      <c r="G18" s="55">
        <f t="shared" si="1"/>
        <v>3</v>
      </c>
      <c r="H18" s="55">
        <v>10</v>
      </c>
      <c r="I18" s="55">
        <v>68</v>
      </c>
      <c r="J18" s="55">
        <f t="shared" si="0"/>
        <v>680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198</v>
      </c>
      <c r="D19" s="27" t="s">
        <v>164</v>
      </c>
      <c r="E19" s="27" t="s">
        <v>175</v>
      </c>
      <c r="F19" s="55">
        <v>2</v>
      </c>
      <c r="G19" s="55">
        <f t="shared" si="1"/>
        <v>3</v>
      </c>
      <c r="H19" s="55">
        <v>10</v>
      </c>
      <c r="I19" s="55">
        <v>28</v>
      </c>
      <c r="J19" s="55">
        <f t="shared" si="0"/>
        <v>280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166</v>
      </c>
      <c r="D20" s="27" t="s">
        <v>165</v>
      </c>
      <c r="E20" s="27" t="s">
        <v>187</v>
      </c>
      <c r="F20" s="55">
        <v>1</v>
      </c>
      <c r="G20" s="55">
        <f t="shared" si="1"/>
        <v>3</v>
      </c>
      <c r="H20" s="55">
        <v>2</v>
      </c>
      <c r="I20" s="55">
        <v>35</v>
      </c>
      <c r="J20" s="55">
        <f t="shared" si="0"/>
        <v>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186</v>
      </c>
      <c r="D21" s="27" t="s">
        <v>174</v>
      </c>
      <c r="E21" s="27" t="s">
        <v>182</v>
      </c>
      <c r="F21" s="55">
        <v>2</v>
      </c>
      <c r="G21" s="55">
        <f t="shared" si="1"/>
        <v>3</v>
      </c>
      <c r="H21" s="55">
        <v>7</v>
      </c>
      <c r="I21" s="55">
        <v>28.6</v>
      </c>
      <c r="J21" s="55">
        <f t="shared" si="0"/>
        <v>200.20000000000002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3" workbookViewId="0">
      <selection activeCell="B35" sqref="B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23</v>
      </c>
      <c r="F17" s="55">
        <v>5</v>
      </c>
      <c r="G17" s="55">
        <f t="shared" ref="G17:G30" si="0">E17*F17</f>
        <v>115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23</v>
      </c>
      <c r="F18" s="55">
        <v>6</v>
      </c>
      <c r="G18" s="55">
        <f t="shared" si="0"/>
        <v>138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172</v>
      </c>
      <c r="D19" s="70" t="s">
        <v>168</v>
      </c>
      <c r="E19" s="55">
        <v>2</v>
      </c>
      <c r="F19" s="55">
        <v>55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168</v>
      </c>
      <c r="E20" s="55">
        <v>1</v>
      </c>
      <c r="F20" s="55">
        <v>29</v>
      </c>
      <c r="G20" s="55">
        <f t="shared" si="0"/>
        <v>29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171</v>
      </c>
      <c r="D21" s="70" t="s">
        <v>168</v>
      </c>
      <c r="E21" s="55">
        <v>4</v>
      </c>
      <c r="F21" s="55">
        <v>3.4</v>
      </c>
      <c r="G21" s="55">
        <f t="shared" si="0"/>
        <v>13.6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188</v>
      </c>
      <c r="D22" s="70" t="s">
        <v>168</v>
      </c>
      <c r="E22" s="55">
        <v>1</v>
      </c>
      <c r="F22" s="55">
        <v>39</v>
      </c>
      <c r="G22" s="55">
        <f t="shared" si="0"/>
        <v>39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76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29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usi6Ug9mogCX8UDpnqV1N3PsmKgb4+QF0/I6zyNOqmE5+pVsRaHdo200IJd7FOFVSOxWpqZPgBYKFHW8wDvG8g==" saltValue="l4aBs6milLqH+kCmpZSOQ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5" sqref="C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2018-06-08T05:55:35Z</dcterms:modified>
</cp:coreProperties>
</file>