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5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Drugs&amp;Med'!$B$2:$J$28</definedName>
  </definedNames>
  <calcPr calcId="162913"/>
</workbook>
</file>

<file path=xl/calcChain.xml><?xml version="1.0" encoding="utf-8"?>
<calcChain xmlns="http://schemas.openxmlformats.org/spreadsheetml/2006/main">
  <c r="G38" i="9" l="1"/>
  <c r="G37" i="9"/>
  <c r="G36" i="9"/>
  <c r="G35" i="9"/>
  <c r="G34" i="9"/>
  <c r="G33" i="9"/>
  <c r="G32" i="9"/>
  <c r="G31" i="9"/>
  <c r="G22" i="2"/>
  <c r="G23" i="2" s="1"/>
  <c r="G24" i="2" s="1"/>
  <c r="G25" i="2" s="1"/>
  <c r="G26" i="2" s="1"/>
  <c r="G27" i="2" s="1"/>
  <c r="J27" i="2"/>
  <c r="G30" i="9" l="1"/>
  <c r="G29" i="9"/>
  <c r="G28" i="9"/>
  <c r="G27" i="9"/>
  <c r="G11" i="2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13" i="10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<sst xmlns="http://schemas.openxmlformats.org/spreadsheetml/2006/main" count="547" uniqueCount="224">
  <si>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</si>
  <si>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</si>
  <si>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</si>
  <si>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</si>
  <si>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</si>
  <si>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</si>
  <si>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</si>
  <si>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</si>
  <si>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</si>
  <si>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</si>
  <si>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</si>
  <si>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</si>
  <si>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</si>
  <si>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</si>
  <si>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</si>
  <si>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</si>
  <si>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</si>
  <si>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</si>
  <si>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</si>
  <si>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</si>
  <si>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</si>
  <si>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</si>
  <si>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</si>
  <si>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</si>
  <si>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</si>
  <si>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</si>
  <si>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</si>
  <si>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</si>
  <si>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</si>
  <si>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</si>
  <si>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</si>
  <si>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</si>
  <si>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</si>
  <si>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</si>
  <si>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</si>
  <si>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</si>
  <si>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</si>
  <si>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</si>
  <si>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</si>
  <si>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</si>
  <si>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</si>
  <si>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</si>
  <si>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</si>
  <si>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</si>
  <si>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</si>
  <si>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</si>
  <si>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</si>
  <si>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</si>
  <si>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</si>
  <si>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</si>
  <si>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</si>
  <si>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</si>
  <si>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</si>
  <si>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</si>
  <si>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</si>
  <si>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</si>
  <si>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</si>
  <si>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</si>
  <si>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</si>
  <si>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</si>
  <si>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</si>
  <si>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</si>
  <si>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</si>
  <si>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</si>
  <si>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</si>
  <si>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</si>
  <si>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</si>
  <si>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</si>
  <si>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</si>
  <si>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</si>
  <si>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</si>
  <si>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</si>
  <si>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</si>
  <si>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</si>
  <si>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</si>
  <si>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</si>
  <si>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</si>
  <si>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</si>
  <si>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</si>
  <si>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</si>
  <si>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</si>
  <si>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</si>
  <si>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</si>
  <si>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</si>
  <si>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</si>
  <si>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</si>
  <si>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</si>
  <si>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</si>
  <si>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</si>
  <si>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</si>
  <si>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</si>
  <si>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</si>
  <si>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</si>
  <si>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</si>
  <si>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</si>
  <si>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</si>
  <si>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</si>
  <si>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</si>
  <si>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</si>
  <si>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</si>
  <si>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</si>
  <si>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</si>
  <si>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</si>
  <si>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</si>
  <si>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</si>
  <si>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</si>
  <si>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</si>
  <si>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</si>
  <si>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</si>
  <si>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</si>
  <si>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</si>
  <si>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</si>
  <si>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</si>
  <si>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</si>
  <si>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</si>
  <si>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</si>
  <si>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</si>
  <si>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</si>
  <si>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</si>
  <si>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</si>
  <si>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</si>
  <si>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</si>
  <si>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</si>
  <si>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</si>
  <si>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</si>
  <si>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</si>
  <si>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</si>
  <si>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</si>
  <si>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</si>
  <si>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</si>
  <si>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</si>
  <si>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</si>
  <si>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</si>
  <si>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</si>
  <si>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</si>
  <si>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</si>
  <si>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</si>
  <si>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</si>
  <si>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</si>
  <si>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</si>
  <si>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</si>
  <si>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</si>
  <si>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</si>
  <si>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</si>
  <si>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</si>
  <si>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</si>
  <si>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</si>
  <si>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</si>
  <si>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</si>
  <si>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</si>
  <si>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</si>
  <si>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</si>
  <si>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</si>
  <si>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</si>
  <si>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</si>
  <si>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</si>
  <si>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</si>
  <si>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</si>
  <si>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</si>
  <si>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</si>
  <si>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</si>
  <si>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</si>
  <si>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</si>
  <si>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</si>
  <si>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TABLET</t>
  </si>
  <si>
    <t>VIAL</t>
  </si>
  <si>
    <t>STERILE WATER</t>
  </si>
  <si>
    <t>THERMOMETER</t>
  </si>
  <si>
    <t>PC</t>
  </si>
  <si>
    <t>Syringe 3cc</t>
  </si>
  <si>
    <t>Syringe 5cc</t>
  </si>
  <si>
    <t>DISPOSABLE NEEDLE</t>
  </si>
  <si>
    <t>IV CATH</t>
  </si>
  <si>
    <t>MACROSET</t>
  </si>
  <si>
    <t>AMP</t>
  </si>
  <si>
    <t>500.00MG</t>
  </si>
  <si>
    <t>D5LRS</t>
  </si>
  <si>
    <t>1LITER</t>
  </si>
  <si>
    <t>CEFOXITIN</t>
  </si>
  <si>
    <t>1.00GRAM</t>
  </si>
  <si>
    <t>10.00MG</t>
  </si>
  <si>
    <t>AMPICILLIN</t>
  </si>
  <si>
    <t>50.00ML</t>
  </si>
  <si>
    <t>O2 CAN</t>
  </si>
  <si>
    <t>IVFLUID</t>
  </si>
  <si>
    <t>SEPTICEMIA</t>
  </si>
  <si>
    <t>A41.8</t>
  </si>
  <si>
    <t>VITAMIN B COMPLEX</t>
  </si>
  <si>
    <t>1.00MG</t>
  </si>
  <si>
    <t>OMEPRAZOLE</t>
  </si>
  <si>
    <t>40.00MG</t>
  </si>
  <si>
    <t>AMINO ACID</t>
  </si>
  <si>
    <t>5500.00ML</t>
  </si>
  <si>
    <t>FUROSEMIDE</t>
  </si>
  <si>
    <t>CEFUROXIME</t>
  </si>
  <si>
    <t>750.00MG</t>
  </si>
  <si>
    <t>CEFTRIAXONE</t>
  </si>
  <si>
    <t>BUDESONIDE</t>
  </si>
  <si>
    <t>NEB</t>
  </si>
  <si>
    <t>250.00MCG</t>
  </si>
  <si>
    <t>PNSS</t>
  </si>
  <si>
    <t>DOXOFYLINE</t>
  </si>
  <si>
    <t>400.00MG</t>
  </si>
  <si>
    <t>METRONIDAZOLE</t>
  </si>
  <si>
    <t>TRANEXAMIC ACID</t>
  </si>
  <si>
    <t>100.00MG</t>
  </si>
  <si>
    <t>DOPAMINE</t>
  </si>
  <si>
    <t>IPRATROPIUM</t>
  </si>
  <si>
    <t>25MG</t>
  </si>
  <si>
    <t>Syringe 10cc</t>
  </si>
  <si>
    <t>ASEPTO SYRINGE</t>
  </si>
  <si>
    <t>S.GLOVES</t>
  </si>
  <si>
    <t>PLASTER MICRPORE</t>
  </si>
  <si>
    <t>ADULT O2 CAN</t>
  </si>
  <si>
    <t>S,CATH</t>
  </si>
  <si>
    <t>SILK</t>
  </si>
  <si>
    <t>SURGICAL GAUZE</t>
  </si>
  <si>
    <t>ADULT U.BAG</t>
  </si>
  <si>
    <t>ID BRACELET</t>
  </si>
  <si>
    <t>NEB KIT</t>
  </si>
  <si>
    <t>NGT FR</t>
  </si>
  <si>
    <t>FCATH</t>
  </si>
  <si>
    <t>K.Y. JELLY</t>
  </si>
  <si>
    <t>SOLUSET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</si>
</sst>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28575</xdr:rowOff>
        </xdr:from>
        <xdr:to>
          <xdr:col>1</xdr:col>
          <xdr:colOff>762000</xdr:colOff>
          <xdr:row>41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41</xdr:row>
          <xdr:rowOff>28575</xdr:rowOff>
        </xdr:from>
        <xdr:to>
          <xdr:col>1</xdr:col>
          <xdr:colOff>1533525</xdr:colOff>
          <xdr:row>41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52</xdr:row>
          <xdr:rowOff>28575</xdr:rowOff>
        </xdr:from>
        <xdr:to>
          <xdr:col>1</xdr:col>
          <xdr:colOff>771525</xdr:colOff>
          <xdr:row>52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52</xdr:row>
          <xdr:rowOff>28575</xdr:rowOff>
        </xdr:from>
        <xdr:to>
          <xdr:col>1</xdr:col>
          <xdr:colOff>1543050</xdr:colOff>
          <xdr:row>52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12" zoomScaleNormal="100" workbookViewId="0">
      <selection activeCell="B32" sqref="B32: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9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8"/>
  <sheetViews>
    <sheetView tabSelected="1" topLeftCell="A8" workbookViewId="0">
      <selection activeCell="F28" sqref="F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SEPTICEMIA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174</v>
      </c>
      <c r="E11" s="27" t="s">
        <v>188</v>
      </c>
      <c r="F11" s="55">
        <v>2</v>
      </c>
      <c r="G11" s="55">
        <f>'1.1 Case data_general'!E31</f>
        <v>9</v>
      </c>
      <c r="H11" s="55">
        <v>18</v>
      </c>
      <c r="I11" s="55">
        <v>62</v>
      </c>
      <c r="J11" s="55">
        <f>H11*I11</f>
        <v>1116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165</v>
      </c>
      <c r="E12" s="27" t="s">
        <v>179</v>
      </c>
      <c r="F12" s="55">
        <v>2</v>
      </c>
      <c r="G12" s="55">
        <f>G11</f>
        <v>9</v>
      </c>
      <c r="H12" s="55">
        <v>4</v>
      </c>
      <c r="I12" s="55">
        <v>750</v>
      </c>
      <c r="J12" s="55">
        <f t="shared" ref="J12:J27" si="0">H12*I12</f>
        <v>3000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165</v>
      </c>
      <c r="E13" s="27" t="s">
        <v>190</v>
      </c>
      <c r="F13" s="55">
        <v>2</v>
      </c>
      <c r="G13" s="55">
        <f t="shared" ref="G13:G27" si="1">G12</f>
        <v>9</v>
      </c>
      <c r="H13" s="55">
        <v>14</v>
      </c>
      <c r="I13" s="55">
        <v>255</v>
      </c>
      <c r="J13" s="55">
        <f t="shared" si="0"/>
        <v>3570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165</v>
      </c>
      <c r="E14" s="27" t="s">
        <v>192</v>
      </c>
      <c r="F14" s="55">
        <v>2</v>
      </c>
      <c r="G14" s="55">
        <f t="shared" si="1"/>
        <v>9</v>
      </c>
      <c r="H14" s="55">
        <v>2</v>
      </c>
      <c r="I14" s="55">
        <v>900</v>
      </c>
      <c r="J14" s="55">
        <f t="shared" si="0"/>
        <v>1800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174</v>
      </c>
      <c r="E15" s="27" t="s">
        <v>180</v>
      </c>
      <c r="F15" s="55">
        <v>2</v>
      </c>
      <c r="G15" s="55">
        <f t="shared" si="1"/>
        <v>9</v>
      </c>
      <c r="H15" s="55">
        <v>6</v>
      </c>
      <c r="I15" s="55">
        <v>19</v>
      </c>
      <c r="J15" s="55">
        <f t="shared" si="0"/>
        <v>114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165</v>
      </c>
      <c r="E16" s="27" t="s">
        <v>195</v>
      </c>
      <c r="F16" s="55">
        <v>2</v>
      </c>
      <c r="G16" s="55">
        <f t="shared" si="1"/>
        <v>9</v>
      </c>
      <c r="H16" s="55">
        <v>2</v>
      </c>
      <c r="I16" s="55">
        <v>48</v>
      </c>
      <c r="J16" s="55">
        <f t="shared" si="0"/>
        <v>96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196</v>
      </c>
      <c r="D17" s="27" t="s">
        <v>165</v>
      </c>
      <c r="E17" s="27" t="s">
        <v>179</v>
      </c>
      <c r="F17" s="55">
        <v>2</v>
      </c>
      <c r="G17" s="55">
        <f t="shared" si="1"/>
        <v>9</v>
      </c>
      <c r="H17" s="55">
        <v>12</v>
      </c>
      <c r="I17" s="55">
        <v>55</v>
      </c>
      <c r="J17" s="55">
        <f t="shared" si="0"/>
        <v>660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197</v>
      </c>
      <c r="D18" s="27" t="s">
        <v>198</v>
      </c>
      <c r="E18" s="27" t="s">
        <v>199</v>
      </c>
      <c r="F18" s="55">
        <v>2</v>
      </c>
      <c r="G18" s="55">
        <f t="shared" si="1"/>
        <v>9</v>
      </c>
      <c r="H18" s="55">
        <v>3</v>
      </c>
      <c r="I18" s="55">
        <v>75</v>
      </c>
      <c r="J18" s="55">
        <f t="shared" si="0"/>
        <v>225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200</v>
      </c>
      <c r="D19" s="27" t="s">
        <v>184</v>
      </c>
      <c r="E19" s="27" t="s">
        <v>177</v>
      </c>
      <c r="F19" s="55">
        <v>2</v>
      </c>
      <c r="G19" s="55">
        <f t="shared" si="1"/>
        <v>9</v>
      </c>
      <c r="H19" s="55">
        <v>14</v>
      </c>
      <c r="I19" s="55">
        <v>71.3</v>
      </c>
      <c r="J19" s="55">
        <f t="shared" si="0"/>
        <v>998.19999999999993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181</v>
      </c>
      <c r="D20" s="27" t="s">
        <v>165</v>
      </c>
      <c r="E20" s="27" t="s">
        <v>175</v>
      </c>
      <c r="F20" s="55">
        <v>2</v>
      </c>
      <c r="G20" s="55">
        <f t="shared" si="1"/>
        <v>9</v>
      </c>
      <c r="H20" s="55">
        <v>12</v>
      </c>
      <c r="I20" s="55">
        <v>19.100000000000001</v>
      </c>
      <c r="J20" s="55">
        <f t="shared" si="0"/>
        <v>229.20000000000002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176</v>
      </c>
      <c r="D21" s="27" t="s">
        <v>184</v>
      </c>
      <c r="E21" s="27" t="s">
        <v>177</v>
      </c>
      <c r="F21" s="55">
        <v>1</v>
      </c>
      <c r="G21" s="55">
        <f t="shared" si="1"/>
        <v>9</v>
      </c>
      <c r="H21" s="55">
        <v>3</v>
      </c>
      <c r="I21" s="55">
        <v>71.3</v>
      </c>
      <c r="J21" s="55">
        <f t="shared" si="0"/>
        <v>213.89999999999998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201</v>
      </c>
      <c r="D22" s="27" t="s">
        <v>164</v>
      </c>
      <c r="E22" s="27" t="s">
        <v>202</v>
      </c>
      <c r="F22" s="55">
        <v>1</v>
      </c>
      <c r="G22" s="55">
        <f t="shared" si="1"/>
        <v>9</v>
      </c>
      <c r="H22" s="55">
        <v>5</v>
      </c>
      <c r="I22" s="55">
        <v>53</v>
      </c>
      <c r="J22" s="55">
        <f t="shared" si="0"/>
        <v>265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203</v>
      </c>
      <c r="D23" s="27" t="s">
        <v>165</v>
      </c>
      <c r="E23" s="27" t="s">
        <v>175</v>
      </c>
      <c r="F23" s="55">
        <v>2</v>
      </c>
      <c r="G23" s="55">
        <f t="shared" si="1"/>
        <v>9</v>
      </c>
      <c r="H23" s="55">
        <v>11</v>
      </c>
      <c r="I23" s="55">
        <v>40</v>
      </c>
      <c r="J23" s="55">
        <f t="shared" si="0"/>
        <v>440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204</v>
      </c>
      <c r="D24" s="27" t="s">
        <v>174</v>
      </c>
      <c r="E24" s="27" t="s">
        <v>205</v>
      </c>
      <c r="F24" s="55">
        <v>2</v>
      </c>
      <c r="G24" s="55">
        <f t="shared" si="1"/>
        <v>9</v>
      </c>
      <c r="H24" s="55">
        <v>11</v>
      </c>
      <c r="I24" s="55">
        <v>74.8</v>
      </c>
      <c r="J24" s="55">
        <f t="shared" si="0"/>
        <v>822.8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206</v>
      </c>
      <c r="D25" s="27" t="s">
        <v>174</v>
      </c>
      <c r="E25" s="27" t="s">
        <v>190</v>
      </c>
      <c r="F25" s="55">
        <v>2</v>
      </c>
      <c r="G25" s="55">
        <f t="shared" si="1"/>
        <v>9</v>
      </c>
      <c r="H25" s="55">
        <v>22</v>
      </c>
      <c r="I25" s="55">
        <v>107</v>
      </c>
      <c r="J25" s="55">
        <f t="shared" si="0"/>
        <v>2354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207</v>
      </c>
      <c r="D26" s="27" t="s">
        <v>198</v>
      </c>
      <c r="E26" s="27" t="s">
        <v>208</v>
      </c>
      <c r="F26" s="55">
        <v>3</v>
      </c>
      <c r="G26" s="55">
        <f t="shared" si="1"/>
        <v>9</v>
      </c>
      <c r="H26" s="55">
        <v>18</v>
      </c>
      <c r="I26" s="55">
        <v>31</v>
      </c>
      <c r="J26" s="55">
        <f t="shared" si="0"/>
        <v>558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166</v>
      </c>
      <c r="D27" s="27" t="s">
        <v>165</v>
      </c>
      <c r="E27" s="27" t="s">
        <v>182</v>
      </c>
      <c r="F27" s="55">
        <v>1</v>
      </c>
      <c r="G27" s="55">
        <f t="shared" si="1"/>
        <v>9</v>
      </c>
      <c r="H27" s="55">
        <v>3</v>
      </c>
      <c r="I27" s="55">
        <v>35</v>
      </c>
      <c r="J27" s="55">
        <f t="shared" si="0"/>
        <v>105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25">
      <c r="A28" s="33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</row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TBul2utbLBIMYcEg7GZ4IxS/70A5LdRc/MM7sqvFMu5/dTz47FnE65iOSf5AdG+2+XjTaD/1Y0UZ9UOSM2MYOQ==" saltValue="+eoUEWqk6xuvG0Cvfnlw7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6"/>
  <sheetViews>
    <sheetView topLeftCell="A21" workbookViewId="0">
      <selection activeCell="D39" sqref="D3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25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 t="s">
        <v>168</v>
      </c>
      <c r="E17" s="55">
        <v>30</v>
      </c>
      <c r="F17" s="55">
        <v>5</v>
      </c>
      <c r="G17" s="55">
        <f t="shared" ref="G17:G38" si="0"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168</v>
      </c>
      <c r="E18" s="55">
        <v>40</v>
      </c>
      <c r="F18" s="55">
        <v>6</v>
      </c>
      <c r="G18" s="55">
        <f t="shared" si="0"/>
        <v>240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172</v>
      </c>
      <c r="D19" s="70" t="s">
        <v>168</v>
      </c>
      <c r="E19" s="55">
        <v>4</v>
      </c>
      <c r="F19" s="55">
        <v>55</v>
      </c>
      <c r="G19" s="55">
        <f t="shared" si="0"/>
        <v>220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168</v>
      </c>
      <c r="E20" s="55">
        <v>5</v>
      </c>
      <c r="F20" s="55">
        <v>29</v>
      </c>
      <c r="G20" s="55">
        <f t="shared" si="0"/>
        <v>145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171</v>
      </c>
      <c r="D21" s="70" t="s">
        <v>168</v>
      </c>
      <c r="E21" s="55">
        <v>4</v>
      </c>
      <c r="F21" s="55">
        <v>3.4</v>
      </c>
      <c r="G21" s="55">
        <f t="shared" si="0"/>
        <v>13.6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183</v>
      </c>
      <c r="D22" s="70" t="s">
        <v>168</v>
      </c>
      <c r="E22" s="55">
        <v>1</v>
      </c>
      <c r="F22" s="55">
        <v>21.18</v>
      </c>
      <c r="G22" s="55">
        <f t="shared" si="0"/>
        <v>21.18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209</v>
      </c>
      <c r="D23" s="70" t="s">
        <v>168</v>
      </c>
      <c r="E23" s="55">
        <v>3</v>
      </c>
      <c r="F23" s="55">
        <v>7</v>
      </c>
      <c r="G23" s="55">
        <f t="shared" si="0"/>
        <v>21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210</v>
      </c>
      <c r="D24" s="70" t="s">
        <v>168</v>
      </c>
      <c r="E24" s="55">
        <v>1</v>
      </c>
      <c r="F24" s="55">
        <v>60</v>
      </c>
      <c r="G24" s="55">
        <f t="shared" si="0"/>
        <v>60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211</v>
      </c>
      <c r="D25" s="70" t="s">
        <v>168</v>
      </c>
      <c r="E25" s="55">
        <v>6</v>
      </c>
      <c r="F25" s="55">
        <v>21.18</v>
      </c>
      <c r="G25" s="55">
        <f t="shared" si="0"/>
        <v>127.08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212</v>
      </c>
      <c r="D26" s="70" t="s">
        <v>168</v>
      </c>
      <c r="E26" s="55">
        <v>3</v>
      </c>
      <c r="F26" s="55">
        <v>54</v>
      </c>
      <c r="G26" s="55">
        <f t="shared" si="0"/>
        <v>162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213</v>
      </c>
      <c r="D27" s="70" t="s">
        <v>168</v>
      </c>
      <c r="E27" s="55">
        <v>1</v>
      </c>
      <c r="F27" s="55">
        <v>39</v>
      </c>
      <c r="G27" s="55">
        <f t="shared" si="0"/>
        <v>39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214</v>
      </c>
      <c r="D28" s="70" t="s">
        <v>168</v>
      </c>
      <c r="E28" s="55">
        <v>4</v>
      </c>
      <c r="F28" s="55">
        <v>16</v>
      </c>
      <c r="G28" s="55">
        <f t="shared" si="0"/>
        <v>64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215</v>
      </c>
      <c r="D29" s="70" t="s">
        <v>168</v>
      </c>
      <c r="E29" s="55">
        <v>1</v>
      </c>
      <c r="F29" s="55">
        <v>156</v>
      </c>
      <c r="G29" s="55">
        <f t="shared" si="0"/>
        <v>156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216</v>
      </c>
      <c r="D30" s="70" t="s">
        <v>168</v>
      </c>
      <c r="E30" s="55">
        <v>1</v>
      </c>
      <c r="F30" s="55">
        <v>30</v>
      </c>
      <c r="G30" s="55">
        <f t="shared" si="0"/>
        <v>30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211</v>
      </c>
      <c r="D31" s="70" t="s">
        <v>168</v>
      </c>
      <c r="E31" s="55">
        <v>11</v>
      </c>
      <c r="F31" s="55">
        <v>22</v>
      </c>
      <c r="G31" s="55">
        <f t="shared" si="0"/>
        <v>242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217</v>
      </c>
      <c r="D32" s="70" t="s">
        <v>168</v>
      </c>
      <c r="E32" s="55">
        <v>4</v>
      </c>
      <c r="F32" s="55">
        <v>22</v>
      </c>
      <c r="G32" s="55">
        <f t="shared" si="0"/>
        <v>88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 t="s">
        <v>218</v>
      </c>
      <c r="D33" s="70" t="s">
        <v>168</v>
      </c>
      <c r="E33" s="55">
        <v>1</v>
      </c>
      <c r="F33" s="55">
        <v>5.71</v>
      </c>
      <c r="G33" s="55">
        <f t="shared" si="0"/>
        <v>5.71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 t="s">
        <v>219</v>
      </c>
      <c r="D34" s="70" t="s">
        <v>168</v>
      </c>
      <c r="E34" s="55">
        <v>1</v>
      </c>
      <c r="F34" s="55">
        <v>64</v>
      </c>
      <c r="G34" s="55">
        <f t="shared" si="0"/>
        <v>64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20</v>
      </c>
      <c r="C35" s="69" t="s">
        <v>220</v>
      </c>
      <c r="D35" s="70" t="s">
        <v>168</v>
      </c>
      <c r="E35" s="55">
        <v>3</v>
      </c>
      <c r="F35" s="55">
        <v>36</v>
      </c>
      <c r="G35" s="55">
        <f t="shared" si="0"/>
        <v>108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21</v>
      </c>
      <c r="C36" s="69" t="s">
        <v>221</v>
      </c>
      <c r="D36" s="70" t="s">
        <v>168</v>
      </c>
      <c r="E36" s="55">
        <v>3</v>
      </c>
      <c r="F36" s="55">
        <v>33</v>
      </c>
      <c r="G36" s="55">
        <f t="shared" si="0"/>
        <v>99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22</v>
      </c>
      <c r="C37" s="69" t="s">
        <v>222</v>
      </c>
      <c r="D37" s="70" t="s">
        <v>168</v>
      </c>
      <c r="E37" s="55">
        <v>7</v>
      </c>
      <c r="F37" s="55">
        <v>10.199999999999999</v>
      </c>
      <c r="G37" s="55">
        <f t="shared" si="0"/>
        <v>71.399999999999991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23</v>
      </c>
      <c r="C38" s="69" t="s">
        <v>223</v>
      </c>
      <c r="D38" s="70" t="s">
        <v>168</v>
      </c>
      <c r="E38" s="55">
        <v>1</v>
      </c>
      <c r="F38" s="55">
        <v>180</v>
      </c>
      <c r="G38" s="55">
        <f t="shared" si="0"/>
        <v>180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24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136" t="s">
        <v>76</v>
      </c>
      <c r="C41" s="137"/>
      <c r="D41" s="137"/>
      <c r="E41" s="137"/>
      <c r="F41" s="137"/>
      <c r="G41" s="138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3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4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5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6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7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8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9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10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136" t="s">
        <v>29</v>
      </c>
      <c r="C52" s="137"/>
      <c r="D52" s="137"/>
      <c r="E52" s="137"/>
      <c r="F52" s="137"/>
      <c r="G52" s="138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2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3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4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5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6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7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8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B61" s="68">
        <v>9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B62" s="68">
        <v>10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4.25" customHeight="1" x14ac:dyDescent="0.3">
      <c r="A63" s="44"/>
      <c r="B63" s="39"/>
      <c r="C63" s="44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</row>
    <row r="64" spans="1:16" ht="14.25" customHeight="1" x14ac:dyDescent="0.3">
      <c r="A64" s="44"/>
      <c r="B64" s="39"/>
      <c r="C64" s="44"/>
      <c r="D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</row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</sheetData>
  <sheetProtection algorithmName="SHA-512" hashValue="/YMVW8BsBgeX3vGLqZwsVE/sPCXTVvB/vS8jAcMcSYPhrz8ufYGWSZP7XGdP390SUQKmYp9SNOgN2AqLVGDuxw==" saltValue="NbNTUa9k/Ze3cF/AU7k0sA==" spinCount="100000" sheet="1" objects="1" scenarios="1" formatColumns="0" formatRows="0" sort="0" autoFilter="0"/>
  <mergeCells count="9">
    <mergeCell ref="B7:G7"/>
    <mergeCell ref="B41:G41"/>
    <mergeCell ref="B52:G5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41</xdr:row>
                    <xdr:rowOff>28575</xdr:rowOff>
                  </from>
                  <to>
                    <xdr:col>1</xdr:col>
                    <xdr:colOff>762000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41</xdr:row>
                    <xdr:rowOff>28575</xdr:rowOff>
                  </from>
                  <to>
                    <xdr:col>1</xdr:col>
                    <xdr:colOff>1533525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52</xdr:row>
                    <xdr:rowOff>28575</xdr:rowOff>
                  </from>
                  <to>
                    <xdr:col>1</xdr:col>
                    <xdr:colOff>771525</xdr:colOff>
                    <xdr:row>52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52</xdr:row>
                    <xdr:rowOff>28575</xdr:rowOff>
                  </from>
                  <to>
                    <xdr:col>1</xdr:col>
                    <xdr:colOff>1543050</xdr:colOff>
                    <xdr:row>52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45</v>
      </c>
      <c r="E13" s="55"/>
      <c r="F13" s="55"/>
      <c r="G13" s="55">
        <f>D13</f>
        <v>45</v>
      </c>
      <c r="H13" s="55"/>
      <c r="I13" s="55"/>
      <c r="J13" s="55"/>
      <c r="K13" s="55"/>
      <c r="L13" s="55"/>
      <c r="M13" s="55"/>
      <c r="N13" s="55"/>
      <c r="P13" s="88">
        <f>SUM(D13:N13)</f>
        <v>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45</v>
      </c>
      <c r="E30" s="88">
        <f t="shared" si="1"/>
        <v>0</v>
      </c>
      <c r="F30" s="88">
        <f t="shared" si="1"/>
        <v>0</v>
      </c>
      <c r="G30" s="88">
        <f t="shared" si="1"/>
        <v>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2018-06-08T01:37:05Z</dcterms:modified>
</cp:coreProperties>
</file>