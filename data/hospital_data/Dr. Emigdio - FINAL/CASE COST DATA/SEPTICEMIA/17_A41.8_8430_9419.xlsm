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NEW REPORT SAMPLE\MAY 2018\MAY 22,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18" i="2" l="1"/>
  <c r="G19" i="2" s="1"/>
  <c r="G20" i="2" s="1"/>
  <c r="G17" i="2"/>
  <c r="G12" i="2"/>
  <c r="G13" i="2"/>
  <c r="G14" i="2"/>
  <c r="G15" i="2"/>
  <c r="G16" i="2" s="1"/>
  <c r="G11" i="2"/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<sst xmlns="http://schemas.openxmlformats.org/spreadsheetml/2006/main" count="494" uniqueCount="199">
  <si>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</si>
  <si>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</si>
  <si>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</si>
  <si>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</si>
  <si>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</si>
  <si>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</si>
  <si>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</si>
  <si>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</si>
  <si>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</si>
  <si>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</si>
  <si>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</si>
  <si>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</si>
  <si>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</si>
  <si>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</si>
  <si>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</si>
  <si>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</si>
  <si>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</si>
  <si>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</si>
  <si>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</si>
  <si>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</si>
  <si>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</si>
  <si>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</si>
  <si>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</si>
  <si>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</si>
  <si>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</si>
  <si>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</si>
  <si>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</si>
  <si>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</si>
  <si>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</si>
  <si>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</si>
  <si>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</si>
  <si>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</si>
  <si>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</si>
  <si>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</si>
  <si>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</si>
  <si>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</si>
  <si>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</si>
  <si>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</si>
  <si>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</si>
  <si>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</si>
  <si>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</si>
  <si>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</si>
  <si>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</si>
  <si>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</si>
  <si>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</si>
  <si>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</si>
  <si>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</si>
  <si>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</si>
  <si>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</si>
  <si>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</si>
  <si>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</si>
  <si>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</si>
  <si>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</si>
  <si>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</si>
  <si>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</si>
  <si>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</si>
  <si>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</si>
  <si>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</si>
  <si>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</si>
  <si>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</si>
  <si>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</si>
  <si>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</si>
  <si>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</si>
  <si>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</si>
  <si>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</si>
  <si>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</si>
  <si>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</si>
  <si>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</si>
  <si>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</si>
  <si>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</si>
  <si>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</si>
  <si>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</si>
  <si>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</si>
  <si>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</si>
  <si>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</si>
  <si>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</si>
  <si>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</si>
  <si>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</si>
  <si>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</si>
  <si>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</si>
  <si>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</si>
  <si>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</si>
  <si>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</si>
  <si>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</si>
  <si>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</si>
  <si>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</si>
  <si>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</si>
  <si>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</si>
  <si>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</si>
  <si>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</si>
  <si>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</si>
  <si>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</si>
  <si>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</si>
  <si>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</si>
  <si>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</si>
  <si>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</si>
  <si>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</si>
  <si>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</si>
  <si>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</si>
  <si>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</si>
  <si>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</si>
  <si>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</si>
  <si>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</si>
  <si>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</si>
  <si>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</si>
  <si>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</si>
  <si>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</si>
  <si>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</si>
  <si>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</si>
  <si>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</si>
  <si>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</si>
  <si>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</si>
  <si>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</si>
  <si>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</si>
  <si>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</si>
  <si>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</si>
  <si>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</si>
  <si>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</si>
  <si>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</si>
  <si>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</si>
  <si>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</si>
  <si>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</si>
  <si>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</si>
  <si>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</si>
  <si>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</si>
  <si>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</si>
  <si>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</si>
  <si>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</si>
  <si>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</si>
  <si>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</si>
  <si>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</si>
  <si>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</si>
  <si>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</si>
  <si>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</si>
  <si>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</si>
  <si>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</si>
  <si>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</si>
  <si>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</si>
  <si>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</si>
  <si>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</si>
  <si>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</si>
  <si>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</si>
  <si>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</si>
  <si>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</si>
  <si>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</si>
  <si>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</si>
  <si>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</si>
  <si>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</si>
  <si>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</si>
  <si>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</si>
  <si>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</si>
  <si>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</si>
  <si>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</si>
  <si>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</si>
  <si>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</si>
  <si>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</si>
  <si>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</si>
  <si>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</si>
  <si>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</si>
  <si>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</si>
  <si>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</si>
  <si>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</si>
  <si>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</si>
  <si>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</si>
  <si>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</si>
  <si>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VIAL</t>
  </si>
  <si>
    <t>STERILE WATER</t>
  </si>
  <si>
    <t>THERMOMETER</t>
  </si>
  <si>
    <t>PC</t>
  </si>
  <si>
    <t>IV CATH</t>
  </si>
  <si>
    <t>MACROSET</t>
  </si>
  <si>
    <t>CEFOXITIN</t>
  </si>
  <si>
    <t>1.00GRAM</t>
  </si>
  <si>
    <t>AMPICILLIN SODIUM</t>
  </si>
  <si>
    <t>500.00MG</t>
  </si>
  <si>
    <t>1.00MG</t>
  </si>
  <si>
    <t>AMP</t>
  </si>
  <si>
    <t>150.00MG</t>
  </si>
  <si>
    <t>50.00ML</t>
  </si>
  <si>
    <t>VITAMIN B COMPLEX</t>
  </si>
  <si>
    <t>TABLET</t>
  </si>
  <si>
    <t>DISPOSABLE NEEDLE</t>
  </si>
  <si>
    <t>SEPTICEMIA</t>
  </si>
  <si>
    <t>A41.8</t>
  </si>
  <si>
    <t>PNSS</t>
  </si>
  <si>
    <t>1LITER</t>
  </si>
  <si>
    <t>10.00MG</t>
  </si>
  <si>
    <t>SOL</t>
  </si>
  <si>
    <t>1000.00ML</t>
  </si>
  <si>
    <t>SYRINGE 3CC</t>
  </si>
  <si>
    <t>SYRINGE 5CC</t>
  </si>
  <si>
    <t>MEFENAMI ACID</t>
  </si>
  <si>
    <t>CAP</t>
  </si>
  <si>
    <t>KETOROLAC</t>
  </si>
  <si>
    <t>30.00MG</t>
  </si>
  <si>
    <t>LACTATED RINGER'S SOL</t>
  </si>
  <si>
    <t>SERRAPEPTASE</t>
  </si>
  <si>
    <t>CLINDAMYCIN</t>
  </si>
  <si>
    <t>PLASTER MICROPORE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</si>
</sst>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zoomScaleNormal="100" workbookViewId="0">
      <selection activeCell="B32" sqref="B32:F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6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topLeftCell="A8" workbookViewId="0">
      <selection activeCell="F21" sqref="F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SEPTICEMIA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179</v>
      </c>
      <c r="D11" s="27" t="s">
        <v>176</v>
      </c>
      <c r="E11" s="27" t="s">
        <v>175</v>
      </c>
      <c r="F11" s="55">
        <v>1</v>
      </c>
      <c r="G11" s="55">
        <f>'1.1 Case data_general'!E31</f>
        <v>6</v>
      </c>
      <c r="H11" s="55">
        <v>1</v>
      </c>
      <c r="I11" s="55">
        <v>62</v>
      </c>
      <c r="J11" s="55">
        <f>H11*I11</f>
        <v>62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165</v>
      </c>
      <c r="E12" s="27" t="s">
        <v>172</v>
      </c>
      <c r="F12" s="55">
        <v>2</v>
      </c>
      <c r="G12" s="55">
        <f>G11</f>
        <v>6</v>
      </c>
      <c r="H12" s="55">
        <v>5</v>
      </c>
      <c r="I12" s="55">
        <v>750</v>
      </c>
      <c r="J12" s="55">
        <f t="shared" ref="J12:J26" si="0">H12*I12</f>
        <v>3750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191</v>
      </c>
      <c r="D13" s="27" t="s">
        <v>192</v>
      </c>
      <c r="E13" s="27" t="s">
        <v>174</v>
      </c>
      <c r="F13" s="55">
        <v>8</v>
      </c>
      <c r="G13" s="55">
        <f t="shared" ref="G13:G16" si="1">G12</f>
        <v>6</v>
      </c>
      <c r="H13" s="55">
        <v>15</v>
      </c>
      <c r="I13" s="55">
        <v>3.2</v>
      </c>
      <c r="J13" s="55">
        <f t="shared" si="0"/>
        <v>48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193</v>
      </c>
      <c r="D14" s="27" t="s">
        <v>176</v>
      </c>
      <c r="E14" s="27" t="s">
        <v>194</v>
      </c>
      <c r="F14" s="55">
        <v>1</v>
      </c>
      <c r="G14" s="55">
        <f t="shared" si="1"/>
        <v>6</v>
      </c>
      <c r="H14" s="55">
        <v>1</v>
      </c>
      <c r="I14" s="55">
        <v>105</v>
      </c>
      <c r="J14" s="55">
        <f t="shared" si="0"/>
        <v>105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195</v>
      </c>
      <c r="D15" s="27" t="s">
        <v>187</v>
      </c>
      <c r="E15" s="27" t="s">
        <v>188</v>
      </c>
      <c r="F15" s="55">
        <v>1</v>
      </c>
      <c r="G15" s="55">
        <f t="shared" si="1"/>
        <v>6</v>
      </c>
      <c r="H15" s="55">
        <v>1</v>
      </c>
      <c r="I15" s="55">
        <v>71.3</v>
      </c>
      <c r="J15" s="55">
        <f t="shared" si="0"/>
        <v>71.3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173</v>
      </c>
      <c r="D16" s="27" t="s">
        <v>165</v>
      </c>
      <c r="E16" s="27" t="s">
        <v>174</v>
      </c>
      <c r="F16" s="55">
        <v>3</v>
      </c>
      <c r="G16" s="55">
        <f t="shared" si="1"/>
        <v>6</v>
      </c>
      <c r="H16" s="55">
        <v>9</v>
      </c>
      <c r="I16" s="55">
        <v>19.100000000000001</v>
      </c>
      <c r="J16" s="55">
        <f t="shared" si="0"/>
        <v>171.9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184</v>
      </c>
      <c r="D17" s="27" t="s">
        <v>164</v>
      </c>
      <c r="E17" s="27" t="s">
        <v>185</v>
      </c>
      <c r="F17" s="55">
        <v>2</v>
      </c>
      <c r="G17" s="55">
        <f>G16</f>
        <v>6</v>
      </c>
      <c r="H17" s="55">
        <v>4</v>
      </c>
      <c r="I17" s="55">
        <v>71.3</v>
      </c>
      <c r="J17" s="55">
        <f t="shared" si="0"/>
        <v>285.2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196</v>
      </c>
      <c r="D18" s="27" t="s">
        <v>180</v>
      </c>
      <c r="E18" s="27" t="s">
        <v>186</v>
      </c>
      <c r="F18" s="55">
        <v>3</v>
      </c>
      <c r="G18" s="55">
        <f t="shared" ref="G18:G20" si="2">G17</f>
        <v>6</v>
      </c>
      <c r="H18" s="55">
        <v>21</v>
      </c>
      <c r="I18" s="55">
        <v>68</v>
      </c>
      <c r="J18" s="55">
        <f t="shared" si="0"/>
        <v>1428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197</v>
      </c>
      <c r="D19" s="27" t="s">
        <v>176</v>
      </c>
      <c r="E19" s="27" t="s">
        <v>177</v>
      </c>
      <c r="F19" s="55">
        <v>7</v>
      </c>
      <c r="G19" s="55">
        <f t="shared" si="2"/>
        <v>6</v>
      </c>
      <c r="H19" s="55">
        <v>14</v>
      </c>
      <c r="I19" s="55">
        <v>398</v>
      </c>
      <c r="J19" s="55">
        <f t="shared" si="0"/>
        <v>5572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166</v>
      </c>
      <c r="D20" s="27" t="s">
        <v>165</v>
      </c>
      <c r="E20" s="27" t="s">
        <v>178</v>
      </c>
      <c r="F20" s="55">
        <v>0.5</v>
      </c>
      <c r="G20" s="55">
        <f t="shared" si="2"/>
        <v>6</v>
      </c>
      <c r="H20" s="55">
        <v>2</v>
      </c>
      <c r="I20" s="55">
        <v>35</v>
      </c>
      <c r="J20" s="55">
        <f t="shared" si="0"/>
        <v>70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E20" sqref="E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168</v>
      </c>
      <c r="E17" s="55">
        <v>2</v>
      </c>
      <c r="F17" s="55">
        <v>3.4</v>
      </c>
      <c r="G17" s="55">
        <f t="shared" ref="G17:G26" si="0">E17*F17</f>
        <v>6.8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168</v>
      </c>
      <c r="E18" s="55">
        <v>2</v>
      </c>
      <c r="F18" s="55">
        <v>55</v>
      </c>
      <c r="G18" s="55">
        <f t="shared" si="0"/>
        <v>110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168</v>
      </c>
      <c r="E19" s="55">
        <v>2</v>
      </c>
      <c r="F19" s="55">
        <v>29</v>
      </c>
      <c r="G19" s="55">
        <f t="shared" si="0"/>
        <v>58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189</v>
      </c>
      <c r="D20" s="70" t="s">
        <v>168</v>
      </c>
      <c r="E20" s="55">
        <v>15</v>
      </c>
      <c r="F20" s="55">
        <v>5</v>
      </c>
      <c r="G20" s="55">
        <f t="shared" si="0"/>
        <v>75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190</v>
      </c>
      <c r="D21" s="70" t="s">
        <v>168</v>
      </c>
      <c r="E21" s="55">
        <v>15</v>
      </c>
      <c r="F21" s="55">
        <v>6</v>
      </c>
      <c r="G21" s="55">
        <f t="shared" si="0"/>
        <v>90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198</v>
      </c>
      <c r="D22" s="70" t="s">
        <v>168</v>
      </c>
      <c r="E22" s="55">
        <v>1</v>
      </c>
      <c r="F22" s="55">
        <v>54</v>
      </c>
      <c r="G22" s="55">
        <f t="shared" si="0"/>
        <v>54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/>
      <c r="G13" s="55">
        <f>D13</f>
        <v>30</v>
      </c>
      <c r="H13" s="55"/>
      <c r="I13" s="55"/>
      <c r="J13" s="55"/>
      <c r="K13" s="55"/>
      <c r="L13" s="55"/>
      <c r="M13" s="55"/>
      <c r="N13" s="55"/>
      <c r="P13" s="88">
        <f>SUM(D13:N13)</f>
        <v>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0</v>
      </c>
      <c r="G30" s="88">
        <f t="shared" si="1"/>
        <v>30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CF1</cp:lastModifiedBy>
  <dcterms:created xsi:type="dcterms:W3CDTF">2018-05-11T08:46:15Z</dcterms:created>
  <dcterms:modified xsi:type="dcterms:W3CDTF">2018-06-06T08:38:45Z</dcterms:modified>
</cp:coreProperties>
</file>