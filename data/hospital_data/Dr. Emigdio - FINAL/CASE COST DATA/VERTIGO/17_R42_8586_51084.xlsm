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6" i="2" l="1"/>
  <c r="G30" i="9"/>
  <c r="G29" i="9"/>
  <c r="G28" i="9"/>
  <c r="G27" i="9"/>
  <c r="G11" i="2"/>
  <c r="G13" i="10"/>
  <c r="G12" i="2"/>
  <c r="G13" i="2" s="1"/>
  <c r="G14" i="2" s="1"/>
  <c r="G15" i="2" s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<sst xmlns="http://schemas.openxmlformats.org/spreadsheetml/2006/main" count="486" uniqueCount="194">
  <si>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</si>
  <si>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</si>
  <si>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</si>
  <si>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</si>
  <si>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</si>
  <si>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</si>
  <si>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</si>
  <si>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</si>
  <si>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</si>
  <si>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</si>
  <si>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</si>
  <si>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</si>
  <si>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</si>
  <si>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</si>
  <si>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</si>
  <si>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</si>
  <si>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</si>
  <si>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</si>
  <si>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</si>
  <si>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</si>
  <si>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</si>
  <si>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</si>
  <si>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</si>
  <si>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</si>
  <si>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</si>
  <si>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</si>
  <si>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</si>
  <si>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</si>
  <si>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</si>
  <si>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</si>
  <si>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</si>
  <si>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</si>
  <si>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</si>
  <si>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</si>
  <si>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</si>
  <si>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</si>
  <si>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</si>
  <si>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</si>
  <si>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</si>
  <si>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</si>
  <si>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</si>
  <si>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</si>
  <si>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</si>
  <si>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</si>
  <si>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</si>
  <si>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</si>
  <si>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</si>
  <si>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</si>
  <si>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</si>
  <si>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</si>
  <si>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</si>
  <si>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</si>
  <si>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</si>
  <si>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</si>
  <si>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</si>
  <si>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</si>
  <si>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</si>
  <si>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</si>
  <si>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</si>
  <si>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</si>
  <si>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</si>
  <si>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</si>
  <si>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</si>
  <si>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</si>
  <si>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</si>
  <si>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</si>
  <si>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</si>
  <si>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</si>
  <si>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</si>
  <si>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</si>
  <si>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</si>
  <si>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</si>
  <si>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</si>
  <si>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</si>
  <si>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</si>
  <si>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</si>
  <si>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</si>
  <si>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</si>
  <si>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</si>
  <si>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</si>
  <si>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</si>
  <si>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</si>
  <si>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</si>
  <si>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</si>
  <si>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</si>
  <si>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</si>
  <si>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</si>
  <si>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</si>
  <si>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</si>
  <si>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</si>
  <si>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</si>
  <si>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</si>
  <si>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</si>
  <si>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</si>
  <si>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</si>
  <si>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</si>
  <si>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</si>
  <si>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</si>
  <si>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</si>
  <si>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</si>
  <si>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</si>
  <si>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</si>
  <si>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</si>
  <si>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</si>
  <si>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</si>
  <si>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</si>
  <si>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</si>
  <si>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</si>
  <si>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</si>
  <si>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</si>
  <si>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</si>
  <si>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</si>
  <si>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</si>
  <si>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</si>
  <si>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</si>
  <si>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</si>
  <si>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</si>
  <si>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</si>
  <si>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</si>
  <si>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</si>
  <si>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</si>
  <si>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</si>
  <si>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</si>
  <si>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</si>
  <si>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</si>
  <si>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</si>
  <si>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</si>
  <si>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</si>
  <si>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</si>
  <si>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</si>
  <si>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</si>
  <si>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</si>
  <si>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</si>
  <si>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</si>
  <si>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</si>
  <si>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</si>
  <si>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</si>
  <si>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</si>
  <si>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</si>
  <si>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</si>
  <si>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</si>
  <si>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</si>
  <si>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</si>
  <si>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</si>
  <si>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</si>
  <si>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</si>
  <si>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</si>
  <si>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</si>
  <si>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</si>
  <si>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</si>
  <si>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</si>
  <si>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</si>
  <si>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</si>
  <si>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</si>
  <si>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</si>
  <si>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</si>
  <si>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</si>
  <si>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</si>
  <si>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</si>
  <si>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</si>
  <si>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</si>
  <si>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</si>
  <si>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</si>
  <si>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</si>
  <si>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VIAL</t>
  </si>
  <si>
    <t>STERILE WATER</t>
  </si>
  <si>
    <t>THERMOMETER</t>
  </si>
  <si>
    <t>PC</t>
  </si>
  <si>
    <t>Syringe 3cc</t>
  </si>
  <si>
    <t>Syringe 5cc</t>
  </si>
  <si>
    <t>DISPOSABLE NEEDLE</t>
  </si>
  <si>
    <t>PLASTER MICROPORE</t>
  </si>
  <si>
    <t>IV CATH</t>
  </si>
  <si>
    <t>MACROSET</t>
  </si>
  <si>
    <t>AMP</t>
  </si>
  <si>
    <t>OMEPRAZOLE</t>
  </si>
  <si>
    <t>20.00MG</t>
  </si>
  <si>
    <t>1LITER</t>
  </si>
  <si>
    <t>CEFOXITIN</t>
  </si>
  <si>
    <t>1.00GRAM</t>
  </si>
  <si>
    <t>HYOSCINE</t>
  </si>
  <si>
    <t>METOCLOPRAMIDE</t>
  </si>
  <si>
    <t>10.00MG</t>
  </si>
  <si>
    <t>PLRS</t>
  </si>
  <si>
    <t>50.00ML</t>
  </si>
  <si>
    <t>ROLL</t>
  </si>
  <si>
    <t>40.00MG</t>
  </si>
  <si>
    <t>IVFLUID</t>
  </si>
  <si>
    <t>VERTIGO</t>
  </si>
  <si>
    <t>R42</t>
  </si>
  <si>
    <t>FECALYSIS</t>
  </si>
  <si>
    <t>URINALYSIS</t>
  </si>
  <si>
    <t>CBC</t>
  </si>
  <si>
    <t>RBS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</si>
</sst>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8" zoomScaleNormal="100" workbookViewId="0">
      <selection activeCell="B37" sqref="B37:F3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190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191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192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 t="s">
        <v>193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17" sqref="F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VERTIGO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164</v>
      </c>
      <c r="E11" s="27" t="s">
        <v>179</v>
      </c>
      <c r="F11" s="55">
        <v>2</v>
      </c>
      <c r="G11" s="55">
        <f>'1.1 Case data_general'!E31</f>
        <v>3</v>
      </c>
      <c r="H11" s="55">
        <v>3</v>
      </c>
      <c r="I11" s="55">
        <v>750</v>
      </c>
      <c r="J11" s="55">
        <f>H11*I11</f>
        <v>2250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164</v>
      </c>
      <c r="E12" s="27" t="s">
        <v>186</v>
      </c>
      <c r="F12" s="55">
        <v>2</v>
      </c>
      <c r="G12" s="55">
        <f>G11</f>
        <v>3</v>
      </c>
      <c r="H12" s="55">
        <v>4</v>
      </c>
      <c r="I12" s="55">
        <v>255</v>
      </c>
      <c r="J12" s="55">
        <f t="shared" ref="J12:J26" si="0">H12*I12</f>
        <v>1020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174</v>
      </c>
      <c r="E13" s="27" t="s">
        <v>176</v>
      </c>
      <c r="F13" s="55">
        <v>2</v>
      </c>
      <c r="G13" s="55">
        <f t="shared" ref="G13:G15" si="1">G12</f>
        <v>3</v>
      </c>
      <c r="H13" s="55">
        <v>1</v>
      </c>
      <c r="I13" s="55">
        <v>48</v>
      </c>
      <c r="J13" s="55">
        <f t="shared" si="0"/>
        <v>48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174</v>
      </c>
      <c r="E14" s="27" t="s">
        <v>182</v>
      </c>
      <c r="F14" s="55">
        <v>2</v>
      </c>
      <c r="G14" s="55">
        <f t="shared" si="1"/>
        <v>3</v>
      </c>
      <c r="H14" s="55">
        <v>4</v>
      </c>
      <c r="I14" s="55">
        <v>17</v>
      </c>
      <c r="J14" s="55">
        <f t="shared" si="0"/>
        <v>68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187</v>
      </c>
      <c r="E15" s="27" t="s">
        <v>177</v>
      </c>
      <c r="F15" s="55">
        <v>1</v>
      </c>
      <c r="G15" s="55">
        <f t="shared" si="1"/>
        <v>3</v>
      </c>
      <c r="H15" s="55">
        <v>4</v>
      </c>
      <c r="I15" s="55">
        <v>71.3</v>
      </c>
      <c r="J15" s="55">
        <f t="shared" si="0"/>
        <v>285.2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165</v>
      </c>
      <c r="D16" s="27" t="s">
        <v>164</v>
      </c>
      <c r="E16" s="27" t="s">
        <v>184</v>
      </c>
      <c r="F16" s="55">
        <v>1</v>
      </c>
      <c r="G16" s="55">
        <f t="shared" ref="G16" si="2">G15</f>
        <v>3</v>
      </c>
      <c r="H16" s="55">
        <v>1</v>
      </c>
      <c r="I16" s="55">
        <v>35</v>
      </c>
      <c r="J16" s="55">
        <f t="shared" si="0"/>
        <v>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13" workbookViewId="0">
      <selection activeCell="C23" sqref="C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VERTIGO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166</v>
      </c>
      <c r="D16" s="70" t="s">
        <v>167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167</v>
      </c>
      <c r="E17" s="55">
        <v>8</v>
      </c>
      <c r="F17" s="55">
        <v>5</v>
      </c>
      <c r="G17" s="55">
        <f t="shared" ref="G17:G3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167</v>
      </c>
      <c r="E18" s="55">
        <v>13</v>
      </c>
      <c r="F18" s="55">
        <v>6</v>
      </c>
      <c r="G18" s="55">
        <f t="shared" si="0"/>
        <v>78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172</v>
      </c>
      <c r="D19" s="70" t="s">
        <v>167</v>
      </c>
      <c r="E19" s="55">
        <v>1</v>
      </c>
      <c r="F19" s="55">
        <v>55</v>
      </c>
      <c r="G19" s="55">
        <f t="shared" si="0"/>
        <v>55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167</v>
      </c>
      <c r="E20" s="55">
        <v>1</v>
      </c>
      <c r="F20" s="55">
        <v>29</v>
      </c>
      <c r="G20" s="55">
        <f t="shared" si="0"/>
        <v>29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170</v>
      </c>
      <c r="D21" s="70" t="s">
        <v>167</v>
      </c>
      <c r="E21" s="55">
        <v>2</v>
      </c>
      <c r="F21" s="55">
        <v>3.4</v>
      </c>
      <c r="G21" s="55">
        <f t="shared" si="0"/>
        <v>6.8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171</v>
      </c>
      <c r="D22" s="70" t="s">
        <v>185</v>
      </c>
      <c r="E22" s="55">
        <v>1</v>
      </c>
      <c r="F22" s="55">
        <v>54</v>
      </c>
      <c r="G22" s="55">
        <f t="shared" si="0"/>
        <v>54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76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6" t="s">
        <v>29</v>
      </c>
      <c r="C42" s="137"/>
      <c r="D42" s="137"/>
      <c r="E42" s="137"/>
      <c r="F42" s="137"/>
      <c r="G42" s="138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algorithmName="SHA-512" hashValue="usi6Ug9mogCX8UDpnqV1N3PsmKgb4+QF0/I6zyNOqmE5+pVsRaHdo200IJd7FOFVSOxWpqZPgBYKFHW8wDvG8g==" saltValue="l4aBs6milLqH+kCmpZSOQg==" spinCount="100000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15" sqref="C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VERTIGO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f>D13</f>
        <v>15</v>
      </c>
      <c r="H13" s="55"/>
      <c r="I13" s="55"/>
      <c r="J13" s="55"/>
      <c r="K13" s="55"/>
      <c r="L13" s="55"/>
      <c r="M13" s="55"/>
      <c r="N13" s="55"/>
      <c r="P13" s="88">
        <f>SUM(D13:N13)</f>
        <v>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2018-06-08T05:57:52Z</dcterms:modified>
</cp:coreProperties>
</file>