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<sst xmlns="http://schemas.openxmlformats.org/spreadsheetml/2006/main" count="479" uniqueCount="186">
  <si>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</si>
  <si>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</si>
  <si>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</si>
  <si>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</si>
  <si>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</si>
  <si>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</si>
  <si>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</si>
  <si>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</si>
  <si>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</si>
  <si>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</si>
  <si>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</si>
  <si>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</si>
  <si>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</si>
  <si>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</si>
  <si>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</si>
  <si>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</si>
  <si>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</si>
  <si>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</si>
  <si>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</si>
  <si>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</si>
  <si>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</si>
  <si>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</si>
  <si>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</si>
  <si>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</si>
  <si>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</si>
  <si>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</si>
  <si>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</si>
  <si>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</si>
  <si>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</si>
  <si>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</si>
  <si>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</si>
  <si>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</si>
  <si>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</si>
  <si>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</si>
  <si>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</si>
  <si>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</si>
  <si>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</si>
  <si>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</si>
  <si>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</si>
  <si>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</si>
  <si>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</si>
  <si>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</si>
  <si>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</si>
  <si>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</si>
  <si>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</si>
  <si>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</si>
  <si>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</si>
  <si>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</si>
  <si>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</si>
  <si>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</si>
  <si>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</si>
  <si>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</si>
  <si>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</si>
  <si>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</si>
  <si>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</si>
  <si>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</si>
  <si>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</si>
  <si>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</si>
  <si>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</si>
  <si>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</si>
  <si>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</si>
  <si>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</si>
  <si>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</si>
  <si>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</si>
  <si>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</si>
  <si>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</si>
  <si>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</si>
  <si>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</si>
  <si>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</si>
  <si>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</si>
  <si>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</si>
  <si>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</si>
  <si>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</si>
  <si>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</si>
  <si>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</si>
  <si>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</si>
  <si>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</si>
  <si>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</si>
  <si>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</si>
  <si>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</si>
  <si>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</si>
  <si>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</si>
  <si>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</si>
  <si>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</si>
  <si>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</si>
  <si>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</si>
  <si>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</si>
  <si>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</si>
  <si>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</si>
  <si>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</si>
  <si>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</si>
  <si>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</si>
  <si>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</si>
  <si>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</si>
  <si>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</si>
  <si>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</si>
  <si>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</si>
  <si>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</si>
  <si>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</si>
  <si>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</si>
  <si>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</si>
  <si>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</si>
  <si>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</si>
  <si>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</si>
  <si>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</si>
  <si>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</si>
  <si>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</si>
  <si>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</si>
  <si>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</si>
  <si>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</si>
  <si>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</si>
  <si>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</si>
  <si>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</si>
  <si>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</si>
  <si>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</si>
  <si>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</si>
  <si>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</si>
  <si>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</si>
  <si>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</si>
  <si>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</si>
  <si>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</si>
  <si>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</si>
  <si>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</si>
  <si>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</si>
  <si>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</si>
  <si>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</si>
  <si>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</si>
  <si>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</si>
  <si>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</si>
  <si>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</si>
  <si>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</si>
  <si>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</si>
  <si>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</si>
  <si>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</si>
  <si>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</si>
  <si>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</si>
  <si>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</si>
  <si>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</si>
  <si>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</si>
  <si>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</si>
  <si>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</si>
  <si>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</si>
  <si>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</si>
  <si>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</si>
  <si>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</si>
  <si>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</si>
  <si>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</si>
  <si>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</si>
  <si>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</si>
  <si>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</si>
  <si>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</si>
  <si>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</si>
  <si>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</si>
  <si>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</si>
  <si>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</si>
  <si>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</si>
  <si>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</si>
  <si>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</si>
  <si>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</si>
  <si>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</si>
  <si>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</si>
  <si>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</si>
  <si>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</si>
  <si>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</si>
  <si>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</si>
  <si>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</si>
  <si>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</si>
  <si>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</si>
  <si>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</si>
  <si>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Syringe 3cc</t>
  </si>
  <si>
    <t>Syringe 5cc</t>
  </si>
  <si>
    <t>IV CATH</t>
  </si>
  <si>
    <t>MACROSET</t>
  </si>
  <si>
    <t>50.00ML</t>
  </si>
  <si>
    <t>CEFUROMXIME SODIUM</t>
  </si>
  <si>
    <t>750.00MG</t>
  </si>
  <si>
    <t>DISPOSABLE NEEDLE</t>
  </si>
  <si>
    <t>PLASTER MIRCROPORE</t>
  </si>
  <si>
    <t>UTI</t>
  </si>
  <si>
    <t>N39.0</t>
  </si>
  <si>
    <t>D5.03NACL</t>
  </si>
  <si>
    <t>500.00ML</t>
  </si>
  <si>
    <t>ID BRACELET</t>
  </si>
  <si>
    <t>DENGUE NS1</t>
  </si>
  <si>
    <t>CBC</t>
  </si>
  <si>
    <t>URINALYSIS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</si>
</sst>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8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183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184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168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185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4" sqref="F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165</v>
      </c>
      <c r="E11" s="27" t="s">
        <v>175</v>
      </c>
      <c r="F11" s="55">
        <v>0.5</v>
      </c>
      <c r="G11" s="55">
        <v>3</v>
      </c>
      <c r="H11" s="55">
        <v>2</v>
      </c>
      <c r="I11" s="55">
        <v>48</v>
      </c>
      <c r="J11" s="55">
        <f>H11*I11</f>
        <v>96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164</v>
      </c>
      <c r="E12" s="27" t="s">
        <v>181</v>
      </c>
      <c r="F12" s="55">
        <v>1</v>
      </c>
      <c r="G12" s="55">
        <v>3</v>
      </c>
      <c r="H12" s="55">
        <v>4</v>
      </c>
      <c r="I12" s="55">
        <v>71.3</v>
      </c>
      <c r="J12" s="55">
        <f t="shared" ref="J12:J26" si="0">H12*I12</f>
        <v>285.2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166</v>
      </c>
      <c r="D13" s="27" t="s">
        <v>165</v>
      </c>
      <c r="E13" s="27" t="s">
        <v>173</v>
      </c>
      <c r="F13" s="55">
        <v>1</v>
      </c>
      <c r="G13" s="55">
        <v>3</v>
      </c>
      <c r="H13" s="55">
        <v>1</v>
      </c>
      <c r="I13" s="55">
        <v>35</v>
      </c>
      <c r="J13" s="55">
        <f t="shared" si="0"/>
        <v>35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33" sqref="C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15</v>
      </c>
      <c r="F17" s="55">
        <v>5</v>
      </c>
      <c r="G17" s="55">
        <f t="shared" ref="G17:G26" si="0">E17*F17</f>
        <v>75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15</v>
      </c>
      <c r="F18" s="55">
        <v>6</v>
      </c>
      <c r="G18" s="55">
        <f t="shared" si="0"/>
        <v>90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168</v>
      </c>
      <c r="E19" s="55">
        <v>2</v>
      </c>
      <c r="F19" s="55">
        <v>3.4</v>
      </c>
      <c r="G19" s="55">
        <f t="shared" si="0"/>
        <v>6.8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168</v>
      </c>
      <c r="E20" s="55">
        <v>1</v>
      </c>
      <c r="F20" s="55">
        <v>55</v>
      </c>
      <c r="G20" s="55">
        <f t="shared" si="0"/>
        <v>55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172</v>
      </c>
      <c r="D21" s="70" t="s">
        <v>168</v>
      </c>
      <c r="E21" s="55">
        <v>1</v>
      </c>
      <c r="F21" s="55">
        <v>29</v>
      </c>
      <c r="G21" s="55">
        <f t="shared" si="0"/>
        <v>29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182</v>
      </c>
      <c r="D22" s="70" t="s">
        <v>168</v>
      </c>
      <c r="E22" s="55">
        <v>1</v>
      </c>
      <c r="F22" s="55">
        <v>5.71</v>
      </c>
      <c r="G22" s="55">
        <f t="shared" si="0"/>
        <v>5.71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168</v>
      </c>
      <c r="E23" s="55">
        <v>1</v>
      </c>
      <c r="F23" s="55">
        <v>54</v>
      </c>
      <c r="G23" s="55">
        <f t="shared" si="0"/>
        <v>54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6" sqref="D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f>D13</f>
        <v>30</v>
      </c>
      <c r="H13" s="55"/>
      <c r="I13" s="55"/>
      <c r="J13" s="55"/>
      <c r="K13" s="55"/>
      <c r="L13" s="55"/>
      <c r="M13" s="55"/>
      <c r="N13" s="55"/>
      <c r="P13" s="88">
        <f>SUM(D13:N13)</f>
        <v>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2018-06-08T05:38:28Z</dcterms:modified>
</cp:coreProperties>
</file>