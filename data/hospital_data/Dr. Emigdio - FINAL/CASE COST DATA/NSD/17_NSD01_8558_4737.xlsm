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36" i="9"/>
  <c r="G37" i="9"/>
  <c r="G28" i="9"/>
  <c r="G19" i="2"/>
  <c r="G18" i="2"/>
  <c r="G11" i="2"/>
  <c r="G12" i="2" l="1"/>
  <c r="G13" i="2" s="1"/>
  <c r="G14" i="2" s="1"/>
  <c r="G15" i="2" s="1"/>
  <c r="G16" i="2" s="1"/>
  <c r="G17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<sst xmlns="http://schemas.openxmlformats.org/spreadsheetml/2006/main" count="500" uniqueCount="200">
  <si>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</si>
  <si>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</si>
  <si>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</si>
  <si>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</si>
  <si>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</si>
  <si>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</si>
  <si>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</si>
  <si>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</si>
  <si>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</si>
  <si>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</si>
  <si>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</si>
  <si>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</si>
  <si>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</si>
  <si>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</si>
  <si>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</si>
  <si>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</si>
  <si>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</si>
  <si>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</si>
  <si>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</si>
  <si>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</si>
  <si>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</si>
  <si>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</si>
  <si>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</si>
  <si>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</si>
  <si>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</si>
  <si>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</si>
  <si>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</si>
  <si>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</si>
  <si>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</si>
  <si>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</si>
  <si>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</si>
  <si>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</si>
  <si>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</si>
  <si>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</si>
  <si>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</si>
  <si>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</si>
  <si>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</si>
  <si>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</si>
  <si>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</si>
  <si>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</si>
  <si>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</si>
  <si>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</si>
  <si>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</si>
  <si>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</si>
  <si>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</si>
  <si>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</si>
  <si>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</si>
  <si>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</si>
  <si>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</si>
  <si>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</si>
  <si>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</si>
  <si>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</si>
  <si>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</si>
  <si>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</si>
  <si>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</si>
  <si>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</si>
  <si>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</si>
  <si>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</si>
  <si>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</si>
  <si>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</si>
  <si>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</si>
  <si>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</si>
  <si>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</si>
  <si>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</si>
  <si>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</si>
  <si>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</si>
  <si>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</si>
  <si>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</si>
  <si>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</si>
  <si>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</si>
  <si>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</si>
  <si>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</si>
  <si>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</si>
  <si>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</si>
  <si>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</si>
  <si>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</si>
  <si>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</si>
  <si>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</si>
  <si>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</si>
  <si>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</si>
  <si>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</si>
  <si>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</si>
  <si>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</si>
  <si>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</si>
  <si>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</si>
  <si>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</si>
  <si>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</si>
  <si>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</si>
  <si>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</si>
  <si>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</si>
  <si>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</si>
  <si>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</si>
  <si>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</si>
  <si>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</si>
  <si>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</si>
  <si>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</si>
  <si>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</si>
  <si>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</si>
  <si>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</si>
  <si>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</si>
  <si>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</si>
  <si>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</si>
  <si>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</si>
  <si>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</si>
  <si>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</si>
  <si>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</si>
  <si>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</si>
  <si>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</si>
  <si>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</si>
  <si>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</si>
  <si>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</si>
  <si>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</si>
  <si>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</si>
  <si>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</si>
  <si>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</si>
  <si>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</si>
  <si>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</si>
  <si>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</si>
  <si>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</si>
  <si>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</si>
  <si>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</si>
  <si>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</si>
  <si>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</si>
  <si>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</si>
  <si>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</si>
  <si>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</si>
  <si>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</si>
  <si>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</si>
  <si>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</si>
  <si>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</si>
  <si>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</si>
  <si>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</si>
  <si>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</si>
  <si>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</si>
  <si>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</si>
  <si>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</si>
  <si>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</si>
  <si>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</si>
  <si>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</si>
  <si>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</si>
  <si>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</si>
  <si>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</si>
  <si>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</si>
  <si>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</si>
  <si>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</si>
  <si>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</si>
  <si>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</si>
  <si>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</si>
  <si>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</si>
  <si>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</si>
  <si>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</si>
  <si>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</si>
  <si>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</si>
  <si>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</si>
  <si>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</si>
  <si>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</si>
  <si>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</si>
  <si>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</si>
  <si>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</si>
  <si>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</si>
  <si>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</si>
  <si>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</si>
  <si>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</si>
  <si>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</si>
  <si>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</si>
  <si>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</si>
  <si>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PC</t>
  </si>
  <si>
    <t>IV CATH</t>
  </si>
  <si>
    <t>MACROSET</t>
  </si>
  <si>
    <t>AMPICILLIN SODIUM</t>
  </si>
  <si>
    <t>500.00MG</t>
  </si>
  <si>
    <t>DISPOSABLE NEEDLE</t>
  </si>
  <si>
    <t>SYRINGE 3CC</t>
  </si>
  <si>
    <t>SYRINGE 5CC</t>
  </si>
  <si>
    <t>FERROUS FUMARATE</t>
  </si>
  <si>
    <t>CAP</t>
  </si>
  <si>
    <t>200.00MG</t>
  </si>
  <si>
    <t>1LITER</t>
  </si>
  <si>
    <t>TABLET</t>
  </si>
  <si>
    <t>10.00MG</t>
  </si>
  <si>
    <t>S.GLOVES</t>
  </si>
  <si>
    <t>MEFENAMIC ACID</t>
  </si>
  <si>
    <t>AMP</t>
  </si>
  <si>
    <t>NSD</t>
  </si>
  <si>
    <t>NSD01</t>
  </si>
  <si>
    <t>HYOSCINE</t>
  </si>
  <si>
    <t>20.00MG</t>
  </si>
  <si>
    <t>METHYLERGOMTRINE</t>
  </si>
  <si>
    <t>OXYTOCIN</t>
  </si>
  <si>
    <t>10.00IU</t>
  </si>
  <si>
    <t>PHYTOMENADIONE</t>
  </si>
  <si>
    <t>D5LRS</t>
  </si>
  <si>
    <t>CEFALEXINE</t>
  </si>
  <si>
    <t>ICC/TBS</t>
  </si>
  <si>
    <t>ADULT - U.BAG</t>
  </si>
  <si>
    <t>CORD CLAMP</t>
  </si>
  <si>
    <t>K.Y. JELLY</t>
  </si>
  <si>
    <t>CBC</t>
  </si>
  <si>
    <t>BLOOD TYPING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</si>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</sst>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197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198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199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182</v>
      </c>
      <c r="E11" s="27" t="s">
        <v>186</v>
      </c>
      <c r="F11" s="55">
        <v>2</v>
      </c>
      <c r="G11" s="55">
        <f>'1.1 Case data_general'!E31</f>
        <v>2</v>
      </c>
      <c r="H11" s="55">
        <v>3</v>
      </c>
      <c r="I11" s="55">
        <v>48</v>
      </c>
      <c r="J11" s="55">
        <f>H11*I11</f>
        <v>144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175</v>
      </c>
      <c r="E12" s="27" t="s">
        <v>170</v>
      </c>
      <c r="F12" s="55">
        <v>3</v>
      </c>
      <c r="G12" s="55">
        <f>G11</f>
        <v>2</v>
      </c>
      <c r="H12" s="55">
        <v>6</v>
      </c>
      <c r="I12" s="55">
        <v>3.2</v>
      </c>
      <c r="J12" s="55">
        <f t="shared" ref="J12:J26" si="0">H12*I12</f>
        <v>19.200000000000003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178</v>
      </c>
      <c r="E13" s="27" t="s">
        <v>170</v>
      </c>
      <c r="F13" s="55">
        <v>3</v>
      </c>
      <c r="G13" s="55">
        <f t="shared" ref="G13:G19" si="1">G12</f>
        <v>2</v>
      </c>
      <c r="H13" s="55">
        <v>6</v>
      </c>
      <c r="I13" s="55">
        <v>3.8</v>
      </c>
      <c r="J13" s="55">
        <f t="shared" si="0"/>
        <v>22.799999999999997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175</v>
      </c>
      <c r="E14" s="27" t="s">
        <v>176</v>
      </c>
      <c r="F14" s="55">
        <v>1</v>
      </c>
      <c r="G14" s="55">
        <f t="shared" si="1"/>
        <v>2</v>
      </c>
      <c r="H14" s="55">
        <v>2</v>
      </c>
      <c r="I14" s="55">
        <v>2.2000000000000002</v>
      </c>
      <c r="J14" s="55">
        <f t="shared" si="0"/>
        <v>4.4000000000000004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182</v>
      </c>
      <c r="E15" s="27" t="s">
        <v>189</v>
      </c>
      <c r="F15" s="55">
        <v>1</v>
      </c>
      <c r="G15" s="55">
        <f t="shared" si="1"/>
        <v>2</v>
      </c>
      <c r="H15" s="55">
        <v>2</v>
      </c>
      <c r="I15" s="55">
        <v>34.9</v>
      </c>
      <c r="J15" s="55">
        <f t="shared" si="0"/>
        <v>69.8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182</v>
      </c>
      <c r="E16" s="27" t="s">
        <v>179</v>
      </c>
      <c r="F16" s="55">
        <v>1</v>
      </c>
      <c r="G16" s="55">
        <f t="shared" si="1"/>
        <v>2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164</v>
      </c>
      <c r="E17" s="27" t="s">
        <v>177</v>
      </c>
      <c r="F17" s="55">
        <v>1</v>
      </c>
      <c r="G17" s="55">
        <f t="shared" si="1"/>
        <v>2</v>
      </c>
      <c r="H17" s="55">
        <v>3</v>
      </c>
      <c r="I17" s="55">
        <v>71.3</v>
      </c>
      <c r="J17" s="55">
        <f t="shared" si="0"/>
        <v>213.89999999999998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169</v>
      </c>
      <c r="D18" s="27" t="s">
        <v>165</v>
      </c>
      <c r="E18" s="27" t="s">
        <v>170</v>
      </c>
      <c r="F18" s="55">
        <v>4</v>
      </c>
      <c r="G18" s="55">
        <f t="shared" si="1"/>
        <v>2</v>
      </c>
      <c r="H18" s="55">
        <v>8</v>
      </c>
      <c r="I18" s="55">
        <v>19.100000000000001</v>
      </c>
      <c r="J18" s="55">
        <f t="shared" si="0"/>
        <v>152.80000000000001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175</v>
      </c>
      <c r="E19" s="27" t="s">
        <v>170</v>
      </c>
      <c r="F19" s="55">
        <v>3</v>
      </c>
      <c r="G19" s="55">
        <f t="shared" si="1"/>
        <v>2</v>
      </c>
      <c r="H19" s="55">
        <v>6</v>
      </c>
      <c r="I19" s="55">
        <v>7</v>
      </c>
      <c r="J19" s="55">
        <f t="shared" si="0"/>
        <v>42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G32" sqref="G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6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193</v>
      </c>
      <c r="D28" s="70" t="s">
        <v>166</v>
      </c>
      <c r="E28" s="55">
        <v>3</v>
      </c>
      <c r="F28" s="55">
        <v>6</v>
      </c>
      <c r="G28" s="55">
        <f>E28*F28</f>
        <v>18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171</v>
      </c>
      <c r="D29" s="70" t="s">
        <v>166</v>
      </c>
      <c r="E29" s="55">
        <v>4</v>
      </c>
      <c r="F29" s="55">
        <v>3.4</v>
      </c>
      <c r="G29" s="55">
        <f t="shared" ref="G29:G37" si="1">E29*F29</f>
        <v>13.6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167</v>
      </c>
      <c r="D30" s="70" t="s">
        <v>166</v>
      </c>
      <c r="E30" s="55">
        <v>2</v>
      </c>
      <c r="F30" s="55">
        <v>55</v>
      </c>
      <c r="G30" s="55">
        <f t="shared" si="1"/>
        <v>110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172</v>
      </c>
      <c r="D31" s="70" t="s">
        <v>166</v>
      </c>
      <c r="E31" s="55">
        <v>7</v>
      </c>
      <c r="F31" s="55">
        <v>5</v>
      </c>
      <c r="G31" s="55">
        <f t="shared" si="1"/>
        <v>35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173</v>
      </c>
      <c r="D32" s="70" t="s">
        <v>166</v>
      </c>
      <c r="E32" s="55">
        <v>10</v>
      </c>
      <c r="F32" s="55">
        <v>6</v>
      </c>
      <c r="G32" s="55">
        <f t="shared" si="1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168</v>
      </c>
      <c r="D33" s="70" t="s">
        <v>166</v>
      </c>
      <c r="E33" s="55">
        <v>2</v>
      </c>
      <c r="F33" s="55">
        <v>29</v>
      </c>
      <c r="G33" s="55">
        <f t="shared" si="1"/>
        <v>58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180</v>
      </c>
      <c r="D34" s="70" t="s">
        <v>166</v>
      </c>
      <c r="E34" s="55">
        <v>7</v>
      </c>
      <c r="F34" s="55">
        <v>22</v>
      </c>
      <c r="G34" s="55">
        <f t="shared" si="1"/>
        <v>154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194</v>
      </c>
      <c r="D35" s="70" t="s">
        <v>166</v>
      </c>
      <c r="E35" s="55">
        <v>1</v>
      </c>
      <c r="F35" s="55">
        <v>22</v>
      </c>
      <c r="G35" s="55">
        <f t="shared" si="1"/>
        <v>22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195</v>
      </c>
      <c r="D36" s="70" t="s">
        <v>166</v>
      </c>
      <c r="E36" s="55">
        <v>1</v>
      </c>
      <c r="F36" s="55">
        <v>5.0999999999999996</v>
      </c>
      <c r="G36" s="55">
        <f t="shared" si="1"/>
        <v>5.0999999999999996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196</v>
      </c>
      <c r="D37" s="70" t="s">
        <v>166</v>
      </c>
      <c r="E37" s="55">
        <v>1</v>
      </c>
      <c r="F37" s="55">
        <v>10.199999999999999</v>
      </c>
      <c r="G37" s="55">
        <f t="shared" si="1"/>
        <v>10.199999999999999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5" sqref="D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2018-06-08T05:40:31Z</dcterms:modified>
</cp:coreProperties>
</file>