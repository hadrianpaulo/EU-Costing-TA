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NEW REPORT SAMPLE\MAY 2018\MAY 24,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Supplies_Medical'!$C$15:$C$52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16" i="2" l="1"/>
  <c r="G17" i="2" s="1"/>
  <c r="G18" i="2" s="1"/>
  <c r="G19" i="2" s="1"/>
  <c r="G20" i="2" s="1"/>
  <c r="G21" i="2" s="1"/>
  <c r="G22" i="2" s="1"/>
  <c r="G23" i="2" s="1"/>
  <c r="G24" i="2" s="1"/>
  <c r="G25" i="2" s="1"/>
  <c r="G30" i="9"/>
  <c r="G29" i="9"/>
  <c r="G28" i="9"/>
  <c r="G27" i="9"/>
  <c r="G11" i="2"/>
  <c r="G13" i="10"/>
  <c r="G12" i="2"/>
  <c r="G13" i="2" s="1"/>
  <c r="G14" i="2" s="1"/>
  <c r="G15" i="2" s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<sst xmlns="http://schemas.openxmlformats.org/spreadsheetml/2006/main" count="525" uniqueCount="217">
  <si>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</si>
  <si>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</si>
  <si>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</si>
  <si>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</si>
  <si>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</si>
  <si>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</si>
  <si>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</si>
  <si>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</si>
  <si>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</si>
  <si>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</si>
  <si>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</si>
  <si>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</si>
  <si>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</si>
  <si>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</si>
  <si>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</si>
  <si>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</si>
  <si>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</si>
  <si>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</si>
  <si>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</si>
  <si>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</si>
  <si>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</si>
  <si>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</si>
  <si>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</si>
  <si>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</si>
  <si>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</si>
  <si>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</si>
  <si>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</si>
  <si>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</si>
  <si>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</si>
  <si>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</si>
  <si>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</si>
  <si>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</si>
  <si>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</si>
  <si>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</si>
  <si>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</si>
  <si>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</si>
  <si>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</si>
  <si>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</si>
  <si>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</si>
  <si>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</si>
  <si>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</si>
  <si>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</si>
  <si>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</si>
  <si>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</si>
  <si>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</si>
  <si>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</si>
  <si>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</si>
  <si>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</si>
  <si>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</si>
  <si>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</si>
  <si>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</si>
  <si>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</si>
  <si>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</si>
  <si>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</si>
  <si>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</si>
  <si>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</si>
  <si>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</si>
  <si>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</si>
  <si>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</si>
  <si>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</si>
  <si>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</si>
  <si>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</si>
  <si>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</si>
  <si>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</si>
  <si>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</si>
  <si>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</si>
  <si>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</si>
  <si>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</si>
  <si>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</si>
  <si>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</si>
  <si>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</si>
  <si>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</si>
  <si>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</si>
  <si>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</si>
  <si>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</si>
  <si>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</si>
  <si>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</si>
  <si>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</si>
  <si>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</si>
  <si>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</si>
  <si>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</si>
  <si>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</si>
  <si>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</si>
  <si>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</si>
  <si>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</si>
  <si>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</si>
  <si>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</si>
  <si>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</si>
  <si>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</si>
  <si>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</si>
  <si>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</si>
  <si>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</si>
  <si>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</si>
  <si>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</si>
  <si>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</si>
  <si>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</si>
  <si>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</si>
  <si>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</si>
  <si>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</si>
  <si>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</si>
  <si>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</si>
  <si>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</si>
  <si>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</si>
  <si>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</si>
  <si>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</si>
  <si>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</si>
  <si>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</si>
  <si>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</si>
  <si>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</si>
  <si>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</si>
  <si>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</si>
  <si>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</si>
  <si>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</si>
  <si>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</si>
  <si>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</si>
  <si>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</si>
  <si>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</si>
  <si>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</si>
  <si>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</si>
  <si>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</si>
  <si>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</si>
  <si>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</si>
  <si>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</si>
  <si>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</si>
  <si>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</si>
  <si>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</si>
  <si>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</si>
  <si>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</si>
  <si>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</si>
  <si>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</si>
  <si>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</si>
  <si>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</si>
  <si>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</si>
  <si>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</si>
  <si>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</si>
  <si>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</si>
  <si>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</si>
  <si>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</si>
  <si>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</si>
  <si>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</si>
  <si>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</si>
  <si>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</si>
  <si>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</si>
  <si>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</si>
  <si>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</si>
  <si>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</si>
  <si>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</si>
  <si>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</si>
  <si>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</si>
  <si>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</si>
  <si>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</si>
  <si>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</si>
  <si>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</si>
  <si>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</si>
  <si>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</si>
  <si>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</si>
  <si>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</si>
  <si>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</si>
  <si>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</si>
  <si>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</si>
  <si>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</si>
  <si>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</si>
  <si>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</si>
  <si>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</si>
  <si>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TABLET</t>
  </si>
  <si>
    <t>VIAL</t>
  </si>
  <si>
    <t>PNSS</t>
  </si>
  <si>
    <t>METRONIDAZOLE</t>
  </si>
  <si>
    <t>THERMOMETER</t>
  </si>
  <si>
    <t>PC</t>
  </si>
  <si>
    <t>Syringe 3cc</t>
  </si>
  <si>
    <t>Syringe 5cc</t>
  </si>
  <si>
    <t>PLASTER MICROPORE</t>
  </si>
  <si>
    <t>IV CATH</t>
  </si>
  <si>
    <t>MACROSET</t>
  </si>
  <si>
    <t>AMP</t>
  </si>
  <si>
    <t>25.00MG</t>
  </si>
  <si>
    <t>500.00MG</t>
  </si>
  <si>
    <t>OMEPRAZOLE</t>
  </si>
  <si>
    <t>20.00MG</t>
  </si>
  <si>
    <t>1LITER</t>
  </si>
  <si>
    <t>SOLUSET</t>
  </si>
  <si>
    <t>1.00GRAM</t>
  </si>
  <si>
    <t>100.00MG</t>
  </si>
  <si>
    <t>METOCLOPRAMIDE</t>
  </si>
  <si>
    <t>10.00MG</t>
  </si>
  <si>
    <t>500.00ML</t>
  </si>
  <si>
    <t>TRANEXAMIC ACID</t>
  </si>
  <si>
    <t>50.00MG</t>
  </si>
  <si>
    <t>O2 CAN</t>
  </si>
  <si>
    <t>CEFUROXIME</t>
  </si>
  <si>
    <t>750.00MG</t>
  </si>
  <si>
    <t>250.00MG</t>
  </si>
  <si>
    <t>ROLL</t>
  </si>
  <si>
    <t>40.00MG</t>
  </si>
  <si>
    <t>IVFLUID</t>
  </si>
  <si>
    <t>S.GLOVES</t>
  </si>
  <si>
    <t>CVA</t>
  </si>
  <si>
    <t>I63.9</t>
  </si>
  <si>
    <t>BETAHISTINE</t>
  </si>
  <si>
    <t>16.00MG</t>
  </si>
  <si>
    <t>CEFTRIAXONE</t>
  </si>
  <si>
    <t>HYDRALAZINE</t>
  </si>
  <si>
    <t>CITICOLINE</t>
  </si>
  <si>
    <t>MANNITOL</t>
  </si>
  <si>
    <t>BOTTLE</t>
  </si>
  <si>
    <t>D5WATER</t>
  </si>
  <si>
    <t>CAPTOPRIL</t>
  </si>
  <si>
    <t>METOPROLOL</t>
  </si>
  <si>
    <t>CLONIDINE</t>
  </si>
  <si>
    <t>150.00MCG</t>
  </si>
  <si>
    <t>ASEPTO SYRINGE</t>
  </si>
  <si>
    <t>PENROSE</t>
  </si>
  <si>
    <t>ADULT U. BAG</t>
  </si>
  <si>
    <t>F.CATH 16</t>
  </si>
  <si>
    <t>NGT FR</t>
  </si>
  <si>
    <t>K.Y. JELLY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</si>
</sst>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31</xdr:row>
          <xdr:rowOff>28575</xdr:rowOff>
        </xdr:from>
        <xdr:to>
          <xdr:col>1</xdr:col>
          <xdr:colOff>762000</xdr:colOff>
          <xdr:row>31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31</xdr:row>
          <xdr:rowOff>28575</xdr:rowOff>
        </xdr:from>
        <xdr:to>
          <xdr:col>1</xdr:col>
          <xdr:colOff>1533525</xdr:colOff>
          <xdr:row>31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42</xdr:row>
          <xdr:rowOff>28575</xdr:rowOff>
        </xdr:from>
        <xdr:to>
          <xdr:col>1</xdr:col>
          <xdr:colOff>771525</xdr:colOff>
          <xdr:row>42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42</xdr:row>
          <xdr:rowOff>28575</xdr:rowOff>
        </xdr:from>
        <xdr:to>
          <xdr:col>1</xdr:col>
          <xdr:colOff>1543050</xdr:colOff>
          <xdr:row>42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zoomScaleNormal="100" workbookViewId="0">
      <selection activeCell="C23" sqref="C2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9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/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abSelected="1" topLeftCell="A8" workbookViewId="0">
      <selection activeCell="F26" sqref="F2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CVA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165</v>
      </c>
      <c r="E11" s="27" t="s">
        <v>194</v>
      </c>
      <c r="F11" s="55">
        <v>2</v>
      </c>
      <c r="G11" s="55">
        <f>'1.1 Case data_general'!E31</f>
        <v>9</v>
      </c>
      <c r="H11" s="55">
        <v>3</v>
      </c>
      <c r="I11" s="55">
        <v>255</v>
      </c>
      <c r="J11" s="55">
        <f>H11*I11</f>
        <v>765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190</v>
      </c>
      <c r="D12" s="27" t="s">
        <v>165</v>
      </c>
      <c r="E12" s="27" t="s">
        <v>191</v>
      </c>
      <c r="F12" s="55">
        <v>2</v>
      </c>
      <c r="G12" s="55">
        <f>G11</f>
        <v>9</v>
      </c>
      <c r="H12" s="55">
        <v>4</v>
      </c>
      <c r="I12" s="55">
        <v>48</v>
      </c>
      <c r="J12" s="55">
        <f t="shared" ref="J12:J26" si="0">H12*I12</f>
        <v>192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199</v>
      </c>
      <c r="D13" s="27" t="s">
        <v>164</v>
      </c>
      <c r="E13" s="27" t="s">
        <v>200</v>
      </c>
      <c r="F13" s="55">
        <v>1</v>
      </c>
      <c r="G13" s="55">
        <f t="shared" ref="G13:G25" si="1">G12</f>
        <v>9</v>
      </c>
      <c r="H13" s="55">
        <v>5</v>
      </c>
      <c r="I13" s="55">
        <v>16.25</v>
      </c>
      <c r="J13" s="55">
        <f t="shared" si="0"/>
        <v>81.25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184</v>
      </c>
      <c r="D14" s="27" t="s">
        <v>175</v>
      </c>
      <c r="E14" s="27" t="s">
        <v>185</v>
      </c>
      <c r="F14" s="55">
        <v>2</v>
      </c>
      <c r="G14" s="55">
        <f t="shared" si="1"/>
        <v>9</v>
      </c>
      <c r="H14" s="55">
        <v>4</v>
      </c>
      <c r="I14" s="55">
        <v>17</v>
      </c>
      <c r="J14" s="55">
        <f t="shared" si="0"/>
        <v>68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201</v>
      </c>
      <c r="D15" s="27" t="s">
        <v>165</v>
      </c>
      <c r="E15" s="27" t="s">
        <v>182</v>
      </c>
      <c r="F15" s="55">
        <v>2</v>
      </c>
      <c r="G15" s="55">
        <f t="shared" si="1"/>
        <v>9</v>
      </c>
      <c r="H15" s="55">
        <v>7</v>
      </c>
      <c r="I15" s="55">
        <v>55</v>
      </c>
      <c r="J15" s="55">
        <f t="shared" si="0"/>
        <v>385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202</v>
      </c>
      <c r="D16" s="27" t="s">
        <v>175</v>
      </c>
      <c r="E16" s="27" t="s">
        <v>179</v>
      </c>
      <c r="F16" s="55">
        <v>2</v>
      </c>
      <c r="G16" s="55">
        <f t="shared" si="1"/>
        <v>9</v>
      </c>
      <c r="H16" s="55">
        <v>6</v>
      </c>
      <c r="I16" s="55">
        <v>292</v>
      </c>
      <c r="J16" s="55">
        <f t="shared" si="0"/>
        <v>1752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166</v>
      </c>
      <c r="D17" s="27" t="s">
        <v>195</v>
      </c>
      <c r="E17" s="27" t="s">
        <v>180</v>
      </c>
      <c r="F17" s="55">
        <v>2</v>
      </c>
      <c r="G17" s="55">
        <f t="shared" si="1"/>
        <v>9</v>
      </c>
      <c r="H17" s="55">
        <v>5</v>
      </c>
      <c r="I17" s="55">
        <v>71.3</v>
      </c>
      <c r="J17" s="55">
        <f t="shared" si="0"/>
        <v>356.5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203</v>
      </c>
      <c r="D18" s="27" t="s">
        <v>175</v>
      </c>
      <c r="E18" s="27" t="s">
        <v>192</v>
      </c>
      <c r="F18" s="55">
        <v>2</v>
      </c>
      <c r="G18" s="55">
        <f t="shared" si="1"/>
        <v>9</v>
      </c>
      <c r="H18" s="55">
        <v>18</v>
      </c>
      <c r="I18" s="55">
        <v>238</v>
      </c>
      <c r="J18" s="55">
        <f t="shared" si="0"/>
        <v>4284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204</v>
      </c>
      <c r="D19" s="27" t="s">
        <v>205</v>
      </c>
      <c r="E19" s="27" t="s">
        <v>186</v>
      </c>
      <c r="F19" s="55">
        <v>2</v>
      </c>
      <c r="G19" s="55">
        <f t="shared" si="1"/>
        <v>9</v>
      </c>
      <c r="H19" s="55">
        <v>4</v>
      </c>
      <c r="I19" s="55">
        <v>235</v>
      </c>
      <c r="J19" s="55">
        <f t="shared" si="0"/>
        <v>940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206</v>
      </c>
      <c r="D20" s="27" t="s">
        <v>195</v>
      </c>
      <c r="E20" s="27" t="s">
        <v>186</v>
      </c>
      <c r="F20" s="55">
        <v>1</v>
      </c>
      <c r="G20" s="55">
        <f t="shared" si="1"/>
        <v>9</v>
      </c>
      <c r="H20" s="55">
        <v>1</v>
      </c>
      <c r="I20" s="55">
        <v>71.3</v>
      </c>
      <c r="J20" s="55">
        <f t="shared" si="0"/>
        <v>71.3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187</v>
      </c>
      <c r="D21" s="27" t="s">
        <v>175</v>
      </c>
      <c r="E21" s="27" t="s">
        <v>183</v>
      </c>
      <c r="F21" s="55">
        <v>2</v>
      </c>
      <c r="G21" s="55">
        <f t="shared" si="1"/>
        <v>9</v>
      </c>
      <c r="H21" s="55">
        <v>6</v>
      </c>
      <c r="I21" s="55">
        <v>74.8</v>
      </c>
      <c r="J21" s="55">
        <f t="shared" si="0"/>
        <v>448.79999999999995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207</v>
      </c>
      <c r="D22" s="27" t="s">
        <v>164</v>
      </c>
      <c r="E22" s="27" t="s">
        <v>176</v>
      </c>
      <c r="F22" s="55">
        <v>2</v>
      </c>
      <c r="G22" s="55">
        <f t="shared" si="1"/>
        <v>9</v>
      </c>
      <c r="H22" s="55">
        <v>3</v>
      </c>
      <c r="I22" s="55">
        <v>3</v>
      </c>
      <c r="J22" s="55">
        <f t="shared" si="0"/>
        <v>9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208</v>
      </c>
      <c r="D23" s="27" t="s">
        <v>164</v>
      </c>
      <c r="E23" s="27" t="s">
        <v>188</v>
      </c>
      <c r="F23" s="55">
        <v>2</v>
      </c>
      <c r="G23" s="55">
        <f t="shared" si="1"/>
        <v>9</v>
      </c>
      <c r="H23" s="55">
        <v>5</v>
      </c>
      <c r="I23" s="55">
        <v>4</v>
      </c>
      <c r="J23" s="55">
        <f t="shared" si="0"/>
        <v>20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167</v>
      </c>
      <c r="D24" s="27" t="s">
        <v>165</v>
      </c>
      <c r="E24" s="27" t="s">
        <v>177</v>
      </c>
      <c r="F24" s="55">
        <v>2</v>
      </c>
      <c r="G24" s="55">
        <f t="shared" si="1"/>
        <v>9</v>
      </c>
      <c r="H24" s="55">
        <v>5</v>
      </c>
      <c r="I24" s="55">
        <v>40</v>
      </c>
      <c r="J24" s="55">
        <f t="shared" si="0"/>
        <v>200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209</v>
      </c>
      <c r="D25" s="27" t="s">
        <v>164</v>
      </c>
      <c r="E25" s="27" t="s">
        <v>210</v>
      </c>
      <c r="F25" s="55">
        <v>0.5</v>
      </c>
      <c r="G25" s="55">
        <f t="shared" si="1"/>
        <v>9</v>
      </c>
      <c r="H25" s="55">
        <v>1</v>
      </c>
      <c r="I25" s="55">
        <v>71.5</v>
      </c>
      <c r="J25" s="55">
        <f t="shared" si="0"/>
        <v>71.5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6"/>
  <sheetViews>
    <sheetView workbookViewId="0">
      <selection activeCell="G32" sqref="G3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CVA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168</v>
      </c>
      <c r="D16" s="70" t="s">
        <v>169</v>
      </c>
      <c r="E16" s="55">
        <v>1</v>
      </c>
      <c r="F16" s="55">
        <v>73</v>
      </c>
      <c r="G16" s="55">
        <f>E16*F16</f>
        <v>73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170</v>
      </c>
      <c r="D17" s="70" t="s">
        <v>169</v>
      </c>
      <c r="E17" s="55">
        <v>28</v>
      </c>
      <c r="F17" s="55">
        <v>5</v>
      </c>
      <c r="G17" s="55">
        <f t="shared" ref="G17:G30" si="0">E17*F17</f>
        <v>140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171</v>
      </c>
      <c r="D18" s="70" t="s">
        <v>169</v>
      </c>
      <c r="E18" s="55">
        <v>35</v>
      </c>
      <c r="F18" s="55">
        <v>6</v>
      </c>
      <c r="G18" s="55">
        <f t="shared" si="0"/>
        <v>210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173</v>
      </c>
      <c r="D19" s="70" t="s">
        <v>169</v>
      </c>
      <c r="E19" s="55">
        <v>6</v>
      </c>
      <c r="F19" s="55">
        <v>55</v>
      </c>
      <c r="G19" s="55">
        <f t="shared" si="0"/>
        <v>330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174</v>
      </c>
      <c r="D20" s="70" t="s">
        <v>169</v>
      </c>
      <c r="E20" s="55">
        <v>4</v>
      </c>
      <c r="F20" s="55">
        <v>29</v>
      </c>
      <c r="G20" s="55">
        <f t="shared" si="0"/>
        <v>116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211</v>
      </c>
      <c r="D21" s="70" t="s">
        <v>169</v>
      </c>
      <c r="E21" s="55">
        <v>1</v>
      </c>
      <c r="F21" s="55">
        <v>60</v>
      </c>
      <c r="G21" s="55">
        <f t="shared" si="0"/>
        <v>60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172</v>
      </c>
      <c r="D22" s="70" t="s">
        <v>193</v>
      </c>
      <c r="E22" s="55">
        <v>3</v>
      </c>
      <c r="F22" s="55">
        <v>54</v>
      </c>
      <c r="G22" s="55">
        <f t="shared" si="0"/>
        <v>162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189</v>
      </c>
      <c r="D23" s="70" t="s">
        <v>169</v>
      </c>
      <c r="E23" s="55">
        <v>1</v>
      </c>
      <c r="F23" s="55">
        <v>39</v>
      </c>
      <c r="G23" s="55">
        <f t="shared" si="0"/>
        <v>39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212</v>
      </c>
      <c r="D24" s="70" t="s">
        <v>169</v>
      </c>
      <c r="E24" s="55">
        <v>5</v>
      </c>
      <c r="F24" s="55">
        <v>70</v>
      </c>
      <c r="G24" s="55">
        <f t="shared" si="0"/>
        <v>350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196</v>
      </c>
      <c r="D25" s="70" t="s">
        <v>169</v>
      </c>
      <c r="E25" s="55">
        <v>2</v>
      </c>
      <c r="F25" s="55">
        <v>22</v>
      </c>
      <c r="G25" s="55">
        <f t="shared" si="0"/>
        <v>44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213</v>
      </c>
      <c r="D26" s="70" t="s">
        <v>169</v>
      </c>
      <c r="E26" s="55">
        <v>1</v>
      </c>
      <c r="F26" s="55">
        <v>22</v>
      </c>
      <c r="G26" s="55">
        <f t="shared" si="0"/>
        <v>22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181</v>
      </c>
      <c r="D27" s="70" t="s">
        <v>169</v>
      </c>
      <c r="E27" s="55">
        <v>1</v>
      </c>
      <c r="F27" s="55">
        <v>180</v>
      </c>
      <c r="G27" s="55">
        <f t="shared" si="0"/>
        <v>180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214</v>
      </c>
      <c r="D28" s="70" t="s">
        <v>169</v>
      </c>
      <c r="E28" s="55">
        <v>2</v>
      </c>
      <c r="F28" s="55">
        <v>33</v>
      </c>
      <c r="G28" s="55">
        <f t="shared" si="0"/>
        <v>66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215</v>
      </c>
      <c r="D29" s="70" t="s">
        <v>169</v>
      </c>
      <c r="E29" s="55">
        <v>1</v>
      </c>
      <c r="F29" s="55">
        <v>1</v>
      </c>
      <c r="G29" s="55">
        <f t="shared" si="0"/>
        <v>1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216</v>
      </c>
      <c r="D30" s="70" t="s">
        <v>169</v>
      </c>
      <c r="E30" s="55">
        <v>2</v>
      </c>
      <c r="F30" s="55">
        <v>10.199999999999999</v>
      </c>
      <c r="G30" s="55">
        <f t="shared" si="0"/>
        <v>20.399999999999999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136" t="s">
        <v>76</v>
      </c>
      <c r="C31" s="137"/>
      <c r="D31" s="137"/>
      <c r="E31" s="137"/>
      <c r="F31" s="137"/>
      <c r="G31" s="138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2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3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4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5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6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7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8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9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10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136" t="s">
        <v>29</v>
      </c>
      <c r="C42" s="137"/>
      <c r="D42" s="137"/>
      <c r="E42" s="137"/>
      <c r="F42" s="137"/>
      <c r="G42" s="138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2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3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4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5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6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7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8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9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10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A53" s="44"/>
      <c r="B53" s="39"/>
      <c r="C53" s="44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</sheetData>
  <sheetProtection algorithmName="SHA-512" hashValue="usi6Ug9mogCX8UDpnqV1N3PsmKgb4+QF0/I6zyNOqmE5+pVsRaHdo200IJd7FOFVSOxWpqZPgBYKFHW8wDvG8g==" saltValue="l4aBs6milLqH+kCmpZSOQg==" spinCount="100000" sheet="1" objects="1" scenarios="1" formatColumns="0" formatRows="0" sort="0" autoFilter="0"/>
  <mergeCells count="9">
    <mergeCell ref="B7:G7"/>
    <mergeCell ref="B31:G31"/>
    <mergeCell ref="B42:G4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31</xdr:row>
                    <xdr:rowOff>28575</xdr:rowOff>
                  </from>
                  <to>
                    <xdr:col>1</xdr:col>
                    <xdr:colOff>762000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31</xdr:row>
                    <xdr:rowOff>28575</xdr:rowOff>
                  </from>
                  <to>
                    <xdr:col>1</xdr:col>
                    <xdr:colOff>1533525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42</xdr:row>
                    <xdr:rowOff>28575</xdr:rowOff>
                  </from>
                  <to>
                    <xdr:col>1</xdr:col>
                    <xdr:colOff>771525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42</xdr:row>
                    <xdr:rowOff>28575</xdr:rowOff>
                  </from>
                  <to>
                    <xdr:col>1</xdr:col>
                    <xdr:colOff>1543050</xdr:colOff>
                    <xdr:row>42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4" sqref="D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CVA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45</v>
      </c>
      <c r="E13" s="55"/>
      <c r="F13" s="55"/>
      <c r="G13" s="55">
        <f>D13</f>
        <v>45</v>
      </c>
      <c r="H13" s="55"/>
      <c r="I13" s="55"/>
      <c r="J13" s="55"/>
      <c r="K13" s="55"/>
      <c r="L13" s="55"/>
      <c r="M13" s="55"/>
      <c r="N13" s="55"/>
      <c r="P13" s="88">
        <f>SUM(D13:N13)</f>
        <v>90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45</v>
      </c>
      <c r="E30" s="88">
        <f t="shared" si="1"/>
        <v>0</v>
      </c>
      <c r="F30" s="88">
        <f t="shared" si="1"/>
        <v>0</v>
      </c>
      <c r="G30" s="88">
        <f t="shared" si="1"/>
        <v>45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90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CF1</cp:lastModifiedBy>
  <dcterms:created xsi:type="dcterms:W3CDTF">2018-05-11T08:46:15Z</dcterms:created>
  <dcterms:modified xsi:type="dcterms:W3CDTF">2018-06-06T09:03:01Z</dcterms:modified>
</cp:coreProperties>
</file>