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4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20" i="2" l="1"/>
  <c r="G17" i="2"/>
  <c r="G18" i="2" s="1"/>
  <c r="G19" i="2" s="1"/>
  <c r="G16" i="2"/>
  <c r="G13" i="10"/>
  <c r="G11" i="2"/>
  <c r="G12" i="2" s="1"/>
  <c r="G13" i="2" s="1"/>
  <c r="G14" i="2" s="1"/>
  <c r="G15" i="2" s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<sst xmlns="http://schemas.openxmlformats.org/spreadsheetml/2006/main" count="498" uniqueCount="199">
  <si>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</si>
  <si>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</si>
  <si>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</si>
  <si>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</si>
  <si>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</si>
  <si>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</si>
  <si>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</si>
  <si>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</si>
  <si>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</si>
  <si>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</si>
  <si>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</si>
  <si>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</si>
  <si>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</si>
  <si>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</si>
  <si>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</si>
  <si>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</si>
  <si>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</si>
  <si>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</si>
  <si>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</si>
  <si>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</si>
  <si>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</si>
  <si>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</si>
  <si>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</si>
  <si>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</si>
  <si>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</si>
  <si>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</si>
  <si>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</si>
  <si>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</si>
  <si>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</si>
  <si>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</si>
  <si>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</si>
  <si>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</si>
  <si>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</si>
  <si>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</si>
  <si>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</si>
  <si>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</si>
  <si>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</si>
  <si>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</si>
  <si>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</si>
  <si>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</si>
  <si>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</si>
  <si>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</si>
  <si>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</si>
  <si>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</si>
  <si>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</si>
  <si>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</si>
  <si>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</si>
  <si>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</si>
  <si>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</si>
  <si>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</si>
  <si>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</si>
  <si>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</si>
  <si>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</si>
  <si>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</si>
  <si>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</si>
  <si>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</si>
  <si>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</si>
  <si>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</si>
  <si>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</si>
  <si>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</si>
  <si>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</si>
  <si>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</si>
  <si>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</si>
  <si>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</si>
  <si>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</si>
  <si>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</si>
  <si>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</si>
  <si>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</si>
  <si>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</si>
  <si>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</si>
  <si>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</si>
  <si>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</si>
  <si>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</si>
  <si>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</si>
  <si>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</si>
  <si>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</si>
  <si>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</si>
  <si>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</si>
  <si>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</si>
  <si>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</si>
  <si>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</si>
  <si>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</si>
  <si>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</si>
  <si>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</si>
  <si>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</si>
  <si>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</si>
  <si>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</si>
  <si>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</si>
  <si>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</si>
  <si>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</si>
  <si>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</si>
  <si>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</si>
  <si>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</si>
  <si>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</si>
  <si>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</si>
  <si>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</si>
  <si>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</si>
  <si>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</si>
  <si>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</si>
  <si>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</si>
  <si>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</si>
  <si>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</si>
  <si>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</si>
  <si>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</si>
  <si>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</si>
  <si>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</si>
  <si>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</si>
  <si>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</si>
  <si>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</si>
  <si>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</si>
  <si>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</si>
  <si>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</si>
  <si>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</si>
  <si>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</si>
  <si>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</si>
  <si>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</si>
  <si>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</si>
  <si>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</si>
  <si>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</si>
  <si>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</si>
  <si>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</si>
  <si>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</si>
  <si>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</si>
  <si>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</si>
  <si>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</si>
  <si>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</si>
  <si>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</si>
  <si>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</si>
  <si>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</si>
  <si>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</si>
  <si>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</si>
  <si>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</si>
  <si>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</si>
  <si>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</si>
  <si>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</si>
  <si>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</si>
  <si>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</si>
  <si>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</si>
  <si>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</si>
  <si>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</si>
  <si>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</si>
  <si>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</si>
  <si>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</si>
  <si>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</si>
  <si>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</si>
  <si>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</si>
  <si>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</si>
  <si>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</si>
  <si>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</si>
  <si>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</si>
  <si>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</si>
  <si>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</si>
  <si>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</si>
  <si>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</si>
  <si>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</si>
  <si>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</si>
  <si>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</si>
  <si>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</si>
  <si>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</si>
  <si>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</si>
  <si>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</si>
  <si>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</si>
  <si>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</si>
  <si>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</si>
  <si>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</si>
  <si>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TABLET</t>
  </si>
  <si>
    <t>VIAL</t>
  </si>
  <si>
    <t>PNSS</t>
  </si>
  <si>
    <t>STERILE WATER</t>
  </si>
  <si>
    <t>THERMOMETER</t>
  </si>
  <si>
    <t>PC</t>
  </si>
  <si>
    <t>Syringe 3cc</t>
  </si>
  <si>
    <t>Syringe 5cc</t>
  </si>
  <si>
    <t>DISPOSABLE NEEDLE</t>
  </si>
  <si>
    <t>IV CATH</t>
  </si>
  <si>
    <t>MACROSET</t>
  </si>
  <si>
    <t>AMP</t>
  </si>
  <si>
    <t>CAP</t>
  </si>
  <si>
    <t>500.00MG</t>
  </si>
  <si>
    <t>1LITER</t>
  </si>
  <si>
    <t>CEFOXITIN</t>
  </si>
  <si>
    <t>1.00GRAM</t>
  </si>
  <si>
    <t>100.00MG</t>
  </si>
  <si>
    <t>AMPICILLIN</t>
  </si>
  <si>
    <t>50.00ML</t>
  </si>
  <si>
    <t>INSULIN SYRINGE</t>
  </si>
  <si>
    <t>CAP III</t>
  </si>
  <si>
    <t>J18.92</t>
  </si>
  <si>
    <t>AMBROXOL</t>
  </si>
  <si>
    <t>30.00MG</t>
  </si>
  <si>
    <t>TRANEXAMIC ACID</t>
  </si>
  <si>
    <t>TRAMADOL</t>
  </si>
  <si>
    <t>50.00MG</t>
  </si>
  <si>
    <t>DOXOFYLINE</t>
  </si>
  <si>
    <t>400.00MG</t>
  </si>
  <si>
    <t>IPRATROTIUM</t>
  </si>
  <si>
    <t>NEB</t>
  </si>
  <si>
    <t>O2 CAN</t>
  </si>
  <si>
    <t>NEB 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</si>
</sst>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8" zoomScaleNormal="100" workbookViewId="0">
      <selection activeCell="B43" sqref="B43:F4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3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F20" sqref="F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166</v>
      </c>
      <c r="E11" s="27" t="s">
        <v>181</v>
      </c>
      <c r="F11" s="55"/>
      <c r="G11" s="55">
        <f>'1.1 Case data_general'!E31</f>
        <v>3</v>
      </c>
      <c r="H11" s="55">
        <v>4</v>
      </c>
      <c r="I11" s="55">
        <v>750</v>
      </c>
      <c r="J11" s="55">
        <f>H11*I11</f>
        <v>3000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188</v>
      </c>
      <c r="D12" s="27" t="s">
        <v>165</v>
      </c>
      <c r="E12" s="27" t="s">
        <v>189</v>
      </c>
      <c r="F12" s="55"/>
      <c r="G12" s="55">
        <f>G11</f>
        <v>3</v>
      </c>
      <c r="H12" s="55">
        <v>10</v>
      </c>
      <c r="I12" s="55">
        <v>1</v>
      </c>
      <c r="J12" s="55">
        <f t="shared" ref="J12:J26" si="0">H12*I12</f>
        <v>10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 t="s">
        <v>177</v>
      </c>
      <c r="E13" s="27" t="s">
        <v>178</v>
      </c>
      <c r="F13" s="55"/>
      <c r="G13" s="55">
        <f t="shared" ref="G13:G20" si="1">G12</f>
        <v>3</v>
      </c>
      <c r="H13" s="55">
        <v>10</v>
      </c>
      <c r="I13" s="55">
        <v>13.5</v>
      </c>
      <c r="J13" s="55">
        <f t="shared" si="0"/>
        <v>135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176</v>
      </c>
      <c r="E14" s="27" t="s">
        <v>192</v>
      </c>
      <c r="F14" s="55"/>
      <c r="G14" s="55">
        <f t="shared" si="1"/>
        <v>3</v>
      </c>
      <c r="H14" s="55">
        <v>5</v>
      </c>
      <c r="I14" s="55">
        <v>56</v>
      </c>
      <c r="J14" s="55">
        <f t="shared" si="0"/>
        <v>280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167</v>
      </c>
      <c r="D15" s="27" t="s">
        <v>164</v>
      </c>
      <c r="E15" s="27" t="s">
        <v>179</v>
      </c>
      <c r="F15" s="55"/>
      <c r="G15" s="55">
        <f t="shared" si="1"/>
        <v>3</v>
      </c>
      <c r="H15" s="55">
        <v>5</v>
      </c>
      <c r="I15" s="55">
        <v>71.3</v>
      </c>
      <c r="J15" s="55">
        <f t="shared" si="0"/>
        <v>356.5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183</v>
      </c>
      <c r="D16" s="27" t="s">
        <v>166</v>
      </c>
      <c r="E16" s="27" t="s">
        <v>178</v>
      </c>
      <c r="F16" s="55"/>
      <c r="G16" s="55">
        <f t="shared" si="1"/>
        <v>3</v>
      </c>
      <c r="H16" s="55">
        <v>6</v>
      </c>
      <c r="I16" s="55">
        <v>19.100000000000001</v>
      </c>
      <c r="J16" s="55">
        <f t="shared" si="0"/>
        <v>114.60000000000001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190</v>
      </c>
      <c r="D17" s="27" t="s">
        <v>176</v>
      </c>
      <c r="E17" s="27" t="s">
        <v>182</v>
      </c>
      <c r="F17" s="55"/>
      <c r="G17" s="55">
        <f t="shared" si="1"/>
        <v>3</v>
      </c>
      <c r="H17" s="55">
        <v>5</v>
      </c>
      <c r="I17" s="55">
        <v>74.8</v>
      </c>
      <c r="J17" s="55">
        <f t="shared" si="0"/>
        <v>374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193</v>
      </c>
      <c r="D18" s="27" t="s">
        <v>165</v>
      </c>
      <c r="E18" s="27" t="s">
        <v>194</v>
      </c>
      <c r="F18" s="55"/>
      <c r="G18" s="55">
        <f t="shared" si="1"/>
        <v>3</v>
      </c>
      <c r="H18" s="55">
        <v>5</v>
      </c>
      <c r="I18" s="55">
        <v>53</v>
      </c>
      <c r="J18" s="55">
        <f t="shared" si="0"/>
        <v>265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168</v>
      </c>
      <c r="D19" s="27" t="s">
        <v>166</v>
      </c>
      <c r="E19" s="27" t="s">
        <v>184</v>
      </c>
      <c r="F19" s="55"/>
      <c r="G19" s="55">
        <f t="shared" si="1"/>
        <v>3</v>
      </c>
      <c r="H19" s="55">
        <v>1</v>
      </c>
      <c r="I19" s="55">
        <v>35</v>
      </c>
      <c r="J19" s="55">
        <f t="shared" si="0"/>
        <v>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195</v>
      </c>
      <c r="D20" s="27" t="s">
        <v>196</v>
      </c>
      <c r="E20" s="27" t="s">
        <v>178</v>
      </c>
      <c r="F20" s="55"/>
      <c r="G20" s="55">
        <f t="shared" si="1"/>
        <v>3</v>
      </c>
      <c r="H20" s="55">
        <v>10</v>
      </c>
      <c r="I20" s="55">
        <v>31</v>
      </c>
      <c r="J20" s="55">
        <f t="shared" si="0"/>
        <v>310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171</v>
      </c>
      <c r="D17" s="70" t="s">
        <v>170</v>
      </c>
      <c r="E17" s="55">
        <v>11</v>
      </c>
      <c r="F17" s="55">
        <v>5</v>
      </c>
      <c r="G17" s="55">
        <f t="shared" ref="G17:G26" si="0">E17*F17</f>
        <v>55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172</v>
      </c>
      <c r="D18" s="70" t="s">
        <v>170</v>
      </c>
      <c r="E18" s="55">
        <v>11</v>
      </c>
      <c r="F18" s="55">
        <v>6</v>
      </c>
      <c r="G18" s="55">
        <f t="shared" si="0"/>
        <v>66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185</v>
      </c>
      <c r="D19" s="70" t="s">
        <v>170</v>
      </c>
      <c r="E19" s="55">
        <v>2</v>
      </c>
      <c r="F19" s="55">
        <v>3</v>
      </c>
      <c r="G19" s="55">
        <f t="shared" si="0"/>
        <v>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198</v>
      </c>
      <c r="D20" s="70" t="s">
        <v>170</v>
      </c>
      <c r="E20" s="55">
        <v>1</v>
      </c>
      <c r="F20" s="55">
        <v>64</v>
      </c>
      <c r="G20" s="55">
        <f t="shared" si="0"/>
        <v>64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174</v>
      </c>
      <c r="D21" s="70" t="s">
        <v>170</v>
      </c>
      <c r="E21" s="55">
        <v>2</v>
      </c>
      <c r="F21" s="55">
        <v>55</v>
      </c>
      <c r="G21" s="55">
        <f t="shared" si="0"/>
        <v>110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175</v>
      </c>
      <c r="D22" s="70" t="s">
        <v>170</v>
      </c>
      <c r="E22" s="55">
        <v>1</v>
      </c>
      <c r="F22" s="55">
        <v>29</v>
      </c>
      <c r="G22" s="55">
        <f t="shared" si="0"/>
        <v>29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173</v>
      </c>
      <c r="D23" s="70" t="s">
        <v>170</v>
      </c>
      <c r="E23" s="55">
        <v>3</v>
      </c>
      <c r="F23" s="55">
        <v>3.4</v>
      </c>
      <c r="G23" s="55">
        <f t="shared" si="0"/>
        <v>10.199999999999999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197</v>
      </c>
      <c r="D24" s="70" t="s">
        <v>170</v>
      </c>
      <c r="E24" s="55">
        <v>1</v>
      </c>
      <c r="F24" s="55">
        <v>39</v>
      </c>
      <c r="G24" s="55">
        <f t="shared" si="0"/>
        <v>39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f>D13</f>
        <v>15</v>
      </c>
      <c r="H13" s="55"/>
      <c r="I13" s="55"/>
      <c r="J13" s="55"/>
      <c r="K13" s="55"/>
      <c r="L13" s="55"/>
      <c r="M13" s="55"/>
      <c r="N13" s="55"/>
      <c r="P13" s="88">
        <f>SUM(D13:N13)</f>
        <v>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15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2018-06-05T06:43:25Z</dcterms:modified>
</cp:coreProperties>
</file>