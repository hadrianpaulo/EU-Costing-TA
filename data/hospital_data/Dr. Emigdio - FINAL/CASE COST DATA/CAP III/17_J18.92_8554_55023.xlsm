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Supplies_Medical'!$C$15:$C$49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Drugs&amp;Med'!$B$2:$J$33</definedName>
  </definedNames>
  <calcPr calcId="144525"/>
</workbook>
</file>

<file path=xl/calcChain.xml><?xml version="1.0" encoding="utf-8"?>
<calcChain xmlns="http://schemas.openxmlformats.org/spreadsheetml/2006/main">
  <c r="G27" i="9" l="1"/>
  <c r="J32" i="2"/>
  <c r="J31" i="2"/>
  <c r="J30" i="2"/>
  <c r="J29" i="2"/>
  <c r="J28" i="2"/>
  <c r="J27" i="2"/>
  <c r="G11" i="2" l="1"/>
  <c r="G12" i="2" s="1"/>
  <c r="G13" i="2" s="1"/>
  <c r="G14" i="2" s="1"/>
  <c r="G15" i="2" s="1"/>
  <c r="G16" i="2" s="1"/>
  <c r="G17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<sst xmlns="http://schemas.openxmlformats.org/spreadsheetml/2006/main" count="491" uniqueCount="196">
  <si>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</si>
  <si>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</si>
  <si>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</si>
  <si>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</si>
  <si>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</si>
  <si>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</si>
  <si>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</si>
  <si>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</si>
  <si>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</si>
  <si>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</si>
  <si>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</si>
  <si>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</si>
  <si>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</si>
  <si>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</si>
  <si>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</si>
  <si>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</si>
  <si>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</si>
  <si>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</si>
  <si>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</si>
  <si>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</si>
  <si>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</si>
  <si>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</si>
  <si>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</si>
  <si>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</si>
  <si>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</si>
  <si>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</si>
  <si>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</si>
  <si>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</si>
  <si>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</si>
  <si>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</si>
  <si>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</si>
  <si>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</si>
  <si>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</si>
  <si>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</si>
  <si>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</si>
  <si>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</si>
  <si>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</si>
  <si>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</si>
  <si>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</si>
  <si>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</si>
  <si>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</si>
  <si>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</si>
  <si>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</si>
  <si>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</si>
  <si>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</si>
  <si>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</si>
  <si>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</si>
  <si>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</si>
  <si>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</si>
  <si>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</si>
  <si>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</si>
  <si>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</si>
  <si>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</si>
  <si>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</si>
  <si>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</si>
  <si>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</si>
  <si>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</si>
  <si>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</si>
  <si>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</si>
  <si>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</si>
  <si>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</si>
  <si>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</si>
  <si>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</si>
  <si>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</si>
  <si>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</si>
  <si>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</si>
  <si>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</si>
  <si>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</si>
  <si>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</si>
  <si>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</si>
  <si>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</si>
  <si>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</si>
  <si>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</si>
  <si>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</si>
  <si>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</si>
  <si>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</si>
  <si>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</si>
  <si>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</si>
  <si>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</si>
  <si>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</si>
  <si>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</si>
  <si>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</si>
  <si>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</si>
  <si>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</si>
  <si>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</si>
  <si>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</si>
  <si>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</si>
  <si>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</si>
  <si>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</si>
  <si>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</si>
  <si>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</si>
  <si>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</si>
  <si>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</si>
  <si>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</si>
  <si>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</si>
  <si>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</si>
  <si>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</si>
  <si>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</si>
  <si>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</si>
  <si>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</si>
  <si>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</si>
  <si>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</si>
  <si>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</si>
  <si>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</si>
  <si>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</si>
  <si>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</si>
  <si>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</si>
  <si>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</si>
  <si>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</si>
  <si>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</si>
  <si>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</si>
  <si>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</si>
  <si>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</si>
  <si>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</si>
  <si>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</si>
  <si>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</si>
  <si>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</si>
  <si>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</si>
  <si>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</si>
  <si>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</si>
  <si>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</si>
  <si>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</si>
  <si>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</si>
  <si>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</si>
  <si>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</si>
  <si>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</si>
  <si>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</si>
  <si>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</si>
  <si>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</si>
  <si>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</si>
  <si>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</si>
  <si>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</si>
  <si>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</si>
  <si>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</si>
  <si>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</si>
  <si>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</si>
  <si>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</si>
  <si>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</si>
  <si>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</si>
  <si>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</si>
  <si>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</si>
  <si>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</si>
  <si>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</si>
  <si>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</si>
  <si>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</si>
  <si>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</si>
  <si>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</si>
  <si>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</si>
  <si>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</si>
  <si>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</si>
  <si>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</si>
  <si>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</si>
  <si>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</si>
  <si>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</si>
  <si>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</si>
  <si>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</si>
  <si>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</si>
  <si>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</si>
  <si>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</si>
  <si>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</si>
  <si>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</si>
  <si>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</si>
  <si>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</si>
  <si>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</si>
  <si>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</si>
  <si>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</si>
  <si>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</si>
  <si>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</si>
  <si>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</si>
  <si>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</si>
  <si>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1.00GRAM</t>
  </si>
  <si>
    <t>AMP</t>
  </si>
  <si>
    <t>150.00MG</t>
  </si>
  <si>
    <t>50.00ML</t>
  </si>
  <si>
    <t>DISPOSABLE NEEDLE</t>
  </si>
  <si>
    <t>SYRINGE 3CC</t>
  </si>
  <si>
    <t>SYRINGE 5CC</t>
  </si>
  <si>
    <t>PLASTER MICROPORE</t>
  </si>
  <si>
    <t>SYRUP</t>
  </si>
  <si>
    <t>50.00MG</t>
  </si>
  <si>
    <t>PARACETAMOL</t>
  </si>
  <si>
    <t>MEFENAMIC ACID</t>
  </si>
  <si>
    <t>CAP III</t>
  </si>
  <si>
    <t>J18.92</t>
  </si>
  <si>
    <t>1 LITER</t>
  </si>
  <si>
    <t>CEFTRIAXONE SODIUM</t>
  </si>
  <si>
    <t>CEFUROXIME SODIUM</t>
  </si>
  <si>
    <t>750.00MG</t>
  </si>
  <si>
    <t>D5LRS</t>
  </si>
  <si>
    <t>MULTIVITAMINS + IRON</t>
  </si>
  <si>
    <t>60.00ML</t>
  </si>
  <si>
    <t>MICROSET</t>
  </si>
  <si>
    <t>SOLUSET</t>
  </si>
  <si>
    <t>URINALYSIS</t>
  </si>
  <si>
    <t>DENGUE NS1</t>
  </si>
  <si>
    <t>CBC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</si>
</sst>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28575</xdr:rowOff>
        </xdr:from>
        <xdr:to>
          <xdr:col>1</xdr:col>
          <xdr:colOff>762000</xdr:colOff>
          <xdr:row>28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28</xdr:row>
          <xdr:rowOff>28575</xdr:rowOff>
        </xdr:from>
        <xdr:to>
          <xdr:col>1</xdr:col>
          <xdr:colOff>1533525</xdr:colOff>
          <xdr:row>28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28575</xdr:rowOff>
        </xdr:from>
        <xdr:to>
          <xdr:col>1</xdr:col>
          <xdr:colOff>771525</xdr:colOff>
          <xdr:row>39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39</xdr:row>
          <xdr:rowOff>28575</xdr:rowOff>
        </xdr:from>
        <xdr:to>
          <xdr:col>1</xdr:col>
          <xdr:colOff>1543050</xdr:colOff>
          <xdr:row>39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2" zoomScaleNormal="100" workbookViewId="0">
      <selection activeCell="B37" sqref="B37:F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193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194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195</v>
      </c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168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3"/>
  <sheetViews>
    <sheetView topLeftCell="A5" workbookViewId="0">
      <selection activeCell="F18" sqref="F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22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178</v>
      </c>
      <c r="E11" s="27" t="s">
        <v>179</v>
      </c>
      <c r="F11" s="55">
        <v>3</v>
      </c>
      <c r="G11" s="55">
        <f>'1.1 Case data_general'!E31</f>
        <v>3</v>
      </c>
      <c r="H11" s="55">
        <v>1</v>
      </c>
      <c r="I11" s="55">
        <v>23</v>
      </c>
      <c r="J11" s="55">
        <f>H11*I11</f>
        <v>23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165</v>
      </c>
      <c r="E12" s="27" t="s">
        <v>170</v>
      </c>
      <c r="F12" s="55">
        <v>2</v>
      </c>
      <c r="G12" s="55">
        <f>G11</f>
        <v>3</v>
      </c>
      <c r="H12" s="55">
        <v>2</v>
      </c>
      <c r="I12" s="55">
        <v>55</v>
      </c>
      <c r="J12" s="55">
        <f t="shared" ref="J12:J32" si="0">H12*I12</f>
        <v>110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165</v>
      </c>
      <c r="E13" s="27" t="s">
        <v>187</v>
      </c>
      <c r="F13" s="55">
        <v>3</v>
      </c>
      <c r="G13" s="55">
        <f t="shared" ref="G13:G16" si="1">G12</f>
        <v>3</v>
      </c>
      <c r="H13" s="55">
        <v>3</v>
      </c>
      <c r="I13" s="55">
        <v>48</v>
      </c>
      <c r="J13" s="55">
        <f t="shared" si="0"/>
        <v>144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188</v>
      </c>
      <c r="D14" s="27" t="s">
        <v>164</v>
      </c>
      <c r="E14" s="27" t="s">
        <v>184</v>
      </c>
      <c r="F14" s="55">
        <v>2</v>
      </c>
      <c r="G14" s="55">
        <f t="shared" si="1"/>
        <v>3</v>
      </c>
      <c r="H14" s="55">
        <v>5</v>
      </c>
      <c r="I14" s="55">
        <v>71.3</v>
      </c>
      <c r="J14" s="55">
        <f t="shared" si="0"/>
        <v>356.5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178</v>
      </c>
      <c r="E15" s="27" t="s">
        <v>190</v>
      </c>
      <c r="F15" s="55">
        <v>2</v>
      </c>
      <c r="G15" s="55">
        <f t="shared" si="1"/>
        <v>3</v>
      </c>
      <c r="H15" s="55">
        <v>1</v>
      </c>
      <c r="I15" s="55">
        <v>26</v>
      </c>
      <c r="J15" s="55">
        <f t="shared" si="0"/>
        <v>26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166</v>
      </c>
      <c r="D16" s="27" t="s">
        <v>165</v>
      </c>
      <c r="E16" s="27" t="s">
        <v>173</v>
      </c>
      <c r="F16" s="55">
        <v>1</v>
      </c>
      <c r="G16" s="55">
        <f t="shared" si="1"/>
        <v>3</v>
      </c>
      <c r="H16" s="55">
        <v>2</v>
      </c>
      <c r="I16" s="55">
        <v>35</v>
      </c>
      <c r="J16" s="55">
        <f t="shared" si="0"/>
        <v>70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2:20" ht="12.75" customHeight="1" x14ac:dyDescent="0.3">
      <c r="B17" s="42">
        <v>7</v>
      </c>
      <c r="C17" s="27" t="s">
        <v>180</v>
      </c>
      <c r="D17" s="27" t="s">
        <v>171</v>
      </c>
      <c r="E17" s="27" t="s">
        <v>172</v>
      </c>
      <c r="F17" s="55">
        <v>1</v>
      </c>
      <c r="G17" s="55">
        <f>G16</f>
        <v>3</v>
      </c>
      <c r="H17" s="55">
        <v>3</v>
      </c>
      <c r="I17" s="55">
        <v>28.6</v>
      </c>
      <c r="J17" s="55">
        <f t="shared" si="0"/>
        <v>85.800000000000011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2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2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2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2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2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2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2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2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2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2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0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2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>
        <f t="shared" si="0"/>
        <v>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2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 t="shared" si="0"/>
        <v>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2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 t="shared" si="0"/>
        <v>0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2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>
        <f t="shared" si="0"/>
        <v>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2:20" ht="12.75" customHeight="1" x14ac:dyDescent="0.3">
      <c r="B32" s="42">
        <v>22</v>
      </c>
      <c r="C32" s="27"/>
      <c r="D32" s="27"/>
      <c r="E32" s="27"/>
      <c r="F32" s="55"/>
      <c r="G32" s="55"/>
      <c r="H32" s="55"/>
      <c r="I32" s="55"/>
      <c r="J32" s="55">
        <f t="shared" si="0"/>
        <v>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</row>
    <row r="33" spans="1:19" ht="12.75" customHeight="1" x14ac:dyDescent="0.25">
      <c r="A33" s="33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</row>
    <row r="34" spans="1:19" ht="15.75" customHeight="1" x14ac:dyDescent="0.25"/>
    <row r="35" spans="1:19" ht="15.75" customHeight="1" x14ac:dyDescent="0.25"/>
    <row r="36" spans="1:19" ht="15.75" customHeight="1" x14ac:dyDescent="0.25"/>
    <row r="37" spans="1:19" ht="15.75" customHeight="1" x14ac:dyDescent="0.25"/>
    <row r="38" spans="1:19" ht="15.75" customHeight="1" x14ac:dyDescent="0.25"/>
    <row r="39" spans="1:19" ht="15.75" customHeight="1" x14ac:dyDescent="0.25"/>
    <row r="40" spans="1:19" ht="15.75" customHeight="1" x14ac:dyDescent="0.25"/>
    <row r="41" spans="1:19" ht="15.75" customHeight="1" x14ac:dyDescent="0.25"/>
    <row r="42" spans="1:19" ht="15.75" customHeight="1" x14ac:dyDescent="0.25"/>
    <row r="43" spans="1:19" ht="15.75" customHeight="1" x14ac:dyDescent="0.25"/>
    <row r="44" spans="1:19" ht="15.75" customHeight="1" x14ac:dyDescent="0.25"/>
    <row r="45" spans="1:19" ht="15.75" customHeight="1" x14ac:dyDescent="0.25"/>
    <row r="46" spans="1:19" ht="15.75" customHeight="1" x14ac:dyDescent="0.25"/>
    <row r="47" spans="1:19" ht="15.75" customHeight="1" x14ac:dyDescent="0.25"/>
    <row r="48" spans="1:19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</sheetData>
  <sheetProtection algorithmName="SHA-512" hashValue="eu9tFcBeVSSJWP+5uxlAdaDEOlY9njAulstbYFtc0Cz3GQwwOCt6+M6AwbstYmg8djSbg7J9D8wU4a2KYZMsvQ==" saltValue="Uz4i0E+L2YV721HsYDXwP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2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3"/>
  <sheetViews>
    <sheetView topLeftCell="A13" workbookViewId="0">
      <selection activeCell="B24" sqref="B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12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4</v>
      </c>
      <c r="F17" s="55">
        <v>55</v>
      </c>
      <c r="G17" s="55">
        <f t="shared" ref="G17:G27" si="0">E17*F17</f>
        <v>220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168</v>
      </c>
      <c r="E18" s="55">
        <v>1</v>
      </c>
      <c r="F18" s="55">
        <v>31</v>
      </c>
      <c r="G18" s="55">
        <f t="shared" si="0"/>
        <v>31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168</v>
      </c>
      <c r="E19" s="55">
        <v>16</v>
      </c>
      <c r="F19" s="55">
        <v>5</v>
      </c>
      <c r="G19" s="55">
        <f t="shared" si="0"/>
        <v>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168</v>
      </c>
      <c r="E20" s="55">
        <v>16</v>
      </c>
      <c r="F20" s="55">
        <v>6</v>
      </c>
      <c r="G20" s="55">
        <f t="shared" si="0"/>
        <v>96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177</v>
      </c>
      <c r="D21" s="70" t="s">
        <v>168</v>
      </c>
      <c r="E21" s="55">
        <v>2</v>
      </c>
      <c r="F21" s="55">
        <v>54</v>
      </c>
      <c r="G21" s="55">
        <f t="shared" si="0"/>
        <v>108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174</v>
      </c>
      <c r="D22" s="70" t="s">
        <v>168</v>
      </c>
      <c r="E22" s="55">
        <v>3</v>
      </c>
      <c r="F22" s="55">
        <v>3.4</v>
      </c>
      <c r="G22" s="55">
        <f t="shared" si="0"/>
        <v>10.199999999999999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192</v>
      </c>
      <c r="D23" s="70" t="s">
        <v>168</v>
      </c>
      <c r="E23" s="55">
        <v>1</v>
      </c>
      <c r="F23" s="55">
        <v>180</v>
      </c>
      <c r="G23" s="55">
        <f t="shared" si="0"/>
        <v>180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/>
      <c r="D27" s="70"/>
      <c r="E27" s="55"/>
      <c r="F27" s="55"/>
      <c r="G27" s="55">
        <f t="shared" si="0"/>
        <v>0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136" t="s">
        <v>76</v>
      </c>
      <c r="C28" s="137"/>
      <c r="D28" s="137"/>
      <c r="E28" s="137"/>
      <c r="F28" s="137"/>
      <c r="G28" s="138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2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3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4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5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6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7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8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9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10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136" t="s">
        <v>29</v>
      </c>
      <c r="C39" s="137"/>
      <c r="D39" s="137"/>
      <c r="E39" s="137"/>
      <c r="F39" s="137"/>
      <c r="G39" s="138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2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3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4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5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6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7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8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9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10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</sheetData>
  <sheetProtection algorithmName="SHA-512" hashValue="gmZ/pc5JrU2lMlufpHjiplKB5GgFuKcJUinfGUWLtyQ/AQOYkTkjRMwm0nZRVTVdU7fNXIk3dImc77k7SFygKg==" saltValue="HbeHxp9rkGHI8wO9ntAhkg==" spinCount="100000" sheet="1" objects="1" scenarios="1" formatColumns="0" formatRows="0" sort="0" autoFilter="0"/>
  <mergeCells count="9">
    <mergeCell ref="B7:G7"/>
    <mergeCell ref="B28:G28"/>
    <mergeCell ref="B39:G3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9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28</xdr:row>
                    <xdr:rowOff>28575</xdr:rowOff>
                  </from>
                  <to>
                    <xdr:col>1</xdr:col>
                    <xdr:colOff>762000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28</xdr:row>
                    <xdr:rowOff>28575</xdr:rowOff>
                  </from>
                  <to>
                    <xdr:col>1</xdr:col>
                    <xdr:colOff>1533525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39</xdr:row>
                    <xdr:rowOff>28575</xdr:rowOff>
                  </from>
                  <to>
                    <xdr:col>1</xdr:col>
                    <xdr:colOff>771525</xdr:colOff>
                    <xdr:row>39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39</xdr:row>
                    <xdr:rowOff>28575</xdr:rowOff>
                  </from>
                  <to>
                    <xdr:col>1</xdr:col>
                    <xdr:colOff>1543050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f>D13</f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2018-06-08T05:49:08Z</dcterms:modified>
</cp:coreProperties>
</file>