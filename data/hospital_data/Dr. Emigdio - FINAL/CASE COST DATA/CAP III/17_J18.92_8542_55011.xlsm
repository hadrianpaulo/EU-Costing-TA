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44525"/>
</workbook>
</file>

<file path=xl/calcChain.xml><?xml version="1.0" encoding="utf-8"?>
<calcChain xmlns="http://schemas.openxmlformats.org/spreadsheetml/2006/main">
  <c r="G27" i="9" l="1"/>
  <c r="J30" i="2"/>
  <c r="J29" i="2"/>
  <c r="J28" i="2"/>
  <c r="J27" i="2"/>
  <c r="G11" i="2" l="1"/>
  <c r="G12" i="2" s="1"/>
  <c r="G13" i="2" s="1"/>
  <c r="G14" i="2" s="1"/>
  <c r="G15" i="2" s="1"/>
  <c r="G16" i="2" s="1"/>
  <c r="G17" i="2" s="1"/>
  <c r="G18" i="2" s="1"/>
  <c r="G19" i="2" s="1"/>
  <c r="G20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<sst xmlns="http://schemas.openxmlformats.org/spreadsheetml/2006/main" count="499" uniqueCount="201">
  <si>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</si>
  <si>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</si>
  <si>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</si>
  <si>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</si>
  <si>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</si>
  <si>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</si>
  <si>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</si>
  <si>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</si>
  <si>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</si>
  <si>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</si>
  <si>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</si>
  <si>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</si>
  <si>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</si>
  <si>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</si>
  <si>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</si>
  <si>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</si>
  <si>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</si>
  <si>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</si>
  <si>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</si>
  <si>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</si>
  <si>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</si>
  <si>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</si>
  <si>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</si>
  <si>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</si>
  <si>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</si>
  <si>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</si>
  <si>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</si>
  <si>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</si>
  <si>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</si>
  <si>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</si>
  <si>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</si>
  <si>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</si>
  <si>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</si>
  <si>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</si>
  <si>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</si>
  <si>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</si>
  <si>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</si>
  <si>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</si>
  <si>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</si>
  <si>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</si>
  <si>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</si>
  <si>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</si>
  <si>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</si>
  <si>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</si>
  <si>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</si>
  <si>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</si>
  <si>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</si>
  <si>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</si>
  <si>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</si>
  <si>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</si>
  <si>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</si>
  <si>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</si>
  <si>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</si>
  <si>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</si>
  <si>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</si>
  <si>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</si>
  <si>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</si>
  <si>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</si>
  <si>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</si>
  <si>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</si>
  <si>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</si>
  <si>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</si>
  <si>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</si>
  <si>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</si>
  <si>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</si>
  <si>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</si>
  <si>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</si>
  <si>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</si>
  <si>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</si>
  <si>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</si>
  <si>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</si>
  <si>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</si>
  <si>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</si>
  <si>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</si>
  <si>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</si>
  <si>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</si>
  <si>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</si>
  <si>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</si>
  <si>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</si>
  <si>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</si>
  <si>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</si>
  <si>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</si>
  <si>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</si>
  <si>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</si>
  <si>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</si>
  <si>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</si>
  <si>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</si>
  <si>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</si>
  <si>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</si>
  <si>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</si>
  <si>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</si>
  <si>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</si>
  <si>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</si>
  <si>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</si>
  <si>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</si>
  <si>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</si>
  <si>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</si>
  <si>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</si>
  <si>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</si>
  <si>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</si>
  <si>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</si>
  <si>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</si>
  <si>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</si>
  <si>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</si>
  <si>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</si>
  <si>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</si>
  <si>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</si>
  <si>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</si>
  <si>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</si>
  <si>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</si>
  <si>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</si>
  <si>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</si>
  <si>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</si>
  <si>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</si>
  <si>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</si>
  <si>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</si>
  <si>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</si>
  <si>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</si>
  <si>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</si>
  <si>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</si>
  <si>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</si>
  <si>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</si>
  <si>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</si>
  <si>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</si>
  <si>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</si>
  <si>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</si>
  <si>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</si>
  <si>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</si>
  <si>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</si>
  <si>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</si>
  <si>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</si>
  <si>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</si>
  <si>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</si>
  <si>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</si>
  <si>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</si>
  <si>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</si>
  <si>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</si>
  <si>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</si>
  <si>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</si>
  <si>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</si>
  <si>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</si>
  <si>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</si>
  <si>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</si>
  <si>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</si>
  <si>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</si>
  <si>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</si>
  <si>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</si>
  <si>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</si>
  <si>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</si>
  <si>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</si>
  <si>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</si>
  <si>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</si>
  <si>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</si>
  <si>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</si>
  <si>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</si>
  <si>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</si>
  <si>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</si>
  <si>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</si>
  <si>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</si>
  <si>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</si>
  <si>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</si>
  <si>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</si>
  <si>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</si>
  <si>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</si>
  <si>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</si>
  <si>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</si>
  <si>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</si>
  <si>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</si>
  <si>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</si>
  <si>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</si>
  <si>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500.00MG</t>
  </si>
  <si>
    <t>1.00MG</t>
  </si>
  <si>
    <t>AMP</t>
  </si>
  <si>
    <t>150.00MG</t>
  </si>
  <si>
    <t>50.00ML</t>
  </si>
  <si>
    <t>DISPOSABLE NEEDLE</t>
  </si>
  <si>
    <t>PNSS</t>
  </si>
  <si>
    <t>10.00MG</t>
  </si>
  <si>
    <t>SYRINGE 3CC</t>
  </si>
  <si>
    <t>SYRINGE 5CC</t>
  </si>
  <si>
    <t>PLASTER MICROPORE</t>
  </si>
  <si>
    <t>IPRATROPIUM BROMIDE</t>
  </si>
  <si>
    <t>NEB</t>
  </si>
  <si>
    <t>40.00MG</t>
  </si>
  <si>
    <t>500.00ML</t>
  </si>
  <si>
    <t>PARACETAMOL</t>
  </si>
  <si>
    <t>BUDESONIDE</t>
  </si>
  <si>
    <t>FUROSEMIDE</t>
  </si>
  <si>
    <t>CAP III</t>
  </si>
  <si>
    <t>J18.92</t>
  </si>
  <si>
    <t>250.00MCG</t>
  </si>
  <si>
    <t>AMPICILLIN + SULBACTACAM</t>
  </si>
  <si>
    <t>D5IMB</t>
  </si>
  <si>
    <t>SALBUTAMOL SULFATE</t>
  </si>
  <si>
    <t>1 LITER</t>
  </si>
  <si>
    <t>GENTAMICIN SULFATE</t>
  </si>
  <si>
    <t>25MG</t>
  </si>
  <si>
    <t>SOLUSET</t>
  </si>
  <si>
    <t>NEB KIT</t>
  </si>
  <si>
    <t>CBC</t>
  </si>
  <si>
    <t>DENGUE NS1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</si>
</sst>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8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199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168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200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2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172</v>
      </c>
      <c r="E11" s="27" t="s">
        <v>177</v>
      </c>
      <c r="F11" s="55">
        <v>0.5</v>
      </c>
      <c r="G11" s="55">
        <f>'1.1 Case data_general'!E31</f>
        <v>4</v>
      </c>
      <c r="H11" s="55">
        <v>1</v>
      </c>
      <c r="I11" s="55">
        <v>19</v>
      </c>
      <c r="J11" s="55">
        <f>H11*I11</f>
        <v>19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182</v>
      </c>
      <c r="E12" s="27" t="s">
        <v>190</v>
      </c>
      <c r="F12" s="55">
        <v>0.5</v>
      </c>
      <c r="G12" s="55">
        <f>G11</f>
        <v>4</v>
      </c>
      <c r="H12" s="55">
        <v>1</v>
      </c>
      <c r="I12" s="55">
        <v>75</v>
      </c>
      <c r="J12" s="55">
        <f t="shared" ref="J12:J30" si="0">H12*I12</f>
        <v>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165</v>
      </c>
      <c r="E13" s="27" t="s">
        <v>170</v>
      </c>
      <c r="F13" s="55">
        <v>2</v>
      </c>
      <c r="G13" s="55">
        <f t="shared" ref="G13:G16" si="1">G12</f>
        <v>4</v>
      </c>
      <c r="H13" s="55">
        <v>7</v>
      </c>
      <c r="I13" s="55">
        <v>239</v>
      </c>
      <c r="J13" s="55">
        <f t="shared" si="0"/>
        <v>1673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164</v>
      </c>
      <c r="E14" s="27" t="s">
        <v>184</v>
      </c>
      <c r="F14" s="55">
        <v>1</v>
      </c>
      <c r="G14" s="55">
        <f t="shared" si="1"/>
        <v>4</v>
      </c>
      <c r="H14" s="55">
        <v>5</v>
      </c>
      <c r="I14" s="55">
        <v>71.3</v>
      </c>
      <c r="J14" s="55">
        <f t="shared" si="0"/>
        <v>356.5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182</v>
      </c>
      <c r="E15" s="27" t="s">
        <v>171</v>
      </c>
      <c r="F15" s="55">
        <v>2</v>
      </c>
      <c r="G15" s="55">
        <f t="shared" si="1"/>
        <v>4</v>
      </c>
      <c r="H15" s="55">
        <v>11</v>
      </c>
      <c r="I15" s="55">
        <v>11.5</v>
      </c>
      <c r="J15" s="55">
        <f t="shared" si="0"/>
        <v>126.5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176</v>
      </c>
      <c r="D16" s="27" t="s">
        <v>164</v>
      </c>
      <c r="E16" s="27" t="s">
        <v>194</v>
      </c>
      <c r="F16" s="55">
        <v>1</v>
      </c>
      <c r="G16" s="55">
        <f t="shared" si="1"/>
        <v>4</v>
      </c>
      <c r="H16" s="55">
        <v>1</v>
      </c>
      <c r="I16" s="55">
        <v>45.5</v>
      </c>
      <c r="J16" s="55">
        <f t="shared" si="0"/>
        <v>45.5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172</v>
      </c>
      <c r="E17" s="27" t="s">
        <v>183</v>
      </c>
      <c r="F17" s="55">
        <v>2</v>
      </c>
      <c r="G17" s="55">
        <f>G16</f>
        <v>4</v>
      </c>
      <c r="H17" s="55">
        <v>8</v>
      </c>
      <c r="I17" s="55">
        <v>21</v>
      </c>
      <c r="J17" s="55">
        <f t="shared" si="0"/>
        <v>168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185</v>
      </c>
      <c r="D18" s="27" t="s">
        <v>172</v>
      </c>
      <c r="E18" s="27" t="s">
        <v>173</v>
      </c>
      <c r="F18" s="55">
        <v>1</v>
      </c>
      <c r="G18" s="55">
        <f>G17</f>
        <v>4</v>
      </c>
      <c r="H18" s="55">
        <v>2</v>
      </c>
      <c r="I18" s="55">
        <v>28.6</v>
      </c>
      <c r="J18" s="55">
        <f t="shared" si="0"/>
        <v>57.2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166</v>
      </c>
      <c r="D19" s="27" t="s">
        <v>165</v>
      </c>
      <c r="E19" s="27" t="s">
        <v>174</v>
      </c>
      <c r="F19" s="55">
        <v>1</v>
      </c>
      <c r="G19" s="55">
        <f t="shared" ref="G19:G20" si="2">G18</f>
        <v>4</v>
      </c>
      <c r="H19" s="55">
        <v>3</v>
      </c>
      <c r="I19" s="55">
        <v>35</v>
      </c>
      <c r="J19" s="55">
        <f t="shared" si="0"/>
        <v>105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181</v>
      </c>
      <c r="D20" s="27" t="s">
        <v>182</v>
      </c>
      <c r="E20" s="27" t="s">
        <v>196</v>
      </c>
      <c r="F20" s="55">
        <v>1</v>
      </c>
      <c r="G20" s="55">
        <f t="shared" si="2"/>
        <v>4</v>
      </c>
      <c r="H20" s="55">
        <v>3</v>
      </c>
      <c r="I20" s="55">
        <v>31</v>
      </c>
      <c r="J20" s="55">
        <f t="shared" si="0"/>
        <v>93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0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4rWkTrNcTg/r4HlKRkI85snWTAccPFzwMpxnzswTOkTxjSE4zxAktCR4VfKIVsC8BVrFmigj6nKvxoLIBph1Wg==" saltValue="dn+5vMHSMyVFhfGXQ3phd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3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3</v>
      </c>
      <c r="F17" s="55">
        <v>55</v>
      </c>
      <c r="G17" s="55">
        <f t="shared" ref="G17:G27" si="0">E17*F17</f>
        <v>165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168</v>
      </c>
      <c r="E18" s="55">
        <v>1</v>
      </c>
      <c r="F18" s="55">
        <v>64</v>
      </c>
      <c r="G18" s="55">
        <f t="shared" si="0"/>
        <v>64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168</v>
      </c>
      <c r="E19" s="55">
        <v>15</v>
      </c>
      <c r="F19" s="55">
        <v>5</v>
      </c>
      <c r="G19" s="55">
        <f t="shared" si="0"/>
        <v>75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168</v>
      </c>
      <c r="E20" s="55">
        <v>15</v>
      </c>
      <c r="F20" s="55">
        <v>6</v>
      </c>
      <c r="G20" s="55">
        <f t="shared" si="0"/>
        <v>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168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175</v>
      </c>
      <c r="D22" s="70" t="s">
        <v>168</v>
      </c>
      <c r="E22" s="55">
        <v>2</v>
      </c>
      <c r="F22" s="55">
        <v>3.4</v>
      </c>
      <c r="G22" s="55">
        <f t="shared" si="0"/>
        <v>6.8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197</v>
      </c>
      <c r="D23" s="70" t="s">
        <v>168</v>
      </c>
      <c r="E23" s="55">
        <v>1</v>
      </c>
      <c r="F23" s="55">
        <v>180</v>
      </c>
      <c r="G23" s="55">
        <f t="shared" si="0"/>
        <v>180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76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29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gmZ/pc5JrU2lMlufpHjiplKB5GgFuKcJUinfGUWLtyQ/AQOYkTkjRMwm0nZRVTVdU7fNXIk3dImc77k7SFygKg==" saltValue="HbeHxp9rkGHI8wO9ntAhk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2018-06-08T05:50:16Z</dcterms:modified>
</cp:coreProperties>
</file>