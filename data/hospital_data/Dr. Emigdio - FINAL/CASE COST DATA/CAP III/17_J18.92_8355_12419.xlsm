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1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<sst xmlns="http://schemas.openxmlformats.org/spreadsheetml/2006/main" count="499" uniqueCount="201">
  <si>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</si>
  <si>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</si>
  <si>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</si>
  <si>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</si>
  <si>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</si>
  <si>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</si>
  <si>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</si>
  <si>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</si>
  <si>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</si>
  <si>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</si>
  <si>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</si>
  <si>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</si>
  <si>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</si>
  <si>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</si>
  <si>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</si>
  <si>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</si>
  <si>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</si>
  <si>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</si>
  <si>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</si>
  <si>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</si>
  <si>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</si>
  <si>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</si>
  <si>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</si>
  <si>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</si>
  <si>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</si>
  <si>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</si>
  <si>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</si>
  <si>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</si>
  <si>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</si>
  <si>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</si>
  <si>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</si>
  <si>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</si>
  <si>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</si>
  <si>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</si>
  <si>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</si>
  <si>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</si>
  <si>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</si>
  <si>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</si>
  <si>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</si>
  <si>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</si>
  <si>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</si>
  <si>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</si>
  <si>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</si>
  <si>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</si>
  <si>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</si>
  <si>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</si>
  <si>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</si>
  <si>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</si>
  <si>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</si>
  <si>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</si>
  <si>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</si>
  <si>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</si>
  <si>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</si>
  <si>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</si>
  <si>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</si>
  <si>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</si>
  <si>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</si>
  <si>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</si>
  <si>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</si>
  <si>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</si>
  <si>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</si>
  <si>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</si>
  <si>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</si>
  <si>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</si>
  <si>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</si>
  <si>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</si>
  <si>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</si>
  <si>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</si>
  <si>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</si>
  <si>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</si>
  <si>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</si>
  <si>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</si>
  <si>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</si>
  <si>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</si>
  <si>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</si>
  <si>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</si>
  <si>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</si>
  <si>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</si>
  <si>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</si>
  <si>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</si>
  <si>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</si>
  <si>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</si>
  <si>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</si>
  <si>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</si>
  <si>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</si>
  <si>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</si>
  <si>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</si>
  <si>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</si>
  <si>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</si>
  <si>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</si>
  <si>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</si>
  <si>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</si>
  <si>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</si>
  <si>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</si>
  <si>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</si>
  <si>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</si>
  <si>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</si>
  <si>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</si>
  <si>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</si>
  <si>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</si>
  <si>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</si>
  <si>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</si>
  <si>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</si>
  <si>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</si>
  <si>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</si>
  <si>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</si>
  <si>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</si>
  <si>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</si>
  <si>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</si>
  <si>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</si>
  <si>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</si>
  <si>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</si>
  <si>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</si>
  <si>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</si>
  <si>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</si>
  <si>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</si>
  <si>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</si>
  <si>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</si>
  <si>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</si>
  <si>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</si>
  <si>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</si>
  <si>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</si>
  <si>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</si>
  <si>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</si>
  <si>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</si>
  <si>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</si>
  <si>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</si>
  <si>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</si>
  <si>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</si>
  <si>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</si>
  <si>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</si>
  <si>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</si>
  <si>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</si>
  <si>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</si>
  <si>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</si>
  <si>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</si>
  <si>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</si>
  <si>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</si>
  <si>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</si>
  <si>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</si>
  <si>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</si>
  <si>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</si>
  <si>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</si>
  <si>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</si>
  <si>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</si>
  <si>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</si>
  <si>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</si>
  <si>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</si>
  <si>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</si>
  <si>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</si>
  <si>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</si>
  <si>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</si>
  <si>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</si>
  <si>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</si>
  <si>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</si>
  <si>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</si>
  <si>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</si>
  <si>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</si>
  <si>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</si>
  <si>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</si>
  <si>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</si>
  <si>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</si>
  <si>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</si>
  <si>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</si>
  <si>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</si>
  <si>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</si>
  <si>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STERILE WATER</t>
  </si>
  <si>
    <t>THERMOMETER</t>
  </si>
  <si>
    <t>PC</t>
  </si>
  <si>
    <t>Syringe 3cc</t>
  </si>
  <si>
    <t>Syringe 5cc</t>
  </si>
  <si>
    <t>IV CATH</t>
  </si>
  <si>
    <t>MACROSET</t>
  </si>
  <si>
    <t>J18.92</t>
  </si>
  <si>
    <t>1.00GRAM</t>
  </si>
  <si>
    <t>SYRUP</t>
  </si>
  <si>
    <t>500.00MG</t>
  </si>
  <si>
    <t>NEBULES</t>
  </si>
  <si>
    <t>250.00MG</t>
  </si>
  <si>
    <t>PARACETAMOL</t>
  </si>
  <si>
    <t>AMP</t>
  </si>
  <si>
    <t>150.00MG</t>
  </si>
  <si>
    <t>50.00ML</t>
  </si>
  <si>
    <t>NEB KIT</t>
  </si>
  <si>
    <t>VITAMIN B COMPLEX</t>
  </si>
  <si>
    <t>OMEPRAZOLE</t>
  </si>
  <si>
    <t>40.00MG</t>
  </si>
  <si>
    <t>CEFUROMXIME SODIUM</t>
  </si>
  <si>
    <t>750.00MG</t>
  </si>
  <si>
    <t>BUDESONIDE</t>
  </si>
  <si>
    <t>LACTATED RINGER'S</t>
  </si>
  <si>
    <t>1000.0ML</t>
  </si>
  <si>
    <t>LEVOFLOXACIN</t>
  </si>
  <si>
    <t>TABLET</t>
  </si>
  <si>
    <t>MECOBALAMIN</t>
  </si>
  <si>
    <t>FURAZOLIDONE</t>
  </si>
  <si>
    <t>100.00MG</t>
  </si>
  <si>
    <t>ACETYLCYSTEINE EFFERVESCENT</t>
  </si>
  <si>
    <t>600.00MG</t>
  </si>
  <si>
    <t>DISPOSABLE NEEDLE</t>
  </si>
  <si>
    <t>PLASTER MIRCROPORE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</si>
</sst>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6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workbookViewId="0">
      <selection activeCell="F22" sqref="F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180</v>
      </c>
      <c r="E11" s="27" t="s">
        <v>174</v>
      </c>
      <c r="F11" s="55">
        <v>1</v>
      </c>
      <c r="G11" s="55">
        <v>6</v>
      </c>
      <c r="H11" s="55">
        <v>2</v>
      </c>
      <c r="I11" s="55">
        <v>62</v>
      </c>
      <c r="J11" s="55">
        <f>H11*I11</f>
        <v>124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165</v>
      </c>
      <c r="E12" s="27" t="s">
        <v>186</v>
      </c>
      <c r="F12" s="55">
        <v>1</v>
      </c>
      <c r="G12" s="55">
        <v>6</v>
      </c>
      <c r="H12" s="55">
        <v>4</v>
      </c>
      <c r="I12" s="55">
        <v>255</v>
      </c>
      <c r="J12" s="55">
        <f t="shared" ref="J12:J26" si="0">H12*I12</f>
        <v>1020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165</v>
      </c>
      <c r="E13" s="27" t="s">
        <v>188</v>
      </c>
      <c r="F13" s="55">
        <v>3</v>
      </c>
      <c r="G13" s="55">
        <v>6</v>
      </c>
      <c r="H13" s="55">
        <v>17</v>
      </c>
      <c r="I13" s="55">
        <v>48</v>
      </c>
      <c r="J13" s="55">
        <f t="shared" si="0"/>
        <v>816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177</v>
      </c>
      <c r="E14" s="27" t="s">
        <v>178</v>
      </c>
      <c r="F14" s="55">
        <v>1</v>
      </c>
      <c r="G14" s="55">
        <v>6</v>
      </c>
      <c r="H14" s="55">
        <v>2</v>
      </c>
      <c r="I14" s="55">
        <v>75</v>
      </c>
      <c r="J14" s="55">
        <f t="shared" si="0"/>
        <v>150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175</v>
      </c>
      <c r="E15" s="27" t="s">
        <v>191</v>
      </c>
      <c r="F15" s="55">
        <v>2</v>
      </c>
      <c r="G15" s="55">
        <v>6</v>
      </c>
      <c r="H15" s="55">
        <v>8</v>
      </c>
      <c r="I15" s="55">
        <v>71.3</v>
      </c>
      <c r="J15" s="55">
        <f t="shared" si="0"/>
        <v>570.4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193</v>
      </c>
      <c r="E16" s="27" t="s">
        <v>176</v>
      </c>
      <c r="F16" s="55">
        <v>0.5</v>
      </c>
      <c r="G16" s="55">
        <v>6</v>
      </c>
      <c r="H16" s="55">
        <v>3</v>
      </c>
      <c r="I16" s="55">
        <v>39</v>
      </c>
      <c r="J16" s="55">
        <f t="shared" si="0"/>
        <v>117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194</v>
      </c>
      <c r="D17" s="27" t="s">
        <v>193</v>
      </c>
      <c r="E17" s="27" t="s">
        <v>176</v>
      </c>
      <c r="F17" s="55">
        <v>2</v>
      </c>
      <c r="G17" s="55">
        <v>6</v>
      </c>
      <c r="H17" s="55">
        <v>10</v>
      </c>
      <c r="I17" s="55">
        <v>28</v>
      </c>
      <c r="J17" s="55">
        <f t="shared" si="0"/>
        <v>280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195</v>
      </c>
      <c r="D18" s="27" t="s">
        <v>193</v>
      </c>
      <c r="E18" s="27" t="s">
        <v>196</v>
      </c>
      <c r="F18" s="55">
        <v>2</v>
      </c>
      <c r="G18" s="55">
        <v>6</v>
      </c>
      <c r="H18" s="55">
        <v>10</v>
      </c>
      <c r="I18" s="55">
        <v>1.6</v>
      </c>
      <c r="J18" s="55">
        <f t="shared" si="0"/>
        <v>16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179</v>
      </c>
      <c r="D19" s="27" t="s">
        <v>180</v>
      </c>
      <c r="E19" s="27" t="s">
        <v>181</v>
      </c>
      <c r="F19" s="55">
        <v>1</v>
      </c>
      <c r="G19" s="55">
        <v>6</v>
      </c>
      <c r="H19" s="55">
        <v>1</v>
      </c>
      <c r="I19" s="55">
        <v>28.6</v>
      </c>
      <c r="J19" s="55">
        <f t="shared" si="0"/>
        <v>28.6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166</v>
      </c>
      <c r="D20" s="27" t="s">
        <v>165</v>
      </c>
      <c r="E20" s="27" t="s">
        <v>182</v>
      </c>
      <c r="F20" s="55">
        <v>1</v>
      </c>
      <c r="G20" s="55">
        <v>6</v>
      </c>
      <c r="H20" s="55">
        <v>2</v>
      </c>
      <c r="I20" s="55">
        <v>35</v>
      </c>
      <c r="J20" s="55">
        <f t="shared" si="0"/>
        <v>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197</v>
      </c>
      <c r="D21" s="27" t="s">
        <v>193</v>
      </c>
      <c r="E21" s="27" t="s">
        <v>198</v>
      </c>
      <c r="F21" s="55">
        <v>3</v>
      </c>
      <c r="G21" s="55">
        <v>6</v>
      </c>
      <c r="H21" s="55">
        <v>16</v>
      </c>
      <c r="I21" s="55">
        <v>60</v>
      </c>
      <c r="J21" s="55">
        <f t="shared" si="0"/>
        <v>960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24</v>
      </c>
      <c r="F17" s="55">
        <v>5</v>
      </c>
      <c r="G17" s="55">
        <f t="shared" ref="G17:G26" si="0">E17*F17</f>
        <v>120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29</v>
      </c>
      <c r="F18" s="55">
        <v>6</v>
      </c>
      <c r="G18" s="55">
        <f t="shared" si="0"/>
        <v>174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168</v>
      </c>
      <c r="E19" s="55">
        <v>5</v>
      </c>
      <c r="F19" s="55">
        <v>3.4</v>
      </c>
      <c r="G19" s="55">
        <f t="shared" si="0"/>
        <v>17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168</v>
      </c>
      <c r="E20" s="55">
        <v>2</v>
      </c>
      <c r="F20" s="55">
        <v>55</v>
      </c>
      <c r="G20" s="55">
        <f t="shared" si="0"/>
        <v>110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172</v>
      </c>
      <c r="D21" s="70" t="s">
        <v>168</v>
      </c>
      <c r="E21" s="55">
        <v>1</v>
      </c>
      <c r="F21" s="55">
        <v>29</v>
      </c>
      <c r="G21" s="55">
        <f t="shared" si="0"/>
        <v>29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168</v>
      </c>
      <c r="E22" s="55">
        <v>1</v>
      </c>
      <c r="F22" s="55">
        <v>64</v>
      </c>
      <c r="G22" s="55">
        <f t="shared" si="0"/>
        <v>64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200</v>
      </c>
      <c r="D23" s="70" t="s">
        <v>168</v>
      </c>
      <c r="E23" s="55">
        <v>1</v>
      </c>
      <c r="F23" s="55">
        <v>54</v>
      </c>
      <c r="G23" s="55">
        <f t="shared" si="0"/>
        <v>54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6" sqref="D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f>D13</f>
        <v>30</v>
      </c>
      <c r="H13" s="55"/>
      <c r="I13" s="55"/>
      <c r="J13" s="55"/>
      <c r="K13" s="55"/>
      <c r="L13" s="55"/>
      <c r="M13" s="55"/>
      <c r="N13" s="55"/>
      <c r="P13" s="88">
        <f>SUM(D13:N13)</f>
        <v>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2018-06-06T08:32:21Z</dcterms:modified>
</cp:coreProperties>
</file>