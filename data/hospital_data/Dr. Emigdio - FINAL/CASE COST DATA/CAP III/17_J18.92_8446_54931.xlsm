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NEW REPORT SAMPLE\MAY 2018\MAY 21,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<sst xmlns="http://schemas.openxmlformats.org/spreadsheetml/2006/main" count="490" uniqueCount="196">
  <si>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</si>
  <si>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</si>
  <si>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</si>
  <si>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</si>
  <si>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</si>
  <si>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</si>
  <si>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</si>
  <si>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</si>
  <si>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</si>
  <si>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</si>
  <si>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</si>
  <si>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</si>
  <si>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</si>
  <si>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</si>
  <si>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</si>
  <si>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</si>
  <si>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</si>
  <si>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</si>
  <si>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</si>
  <si>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</si>
  <si>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</si>
  <si>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</si>
  <si>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</si>
  <si>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</si>
  <si>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</si>
  <si>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</si>
  <si>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</si>
  <si>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</si>
  <si>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</si>
  <si>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</si>
  <si>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</si>
  <si>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</si>
  <si>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</si>
  <si>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</si>
  <si>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</si>
  <si>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</si>
  <si>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</si>
  <si>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</si>
  <si>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</si>
  <si>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</si>
  <si>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</si>
  <si>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</si>
  <si>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</si>
  <si>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</si>
  <si>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</si>
  <si>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</si>
  <si>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</si>
  <si>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</si>
  <si>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</si>
  <si>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</si>
  <si>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</si>
  <si>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</si>
  <si>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</si>
  <si>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</si>
  <si>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</si>
  <si>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</si>
  <si>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</si>
  <si>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</si>
  <si>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</si>
  <si>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</si>
  <si>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</si>
  <si>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</si>
  <si>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</si>
  <si>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</si>
  <si>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</si>
  <si>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</si>
  <si>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</si>
  <si>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</si>
  <si>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</si>
  <si>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</si>
  <si>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</si>
  <si>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</si>
  <si>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</si>
  <si>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</si>
  <si>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</si>
  <si>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</si>
  <si>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</si>
  <si>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</si>
  <si>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</si>
  <si>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</si>
  <si>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</si>
  <si>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</si>
  <si>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</si>
  <si>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</si>
  <si>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</si>
  <si>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</si>
  <si>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</si>
  <si>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</si>
  <si>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</si>
  <si>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</si>
  <si>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</si>
  <si>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</si>
  <si>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</si>
  <si>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</si>
  <si>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</si>
  <si>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</si>
  <si>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</si>
  <si>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</si>
  <si>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</si>
  <si>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</si>
  <si>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</si>
  <si>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</si>
  <si>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</si>
  <si>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</si>
  <si>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</si>
  <si>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</si>
  <si>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</si>
  <si>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</si>
  <si>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</si>
  <si>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</si>
  <si>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</si>
  <si>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</si>
  <si>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</si>
  <si>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</si>
  <si>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</si>
  <si>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</si>
  <si>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</si>
  <si>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</si>
  <si>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</si>
  <si>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</si>
  <si>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</si>
  <si>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</si>
  <si>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</si>
  <si>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</si>
  <si>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</si>
  <si>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</si>
  <si>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</si>
  <si>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</si>
  <si>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</si>
  <si>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</si>
  <si>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</si>
  <si>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</si>
  <si>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</si>
  <si>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</si>
  <si>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</si>
  <si>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</si>
  <si>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</si>
  <si>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</si>
  <si>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</si>
  <si>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</si>
  <si>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</si>
  <si>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</si>
  <si>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</si>
  <si>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</si>
  <si>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</si>
  <si>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</si>
  <si>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</si>
  <si>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</si>
  <si>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</si>
  <si>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</si>
  <si>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</si>
  <si>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</si>
  <si>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</si>
  <si>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</si>
  <si>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</si>
  <si>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</si>
  <si>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</si>
  <si>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</si>
  <si>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</si>
  <si>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</si>
  <si>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</si>
  <si>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</si>
  <si>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</si>
  <si>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</si>
  <si>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</si>
  <si>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IV FLUID</t>
  </si>
  <si>
    <t>VIAL</t>
  </si>
  <si>
    <t>STERILE WATER</t>
  </si>
  <si>
    <t>THERMOMETER</t>
  </si>
  <si>
    <t>PC</t>
  </si>
  <si>
    <t>Syringe 3cc</t>
  </si>
  <si>
    <t>Syringe 5cc</t>
  </si>
  <si>
    <t>IV CATH</t>
  </si>
  <si>
    <t>J18.92</t>
  </si>
  <si>
    <t>CEFOXITIN</t>
  </si>
  <si>
    <t>1.00GRAM</t>
  </si>
  <si>
    <t>SYRUP</t>
  </si>
  <si>
    <t>50.00MG</t>
  </si>
  <si>
    <t>D5 0.3 NACL</t>
  </si>
  <si>
    <t>AMPICILLIN SODIUM</t>
  </si>
  <si>
    <t>500.00MG</t>
  </si>
  <si>
    <t>PARACETAMOL</t>
  </si>
  <si>
    <t>AMP</t>
  </si>
  <si>
    <t>150.00MG</t>
  </si>
  <si>
    <t>50.00ML</t>
  </si>
  <si>
    <t>100.00MG</t>
  </si>
  <si>
    <t>DISPOSABLE NEEDLE</t>
  </si>
  <si>
    <t>PLASTER MIRCROPORE</t>
  </si>
  <si>
    <t>500.00ML</t>
  </si>
  <si>
    <t>ID BRACELET</t>
  </si>
  <si>
    <t>IBUPROFEN</t>
  </si>
  <si>
    <t>SUSP</t>
  </si>
  <si>
    <t>SALBUTAMOL + GUIADENESIN</t>
  </si>
  <si>
    <t>AMBROXOL</t>
  </si>
  <si>
    <t>15.00MG</t>
  </si>
  <si>
    <t>MICROSET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</si>
</sst>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3" zoomScaleNormal="100" workbookViewId="0">
      <selection activeCell="A32" sqref="A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5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topLeftCell="A5" workbookViewId="0">
      <selection activeCell="F18" sqref="F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166</v>
      </c>
      <c r="E11" s="27" t="s">
        <v>175</v>
      </c>
      <c r="F11" s="55">
        <v>1</v>
      </c>
      <c r="G11" s="55">
        <v>5</v>
      </c>
      <c r="H11" s="55">
        <v>5</v>
      </c>
      <c r="I11" s="55">
        <v>750</v>
      </c>
      <c r="J11" s="55">
        <f>H11*I11</f>
        <v>3750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190</v>
      </c>
      <c r="D12" s="27" t="s">
        <v>191</v>
      </c>
      <c r="E12" s="27" t="s">
        <v>185</v>
      </c>
      <c r="F12" s="55">
        <v>1</v>
      </c>
      <c r="G12" s="55">
        <v>5</v>
      </c>
      <c r="H12" s="55">
        <v>1</v>
      </c>
      <c r="I12" s="55">
        <v>75</v>
      </c>
      <c r="J12" s="55">
        <f t="shared" ref="J12:J26" si="0">H12*I12</f>
        <v>75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192</v>
      </c>
      <c r="D13" s="27" t="s">
        <v>176</v>
      </c>
      <c r="E13" s="27" t="s">
        <v>177</v>
      </c>
      <c r="F13" s="55">
        <v>1</v>
      </c>
      <c r="G13" s="55">
        <v>5</v>
      </c>
      <c r="H13" s="55">
        <v>2</v>
      </c>
      <c r="I13" s="55">
        <v>29</v>
      </c>
      <c r="J13" s="55">
        <f t="shared" si="0"/>
        <v>58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178</v>
      </c>
      <c r="D14" s="27" t="s">
        <v>165</v>
      </c>
      <c r="E14" s="27" t="s">
        <v>188</v>
      </c>
      <c r="F14" s="55">
        <v>1</v>
      </c>
      <c r="G14" s="55">
        <v>5</v>
      </c>
      <c r="H14" s="55">
        <v>5</v>
      </c>
      <c r="I14" s="55">
        <v>71.3</v>
      </c>
      <c r="J14" s="55">
        <f t="shared" si="0"/>
        <v>356.5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179</v>
      </c>
      <c r="D15" s="27" t="s">
        <v>166</v>
      </c>
      <c r="E15" s="27" t="s">
        <v>180</v>
      </c>
      <c r="F15" s="55">
        <v>2</v>
      </c>
      <c r="G15" s="55">
        <v>5</v>
      </c>
      <c r="H15" s="55">
        <v>14</v>
      </c>
      <c r="I15" s="55">
        <v>19.100000000000001</v>
      </c>
      <c r="J15" s="55">
        <f t="shared" si="0"/>
        <v>267.40000000000003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176</v>
      </c>
      <c r="E16" s="27" t="s">
        <v>194</v>
      </c>
      <c r="F16" s="55">
        <v>1</v>
      </c>
      <c r="G16" s="55">
        <v>5</v>
      </c>
      <c r="H16" s="55">
        <v>1</v>
      </c>
      <c r="I16" s="55">
        <v>28.5</v>
      </c>
      <c r="J16" s="55">
        <f t="shared" si="0"/>
        <v>28.5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181</v>
      </c>
      <c r="D17" s="27" t="s">
        <v>182</v>
      </c>
      <c r="E17" s="27" t="s">
        <v>183</v>
      </c>
      <c r="F17" s="55">
        <v>2</v>
      </c>
      <c r="G17" s="55">
        <v>5</v>
      </c>
      <c r="H17" s="55">
        <v>6</v>
      </c>
      <c r="I17" s="55">
        <v>28.6</v>
      </c>
      <c r="J17" s="55">
        <f t="shared" si="0"/>
        <v>171.60000000000002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167</v>
      </c>
      <c r="D18" s="27" t="s">
        <v>166</v>
      </c>
      <c r="E18" s="27" t="s">
        <v>184</v>
      </c>
      <c r="F18" s="55">
        <v>1</v>
      </c>
      <c r="G18" s="55">
        <v>5</v>
      </c>
      <c r="H18" s="55">
        <v>2</v>
      </c>
      <c r="I18" s="55">
        <v>35</v>
      </c>
      <c r="J18" s="55">
        <f t="shared" si="0"/>
        <v>70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D22" sqref="D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168</v>
      </c>
      <c r="D16" s="70" t="s">
        <v>169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170</v>
      </c>
      <c r="D17" s="70" t="s">
        <v>169</v>
      </c>
      <c r="E17" s="55">
        <v>10</v>
      </c>
      <c r="F17" s="55">
        <v>5</v>
      </c>
      <c r="G17" s="55">
        <f t="shared" ref="G17:G26" si="0">E17*F17</f>
        <v>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171</v>
      </c>
      <c r="D18" s="70" t="s">
        <v>169</v>
      </c>
      <c r="E18" s="55">
        <v>12</v>
      </c>
      <c r="F18" s="55">
        <v>6</v>
      </c>
      <c r="G18" s="55">
        <f t="shared" si="0"/>
        <v>72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186</v>
      </c>
      <c r="D19" s="70" t="s">
        <v>169</v>
      </c>
      <c r="E19" s="55">
        <v>2</v>
      </c>
      <c r="F19" s="55">
        <v>3.4</v>
      </c>
      <c r="G19" s="55">
        <f t="shared" si="0"/>
        <v>6.8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 t="s">
        <v>169</v>
      </c>
      <c r="E20" s="55">
        <v>1</v>
      </c>
      <c r="F20" s="55">
        <v>55</v>
      </c>
      <c r="G20" s="55">
        <f t="shared" si="0"/>
        <v>55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195</v>
      </c>
      <c r="D21" s="70" t="s">
        <v>169</v>
      </c>
      <c r="E21" s="55">
        <v>2</v>
      </c>
      <c r="F21" s="55">
        <v>29</v>
      </c>
      <c r="G21" s="55">
        <f t="shared" si="0"/>
        <v>58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189</v>
      </c>
      <c r="D22" s="70" t="s">
        <v>169</v>
      </c>
      <c r="E22" s="55">
        <v>1</v>
      </c>
      <c r="F22" s="55">
        <v>5.71</v>
      </c>
      <c r="G22" s="55">
        <f t="shared" si="0"/>
        <v>5.71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187</v>
      </c>
      <c r="D23" s="70" t="s">
        <v>169</v>
      </c>
      <c r="E23" s="55">
        <v>1</v>
      </c>
      <c r="F23" s="55">
        <v>54</v>
      </c>
      <c r="G23" s="55">
        <f t="shared" si="0"/>
        <v>54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25</v>
      </c>
      <c r="E13" s="55"/>
      <c r="F13" s="55"/>
      <c r="G13" s="55">
        <f>D13</f>
        <v>25</v>
      </c>
      <c r="H13" s="55"/>
      <c r="I13" s="55"/>
      <c r="J13" s="55"/>
      <c r="K13" s="55"/>
      <c r="L13" s="55"/>
      <c r="M13" s="55"/>
      <c r="N13" s="55"/>
      <c r="P13" s="88">
        <f>SUM(D13:N13)</f>
        <v>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25</v>
      </c>
      <c r="E30" s="88">
        <f t="shared" si="1"/>
        <v>0</v>
      </c>
      <c r="F30" s="88">
        <f t="shared" si="1"/>
        <v>0</v>
      </c>
      <c r="G30" s="88">
        <f t="shared" si="1"/>
        <v>25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CF1</cp:lastModifiedBy>
  <dcterms:created xsi:type="dcterms:W3CDTF">2018-05-11T08:46:15Z</dcterms:created>
  <dcterms:modified xsi:type="dcterms:W3CDTF">2018-06-06T08:34:45Z</dcterms:modified>
</cp:coreProperties>
</file>