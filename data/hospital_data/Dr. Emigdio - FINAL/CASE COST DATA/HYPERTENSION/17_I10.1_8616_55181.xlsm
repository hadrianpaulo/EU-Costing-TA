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5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38" i="9" l="1"/>
  <c r="G37" i="9"/>
  <c r="G36" i="9"/>
  <c r="G35" i="9"/>
  <c r="G34" i="9"/>
  <c r="G33" i="9"/>
  <c r="G32" i="9"/>
  <c r="G31" i="9"/>
  <c r="J27" i="2"/>
  <c r="G30" i="9" l="1"/>
  <c r="G29" i="9"/>
  <c r="G28" i="9"/>
  <c r="G27" i="9"/>
  <c r="G11" i="2"/>
  <c r="G12" i="2" s="1"/>
  <c r="G13" i="2" s="1"/>
  <c r="G14" i="2" s="1"/>
  <c r="G15" i="2" s="1"/>
  <c r="G16" i="2" s="1"/>
  <c r="G17" i="2" s="1"/>
  <c r="G13" i="10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<sst xmlns="http://schemas.openxmlformats.org/spreadsheetml/2006/main" count="487" uniqueCount="194">
  <si>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</si>
  <si>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</si>
  <si>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</si>
  <si>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</si>
  <si>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</si>
  <si>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</si>
  <si>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</si>
  <si>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</si>
  <si>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</si>
  <si>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</si>
  <si>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</si>
  <si>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</si>
  <si>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</si>
  <si>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</si>
  <si>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</si>
  <si>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</si>
  <si>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</si>
  <si>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</si>
  <si>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</si>
  <si>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</si>
  <si>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</si>
  <si>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</si>
  <si>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</si>
  <si>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</si>
  <si>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</si>
  <si>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</si>
  <si>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</si>
  <si>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</si>
  <si>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</si>
  <si>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</si>
  <si>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</si>
  <si>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</si>
  <si>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</si>
  <si>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</si>
  <si>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</si>
  <si>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</si>
  <si>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</si>
  <si>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</si>
  <si>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</si>
  <si>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</si>
  <si>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</si>
  <si>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</si>
  <si>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</si>
  <si>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</si>
  <si>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</si>
  <si>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</si>
  <si>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</si>
  <si>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</si>
  <si>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</si>
  <si>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</si>
  <si>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</si>
  <si>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</si>
  <si>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</si>
  <si>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</si>
  <si>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</si>
  <si>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</si>
  <si>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</si>
  <si>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</si>
  <si>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</si>
  <si>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</si>
  <si>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</si>
  <si>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</si>
  <si>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</si>
  <si>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</si>
  <si>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</si>
  <si>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</si>
  <si>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</si>
  <si>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</si>
  <si>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</si>
  <si>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</si>
  <si>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</si>
  <si>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</si>
  <si>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</si>
  <si>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</si>
  <si>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</si>
  <si>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</si>
  <si>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</si>
  <si>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</si>
  <si>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</si>
  <si>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</si>
  <si>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</si>
  <si>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</si>
  <si>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</si>
  <si>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</si>
  <si>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</si>
  <si>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</si>
  <si>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</si>
  <si>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</si>
  <si>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</si>
  <si>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</si>
  <si>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</si>
  <si>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</si>
  <si>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</si>
  <si>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</si>
  <si>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</si>
  <si>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</si>
  <si>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</si>
  <si>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</si>
  <si>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</si>
  <si>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</si>
  <si>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</si>
  <si>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</si>
  <si>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</si>
  <si>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</si>
  <si>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</si>
  <si>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</si>
  <si>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</si>
  <si>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</si>
  <si>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</si>
  <si>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</si>
  <si>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</si>
  <si>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</si>
  <si>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</si>
  <si>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</si>
  <si>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</si>
  <si>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</si>
  <si>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</si>
  <si>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</si>
  <si>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</si>
  <si>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</si>
  <si>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</si>
  <si>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</si>
  <si>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</si>
  <si>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</si>
  <si>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</si>
  <si>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</si>
  <si>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</si>
  <si>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</si>
  <si>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</si>
  <si>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</si>
  <si>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</si>
  <si>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</si>
  <si>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</si>
  <si>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</si>
  <si>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</si>
  <si>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</si>
  <si>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</si>
  <si>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</si>
  <si>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</si>
  <si>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</si>
  <si>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</si>
  <si>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</si>
  <si>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</si>
  <si>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</si>
  <si>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</si>
  <si>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</si>
  <si>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</si>
  <si>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</si>
  <si>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</si>
  <si>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</si>
  <si>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</si>
  <si>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</si>
  <si>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</si>
  <si>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</si>
  <si>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</si>
  <si>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</si>
  <si>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</si>
  <si>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</si>
  <si>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</si>
  <si>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</si>
  <si>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</si>
  <si>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</si>
  <si>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</si>
  <si>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</si>
  <si>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TABLET</t>
  </si>
  <si>
    <t>VIAL</t>
  </si>
  <si>
    <t>PC</t>
  </si>
  <si>
    <t>Syringe 3cc</t>
  </si>
  <si>
    <t>Syringe 5cc</t>
  </si>
  <si>
    <t>DISPOSABLE NEEDLE</t>
  </si>
  <si>
    <t>IV CATH</t>
  </si>
  <si>
    <t>MACROSET</t>
  </si>
  <si>
    <t>AMP</t>
  </si>
  <si>
    <t>1LITER</t>
  </si>
  <si>
    <t>10.00MG</t>
  </si>
  <si>
    <t>IVFLUID</t>
  </si>
  <si>
    <t>OMEPRAZOLE</t>
  </si>
  <si>
    <t>40.00MG</t>
  </si>
  <si>
    <t>FUROSEMIDE</t>
  </si>
  <si>
    <t>PNSS</t>
  </si>
  <si>
    <t>HYPERTENSION</t>
  </si>
  <si>
    <t>I10.1</t>
  </si>
  <si>
    <t>HYOSCINE</t>
  </si>
  <si>
    <t>20.00MG</t>
  </si>
  <si>
    <t>LOSARTAN + HYDROCHLORTHIAZIDE</t>
  </si>
  <si>
    <t>50.00MG</t>
  </si>
  <si>
    <t>FENOFIBRATE</t>
  </si>
  <si>
    <t>200.00MG</t>
  </si>
  <si>
    <t>LOSARTAN POTASSIUM</t>
  </si>
  <si>
    <t>PLASTER MICROPORE</t>
  </si>
  <si>
    <t>BLOOD CHEM</t>
  </si>
  <si>
    <t>URINALYSIS</t>
  </si>
  <si>
    <t>FECALYSIS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</si>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</sst>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28575</xdr:rowOff>
        </xdr:from>
        <xdr:to>
          <xdr:col>1</xdr:col>
          <xdr:colOff>762000</xdr:colOff>
          <xdr:row>41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41</xdr:row>
          <xdr:rowOff>28575</xdr:rowOff>
        </xdr:from>
        <xdr:to>
          <xdr:col>1</xdr:col>
          <xdr:colOff>1533525</xdr:colOff>
          <xdr:row>41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28575</xdr:rowOff>
        </xdr:from>
        <xdr:to>
          <xdr:col>1</xdr:col>
          <xdr:colOff>771525</xdr:colOff>
          <xdr:row>52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28575</xdr:rowOff>
        </xdr:from>
        <xdr:to>
          <xdr:col>1</xdr:col>
          <xdr:colOff>1543050</xdr:colOff>
          <xdr:row>52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190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191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192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193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8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HYPERTENSION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165</v>
      </c>
      <c r="E11" s="27" t="s">
        <v>177</v>
      </c>
      <c r="F11" s="55">
        <v>2</v>
      </c>
      <c r="G11" s="55">
        <f>'1.1 Case data_general'!E31</f>
        <v>3</v>
      </c>
      <c r="H11" s="55">
        <v>7</v>
      </c>
      <c r="I11" s="55">
        <v>255</v>
      </c>
      <c r="J11" s="55">
        <f>H11*I11</f>
        <v>1785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172</v>
      </c>
      <c r="E12" s="27" t="s">
        <v>183</v>
      </c>
      <c r="F12" s="55">
        <v>1</v>
      </c>
      <c r="G12" s="55">
        <f>G11</f>
        <v>3</v>
      </c>
      <c r="H12" s="55">
        <v>5</v>
      </c>
      <c r="I12" s="55">
        <v>48</v>
      </c>
      <c r="J12" s="55">
        <f t="shared" ref="J12:J27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164</v>
      </c>
      <c r="E13" s="27" t="s">
        <v>185</v>
      </c>
      <c r="F13" s="55">
        <v>1</v>
      </c>
      <c r="G13" s="55">
        <f t="shared" ref="G13:G27" si="1">G12</f>
        <v>3</v>
      </c>
      <c r="H13" s="55">
        <v>15</v>
      </c>
      <c r="I13" s="55">
        <v>19.8</v>
      </c>
      <c r="J13" s="55">
        <f t="shared" si="0"/>
        <v>297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172</v>
      </c>
      <c r="E14" s="27" t="s">
        <v>174</v>
      </c>
      <c r="F14" s="55">
        <v>1</v>
      </c>
      <c r="G14" s="55">
        <f t="shared" si="1"/>
        <v>3</v>
      </c>
      <c r="H14" s="55">
        <v>1</v>
      </c>
      <c r="I14" s="55">
        <v>19</v>
      </c>
      <c r="J14" s="55">
        <f t="shared" si="0"/>
        <v>19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164</v>
      </c>
      <c r="E15" s="27" t="s">
        <v>187</v>
      </c>
      <c r="F15" s="55">
        <v>1</v>
      </c>
      <c r="G15" s="55">
        <f t="shared" si="1"/>
        <v>3</v>
      </c>
      <c r="H15" s="55">
        <v>10</v>
      </c>
      <c r="I15" s="55">
        <v>14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175</v>
      </c>
      <c r="E16" s="27" t="s">
        <v>173</v>
      </c>
      <c r="F16" s="55">
        <v>2</v>
      </c>
      <c r="G16" s="55">
        <f t="shared" si="1"/>
        <v>3</v>
      </c>
      <c r="H16" s="55">
        <v>6</v>
      </c>
      <c r="I16" s="55">
        <v>71.3</v>
      </c>
      <c r="J16" s="55">
        <f t="shared" si="0"/>
        <v>427.79999999999995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164</v>
      </c>
      <c r="E17" s="27" t="s">
        <v>185</v>
      </c>
      <c r="F17" s="55">
        <v>2</v>
      </c>
      <c r="G17" s="55">
        <f t="shared" si="1"/>
        <v>3</v>
      </c>
      <c r="H17" s="55">
        <v>5</v>
      </c>
      <c r="I17" s="55">
        <v>7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TBul2utbLBIMYcEg7GZ4IxS/70A5LdRc/MM7sqvFMu5/dTz47FnE65iOSf5AdG+2+XjTaD/1Y0UZ9UOSM2MYOQ==" saltValue="+eoUEWqk6xuvG0Cvfnlw7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6"/>
  <sheetViews>
    <sheetView workbookViewId="0">
      <selection activeCell="C22" sqref="C22:F3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HYPERTENSION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25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166</v>
      </c>
      <c r="E16" s="55">
        <v>2</v>
      </c>
      <c r="F16" s="55">
        <v>3.4</v>
      </c>
      <c r="G16" s="55">
        <f>E16*F16</f>
        <v>6.8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167</v>
      </c>
      <c r="D17" s="70" t="s">
        <v>166</v>
      </c>
      <c r="E17" s="55">
        <v>2</v>
      </c>
      <c r="F17" s="55">
        <v>5</v>
      </c>
      <c r="G17" s="55">
        <f t="shared" ref="G17:G38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166</v>
      </c>
      <c r="E18" s="55">
        <v>2</v>
      </c>
      <c r="F18" s="55">
        <v>6</v>
      </c>
      <c r="G18" s="55">
        <f t="shared" si="0"/>
        <v>12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166</v>
      </c>
      <c r="E19" s="55">
        <v>1</v>
      </c>
      <c r="F19" s="55">
        <v>55</v>
      </c>
      <c r="G19" s="55">
        <f t="shared" si="0"/>
        <v>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166</v>
      </c>
      <c r="E20" s="55">
        <v>1</v>
      </c>
      <c r="F20" s="55">
        <v>29</v>
      </c>
      <c r="G20" s="55">
        <f t="shared" si="0"/>
        <v>29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166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/>
      <c r="D36" s="70"/>
      <c r="E36" s="55"/>
      <c r="F36" s="55"/>
      <c r="G36" s="55">
        <f t="shared" si="0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22</v>
      </c>
      <c r="C37" s="69"/>
      <c r="D37" s="70"/>
      <c r="E37" s="55"/>
      <c r="F37" s="55"/>
      <c r="G37" s="55">
        <f t="shared" si="0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23</v>
      </c>
      <c r="C38" s="69"/>
      <c r="D38" s="70"/>
      <c r="E38" s="55"/>
      <c r="F38" s="55"/>
      <c r="G38" s="55">
        <f t="shared" si="0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76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136" t="s">
        <v>29</v>
      </c>
      <c r="C52" s="137"/>
      <c r="D52" s="137"/>
      <c r="E52" s="137"/>
      <c r="F52" s="137"/>
      <c r="G52" s="138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2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3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4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5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6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7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8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B61" s="68">
        <v>9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B62" s="68">
        <v>10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4.25" customHeight="1" x14ac:dyDescent="0.3">
      <c r="A63" s="44"/>
      <c r="B63" s="39"/>
      <c r="C63" s="44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</row>
    <row r="64" spans="1:16" ht="14.25" customHeight="1" x14ac:dyDescent="0.3">
      <c r="A64" s="44"/>
      <c r="B64" s="39"/>
      <c r="C64" s="44"/>
      <c r="D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</row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algorithmName="SHA-512" hashValue="/YMVW8BsBgeX3vGLqZwsVE/sPCXTVvB/vS8jAcMcSYPhrz8ufYGWSZP7XGdP390SUQKmYp9SNOgN2AqLVGDuxw==" saltValue="NbNTUa9k/Ze3cF/AU7k0sA==" spinCount="100000" sheet="1" objects="1" scenarios="1" formatColumns="0" formatRows="0" sort="0" autoFilter="0"/>
  <mergeCells count="9">
    <mergeCell ref="B7:G7"/>
    <mergeCell ref="B41:G41"/>
    <mergeCell ref="B52:G5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41</xdr:row>
                    <xdr:rowOff>28575</xdr:rowOff>
                  </from>
                  <to>
                    <xdr:col>1</xdr:col>
                    <xdr:colOff>762000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41</xdr:row>
                    <xdr:rowOff>28575</xdr:rowOff>
                  </from>
                  <to>
                    <xdr:col>1</xdr:col>
                    <xdr:colOff>1533525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52</xdr:row>
                    <xdr:rowOff>28575</xdr:rowOff>
                  </from>
                  <to>
                    <xdr:col>1</xdr:col>
                    <xdr:colOff>771525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52</xdr:row>
                    <xdr:rowOff>28575</xdr:rowOff>
                  </from>
                  <to>
                    <xdr:col>1</xdr:col>
                    <xdr:colOff>1543050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HYPERTENSION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2018-06-26T06:44:35Z</dcterms:modified>
</cp:coreProperties>
</file>