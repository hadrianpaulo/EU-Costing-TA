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4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7" i="2" l="1"/>
  <c r="G18" i="2" s="1"/>
  <c r="G19" i="2" s="1"/>
  <c r="G20" i="2" s="1"/>
  <c r="G21" i="2" s="1"/>
  <c r="G22" i="2" s="1"/>
  <c r="G23" i="2" s="1"/>
  <c r="G30" i="9" l="1"/>
  <c r="G29" i="9"/>
  <c r="G28" i="9"/>
  <c r="G27" i="9"/>
  <c r="G11" i="2"/>
  <c r="G13" i="10"/>
  <c r="G12" i="2"/>
  <c r="G13" i="2" s="1"/>
  <c r="G14" i="2" s="1"/>
  <c r="G15" i="2" s="1"/>
  <c r="G16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<sst xmlns="http://schemas.openxmlformats.org/spreadsheetml/2006/main" count="504" uniqueCount="203">
  <si>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</si>
  <si>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</si>
  <si>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</si>
  <si>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</si>
  <si>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</si>
  <si>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</si>
  <si>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</si>
  <si>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</si>
  <si>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</si>
  <si>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</si>
  <si>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</si>
  <si>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</si>
  <si>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</si>
  <si>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</si>
  <si>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</si>
  <si>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</si>
  <si>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</si>
  <si>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</si>
  <si>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</si>
  <si>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</si>
  <si>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</si>
  <si>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</si>
  <si>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</si>
  <si>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</si>
  <si>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</si>
  <si>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</si>
  <si>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</si>
  <si>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</si>
  <si>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</si>
  <si>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</si>
  <si>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</si>
  <si>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</si>
  <si>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</si>
  <si>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</si>
  <si>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</si>
  <si>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</si>
  <si>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</si>
  <si>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</si>
  <si>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</si>
  <si>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</si>
  <si>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</si>
  <si>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</si>
  <si>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</si>
  <si>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</si>
  <si>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</si>
  <si>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</si>
  <si>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</si>
  <si>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</si>
  <si>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</si>
  <si>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</si>
  <si>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</si>
  <si>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</si>
  <si>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</si>
  <si>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</si>
  <si>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</si>
  <si>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</si>
  <si>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</si>
  <si>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</si>
  <si>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</si>
  <si>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</si>
  <si>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</si>
  <si>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</si>
  <si>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</si>
  <si>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</si>
  <si>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</si>
  <si>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</si>
  <si>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</si>
  <si>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</si>
  <si>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</si>
  <si>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</si>
  <si>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</si>
  <si>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</si>
  <si>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</si>
  <si>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</si>
  <si>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</si>
  <si>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</si>
  <si>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</si>
  <si>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</si>
  <si>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</si>
  <si>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</si>
  <si>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</si>
  <si>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</si>
  <si>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</si>
  <si>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</si>
  <si>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</si>
  <si>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</si>
  <si>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</si>
  <si>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</si>
  <si>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</si>
  <si>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</si>
  <si>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</si>
  <si>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</si>
  <si>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</si>
  <si>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</si>
  <si>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</si>
  <si>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</si>
  <si>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</si>
  <si>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</si>
  <si>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</si>
  <si>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</si>
  <si>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</si>
  <si>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</si>
  <si>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</si>
  <si>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</si>
  <si>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</si>
  <si>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</si>
  <si>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</si>
  <si>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</si>
  <si>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</si>
  <si>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</si>
  <si>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</si>
  <si>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</si>
  <si>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</si>
  <si>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</si>
  <si>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</si>
  <si>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</si>
  <si>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</si>
  <si>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</si>
  <si>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</si>
  <si>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</si>
  <si>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</si>
  <si>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</si>
  <si>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</si>
  <si>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</si>
  <si>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</si>
  <si>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</si>
  <si>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</si>
  <si>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</si>
  <si>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</si>
  <si>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</si>
  <si>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</si>
  <si>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</si>
  <si>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</si>
  <si>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</si>
  <si>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</si>
  <si>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</si>
  <si>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</si>
  <si>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</si>
  <si>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</si>
  <si>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</si>
  <si>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</si>
  <si>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</si>
  <si>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</si>
  <si>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</si>
  <si>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</si>
  <si>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</si>
  <si>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</si>
  <si>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</si>
  <si>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</si>
  <si>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</si>
  <si>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</si>
  <si>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</si>
  <si>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</si>
  <si>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</si>
  <si>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</si>
  <si>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</si>
  <si>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</si>
  <si>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</si>
  <si>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</si>
  <si>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</si>
  <si>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</si>
  <si>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</si>
  <si>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</si>
  <si>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</si>
  <si>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</si>
  <si>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STERILE WATER</t>
  </si>
  <si>
    <t>THERMOMETER</t>
  </si>
  <si>
    <t>PC</t>
  </si>
  <si>
    <t>Syringe 3cc</t>
  </si>
  <si>
    <t>Syringe 5cc</t>
  </si>
  <si>
    <t>IV CATH</t>
  </si>
  <si>
    <t>MACROSET</t>
  </si>
  <si>
    <t>PROMETHAZINE</t>
  </si>
  <si>
    <t>AMP</t>
  </si>
  <si>
    <t>25.00MG</t>
  </si>
  <si>
    <t>CAP</t>
  </si>
  <si>
    <t>500.00MG</t>
  </si>
  <si>
    <t>D5LRS</t>
  </si>
  <si>
    <t>1LITER</t>
  </si>
  <si>
    <t>10.00MG</t>
  </si>
  <si>
    <t>50.00ML</t>
  </si>
  <si>
    <t>O2 CAN</t>
  </si>
  <si>
    <t>CEFUROXIME</t>
  </si>
  <si>
    <t>750.00MG</t>
  </si>
  <si>
    <t>200.00MG</t>
  </si>
  <si>
    <t>IVFLUID</t>
  </si>
  <si>
    <t>S.GLOVES</t>
  </si>
  <si>
    <t>D &amp; C</t>
  </si>
  <si>
    <t>NALBUPINE</t>
  </si>
  <si>
    <t>DIAZEPAM</t>
  </si>
  <si>
    <t>5.00MG</t>
  </si>
  <si>
    <t>FERROUS FUMARATE</t>
  </si>
  <si>
    <t>METHYLERGOMETRINE</t>
  </si>
  <si>
    <t>TAB</t>
  </si>
  <si>
    <t>125.00MCG</t>
  </si>
  <si>
    <t>MEFENAMIC ACID</t>
  </si>
  <si>
    <t>OXYTOCIN</t>
  </si>
  <si>
    <t>10.00IU</t>
  </si>
  <si>
    <t>PHYTOMENADIONE</t>
  </si>
  <si>
    <t>KETAMINE</t>
  </si>
  <si>
    <t>1.00CC</t>
  </si>
  <si>
    <t>CEFALEXINE</t>
  </si>
  <si>
    <t>S,CATH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</si>
</sst>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58120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1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24" sqref="F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 &amp; 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173</v>
      </c>
      <c r="E11" s="27" t="s">
        <v>179</v>
      </c>
      <c r="F11" s="55">
        <v>2</v>
      </c>
      <c r="G11" s="55">
        <f>'1.1 Case data_general'!E31</f>
        <v>1</v>
      </c>
      <c r="H11" s="55">
        <v>2</v>
      </c>
      <c r="I11" s="55">
        <v>110</v>
      </c>
      <c r="J11" s="55">
        <f>H11*I11</f>
        <v>220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173</v>
      </c>
      <c r="E12" s="27" t="s">
        <v>190</v>
      </c>
      <c r="F12" s="55">
        <v>2</v>
      </c>
      <c r="G12" s="55">
        <f>G11</f>
        <v>1</v>
      </c>
      <c r="H12" s="55">
        <v>2</v>
      </c>
      <c r="I12" s="55">
        <v>120</v>
      </c>
      <c r="J12" s="55">
        <f t="shared" ref="J12:J26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175</v>
      </c>
      <c r="E13" s="27" t="s">
        <v>184</v>
      </c>
      <c r="F13" s="55">
        <v>2</v>
      </c>
      <c r="G13" s="55">
        <f t="shared" ref="G13:G15" si="1">G12</f>
        <v>1</v>
      </c>
      <c r="H13" s="55">
        <v>5</v>
      </c>
      <c r="I13" s="55">
        <v>2.2000000000000002</v>
      </c>
      <c r="J13" s="55">
        <f t="shared" si="0"/>
        <v>11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193</v>
      </c>
      <c r="E14" s="27" t="s">
        <v>194</v>
      </c>
      <c r="F14" s="55">
        <v>2</v>
      </c>
      <c r="G14" s="55">
        <f t="shared" si="1"/>
        <v>1</v>
      </c>
      <c r="H14" s="55">
        <v>12</v>
      </c>
      <c r="I14" s="55">
        <v>3.8</v>
      </c>
      <c r="J14" s="55">
        <f t="shared" si="0"/>
        <v>45.599999999999994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175</v>
      </c>
      <c r="E15" s="27" t="s">
        <v>176</v>
      </c>
      <c r="F15" s="55">
        <v>2</v>
      </c>
      <c r="G15" s="55">
        <f t="shared" si="1"/>
        <v>1</v>
      </c>
      <c r="H15" s="55">
        <v>6</v>
      </c>
      <c r="I15" s="55">
        <v>3.2</v>
      </c>
      <c r="J15" s="55">
        <f t="shared" si="0"/>
        <v>19.200000000000003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165</v>
      </c>
      <c r="D16" s="27" t="s">
        <v>164</v>
      </c>
      <c r="E16" s="27" t="s">
        <v>180</v>
      </c>
      <c r="F16" s="55">
        <v>2</v>
      </c>
      <c r="G16" s="55">
        <f t="shared" ref="G16:G23" si="2">G15</f>
        <v>1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173</v>
      </c>
      <c r="E17" s="27" t="s">
        <v>197</v>
      </c>
      <c r="F17" s="55">
        <v>1</v>
      </c>
      <c r="G17" s="55">
        <f t="shared" si="2"/>
        <v>1</v>
      </c>
      <c r="H17" s="55">
        <v>3</v>
      </c>
      <c r="I17" s="55">
        <v>34.9</v>
      </c>
      <c r="J17" s="55">
        <f t="shared" si="0"/>
        <v>104.69999999999999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164</v>
      </c>
      <c r="E18" s="27" t="s">
        <v>183</v>
      </c>
      <c r="F18" s="55">
        <v>2</v>
      </c>
      <c r="G18" s="55">
        <f t="shared" si="2"/>
        <v>1</v>
      </c>
      <c r="H18" s="55">
        <v>2</v>
      </c>
      <c r="I18" s="55">
        <v>48</v>
      </c>
      <c r="J18" s="55">
        <f t="shared" si="0"/>
        <v>96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198</v>
      </c>
      <c r="D19" s="27" t="s">
        <v>173</v>
      </c>
      <c r="E19" s="27" t="s">
        <v>179</v>
      </c>
      <c r="F19" s="55">
        <v>2</v>
      </c>
      <c r="G19" s="55">
        <f t="shared" si="2"/>
        <v>1</v>
      </c>
      <c r="H19" s="55">
        <v>2</v>
      </c>
      <c r="I19" s="55">
        <v>35</v>
      </c>
      <c r="J19" s="55">
        <f t="shared" si="0"/>
        <v>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172</v>
      </c>
      <c r="D20" s="27" t="s">
        <v>173</v>
      </c>
      <c r="E20" s="27" t="s">
        <v>174</v>
      </c>
      <c r="F20" s="55">
        <v>2</v>
      </c>
      <c r="G20" s="55">
        <f t="shared" si="2"/>
        <v>1</v>
      </c>
      <c r="H20" s="55">
        <v>2</v>
      </c>
      <c r="I20" s="55">
        <v>22</v>
      </c>
      <c r="J20" s="55">
        <f t="shared" si="0"/>
        <v>44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177</v>
      </c>
      <c r="D21" s="27" t="s">
        <v>185</v>
      </c>
      <c r="E21" s="27" t="s">
        <v>178</v>
      </c>
      <c r="F21" s="55">
        <v>2</v>
      </c>
      <c r="G21" s="55">
        <f t="shared" si="2"/>
        <v>1</v>
      </c>
      <c r="H21" s="55">
        <v>5</v>
      </c>
      <c r="I21" s="55">
        <v>71.3</v>
      </c>
      <c r="J21" s="55">
        <f t="shared" si="0"/>
        <v>356.5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199</v>
      </c>
      <c r="D22" s="27" t="s">
        <v>164</v>
      </c>
      <c r="E22" s="27" t="s">
        <v>200</v>
      </c>
      <c r="F22" s="55">
        <v>2</v>
      </c>
      <c r="G22" s="55">
        <f t="shared" si="2"/>
        <v>1</v>
      </c>
      <c r="H22" s="55">
        <v>2</v>
      </c>
      <c r="I22" s="55">
        <v>120</v>
      </c>
      <c r="J22" s="55">
        <f t="shared" si="0"/>
        <v>240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201</v>
      </c>
      <c r="D23" s="27" t="s">
        <v>175</v>
      </c>
      <c r="E23" s="27" t="s">
        <v>176</v>
      </c>
      <c r="F23" s="55">
        <v>2</v>
      </c>
      <c r="G23" s="55">
        <f t="shared" si="2"/>
        <v>1</v>
      </c>
      <c r="H23" s="55">
        <v>12</v>
      </c>
      <c r="I23" s="55">
        <v>7</v>
      </c>
      <c r="J23" s="55">
        <f t="shared" si="0"/>
        <v>84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9" workbookViewId="0">
      <selection activeCell="C29" sqref="C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 &amp; 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30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76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 t="s">
        <v>166</v>
      </c>
      <c r="D32" s="70" t="s">
        <v>167</v>
      </c>
      <c r="E32" s="55">
        <v>1</v>
      </c>
      <c r="F32" s="55">
        <v>73</v>
      </c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 t="s">
        <v>168</v>
      </c>
      <c r="D33" s="70" t="s">
        <v>167</v>
      </c>
      <c r="E33" s="55">
        <v>2</v>
      </c>
      <c r="F33" s="55">
        <v>5</v>
      </c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 t="s">
        <v>169</v>
      </c>
      <c r="D34" s="70" t="s">
        <v>167</v>
      </c>
      <c r="E34" s="55">
        <v>3</v>
      </c>
      <c r="F34" s="55">
        <v>6</v>
      </c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 t="s">
        <v>170</v>
      </c>
      <c r="D35" s="70" t="s">
        <v>167</v>
      </c>
      <c r="E35" s="55">
        <v>1</v>
      </c>
      <c r="F35" s="55">
        <v>55</v>
      </c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 t="s">
        <v>171</v>
      </c>
      <c r="D36" s="70" t="s">
        <v>167</v>
      </c>
      <c r="E36" s="55">
        <v>1</v>
      </c>
      <c r="F36" s="55">
        <v>29</v>
      </c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 t="s">
        <v>181</v>
      </c>
      <c r="D37" s="70" t="s">
        <v>167</v>
      </c>
      <c r="E37" s="55">
        <v>2</v>
      </c>
      <c r="F37" s="55">
        <v>39</v>
      </c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 t="s">
        <v>202</v>
      </c>
      <c r="D38" s="70" t="s">
        <v>167</v>
      </c>
      <c r="E38" s="55">
        <v>4</v>
      </c>
      <c r="F38" s="55">
        <v>16</v>
      </c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 t="s">
        <v>186</v>
      </c>
      <c r="D39" s="70" t="s">
        <v>167</v>
      </c>
      <c r="E39" s="55">
        <v>2</v>
      </c>
      <c r="F39" s="55">
        <v>22</v>
      </c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29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usi6Ug9mogCX8UDpnqV1N3PsmKgb4+QF0/I6zyNOqmE5+pVsRaHdo200IJd7FOFVSOxWpqZPgBYKFHW8wDvG8g==" saltValue="l4aBs6milLqH+kCmpZSOQ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 &amp; 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5</v>
      </c>
      <c r="E13" s="55"/>
      <c r="F13" s="55"/>
      <c r="G13" s="55">
        <f>D13</f>
        <v>5</v>
      </c>
      <c r="H13" s="55"/>
      <c r="I13" s="55"/>
      <c r="J13" s="55"/>
      <c r="K13" s="55"/>
      <c r="L13" s="55"/>
      <c r="M13" s="55"/>
      <c r="N13" s="55"/>
      <c r="P13" s="88">
        <f>SUM(D13:N13)</f>
        <v>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5</v>
      </c>
      <c r="E30" s="88">
        <f t="shared" si="1"/>
        <v>0</v>
      </c>
      <c r="F30" s="88">
        <f t="shared" si="1"/>
        <v>0</v>
      </c>
      <c r="G30" s="88">
        <f t="shared" si="1"/>
        <v>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2018-06-06T09:04:33Z</dcterms:modified>
</cp:coreProperties>
</file>