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cute Gastritis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Drugs&amp;Med'!$B$2:$J$29</definedName>
  </definedNames>
  <calcPr calcId="152511"/>
</workbook>
</file>

<file path=xl/calcChain.xml><?xml version="1.0" encoding="utf-8"?>
<calcChain xmlns="http://schemas.openxmlformats.org/spreadsheetml/2006/main">
  <c r="G26" i="9" l="1"/>
  <c r="G17" i="9"/>
  <c r="G18" i="9"/>
  <c r="G19" i="9"/>
  <c r="G20" i="9"/>
  <c r="G21" i="9"/>
  <c r="G22" i="9"/>
  <c r="G23" i="9"/>
  <c r="G24" i="9"/>
  <c r="G25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<sst xmlns="http://schemas.openxmlformats.org/spreadsheetml/2006/main" count="512" uniqueCount="213">
  <si>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</si>
  <si>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</si>
  <si>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</si>
  <si>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</si>
  <si>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</si>
  <si>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</si>
  <si>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</si>
  <si>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</si>
  <si>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</si>
  <si>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</si>
  <si>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</si>
  <si>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</si>
  <si>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</si>
  <si>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</si>
  <si>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</si>
  <si>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</si>
  <si>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</si>
  <si>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</si>
  <si>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</si>
  <si>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</si>
  <si>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</si>
  <si>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</si>
  <si>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</si>
  <si>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</si>
  <si>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</si>
  <si>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</si>
  <si>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</si>
  <si>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</si>
  <si>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</si>
  <si>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</si>
  <si>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</si>
  <si>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</si>
  <si>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</si>
  <si>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</si>
  <si>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</si>
  <si>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</si>
  <si>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</si>
  <si>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</si>
  <si>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</si>
  <si>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</si>
  <si>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</si>
  <si>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</si>
  <si>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</si>
  <si>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</si>
  <si>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</si>
  <si>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</si>
  <si>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</si>
  <si>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</si>
  <si>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</si>
  <si>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</si>
  <si>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</si>
  <si>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</si>
  <si>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</si>
  <si>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</si>
  <si>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</si>
  <si>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</si>
  <si>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</si>
  <si>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</si>
  <si>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</si>
  <si>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</si>
  <si>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</si>
  <si>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</si>
  <si>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</si>
  <si>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</si>
  <si>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</si>
  <si>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</si>
  <si>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</si>
  <si>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</si>
  <si>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</si>
  <si>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</si>
  <si>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</si>
  <si>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</si>
  <si>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</si>
  <si>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</si>
  <si>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</si>
  <si>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</si>
  <si>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</si>
  <si>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</si>
  <si>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</si>
  <si>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</si>
  <si>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</si>
  <si>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</si>
  <si>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</si>
  <si>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</si>
  <si>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</si>
  <si>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</si>
  <si>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</si>
  <si>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</si>
  <si>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</si>
  <si>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</si>
  <si>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</si>
  <si>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</si>
  <si>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</si>
  <si>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</si>
  <si>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</si>
  <si>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</si>
  <si>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</si>
  <si>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</si>
  <si>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</si>
  <si>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</si>
  <si>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</si>
  <si>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</si>
  <si>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</si>
  <si>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</si>
  <si>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</si>
  <si>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</si>
  <si>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</si>
  <si>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</si>
  <si>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</si>
  <si>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</si>
  <si>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</si>
  <si>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</si>
  <si>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</si>
  <si>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</si>
  <si>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</si>
  <si>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</si>
  <si>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</si>
  <si>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</si>
  <si>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</si>
  <si>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</si>
  <si>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</si>
  <si>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</si>
  <si>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</si>
  <si>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</si>
  <si>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</si>
  <si>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</si>
  <si>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</si>
  <si>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</si>
  <si>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</si>
  <si>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</si>
  <si>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</si>
  <si>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</si>
  <si>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</si>
  <si>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</si>
  <si>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</si>
  <si>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</si>
  <si>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</si>
  <si>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</si>
  <si>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</si>
  <si>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</si>
  <si>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</si>
  <si>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</si>
  <si>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</si>
  <si>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</si>
  <si>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</si>
  <si>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</si>
  <si>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</si>
  <si>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</si>
  <si>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</si>
  <si>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</si>
  <si>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</si>
  <si>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</si>
  <si>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</si>
  <si>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</si>
  <si>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</si>
  <si>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</si>
  <si>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</si>
  <si>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</si>
  <si>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</si>
  <si>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</si>
  <si>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</si>
  <si>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</si>
  <si>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</si>
  <si>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</si>
  <si>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</si>
  <si>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</si>
  <si>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</si>
  <si>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</si>
  <si>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</si>
  <si>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</si>
  <si>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</si>
  <si>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</si>
  <si>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</si>
  <si>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Ranitidine Hydrochloride</t>
  </si>
  <si>
    <t>Sodium Alginate+Sodium Bicarbonate+Calcium Carbonate</t>
  </si>
  <si>
    <t>vial</t>
  </si>
  <si>
    <t>ampul</t>
  </si>
  <si>
    <t>bottle</t>
  </si>
  <si>
    <t>sachet</t>
  </si>
  <si>
    <t>25mg/ml</t>
  </si>
  <si>
    <t>50mg/ml</t>
  </si>
  <si>
    <t>1000ml</t>
  </si>
  <si>
    <t>500mg/10ml</t>
  </si>
  <si>
    <t>ID Bracelet</t>
  </si>
  <si>
    <t>Disposable Mask</t>
  </si>
  <si>
    <t>3cc</t>
  </si>
  <si>
    <t>1cc/tbs</t>
  </si>
  <si>
    <t>Clean Gloves</t>
  </si>
  <si>
    <t>Micropore</t>
  </si>
  <si>
    <t>Surgical Gauze</t>
  </si>
  <si>
    <t>Macroset</t>
  </si>
  <si>
    <t>K29.1</t>
  </si>
  <si>
    <t>Hema Package 1(CBC, Platelet Count)</t>
  </si>
  <si>
    <t>Urinalysis</t>
  </si>
  <si>
    <t>Fecalysis</t>
  </si>
  <si>
    <t>Ibuprofen</t>
  </si>
  <si>
    <t>Cefaclor</t>
  </si>
  <si>
    <t>Cefuroxime Sodium</t>
  </si>
  <si>
    <t>Diphenhydramine HCI</t>
  </si>
  <si>
    <t>LRS</t>
  </si>
  <si>
    <t>5% Dextrose NM</t>
  </si>
  <si>
    <t>Paracetamol</t>
  </si>
  <si>
    <t>Sterile Water for Injection</t>
  </si>
  <si>
    <t>suspension</t>
  </si>
  <si>
    <t>200mg/5ml</t>
  </si>
  <si>
    <t>250mg/5ml</t>
  </si>
  <si>
    <t>750mg</t>
  </si>
  <si>
    <t>150mg/ml</t>
  </si>
  <si>
    <t>50ml</t>
  </si>
  <si>
    <t>Thermometer</t>
  </si>
  <si>
    <t>5cc</t>
  </si>
  <si>
    <t>IV Cath G.24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</si>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</sst>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212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193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3673.01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593.88</v>
      </c>
      <c r="E61" s="55"/>
      <c r="F61" s="55">
        <v>75.8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3.11</v>
      </c>
      <c r="E62" s="55"/>
      <c r="F62" s="55">
        <v>396.89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/>
      <c r="E63" s="55"/>
      <c r="F63" s="55">
        <v>40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171</v>
      </c>
      <c r="D64" s="55"/>
      <c r="E64" s="55"/>
      <c r="F64" s="55">
        <v>800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>
        <v>1830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6100</v>
      </c>
      <c r="E71" s="59">
        <f>SUM(E60:E70)</f>
        <v>0</v>
      </c>
      <c r="F71" s="59">
        <f>SUM(F60:F70)</f>
        <v>1312.69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A8" workbookViewId="0">
      <selection activeCell="J12" sqref="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203</v>
      </c>
      <c r="E11" s="27" t="s">
        <v>204</v>
      </c>
      <c r="F11" s="55"/>
      <c r="G11" s="55">
        <v>4</v>
      </c>
      <c r="H11" s="55">
        <v>1</v>
      </c>
      <c r="I11" s="55">
        <v>105.6</v>
      </c>
      <c r="J11" s="55">
        <f>H11*I11</f>
        <v>105.6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203</v>
      </c>
      <c r="E12" s="27" t="s">
        <v>205</v>
      </c>
      <c r="F12" s="55"/>
      <c r="G12" s="55">
        <v>4</v>
      </c>
      <c r="H12" s="55">
        <v>1</v>
      </c>
      <c r="I12" s="55">
        <v>302.5</v>
      </c>
      <c r="J12" s="55">
        <f t="shared" ref="J12:J28" si="0">H12*I12</f>
        <v>302.5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197</v>
      </c>
      <c r="D13" s="27" t="s">
        <v>175</v>
      </c>
      <c r="E13" s="27" t="s">
        <v>206</v>
      </c>
      <c r="F13" s="55"/>
      <c r="G13" s="55">
        <v>4</v>
      </c>
      <c r="H13" s="55">
        <v>11</v>
      </c>
      <c r="I13" s="55">
        <v>52.8</v>
      </c>
      <c r="J13" s="55">
        <f t="shared" si="0"/>
        <v>580.79999999999995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176</v>
      </c>
      <c r="E14" s="27" t="s">
        <v>179</v>
      </c>
      <c r="F14" s="55"/>
      <c r="G14" s="55">
        <v>4</v>
      </c>
      <c r="H14" s="55">
        <v>7</v>
      </c>
      <c r="I14" s="55">
        <v>31.9</v>
      </c>
      <c r="J14" s="55">
        <f t="shared" si="0"/>
        <v>223.29999999999998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198</v>
      </c>
      <c r="D15" s="27" t="s">
        <v>176</v>
      </c>
      <c r="E15" s="27" t="s">
        <v>180</v>
      </c>
      <c r="F15" s="55"/>
      <c r="G15" s="55">
        <v>4</v>
      </c>
      <c r="H15" s="55">
        <v>5</v>
      </c>
      <c r="I15" s="55">
        <v>143</v>
      </c>
      <c r="J15" s="55">
        <f t="shared" si="0"/>
        <v>715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177</v>
      </c>
      <c r="E16" s="27" t="s">
        <v>181</v>
      </c>
      <c r="F16" s="55"/>
      <c r="G16" s="55">
        <v>4</v>
      </c>
      <c r="H16" s="55">
        <v>3</v>
      </c>
      <c r="I16" s="55">
        <v>78.430000000000007</v>
      </c>
      <c r="J16" s="55">
        <f t="shared" si="0"/>
        <v>235.29000000000002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200</v>
      </c>
      <c r="D17" s="27" t="s">
        <v>177</v>
      </c>
      <c r="E17" s="27" t="s">
        <v>181</v>
      </c>
      <c r="F17" s="55"/>
      <c r="G17" s="55">
        <v>4</v>
      </c>
      <c r="H17" s="55">
        <v>2</v>
      </c>
      <c r="I17" s="55">
        <v>101.75</v>
      </c>
      <c r="J17" s="55">
        <f t="shared" si="0"/>
        <v>203.5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174</v>
      </c>
      <c r="D18" s="27" t="s">
        <v>178</v>
      </c>
      <c r="E18" s="27" t="s">
        <v>182</v>
      </c>
      <c r="F18" s="55"/>
      <c r="G18" s="55">
        <v>4</v>
      </c>
      <c r="H18" s="55">
        <v>27</v>
      </c>
      <c r="I18" s="55">
        <v>33</v>
      </c>
      <c r="J18" s="55">
        <f t="shared" si="0"/>
        <v>891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201</v>
      </c>
      <c r="D19" s="27" t="s">
        <v>176</v>
      </c>
      <c r="E19" s="27" t="s">
        <v>207</v>
      </c>
      <c r="F19" s="55"/>
      <c r="G19" s="55">
        <v>4</v>
      </c>
      <c r="H19" s="55">
        <v>12</v>
      </c>
      <c r="I19" s="55">
        <v>31.46</v>
      </c>
      <c r="J19" s="55">
        <f t="shared" si="0"/>
        <v>377.52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202</v>
      </c>
      <c r="D20" s="27" t="s">
        <v>175</v>
      </c>
      <c r="E20" s="27" t="s">
        <v>208</v>
      </c>
      <c r="F20" s="55"/>
      <c r="G20" s="55">
        <v>4</v>
      </c>
      <c r="H20" s="55">
        <v>1</v>
      </c>
      <c r="I20" s="55">
        <v>38.5</v>
      </c>
      <c r="J20" s="55">
        <f t="shared" si="0"/>
        <v>38.5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PIaDQNUALmGjsI7O12XyaYap8PLcq5nZFI017l4HoHbO4+wFYsaoaxBe/HTTwn06VI6kS3igJgBXV4U/uf9JnA==" saltValue="SkkNHaMhi69B15BbIFgCD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7" sqref="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209</v>
      </c>
      <c r="D16" s="70" t="s">
        <v>30</v>
      </c>
      <c r="E16" s="55">
        <v>1</v>
      </c>
      <c r="F16" s="55">
        <v>80.3</v>
      </c>
      <c r="G16" s="55">
        <f>E16*F16</f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30</v>
      </c>
      <c r="E17" s="55">
        <v>9</v>
      </c>
      <c r="F17" s="55">
        <v>4.4000000000000004</v>
      </c>
      <c r="G17" s="55">
        <f t="shared" ref="G17:G26" si="0">E17*F17</f>
        <v>39.6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30</v>
      </c>
      <c r="E18" s="55">
        <v>2</v>
      </c>
      <c r="F18" s="55">
        <v>6.6</v>
      </c>
      <c r="G18" s="55">
        <f t="shared" si="0"/>
        <v>13.2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210</v>
      </c>
      <c r="D19" s="70" t="s">
        <v>30</v>
      </c>
      <c r="E19" s="55">
        <v>16</v>
      </c>
      <c r="F19" s="55">
        <v>6.6</v>
      </c>
      <c r="G19" s="55">
        <f t="shared" si="0"/>
        <v>105.6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30</v>
      </c>
      <c r="E20" s="55">
        <v>16</v>
      </c>
      <c r="F20" s="55">
        <v>3.1</v>
      </c>
      <c r="G20" s="55">
        <f t="shared" si="0"/>
        <v>49.6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188</v>
      </c>
      <c r="D21" s="70" t="s">
        <v>29</v>
      </c>
      <c r="E21" s="55">
        <v>1</v>
      </c>
      <c r="F21" s="55">
        <v>59.4</v>
      </c>
      <c r="G21" s="55">
        <f t="shared" si="0"/>
        <v>59.4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189</v>
      </c>
      <c r="D22" s="70" t="s">
        <v>30</v>
      </c>
      <c r="E22" s="55">
        <v>10</v>
      </c>
      <c r="F22" s="55">
        <v>2.5299999999999998</v>
      </c>
      <c r="G22" s="55">
        <f t="shared" si="0"/>
        <v>25.299999999999997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190</v>
      </c>
      <c r="D23" s="70" t="s">
        <v>30</v>
      </c>
      <c r="E23" s="55">
        <v>1</v>
      </c>
      <c r="F23" s="55">
        <v>31.9</v>
      </c>
      <c r="G23" s="55">
        <f t="shared" si="0"/>
        <v>31.9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211</v>
      </c>
      <c r="D24" s="70" t="s">
        <v>30</v>
      </c>
      <c r="E24" s="55">
        <v>2</v>
      </c>
      <c r="F24" s="55">
        <v>60.5</v>
      </c>
      <c r="G24" s="55">
        <f t="shared" si="0"/>
        <v>121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183</v>
      </c>
      <c r="D25" s="70" t="s">
        <v>30</v>
      </c>
      <c r="E25" s="55">
        <v>1</v>
      </c>
      <c r="F25" s="55">
        <v>6.28</v>
      </c>
      <c r="G25" s="55">
        <f t="shared" si="0"/>
        <v>6.28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185</v>
      </c>
      <c r="D26" s="70" t="s">
        <v>30</v>
      </c>
      <c r="E26" s="55">
        <v>25</v>
      </c>
      <c r="F26" s="55">
        <v>5.5</v>
      </c>
      <c r="G26" s="55">
        <f t="shared" si="0"/>
        <v>137.5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31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2018-06-08T05:36:06Z</dcterms:modified>
</cp:coreProperties>
</file>