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Supplies_Medical'!$C$15:$C$51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8" i="9" l="1"/>
  <c r="G27" i="9"/>
  <c r="G26" i="9"/>
  <c r="G25" i="9"/>
  <c r="I19" i="2"/>
  <c r="I17" i="2"/>
  <c r="J18" i="2"/>
  <c r="J19" i="2"/>
  <c r="I14" i="2"/>
  <c r="G23" i="9"/>
  <c r="J17" i="2"/>
  <c r="J16" i="2"/>
  <c r="J15" i="2"/>
  <c r="J11" i="2"/>
  <c r="G17" i="9" l="1"/>
  <c r="G18" i="9"/>
  <c r="G19" i="9"/>
  <c r="G20" i="9"/>
  <c r="G21" i="9"/>
  <c r="G22" i="9"/>
  <c r="G24" i="9"/>
  <c r="G16" i="9"/>
  <c r="J12" i="2" l="1"/>
  <c r="J13" i="2"/>
  <c r="J14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<sst xmlns="http://schemas.openxmlformats.org/spreadsheetml/2006/main" count="511" uniqueCount="209">
  <si>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</si>
  <si>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</si>
  <si>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</si>
  <si>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</si>
  <si>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</si>
  <si>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</si>
  <si>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</si>
  <si>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</si>
  <si>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</si>
  <si>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</si>
  <si>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</si>
  <si>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</si>
  <si>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</si>
  <si>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</si>
  <si>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</si>
  <si>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</si>
  <si>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</si>
  <si>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250mg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</si>
  <si>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</si>
  <si>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</si>
  <si>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</si>
  <si>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</si>
  <si>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</si>
  <si>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</si>
  <si>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</si>
  <si>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</si>
  <si>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</si>
  <si>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</si>
  <si>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</si>
  <si>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</si>
  <si>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</si>
  <si>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</si>
  <si>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</si>
  <si>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</si>
  <si>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</si>
  <si>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</si>
  <si>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</si>
  <si>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</si>
  <si>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</si>
  <si>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</si>
  <si>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</si>
  <si>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</si>
  <si>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</si>
  <si>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</si>
  <si>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</si>
  <si>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</si>
  <si>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</si>
  <si>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</si>
  <si>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</si>
  <si>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</si>
  <si>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</si>
  <si>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</si>
  <si>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</si>
  <si>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</si>
  <si>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</si>
  <si>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</si>
  <si>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</si>
  <si>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</si>
  <si>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</si>
  <si>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</si>
  <si>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</si>
  <si>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</si>
  <si>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</si>
  <si>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</si>
  <si>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</si>
  <si>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</si>
  <si>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</si>
  <si>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</si>
  <si>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</si>
  <si>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</si>
  <si>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</si>
  <si>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</si>
  <si>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</si>
  <si>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</si>
  <si>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</si>
  <si>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</si>
  <si>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</si>
  <si>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</si>
  <si>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</si>
  <si>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</si>
  <si>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</si>
  <si>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</si>
  <si>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</si>
  <si>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</si>
  <si>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</si>
  <si>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</si>
  <si>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</si>
  <si>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</si>
  <si>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</si>
  <si>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</si>
  <si>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</si>
  <si>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</si>
  <si>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</si>
  <si>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</si>
  <si>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</si>
  <si>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</si>
  <si>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</si>
  <si>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</si>
  <si>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</si>
  <si>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</si>
  <si>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</si>
  <si>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</si>
  <si>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</si>
  <si>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</si>
  <si>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</si>
  <si>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</si>
  <si>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</si>
  <si>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</si>
  <si>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</si>
  <si>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</si>
  <si>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</si>
  <si>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</si>
  <si>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</si>
  <si>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</si>
  <si>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</si>
  <si>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</si>
  <si>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</si>
  <si>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</si>
  <si>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</si>
  <si>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</si>
  <si>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</si>
  <si>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</si>
  <si>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</si>
  <si>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</si>
  <si>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</si>
  <si>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</si>
  <si>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</si>
  <si>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</si>
  <si>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</si>
  <si>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</si>
  <si>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</si>
  <si>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</si>
  <si>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</si>
  <si>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</si>
  <si>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</si>
  <si>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</si>
  <si>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</si>
  <si>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</si>
  <si>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</si>
  <si>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</si>
  <si>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</si>
  <si>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</si>
  <si>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</si>
  <si>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</si>
  <si>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</si>
  <si>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</si>
  <si>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</si>
  <si>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</si>
  <si>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</si>
  <si>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</si>
  <si>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</si>
  <si>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</si>
  <si>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</si>
  <si>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</si>
  <si>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</si>
  <si>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</si>
  <si>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</si>
  <si>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</si>
  <si>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</si>
  <si>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</si>
  <si>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</si>
  <si>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</si>
  <si>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</si>
  <si>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</si>
  <si>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</si>
  <si>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</si>
  <si>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</si>
  <si>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AGE</t>
  </si>
  <si>
    <t>A09.9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</si>
  <si>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</si>
  <si>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</si>
  <si>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</si>
  <si>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</si>
  <si>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</si>
  <si>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</si>
  <si>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Zinc Sulfate</t>
  </si>
  <si>
    <t>bottle</t>
  </si>
  <si>
    <t>Ampicillin Sodium</t>
  </si>
  <si>
    <t>vial</t>
  </si>
  <si>
    <t>500mg</t>
  </si>
  <si>
    <t>5% Dextrose in 0.3% Sodium Chloride</t>
  </si>
  <si>
    <t>Racecadotril</t>
  </si>
  <si>
    <t>sachet</t>
  </si>
  <si>
    <t>10mg</t>
  </si>
  <si>
    <t>Disposable Mask</t>
  </si>
  <si>
    <t>1cc/tbs</t>
  </si>
  <si>
    <t>3cc</t>
  </si>
  <si>
    <t>Clean Gloves</t>
  </si>
  <si>
    <t>Surgical Gauze</t>
  </si>
  <si>
    <t>IV Cath G. 24</t>
  </si>
  <si>
    <t>IV Cath G. 26</t>
  </si>
  <si>
    <t>ID Bracelet</t>
  </si>
  <si>
    <t>ampul</t>
  </si>
  <si>
    <t>Sterile Water for Injection</t>
  </si>
  <si>
    <t>Thermometer</t>
  </si>
  <si>
    <t>Hema Package 1 (CBC, Platelet Count)</t>
  </si>
  <si>
    <t>Ranitidine Hydrochloride</t>
  </si>
  <si>
    <t>Diphenhydramine HCI</t>
  </si>
  <si>
    <t>BMMS fro Pedia</t>
  </si>
  <si>
    <t>syrup</t>
  </si>
  <si>
    <t>25mg/ml</t>
  </si>
  <si>
    <t>50mg/ml</t>
  </si>
  <si>
    <t>500ml</t>
  </si>
  <si>
    <t>50ml</t>
  </si>
  <si>
    <t>5cc</t>
  </si>
  <si>
    <t>Microset</t>
  </si>
  <si>
    <t>55mg/5ml</t>
  </si>
  <si>
    <t>Micropore</t>
  </si>
  <si>
    <t>Macroset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</si>
</sst>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30</xdr:row>
          <xdr:rowOff>28575</xdr:rowOff>
        </xdr:from>
        <xdr:to>
          <xdr:col>1</xdr:col>
          <xdr:colOff>762000</xdr:colOff>
          <xdr:row>30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30</xdr:row>
          <xdr:rowOff>28575</xdr:rowOff>
        </xdr:from>
        <xdr:to>
          <xdr:col>1</xdr:col>
          <xdr:colOff>1533525</xdr:colOff>
          <xdr:row>30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28575</xdr:rowOff>
        </xdr:from>
        <xdr:to>
          <xdr:col>1</xdr:col>
          <xdr:colOff>771525</xdr:colOff>
          <xdr:row>41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41</xdr:row>
          <xdr:rowOff>28575</xdr:rowOff>
        </xdr:from>
        <xdr:to>
          <xdr:col>1</xdr:col>
          <xdr:colOff>1543050</xdr:colOff>
          <xdr:row>41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5" zoomScaleNormal="100" workbookViewId="0">
      <selection activeCell="D70" sqref="D7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167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63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64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55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46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18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19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20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47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48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56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21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58</v>
      </c>
      <c r="C59" s="17" t="s">
        <v>54</v>
      </c>
      <c r="D59" s="17" t="s">
        <v>59</v>
      </c>
      <c r="E59" s="18" t="s">
        <v>60</v>
      </c>
      <c r="F59" s="19" t="s">
        <v>22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169</v>
      </c>
      <c r="D60" s="55">
        <v>1400.63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170</v>
      </c>
      <c r="D61" s="55">
        <v>816.88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171</v>
      </c>
      <c r="D62" s="55">
        <v>250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172</v>
      </c>
      <c r="D63" s="55">
        <v>20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173</v>
      </c>
      <c r="D64" s="55">
        <v>400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174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23</v>
      </c>
      <c r="D71" s="59">
        <f>SUM(D60:D70)</f>
        <v>4687.51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J11" sqref="J11:J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AGE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67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196</v>
      </c>
      <c r="D11" s="27" t="s">
        <v>192</v>
      </c>
      <c r="E11" s="27" t="s">
        <v>200</v>
      </c>
      <c r="F11" s="55"/>
      <c r="G11" s="55">
        <v>2</v>
      </c>
      <c r="H11" s="55">
        <v>1</v>
      </c>
      <c r="I11" s="55">
        <v>31.9</v>
      </c>
      <c r="J11" s="55">
        <f>H11*I11</f>
        <v>31.9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197</v>
      </c>
      <c r="D12" s="27" t="s">
        <v>192</v>
      </c>
      <c r="E12" s="27" t="s">
        <v>201</v>
      </c>
      <c r="F12" s="55"/>
      <c r="G12" s="55">
        <v>2</v>
      </c>
      <c r="H12" s="55">
        <v>3</v>
      </c>
      <c r="I12" s="55">
        <v>95.333333333333329</v>
      </c>
      <c r="J12" s="55">
        <f t="shared" ref="J12:J26" si="0">H12*I12</f>
        <v>286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176</v>
      </c>
      <c r="E13" s="27" t="s">
        <v>202</v>
      </c>
      <c r="F13" s="55"/>
      <c r="G13" s="55">
        <v>2</v>
      </c>
      <c r="H13" s="55">
        <v>3</v>
      </c>
      <c r="I13" s="55">
        <v>78.430000000000007</v>
      </c>
      <c r="J13" s="55">
        <f t="shared" si="0"/>
        <v>235.29000000000002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177</v>
      </c>
      <c r="D14" s="27" t="s">
        <v>178</v>
      </c>
      <c r="E14" s="27" t="s">
        <v>179</v>
      </c>
      <c r="F14" s="55"/>
      <c r="G14" s="55">
        <v>2</v>
      </c>
      <c r="H14" s="55">
        <v>6</v>
      </c>
      <c r="I14" s="55">
        <f>42.02/2</f>
        <v>21.01</v>
      </c>
      <c r="J14" s="55">
        <f t="shared" si="0"/>
        <v>126.06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198</v>
      </c>
      <c r="D15" s="27" t="s">
        <v>176</v>
      </c>
      <c r="E15" s="27" t="s">
        <v>202</v>
      </c>
      <c r="F15" s="55"/>
      <c r="G15" s="55">
        <v>2</v>
      </c>
      <c r="H15" s="55">
        <v>1</v>
      </c>
      <c r="I15" s="55">
        <v>78.430000000000007</v>
      </c>
      <c r="J15" s="55">
        <f t="shared" ref="J15:J19" si="1">H15*I15</f>
        <v>78.430000000000007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178</v>
      </c>
      <c r="E16" s="27" t="s">
        <v>203</v>
      </c>
      <c r="F16" s="55"/>
      <c r="G16" s="55">
        <v>2</v>
      </c>
      <c r="H16" s="55">
        <v>2</v>
      </c>
      <c r="I16" s="55">
        <v>38.5</v>
      </c>
      <c r="J16" s="55">
        <f t="shared" si="1"/>
        <v>77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181</v>
      </c>
      <c r="D17" s="27" t="s">
        <v>182</v>
      </c>
      <c r="E17" s="27" t="s">
        <v>183</v>
      </c>
      <c r="F17" s="55"/>
      <c r="G17" s="55">
        <v>2</v>
      </c>
      <c r="H17" s="55">
        <v>6</v>
      </c>
      <c r="I17" s="55">
        <f>163.35/3</f>
        <v>54.449999999999996</v>
      </c>
      <c r="J17" s="55">
        <f t="shared" si="1"/>
        <v>326.7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175</v>
      </c>
      <c r="D18" s="27" t="s">
        <v>199</v>
      </c>
      <c r="E18" s="27" t="s">
        <v>206</v>
      </c>
      <c r="F18" s="55"/>
      <c r="G18" s="55">
        <v>2</v>
      </c>
      <c r="H18" s="55">
        <v>1</v>
      </c>
      <c r="I18" s="55">
        <v>137.5</v>
      </c>
      <c r="J18" s="55">
        <f t="shared" si="1"/>
        <v>137.5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177</v>
      </c>
      <c r="D19" s="27" t="s">
        <v>178</v>
      </c>
      <c r="E19" s="27" t="s">
        <v>17</v>
      </c>
      <c r="F19" s="55"/>
      <c r="G19" s="55">
        <v>2</v>
      </c>
      <c r="H19" s="55">
        <v>5</v>
      </c>
      <c r="I19" s="55">
        <f>40.7/2</f>
        <v>20.350000000000001</v>
      </c>
      <c r="J19" s="55">
        <f t="shared" si="1"/>
        <v>101.75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5"/>
  <sheetViews>
    <sheetView topLeftCell="A7" workbookViewId="0">
      <selection activeCell="G16" sqref="G16:G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24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25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72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26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27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28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29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75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184</v>
      </c>
      <c r="D16" s="70" t="s">
        <v>30</v>
      </c>
      <c r="E16" s="55">
        <v>5</v>
      </c>
      <c r="F16" s="55">
        <v>4.4000000000000004</v>
      </c>
      <c r="G16" s="55">
        <f>E16*F16</f>
        <v>22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204</v>
      </c>
      <c r="D17" s="70" t="s">
        <v>30</v>
      </c>
      <c r="E17" s="55">
        <v>9</v>
      </c>
      <c r="F17" s="55">
        <v>6.6</v>
      </c>
      <c r="G17" s="55">
        <f t="shared" ref="G17:G28" si="0">E17*F17</f>
        <v>59.4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186</v>
      </c>
      <c r="D18" s="70" t="s">
        <v>30</v>
      </c>
      <c r="E18" s="55">
        <v>3</v>
      </c>
      <c r="F18" s="55">
        <v>5.5</v>
      </c>
      <c r="G18" s="55">
        <f t="shared" si="0"/>
        <v>16.5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187</v>
      </c>
      <c r="D19" s="70" t="s">
        <v>30</v>
      </c>
      <c r="E19" s="55">
        <v>6</v>
      </c>
      <c r="F19" s="55">
        <v>3.1</v>
      </c>
      <c r="G19" s="55">
        <f t="shared" si="0"/>
        <v>18.600000000000001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188</v>
      </c>
      <c r="D20" s="70" t="s">
        <v>30</v>
      </c>
      <c r="E20" s="55">
        <v>10</v>
      </c>
      <c r="F20" s="55">
        <v>2.5299999999999998</v>
      </c>
      <c r="G20" s="55">
        <f t="shared" si="0"/>
        <v>25.299999999999997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189</v>
      </c>
      <c r="D21" s="70" t="s">
        <v>30</v>
      </c>
      <c r="E21" s="55">
        <v>5</v>
      </c>
      <c r="F21" s="55">
        <v>60.5</v>
      </c>
      <c r="G21" s="55">
        <f t="shared" si="0"/>
        <v>302.5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194</v>
      </c>
      <c r="D22" s="70" t="s">
        <v>30</v>
      </c>
      <c r="E22" s="55">
        <v>1</v>
      </c>
      <c r="F22" s="55">
        <v>80.3</v>
      </c>
      <c r="G22" s="55">
        <f t="shared" si="0"/>
        <v>80.3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205</v>
      </c>
      <c r="D23" s="70" t="s">
        <v>30</v>
      </c>
      <c r="E23" s="55">
        <v>1</v>
      </c>
      <c r="F23" s="55">
        <v>34.1</v>
      </c>
      <c r="G23" s="55">
        <f t="shared" ref="G23" si="1">E23*F23</f>
        <v>34.1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191</v>
      </c>
      <c r="D24" s="70" t="s">
        <v>30</v>
      </c>
      <c r="E24" s="55">
        <v>1</v>
      </c>
      <c r="F24" s="55">
        <v>6.28</v>
      </c>
      <c r="G24" s="55">
        <f t="shared" si="0"/>
        <v>6.28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185</v>
      </c>
      <c r="D25" s="70" t="s">
        <v>30</v>
      </c>
      <c r="E25" s="55">
        <v>6</v>
      </c>
      <c r="F25" s="55">
        <v>6.6</v>
      </c>
      <c r="G25" s="55">
        <f t="shared" si="0"/>
        <v>39.599999999999994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207</v>
      </c>
      <c r="D26" s="70" t="s">
        <v>30</v>
      </c>
      <c r="E26" s="55">
        <v>1</v>
      </c>
      <c r="F26" s="55">
        <v>59.4</v>
      </c>
      <c r="G26" s="55">
        <f t="shared" si="0"/>
        <v>59.4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208</v>
      </c>
      <c r="D27" s="70" t="s">
        <v>30</v>
      </c>
      <c r="E27" s="55">
        <v>1</v>
      </c>
      <c r="F27" s="55">
        <v>31.9</v>
      </c>
      <c r="G27" s="55">
        <f t="shared" si="0"/>
        <v>31.9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190</v>
      </c>
      <c r="D28" s="70" t="s">
        <v>30</v>
      </c>
      <c r="E28" s="55">
        <v>2</v>
      </c>
      <c r="F28" s="55">
        <v>60.5</v>
      </c>
      <c r="G28" s="55">
        <f t="shared" si="0"/>
        <v>121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136" t="s">
        <v>79</v>
      </c>
      <c r="C30" s="137"/>
      <c r="D30" s="137"/>
      <c r="E30" s="137"/>
      <c r="F30" s="137"/>
      <c r="G30" s="138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2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3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4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5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6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7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8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9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10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136" t="s">
        <v>31</v>
      </c>
      <c r="C41" s="137"/>
      <c r="D41" s="137"/>
      <c r="E41" s="137"/>
      <c r="F41" s="137"/>
      <c r="G41" s="138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2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3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4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5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6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7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8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9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10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A52" s="44"/>
      <c r="B52" s="39"/>
      <c r="C52" s="44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</sheetData>
  <sheetProtection algorithmName="SHA-512" hashValue="TwRRXwLY0TVxutUNr+DVy7FHQHi0tChkmXOf0AQTQetf3sdpRBZ2Mba3YhQ4zpwLi/DATqAPR44Rq31ec4VkPg==" saltValue="q7oy6PbQqR1365mRSjjHWg==" spinCount="100000" sheet="1" objects="1" scenarios="1" formatColumns="0" formatRows="0" sort="0" autoFilter="0"/>
  <mergeCells count="9">
    <mergeCell ref="B7:G7"/>
    <mergeCell ref="B30:G30"/>
    <mergeCell ref="B41:G41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1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30</xdr:row>
                    <xdr:rowOff>28575</xdr:rowOff>
                  </from>
                  <to>
                    <xdr:col>1</xdr:col>
                    <xdr:colOff>762000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30</xdr:row>
                    <xdr:rowOff>28575</xdr:rowOff>
                  </from>
                  <to>
                    <xdr:col>1</xdr:col>
                    <xdr:colOff>1533525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41</xdr:row>
                    <xdr:rowOff>28575</xdr:rowOff>
                  </from>
                  <to>
                    <xdr:col>1</xdr:col>
                    <xdr:colOff>771525</xdr:colOff>
                    <xdr:row>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41</xdr:row>
                    <xdr:rowOff>28575</xdr:rowOff>
                  </from>
                  <to>
                    <xdr:col>1</xdr:col>
                    <xdr:colOff>1543050</xdr:colOff>
                    <xdr:row>41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4" sqref="D13:K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34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cp:lastPrinted>2018-05-30T09:08:42Z</cp:lastPrinted>
  <dcterms:created xsi:type="dcterms:W3CDTF">2018-05-11T08:46:15Z</dcterms:created>
  <dcterms:modified xsi:type="dcterms:W3CDTF">2018-06-08T05:37:58Z</dcterms:modified>
</cp:coreProperties>
</file>