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27" i="9" l="1"/>
  <c r="G25" i="9"/>
  <c r="J11" i="2" l="1"/>
  <c r="J34" i="2" l="1"/>
  <c r="J27" i="2"/>
  <c r="G28" i="9" l="1"/>
  <c r="G26" i="9"/>
  <c r="G24" i="9"/>
  <c r="G23" i="9"/>
  <c r="J33" i="2"/>
  <c r="J32" i="2"/>
  <c r="J31" i="2"/>
  <c r="J30" i="2"/>
  <c r="J29" i="2"/>
  <c r="J28" i="2"/>
  <c r="G19" i="9"/>
  <c r="G20" i="9"/>
  <c r="G21" i="9"/>
  <c r="G22" i="9"/>
  <c r="G17" i="9"/>
  <c r="G18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<sst xmlns="http://schemas.openxmlformats.org/spreadsheetml/2006/main" count="526" uniqueCount="222">
  <si>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</si>
  <si>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</si>
  <si>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</si>
  <si>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</si>
  <si>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</si>
  <si>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</si>
  <si>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</si>
  <si>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</si>
  <si>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</si>
  <si>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</si>
  <si>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</si>
  <si>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</si>
  <si>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</si>
  <si>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</si>
  <si>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</si>
  <si>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</si>
  <si>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</si>
  <si>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</si>
  <si>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</si>
  <si>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</si>
  <si>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</si>
  <si>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</si>
  <si>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</si>
  <si>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</si>
  <si>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</si>
  <si>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</si>
  <si>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</si>
  <si>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</si>
  <si>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</si>
  <si>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</si>
  <si>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</si>
  <si>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</si>
  <si>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</si>
  <si>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</si>
  <si>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</si>
  <si>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</si>
  <si>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</si>
  <si>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</si>
  <si>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</si>
  <si>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</si>
  <si>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</si>
  <si>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</si>
  <si>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</si>
  <si>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</si>
  <si>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</si>
  <si>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</si>
  <si>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</si>
  <si>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</si>
  <si>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</si>
  <si>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</si>
  <si>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</si>
  <si>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</si>
  <si>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</si>
  <si>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</si>
  <si>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</si>
  <si>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</si>
  <si>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</si>
  <si>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</si>
  <si>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</si>
  <si>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</si>
  <si>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</si>
  <si>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</si>
  <si>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</si>
  <si>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</si>
  <si>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</si>
  <si>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</si>
  <si>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</si>
  <si>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</si>
  <si>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</si>
  <si>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</si>
  <si>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</si>
  <si>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</si>
  <si>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</si>
  <si>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</si>
  <si>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</si>
  <si>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</si>
  <si>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</si>
  <si>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</si>
  <si>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</si>
  <si>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</si>
  <si>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</si>
  <si>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</si>
  <si>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</si>
  <si>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</si>
  <si>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</si>
  <si>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</si>
  <si>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</si>
  <si>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</si>
  <si>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</si>
  <si>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</si>
  <si>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</si>
  <si>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</si>
  <si>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</si>
  <si>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</si>
  <si>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</si>
  <si>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</si>
  <si>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</si>
  <si>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</si>
  <si>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</si>
  <si>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</si>
  <si>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</si>
  <si>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</si>
  <si>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</si>
  <si>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</si>
  <si>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</si>
  <si>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</si>
  <si>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</si>
  <si>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</si>
  <si>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</si>
  <si>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</si>
  <si>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</si>
  <si>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</si>
  <si>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</si>
  <si>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</si>
  <si>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</si>
  <si>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</si>
  <si>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</si>
  <si>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</si>
  <si>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</si>
  <si>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</si>
  <si>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</si>
  <si>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</si>
  <si>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</si>
  <si>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</si>
  <si>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</si>
  <si>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</si>
  <si>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</si>
  <si>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</si>
  <si>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</si>
  <si>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</si>
  <si>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</si>
  <si>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</si>
  <si>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</si>
  <si>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</si>
  <si>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</si>
  <si>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</si>
  <si>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</si>
  <si>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</si>
  <si>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</si>
  <si>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</si>
  <si>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</si>
  <si>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</si>
  <si>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</si>
  <si>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</si>
  <si>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</si>
  <si>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</si>
  <si>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</si>
  <si>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</si>
  <si>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</si>
  <si>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</si>
  <si>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</si>
  <si>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</si>
  <si>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</si>
  <si>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</si>
  <si>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</si>
  <si>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</si>
  <si>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</si>
  <si>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</si>
  <si>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</si>
  <si>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</si>
  <si>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</si>
  <si>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</si>
  <si>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</si>
  <si>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</si>
  <si>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</si>
  <si>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</si>
  <si>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</si>
  <si>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</si>
  <si>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</si>
  <si>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</si>
  <si>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</si>
  <si>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</si>
  <si>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</si>
  <si>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</si>
  <si>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</si>
  <si>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</si>
  <si>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500mg</t>
  </si>
  <si>
    <t>Disposable Mask</t>
  </si>
  <si>
    <t>3cc</t>
  </si>
  <si>
    <t>5cc</t>
  </si>
  <si>
    <t>Clean Gloves</t>
  </si>
  <si>
    <t>Surgical Gauze</t>
  </si>
  <si>
    <t>ID Bracelet</t>
  </si>
  <si>
    <t>0.9% Sodium Chloride</t>
  </si>
  <si>
    <t>tablet</t>
  </si>
  <si>
    <t>40mg</t>
  </si>
  <si>
    <t>Micropore</t>
  </si>
  <si>
    <t>Macroset</t>
  </si>
  <si>
    <t>CAP MR</t>
  </si>
  <si>
    <t>J18.92</t>
  </si>
  <si>
    <t>Sterile Water for Injection</t>
  </si>
  <si>
    <t>750mg</t>
  </si>
  <si>
    <t>nebule</t>
  </si>
  <si>
    <t>Adult-O2 Can</t>
  </si>
  <si>
    <t>IV Cath G. 22</t>
  </si>
  <si>
    <t>Neb Kit</t>
  </si>
  <si>
    <t>Sulbactam/Ampicillin</t>
  </si>
  <si>
    <t>ampul</t>
  </si>
  <si>
    <t>Azithromycin Monhydrate</t>
  </si>
  <si>
    <t>Budesonide</t>
  </si>
  <si>
    <t>250mcg/ml</t>
  </si>
  <si>
    <t>1000ml</t>
  </si>
  <si>
    <t>Hydrocortisone Sodium Succinate</t>
  </si>
  <si>
    <t>250mg</t>
  </si>
  <si>
    <t>Doxofylline</t>
  </si>
  <si>
    <t>400mg</t>
  </si>
  <si>
    <t>50ml</t>
  </si>
  <si>
    <t>Hema Package 1(CBC, Platelet Count)</t>
  </si>
  <si>
    <t>Omeprazole</t>
  </si>
  <si>
    <t>Multivitamins+Dextrose</t>
  </si>
  <si>
    <t>Amino Acid</t>
  </si>
  <si>
    <t>Cefuroxime Sodium</t>
  </si>
  <si>
    <t>Salmeterol+Fluticasone Propionate</t>
  </si>
  <si>
    <t>inhaler</t>
  </si>
  <si>
    <t>500ml</t>
  </si>
  <si>
    <t>250mcg</t>
  </si>
  <si>
    <t>Ipratropium Bromide 500mg+Salbutamol 25mg</t>
  </si>
  <si>
    <t>Acetylcysteine Effervescent</t>
  </si>
  <si>
    <t>dispersable tablet</t>
  </si>
  <si>
    <t>600mg</t>
  </si>
  <si>
    <t>NG25/N25</t>
  </si>
  <si>
    <t>Adult-O2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</si>
</sst>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64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65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56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47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9" t="s">
        <v>19</v>
      </c>
      <c r="C40" s="120"/>
      <c r="D40" s="117"/>
      <c r="E40" s="120"/>
      <c r="F40" s="11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48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49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6" t="s">
        <v>57</v>
      </c>
      <c r="C47" s="117"/>
      <c r="D47" s="117"/>
      <c r="E47" s="117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20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59</v>
      </c>
      <c r="C61" s="17" t="s">
        <v>55</v>
      </c>
      <c r="D61" s="17" t="s">
        <v>60</v>
      </c>
      <c r="E61" s="18" t="s">
        <v>61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168</v>
      </c>
      <c r="D62" s="55">
        <v>5525.17</v>
      </c>
      <c r="E62" s="55">
        <v>1381.29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169</v>
      </c>
      <c r="D63" s="55">
        <v>474.92</v>
      </c>
      <c r="E63" s="55">
        <v>118.74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66</v>
      </c>
      <c r="D64" s="55">
        <v>456</v>
      </c>
      <c r="E64" s="55">
        <v>114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170</v>
      </c>
      <c r="D65" s="55">
        <v>200</v>
      </c>
      <c r="E65" s="55">
        <v>50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171</v>
      </c>
      <c r="D66" s="55">
        <v>8</v>
      </c>
      <c r="E66" s="55">
        <v>2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172</v>
      </c>
      <c r="D67" s="55">
        <v>160</v>
      </c>
      <c r="E67" s="55">
        <v>40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173</v>
      </c>
      <c r="D68" s="55">
        <v>4500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11324.09</v>
      </c>
      <c r="E73" s="59">
        <f>SUM(E62:E72)</f>
        <v>1706.03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B9" workbookViewId="0">
      <selection activeCell="G24" sqref="G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68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208</v>
      </c>
      <c r="D11" s="27" t="s">
        <v>175</v>
      </c>
      <c r="E11" s="27" t="s">
        <v>185</v>
      </c>
      <c r="F11" s="55"/>
      <c r="G11" s="55">
        <v>1</v>
      </c>
      <c r="H11" s="55">
        <v>3</v>
      </c>
      <c r="I11" s="55">
        <v>280.5</v>
      </c>
      <c r="J11" s="55">
        <f t="shared" ref="J11" si="0">H11*I11</f>
        <v>841.5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209</v>
      </c>
      <c r="D12" s="27" t="s">
        <v>174</v>
      </c>
      <c r="E12" s="27" t="s">
        <v>214</v>
      </c>
      <c r="F12" s="55"/>
      <c r="G12" s="55">
        <v>1</v>
      </c>
      <c r="H12" s="55">
        <v>1</v>
      </c>
      <c r="I12" s="55">
        <v>770</v>
      </c>
      <c r="J12" s="55">
        <f t="shared" ref="J12:J33" si="1">H12*I12</f>
        <v>770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210</v>
      </c>
      <c r="D13" s="27" t="s">
        <v>197</v>
      </c>
      <c r="E13" s="115">
        <v>0.05</v>
      </c>
      <c r="F13" s="55"/>
      <c r="G13" s="55">
        <v>1</v>
      </c>
      <c r="H13" s="55">
        <v>1</v>
      </c>
      <c r="I13" s="55">
        <v>401.5</v>
      </c>
      <c r="J13" s="55">
        <f t="shared" si="1"/>
        <v>401.5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184</v>
      </c>
      <c r="E14" s="27" t="s">
        <v>191</v>
      </c>
      <c r="F14" s="55"/>
      <c r="G14" s="55">
        <v>1</v>
      </c>
      <c r="H14" s="55">
        <v>15</v>
      </c>
      <c r="I14" s="55">
        <v>99</v>
      </c>
      <c r="J14" s="55">
        <f t="shared" si="1"/>
        <v>1485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211</v>
      </c>
      <c r="D15" s="27" t="s">
        <v>175</v>
      </c>
      <c r="E15" s="27" t="s">
        <v>191</v>
      </c>
      <c r="F15" s="55"/>
      <c r="G15" s="55">
        <v>1</v>
      </c>
      <c r="H15" s="55">
        <v>5</v>
      </c>
      <c r="I15" s="55">
        <v>52.8</v>
      </c>
      <c r="J15" s="55">
        <f t="shared" si="1"/>
        <v>264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192</v>
      </c>
      <c r="E16" s="27" t="s">
        <v>200</v>
      </c>
      <c r="F16" s="55"/>
      <c r="G16" s="55">
        <v>1</v>
      </c>
      <c r="H16" s="55">
        <v>2</v>
      </c>
      <c r="I16" s="55">
        <v>82.5</v>
      </c>
      <c r="J16" s="55">
        <f t="shared" si="1"/>
        <v>165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198</v>
      </c>
      <c r="D17" s="27" t="s">
        <v>184</v>
      </c>
      <c r="E17" s="27" t="s">
        <v>176</v>
      </c>
      <c r="F17" s="55"/>
      <c r="G17" s="55">
        <v>1</v>
      </c>
      <c r="H17" s="55">
        <v>5</v>
      </c>
      <c r="I17" s="55">
        <v>107.8</v>
      </c>
      <c r="J17" s="55">
        <f t="shared" si="1"/>
        <v>539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212</v>
      </c>
      <c r="D18" s="27" t="s">
        <v>213</v>
      </c>
      <c r="E18" s="27" t="s">
        <v>215</v>
      </c>
      <c r="F18" s="55"/>
      <c r="G18" s="55">
        <v>1</v>
      </c>
      <c r="H18" s="55">
        <v>1</v>
      </c>
      <c r="I18" s="55">
        <v>723.8</v>
      </c>
      <c r="J18" s="55">
        <f t="shared" si="1"/>
        <v>723.8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183</v>
      </c>
      <c r="D19" s="27" t="s">
        <v>174</v>
      </c>
      <c r="E19" s="27" t="s">
        <v>201</v>
      </c>
      <c r="F19" s="55"/>
      <c r="G19" s="55">
        <v>1</v>
      </c>
      <c r="H19" s="55">
        <v>2</v>
      </c>
      <c r="I19" s="55">
        <v>78.430000000000007</v>
      </c>
      <c r="J19" s="55">
        <f t="shared" si="1"/>
        <v>156.86000000000001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202</v>
      </c>
      <c r="D20" s="27" t="s">
        <v>175</v>
      </c>
      <c r="E20" s="27" t="s">
        <v>203</v>
      </c>
      <c r="F20" s="55"/>
      <c r="G20" s="55">
        <v>1</v>
      </c>
      <c r="H20" s="55">
        <v>2</v>
      </c>
      <c r="I20" s="55">
        <v>81.400000000000006</v>
      </c>
      <c r="J20" s="55">
        <f t="shared" si="1"/>
        <v>162.80000000000001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204</v>
      </c>
      <c r="D21" s="27" t="s">
        <v>184</v>
      </c>
      <c r="E21" s="27" t="s">
        <v>205</v>
      </c>
      <c r="F21" s="55"/>
      <c r="G21" s="55">
        <v>1</v>
      </c>
      <c r="H21" s="55">
        <v>7</v>
      </c>
      <c r="I21" s="55">
        <v>58.3</v>
      </c>
      <c r="J21" s="55">
        <f t="shared" si="1"/>
        <v>408.09999999999997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216</v>
      </c>
      <c r="D22" s="27" t="s">
        <v>192</v>
      </c>
      <c r="E22" s="27" t="s">
        <v>176</v>
      </c>
      <c r="F22" s="55"/>
      <c r="G22" s="55">
        <v>1</v>
      </c>
      <c r="H22" s="55">
        <v>24</v>
      </c>
      <c r="I22" s="55">
        <v>34.1</v>
      </c>
      <c r="J22" s="55">
        <f t="shared" si="1"/>
        <v>818.40000000000009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217</v>
      </c>
      <c r="D23" s="27" t="s">
        <v>218</v>
      </c>
      <c r="E23" s="27" t="s">
        <v>219</v>
      </c>
      <c r="F23" s="55"/>
      <c r="G23" s="55">
        <v>1</v>
      </c>
      <c r="H23" s="55">
        <v>2</v>
      </c>
      <c r="I23" s="55">
        <v>66</v>
      </c>
      <c r="J23" s="55">
        <f t="shared" si="1"/>
        <v>132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190</v>
      </c>
      <c r="D24" s="27" t="s">
        <v>175</v>
      </c>
      <c r="E24" s="27" t="s">
        <v>206</v>
      </c>
      <c r="F24" s="55"/>
      <c r="G24" s="55">
        <v>1</v>
      </c>
      <c r="H24" s="55">
        <v>1</v>
      </c>
      <c r="I24" s="55">
        <v>38.5</v>
      </c>
      <c r="J24" s="55">
        <f t="shared" si="1"/>
        <v>38.5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3" workbookViewId="0">
      <selection activeCell="G16" sqref="G16: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73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76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8</v>
      </c>
      <c r="F16" s="55">
        <v>4.4000000000000004</v>
      </c>
      <c r="G16" s="55">
        <f>E16*F16</f>
        <v>35.200000000000003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30</v>
      </c>
      <c r="E17" s="55">
        <v>10</v>
      </c>
      <c r="F17" s="55">
        <v>6.6</v>
      </c>
      <c r="G17" s="55">
        <f t="shared" ref="G17:G19" si="0">E17*F17</f>
        <v>66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30</v>
      </c>
      <c r="E18" s="55">
        <v>6</v>
      </c>
      <c r="F18" s="55">
        <v>5.5</v>
      </c>
      <c r="G18" s="55">
        <f t="shared" si="0"/>
        <v>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220</v>
      </c>
      <c r="D19" s="70" t="s">
        <v>30</v>
      </c>
      <c r="E19" s="55">
        <v>2</v>
      </c>
      <c r="F19" s="55">
        <v>3.74</v>
      </c>
      <c r="G19" s="55">
        <f t="shared" si="0"/>
        <v>7.48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30</v>
      </c>
      <c r="E20" s="55">
        <v>10</v>
      </c>
      <c r="F20" s="55">
        <v>3.1</v>
      </c>
      <c r="G20" s="55">
        <f t="shared" ref="G20:G22" si="1">E20*F20</f>
        <v>31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181</v>
      </c>
      <c r="D21" s="70" t="s">
        <v>30</v>
      </c>
      <c r="E21" s="55">
        <v>20</v>
      </c>
      <c r="F21" s="55">
        <v>2.5299999999999998</v>
      </c>
      <c r="G21" s="55">
        <f t="shared" si="1"/>
        <v>50.599999999999994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186</v>
      </c>
      <c r="D22" s="70" t="s">
        <v>29</v>
      </c>
      <c r="E22" s="55">
        <v>1</v>
      </c>
      <c r="F22" s="55">
        <v>59.4</v>
      </c>
      <c r="G22" s="55">
        <f t="shared" si="1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221</v>
      </c>
      <c r="D23" s="70" t="s">
        <v>30</v>
      </c>
      <c r="E23" s="55">
        <v>1</v>
      </c>
      <c r="F23" s="55">
        <v>99</v>
      </c>
      <c r="G23" s="55">
        <f t="shared" ref="G23:G28" si="2">E23*F23</f>
        <v>99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193</v>
      </c>
      <c r="D24" s="70" t="s">
        <v>30</v>
      </c>
      <c r="E24" s="55">
        <v>1</v>
      </c>
      <c r="F24" s="55">
        <v>42.9</v>
      </c>
      <c r="G24" s="55">
        <f t="shared" si="2"/>
        <v>42.9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195</v>
      </c>
      <c r="D25" s="70" t="s">
        <v>31</v>
      </c>
      <c r="E25" s="55">
        <v>1</v>
      </c>
      <c r="F25" s="55">
        <v>70.400000000000006</v>
      </c>
      <c r="G25" s="55">
        <f>E25*F25</f>
        <v>70.400000000000006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187</v>
      </c>
      <c r="D26" s="70" t="s">
        <v>30</v>
      </c>
      <c r="E26" s="55">
        <v>1</v>
      </c>
      <c r="F26" s="55">
        <v>31.9</v>
      </c>
      <c r="G26" s="55">
        <f t="shared" si="2"/>
        <v>31.9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182</v>
      </c>
      <c r="D27" s="70" t="s">
        <v>30</v>
      </c>
      <c r="E27" s="55">
        <v>1</v>
      </c>
      <c r="F27" s="55">
        <v>6.28</v>
      </c>
      <c r="G27" s="55">
        <f t="shared" si="2"/>
        <v>6.28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194</v>
      </c>
      <c r="D28" s="70" t="s">
        <v>30</v>
      </c>
      <c r="E28" s="55">
        <v>1</v>
      </c>
      <c r="F28" s="55">
        <v>60.5</v>
      </c>
      <c r="G28" s="55">
        <f t="shared" si="2"/>
        <v>60.5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80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7" t="s">
        <v>32</v>
      </c>
      <c r="C43" s="138"/>
      <c r="D43" s="138"/>
      <c r="E43" s="138"/>
      <c r="F43" s="138"/>
      <c r="G43" s="139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7lKWP4oJWUMXAnu2K/8B5YKvCtFwNriswLhRzuJyeLUEqvLz9lfQzO7EFj0of2mdjtL7Zphuxj9okayb6lyD2Q==" saltValue="wgvmjifaJAJMtdQ5p9uq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35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2018-06-08T05:42:45Z</dcterms:modified>
</cp:coreProperties>
</file>