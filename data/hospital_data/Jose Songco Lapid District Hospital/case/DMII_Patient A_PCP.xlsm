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DM II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Supplies_Medical'!$C$15:$C$49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7" i="9" l="1"/>
  <c r="G19" i="9"/>
  <c r="G20" i="9"/>
  <c r="G21" i="9"/>
  <c r="G23" i="9"/>
  <c r="G24" i="9"/>
  <c r="G25" i="9"/>
  <c r="G26" i="9"/>
  <c r="G27" i="9"/>
  <c r="F22" i="9"/>
  <c r="G22" i="9" s="1"/>
  <c r="F19" i="9"/>
  <c r="F18" i="9"/>
  <c r="G18" i="9" s="1"/>
  <c r="F17" i="9"/>
  <c r="F16" i="9"/>
  <c r="G16" i="9" s="1"/>
  <c r="I13" i="2"/>
  <c r="J13" i="2" s="1"/>
  <c r="J12" i="2"/>
  <c r="J14" i="2"/>
  <c r="J15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<sst xmlns="http://schemas.openxmlformats.org/spreadsheetml/2006/main" count="503" uniqueCount="207">
  <si>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</si>
  <si>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</si>
  <si>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</si>
  <si>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</si>
  <si>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</si>
  <si>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</si>
  <si>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</si>
  <si>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</si>
  <si>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</si>
  <si>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</si>
  <si>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</si>
  <si>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</si>
  <si>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</si>
  <si>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</si>
  <si>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</si>
  <si>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</si>
  <si>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</si>
  <si>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</si>
  <si>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</si>
  <si>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</si>
  <si>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</si>
  <si>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</si>
  <si>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</si>
  <si>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</si>
  <si>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</si>
  <si>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</si>
  <si>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</si>
  <si>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</si>
  <si>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</si>
  <si>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</si>
  <si>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</si>
  <si>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</si>
  <si>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</si>
  <si>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</si>
  <si>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</si>
  <si>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</si>
  <si>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</si>
  <si>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</si>
  <si>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</si>
  <si>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</si>
  <si>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</si>
  <si>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</si>
  <si>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</si>
  <si>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</si>
  <si>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</si>
  <si>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</si>
  <si>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</si>
  <si>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</si>
  <si>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</si>
  <si>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</si>
  <si>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</si>
  <si>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</si>
  <si>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</si>
  <si>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</si>
  <si>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</si>
  <si>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</si>
  <si>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</si>
  <si>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</si>
  <si>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</si>
  <si>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</si>
  <si>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</si>
  <si>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</si>
  <si>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</si>
  <si>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</si>
  <si>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</si>
  <si>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</si>
  <si>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</si>
  <si>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</si>
  <si>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</si>
  <si>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</si>
  <si>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</si>
  <si>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</si>
  <si>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</si>
  <si>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</si>
  <si>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</si>
  <si>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</si>
  <si>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</si>
  <si>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</si>
  <si>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</si>
  <si>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</si>
  <si>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</si>
  <si>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</si>
  <si>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</si>
  <si>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</si>
  <si>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</si>
  <si>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</si>
  <si>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</si>
  <si>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</si>
  <si>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</si>
  <si>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</si>
  <si>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</si>
  <si>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</si>
  <si>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</si>
  <si>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</si>
  <si>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</si>
  <si>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</si>
  <si>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</si>
  <si>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</si>
  <si>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</si>
  <si>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</si>
  <si>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</si>
  <si>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</si>
  <si>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</si>
  <si>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</si>
  <si>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</si>
  <si>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</si>
  <si>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</si>
  <si>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</si>
  <si>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</si>
  <si>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</si>
  <si>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</si>
  <si>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</si>
  <si>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</si>
  <si>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</si>
  <si>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</si>
  <si>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</si>
  <si>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</si>
  <si>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</si>
  <si>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</si>
  <si>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</si>
  <si>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</si>
  <si>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</si>
  <si>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</si>
  <si>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</si>
  <si>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</si>
  <si>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</si>
  <si>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</si>
  <si>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</si>
  <si>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</si>
  <si>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</si>
  <si>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</si>
  <si>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</si>
  <si>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</si>
  <si>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</si>
  <si>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</si>
  <si>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</si>
  <si>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</si>
  <si>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</si>
  <si>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</si>
  <si>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</si>
  <si>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</si>
  <si>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</si>
  <si>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</si>
  <si>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</si>
  <si>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</si>
  <si>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</si>
  <si>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</si>
  <si>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</si>
  <si>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</si>
  <si>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</si>
  <si>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</si>
  <si>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</si>
  <si>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</si>
  <si>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</si>
  <si>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</si>
  <si>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</si>
  <si>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</si>
  <si>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</si>
  <si>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</si>
  <si>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</si>
  <si>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</si>
  <si>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</si>
  <si>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</si>
  <si>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</si>
  <si>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</si>
  <si>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</si>
  <si>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</si>
  <si>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E11.6</t>
  </si>
  <si>
    <t>RBS</t>
  </si>
  <si>
    <t>Blood Chem 2 (FBS, BUN, CREA, Lipid Profile)</t>
  </si>
  <si>
    <t>SGPT/ALT</t>
  </si>
  <si>
    <t>SGOT/AST</t>
  </si>
  <si>
    <t>Hema Package 1(CBC, Platelet Count)</t>
  </si>
  <si>
    <t>HGT Q6</t>
  </si>
  <si>
    <t>HGT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</si>
  <si>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</si>
  <si>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</si>
  <si>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</si>
  <si>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</si>
  <si>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</si>
  <si>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</si>
  <si>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Betahistine HCL</t>
  </si>
  <si>
    <t>Insulin 70/30</t>
  </si>
  <si>
    <t>Metformin</t>
  </si>
  <si>
    <t>0.9% Sodium Chloride</t>
  </si>
  <si>
    <t>Atorvastatin</t>
  </si>
  <si>
    <t>tablets</t>
  </si>
  <si>
    <t>vial</t>
  </si>
  <si>
    <t>bottle</t>
  </si>
  <si>
    <t>16mg</t>
  </si>
  <si>
    <t>100IU/ml</t>
  </si>
  <si>
    <t>500mg</t>
  </si>
  <si>
    <t>1000ml</t>
  </si>
  <si>
    <t>40mg</t>
  </si>
  <si>
    <t>Disposable Mask</t>
  </si>
  <si>
    <t>Clean Gloves</t>
  </si>
  <si>
    <t>10cc</t>
  </si>
  <si>
    <t>1cc/tbs</t>
  </si>
  <si>
    <t>3cc</t>
  </si>
  <si>
    <t>5cc</t>
  </si>
  <si>
    <t>Insulin Syringe</t>
  </si>
  <si>
    <t>Micropore</t>
  </si>
  <si>
    <t>Macroset</t>
  </si>
  <si>
    <t>IV Cath G.22</t>
  </si>
  <si>
    <t>ID Bracelet</t>
  </si>
  <si>
    <t>Soluset</t>
  </si>
  <si>
    <t>DM 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</si>
</sst>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28</xdr:row>
          <xdr:rowOff>28575</xdr:rowOff>
        </xdr:from>
        <xdr:to>
          <xdr:col>1</xdr:col>
          <xdr:colOff>762000</xdr:colOff>
          <xdr:row>28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28</xdr:row>
          <xdr:rowOff>28575</xdr:rowOff>
        </xdr:from>
        <xdr:to>
          <xdr:col>1</xdr:col>
          <xdr:colOff>1533525</xdr:colOff>
          <xdr:row>28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28575</xdr:rowOff>
        </xdr:from>
        <xdr:to>
          <xdr:col>1</xdr:col>
          <xdr:colOff>771525</xdr:colOff>
          <xdr:row>39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39</xdr:row>
          <xdr:rowOff>28575</xdr:rowOff>
        </xdr:from>
        <xdr:to>
          <xdr:col>1</xdr:col>
          <xdr:colOff>1543050</xdr:colOff>
          <xdr:row>39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zoomScaleNormal="100" workbookViewId="0">
      <selection activeCell="D3" sqref="D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206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63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64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55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46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172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173</v>
      </c>
      <c r="D39" s="23"/>
      <c r="E39" s="55">
        <v>3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174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19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47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48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56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20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58</v>
      </c>
      <c r="C62" s="17" t="s">
        <v>54</v>
      </c>
      <c r="D62" s="17" t="s">
        <v>59</v>
      </c>
      <c r="E62" s="18" t="s">
        <v>60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175</v>
      </c>
      <c r="D63" s="55">
        <v>1444.1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176</v>
      </c>
      <c r="D64" s="55">
        <v>870.08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177</v>
      </c>
      <c r="D65" s="55">
        <v>3870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178</v>
      </c>
      <c r="D66" s="55">
        <v>30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 t="s">
        <v>179</v>
      </c>
      <c r="D67" s="55">
        <v>600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 t="s">
        <v>180</v>
      </c>
      <c r="D68" s="55">
        <v>3780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10594.18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algorithmName="SHA-512" hashValue="Hx0256JHuTvW2y969vL7gdm/TkDXjmAe38YrNYRb3/QuxRMUyELM203Q8pxRDHA/1eYwGk+aIy6QVxmhZd3+ww==" saltValue="L+5xhwGJp5qXtWe1ssXwgg==" spinCount="100000" sheet="1" objects="1" scenarios="1"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J11" sqref="J11:J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DM 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67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181</v>
      </c>
      <c r="D11" s="27" t="s">
        <v>186</v>
      </c>
      <c r="E11" s="27" t="s">
        <v>189</v>
      </c>
      <c r="F11" s="55"/>
      <c r="G11" s="55">
        <v>3</v>
      </c>
      <c r="H11" s="55">
        <v>4</v>
      </c>
      <c r="I11" s="55">
        <v>17.88</v>
      </c>
      <c r="J11" s="55">
        <f>H11*I11</f>
        <v>71.52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182</v>
      </c>
      <c r="D12" s="27" t="s">
        <v>187</v>
      </c>
      <c r="E12" s="27" t="s">
        <v>190</v>
      </c>
      <c r="F12" s="55"/>
      <c r="G12" s="55">
        <v>3</v>
      </c>
      <c r="H12" s="55">
        <v>1</v>
      </c>
      <c r="I12" s="55">
        <v>715</v>
      </c>
      <c r="J12" s="55">
        <f t="shared" ref="J12:J15" si="0">H12*I12</f>
        <v>715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186</v>
      </c>
      <c r="E13" s="27" t="s">
        <v>191</v>
      </c>
      <c r="F13" s="55"/>
      <c r="G13" s="55">
        <v>3</v>
      </c>
      <c r="H13" s="55">
        <v>6</v>
      </c>
      <c r="I13" s="55">
        <f>8.19/3</f>
        <v>2.73</v>
      </c>
      <c r="J13" s="55">
        <f t="shared" si="0"/>
        <v>16.38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184</v>
      </c>
      <c r="D14" s="27" t="s">
        <v>188</v>
      </c>
      <c r="E14" s="27" t="s">
        <v>192</v>
      </c>
      <c r="F14" s="55"/>
      <c r="G14" s="55">
        <v>3</v>
      </c>
      <c r="H14" s="55">
        <v>8</v>
      </c>
      <c r="I14" s="55">
        <v>78.430000000000007</v>
      </c>
      <c r="J14" s="55">
        <f t="shared" si="0"/>
        <v>627.44000000000005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185</v>
      </c>
      <c r="D15" s="27" t="s">
        <v>186</v>
      </c>
      <c r="E15" s="27" t="s">
        <v>193</v>
      </c>
      <c r="F15" s="55"/>
      <c r="G15" s="55">
        <v>3</v>
      </c>
      <c r="H15" s="55">
        <v>2</v>
      </c>
      <c r="I15" s="55">
        <v>6.88</v>
      </c>
      <c r="J15" s="55">
        <f t="shared" si="0"/>
        <v>13.76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3"/>
  <sheetViews>
    <sheetView topLeftCell="A3" workbookViewId="0">
      <selection activeCell="G16" sqref="G16:G2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DM 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12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72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75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194</v>
      </c>
      <c r="D16" s="70" t="s">
        <v>30</v>
      </c>
      <c r="E16" s="55">
        <v>3</v>
      </c>
      <c r="F16" s="55">
        <f>13.2/3</f>
        <v>4.3999999999999995</v>
      </c>
      <c r="G16" s="55">
        <f>E16*F16</f>
        <v>13.2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195</v>
      </c>
      <c r="D17" s="70" t="s">
        <v>30</v>
      </c>
      <c r="E17" s="55">
        <v>4</v>
      </c>
      <c r="F17" s="55">
        <f>12.4/4</f>
        <v>3.1</v>
      </c>
      <c r="G17" s="55">
        <f t="shared" ref="G17:G27" si="0">E17*F17</f>
        <v>12.4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196</v>
      </c>
      <c r="D18" s="70" t="s">
        <v>30</v>
      </c>
      <c r="E18" s="55">
        <v>2</v>
      </c>
      <c r="F18" s="55">
        <f>15.4/2</f>
        <v>7.7</v>
      </c>
      <c r="G18" s="55">
        <f t="shared" si="0"/>
        <v>15.4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197</v>
      </c>
      <c r="D19" s="70" t="s">
        <v>30</v>
      </c>
      <c r="E19" s="55">
        <v>2</v>
      </c>
      <c r="F19" s="55">
        <f>13.2/2</f>
        <v>6.6</v>
      </c>
      <c r="G19" s="55">
        <f t="shared" si="0"/>
        <v>13.2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198</v>
      </c>
      <c r="D20" s="70" t="s">
        <v>30</v>
      </c>
      <c r="E20" s="55">
        <v>2</v>
      </c>
      <c r="F20" s="55">
        <v>5.5</v>
      </c>
      <c r="G20" s="55">
        <f t="shared" si="0"/>
        <v>11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199</v>
      </c>
      <c r="D21" s="70" t="s">
        <v>30</v>
      </c>
      <c r="E21" s="55">
        <v>2</v>
      </c>
      <c r="F21" s="55">
        <v>6.6</v>
      </c>
      <c r="G21" s="55">
        <f t="shared" si="0"/>
        <v>13.2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200</v>
      </c>
      <c r="D22" s="70" t="s">
        <v>30</v>
      </c>
      <c r="E22" s="55">
        <v>22</v>
      </c>
      <c r="F22" s="55">
        <f>34.1/2</f>
        <v>17.05</v>
      </c>
      <c r="G22" s="55">
        <f t="shared" si="0"/>
        <v>375.1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201</v>
      </c>
      <c r="D23" s="70" t="s">
        <v>29</v>
      </c>
      <c r="E23" s="55">
        <v>1</v>
      </c>
      <c r="F23" s="55">
        <v>59.4</v>
      </c>
      <c r="G23" s="55">
        <f t="shared" si="0"/>
        <v>59.4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202</v>
      </c>
      <c r="D24" s="70" t="s">
        <v>30</v>
      </c>
      <c r="E24" s="55">
        <v>1</v>
      </c>
      <c r="F24" s="55">
        <v>31.9</v>
      </c>
      <c r="G24" s="55">
        <f t="shared" si="0"/>
        <v>31.9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203</v>
      </c>
      <c r="D25" s="70" t="s">
        <v>30</v>
      </c>
      <c r="E25" s="55">
        <v>2</v>
      </c>
      <c r="F25" s="55">
        <v>60.5</v>
      </c>
      <c r="G25" s="55">
        <f t="shared" si="0"/>
        <v>121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204</v>
      </c>
      <c r="D26" s="70" t="s">
        <v>30</v>
      </c>
      <c r="E26" s="55">
        <v>1</v>
      </c>
      <c r="F26" s="55">
        <v>6.28</v>
      </c>
      <c r="G26" s="55">
        <f t="shared" si="0"/>
        <v>6.28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205</v>
      </c>
      <c r="D27" s="70" t="s">
        <v>30</v>
      </c>
      <c r="E27" s="55">
        <v>1</v>
      </c>
      <c r="F27" s="55">
        <v>198</v>
      </c>
      <c r="G27" s="55">
        <f t="shared" si="0"/>
        <v>198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136" t="s">
        <v>79</v>
      </c>
      <c r="C28" s="137"/>
      <c r="D28" s="137"/>
      <c r="E28" s="137"/>
      <c r="F28" s="137"/>
      <c r="G28" s="138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2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3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4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5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6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7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8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9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10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136" t="s">
        <v>31</v>
      </c>
      <c r="C39" s="137"/>
      <c r="D39" s="137"/>
      <c r="E39" s="137"/>
      <c r="F39" s="137"/>
      <c r="G39" s="138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2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3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4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5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6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7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8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9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10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A51" s="44"/>
      <c r="B51" s="39"/>
      <c r="C51" s="44"/>
      <c r="D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</sheetData>
  <sheetProtection algorithmName="SHA-512" hashValue="KtxbRHJqfSeJwgFT91QNG3A5StefEnkDk2oAIl/i2z12XCZvwtdbeYQifkSd4/He/FpGCgdkDxd4Zty27g8s7w==" saltValue="sJeN0BB41N3csFE9NOQ8og==" spinCount="100000" sheet="1" objects="1" scenarios="1" formatColumns="0" formatRows="0" sort="0" autoFilter="0"/>
  <mergeCells count="9">
    <mergeCell ref="B7:G7"/>
    <mergeCell ref="B28:G28"/>
    <mergeCell ref="B39:G3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9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28</xdr:row>
                    <xdr:rowOff>28575</xdr:rowOff>
                  </from>
                  <to>
                    <xdr:col>1</xdr:col>
                    <xdr:colOff>762000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28</xdr:row>
                    <xdr:rowOff>28575</xdr:rowOff>
                  </from>
                  <to>
                    <xdr:col>1</xdr:col>
                    <xdr:colOff>1533525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39</xdr:row>
                    <xdr:rowOff>28575</xdr:rowOff>
                  </from>
                  <to>
                    <xdr:col>1</xdr:col>
                    <xdr:colOff>771525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39</xdr:row>
                    <xdr:rowOff>28575</xdr:rowOff>
                  </from>
                  <to>
                    <xdr:col>1</xdr:col>
                    <xdr:colOff>1543050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4" sqref="D13:K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DM 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34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2018-06-08T05:48:16Z</dcterms:modified>
</cp:coreProperties>
</file>