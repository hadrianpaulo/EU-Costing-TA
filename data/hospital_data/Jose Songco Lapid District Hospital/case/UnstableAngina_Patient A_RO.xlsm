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Unstable Angina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G16" i="9"/>
  <c r="J12" i="2"/>
  <c r="J13" i="2"/>
  <c r="J14" i="2"/>
  <c r="J15" i="2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<sst xmlns="http://schemas.openxmlformats.org/spreadsheetml/2006/main" count="518" uniqueCount="217">
  <si>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</si>
  <si>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</si>
  <si>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</si>
  <si>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</si>
  <si>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</si>
  <si>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</si>
  <si>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</si>
  <si>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</si>
  <si>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</si>
  <si>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</si>
  <si>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</si>
  <si>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</si>
  <si>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</si>
  <si>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</si>
  <si>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</si>
  <si>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</si>
  <si>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</si>
  <si>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</si>
  <si>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</si>
  <si>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</si>
  <si>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</si>
  <si>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</si>
  <si>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</si>
  <si>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</si>
  <si>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</si>
  <si>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</si>
  <si>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</si>
  <si>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</si>
  <si>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</si>
  <si>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</si>
  <si>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</si>
  <si>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</si>
  <si>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</si>
  <si>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</si>
  <si>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</si>
  <si>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</si>
  <si>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</si>
  <si>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</si>
  <si>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</si>
  <si>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</si>
  <si>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</si>
  <si>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</si>
  <si>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</si>
  <si>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</si>
  <si>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</si>
  <si>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</si>
  <si>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</si>
  <si>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</si>
  <si>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</si>
  <si>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</si>
  <si>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</si>
  <si>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</si>
  <si>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</si>
  <si>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</si>
  <si>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</si>
  <si>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</si>
  <si>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</si>
  <si>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</si>
  <si>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</si>
  <si>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</si>
  <si>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</si>
  <si>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</si>
  <si>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</si>
  <si>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</si>
  <si>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</si>
  <si>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</si>
  <si>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</si>
  <si>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</si>
  <si>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</si>
  <si>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</si>
  <si>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</si>
  <si>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</si>
  <si>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</si>
  <si>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</si>
  <si>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</si>
  <si>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</si>
  <si>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</si>
  <si>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</si>
  <si>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</si>
  <si>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</si>
  <si>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</si>
  <si>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</si>
  <si>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</si>
  <si>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</si>
  <si>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</si>
  <si>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</si>
  <si>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</si>
  <si>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</si>
  <si>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</si>
  <si>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</si>
  <si>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</si>
  <si>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</si>
  <si>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</si>
  <si>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</si>
  <si>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</si>
  <si>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</si>
  <si>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</si>
  <si>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</si>
  <si>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</si>
  <si>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</si>
  <si>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</si>
  <si>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</si>
  <si>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</si>
  <si>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</si>
  <si>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</si>
  <si>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</si>
  <si>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</si>
  <si>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</si>
  <si>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</si>
  <si>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</si>
  <si>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</si>
  <si>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</si>
  <si>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</si>
  <si>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</si>
  <si>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</si>
  <si>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</si>
  <si>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</si>
  <si>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</si>
  <si>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</si>
  <si>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</si>
  <si>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</si>
  <si>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</si>
  <si>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</si>
  <si>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</si>
  <si>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</si>
  <si>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</si>
  <si>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</si>
  <si>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</si>
  <si>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</si>
  <si>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</si>
  <si>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</si>
  <si>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</si>
  <si>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</si>
  <si>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</si>
  <si>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</si>
  <si>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</si>
  <si>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</si>
  <si>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</si>
  <si>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</si>
  <si>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</si>
  <si>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</si>
  <si>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</si>
  <si>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</si>
  <si>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</si>
  <si>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</si>
  <si>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</si>
  <si>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</si>
  <si>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</si>
  <si>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</si>
  <si>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</si>
  <si>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</si>
  <si>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</si>
  <si>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</si>
  <si>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</si>
  <si>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</si>
  <si>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</si>
  <si>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</si>
  <si>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</si>
  <si>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</si>
  <si>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</si>
  <si>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</si>
  <si>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</si>
  <si>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</si>
  <si>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</si>
  <si>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</si>
  <si>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</si>
  <si>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</si>
  <si>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</si>
  <si>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Unstable Angina</t>
  </si>
  <si>
    <t>I20.0</t>
  </si>
  <si>
    <t>FBS</t>
  </si>
  <si>
    <t>Lipid Profile</t>
  </si>
  <si>
    <t>BUA</t>
  </si>
  <si>
    <t>SGOT/AST</t>
  </si>
  <si>
    <t>Hema Package 1(CBC, Platelet Count)</t>
  </si>
  <si>
    <t>Troponin I</t>
  </si>
  <si>
    <t>Electrolytes</t>
  </si>
  <si>
    <t>Drugs and Medicines (cons)</t>
  </si>
  <si>
    <t>Medical Supplies (cons)</t>
  </si>
  <si>
    <t>Laboratory Exam</t>
  </si>
  <si>
    <t>Radiology</t>
  </si>
  <si>
    <t>ECG</t>
  </si>
  <si>
    <t>Garbage Fee</t>
  </si>
  <si>
    <t>Room and Board</t>
  </si>
  <si>
    <t>Professional Fee</t>
  </si>
  <si>
    <t xml:space="preserve">Multivitamins+Dextrose </t>
  </si>
  <si>
    <t>Clopidogrel</t>
  </si>
  <si>
    <t>Omeprazole</t>
  </si>
  <si>
    <t>Trimetazidine</t>
  </si>
  <si>
    <t>LRS</t>
  </si>
  <si>
    <t>Hydroxyzine Dihydrochloride</t>
  </si>
  <si>
    <t>Amlodipine Besylate</t>
  </si>
  <si>
    <t>Sterile Water For Injection</t>
  </si>
  <si>
    <t>Atorvastatin</t>
  </si>
  <si>
    <t>bottle</t>
  </si>
  <si>
    <t>tablet</t>
  </si>
  <si>
    <t>vial</t>
  </si>
  <si>
    <t>500ml</t>
  </si>
  <si>
    <t>75mg</t>
  </si>
  <si>
    <t>40mg</t>
  </si>
  <si>
    <t>35mg</t>
  </si>
  <si>
    <t>1000ml</t>
  </si>
  <si>
    <t>25mg</t>
  </si>
  <si>
    <t>10mg</t>
  </si>
  <si>
    <t>50ml</t>
  </si>
  <si>
    <t>Disposable Mask</t>
  </si>
  <si>
    <t>5cc</t>
  </si>
  <si>
    <t>3cc</t>
  </si>
  <si>
    <t>10cc</t>
  </si>
  <si>
    <t>Clean Gloves</t>
  </si>
  <si>
    <t>Micropore</t>
  </si>
  <si>
    <t>Adult - O2 Can</t>
  </si>
  <si>
    <t>Surgical Gauze</t>
  </si>
  <si>
    <t>Macroset</t>
  </si>
  <si>
    <t>IV Cath G.24</t>
  </si>
  <si>
    <t>ID Bracelet</t>
  </si>
  <si>
    <t xml:space="preserve">Male - Urinal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</si>
</sst>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49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31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48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49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57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59</v>
      </c>
      <c r="C63" s="17" t="s">
        <v>55</v>
      </c>
      <c r="D63" s="17" t="s">
        <v>60</v>
      </c>
      <c r="E63" s="18" t="s">
        <v>61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177</v>
      </c>
      <c r="D64" s="55">
        <v>1728.39</v>
      </c>
      <c r="E64" s="55">
        <v>432.1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178</v>
      </c>
      <c r="D65" s="55">
        <v>308.54000000000002</v>
      </c>
      <c r="E65" s="55">
        <v>77.14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179</v>
      </c>
      <c r="D66" s="55">
        <v>2336</v>
      </c>
      <c r="E66" s="55">
        <v>584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180</v>
      </c>
      <c r="D67" s="55">
        <v>128</v>
      </c>
      <c r="E67" s="55">
        <v>32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181</v>
      </c>
      <c r="D68" s="55">
        <v>160</v>
      </c>
      <c r="E68" s="55">
        <v>40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182</v>
      </c>
      <c r="D69" s="55">
        <v>16</v>
      </c>
      <c r="E69" s="55">
        <v>4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183</v>
      </c>
      <c r="D70" s="55">
        <v>320</v>
      </c>
      <c r="E70" s="55">
        <v>80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 t="s">
        <v>184</v>
      </c>
      <c r="D71" s="55">
        <v>3600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8596.93</v>
      </c>
      <c r="E75" s="59">
        <f>SUM(E64:E74)</f>
        <v>1249.24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lpitjWu0s3DzZVu40ijrr+UmsL7h3MiHJsDgV38+nDbq84ZTHZYChrpYg6i0euXCzqFB07Iw4n6KdK++J4z4Aw==" saltValue="EouBXR+KwPkf+icytvXoqw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xWindow="363" yWindow="406"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363" yWindow="406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Unstable Angina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194</v>
      </c>
      <c r="E11" s="27" t="s">
        <v>197</v>
      </c>
      <c r="F11" s="55"/>
      <c r="G11" s="55">
        <v>2</v>
      </c>
      <c r="H11" s="55">
        <v>1</v>
      </c>
      <c r="I11" s="55">
        <v>770</v>
      </c>
      <c r="J11" s="55">
        <f>H11*I11</f>
        <v>770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195</v>
      </c>
      <c r="E12" s="27" t="s">
        <v>198</v>
      </c>
      <c r="F12" s="55"/>
      <c r="G12" s="55">
        <v>2</v>
      </c>
      <c r="H12" s="55">
        <v>2</v>
      </c>
      <c r="I12" s="55">
        <v>24.75</v>
      </c>
      <c r="J12" s="55">
        <f t="shared" ref="J12:J19" si="0">H12*I12</f>
        <v>49.5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196</v>
      </c>
      <c r="E13" s="27" t="s">
        <v>199</v>
      </c>
      <c r="F13" s="55"/>
      <c r="G13" s="55">
        <v>2</v>
      </c>
      <c r="H13" s="55">
        <v>3</v>
      </c>
      <c r="I13" s="55">
        <v>280.5</v>
      </c>
      <c r="J13" s="55">
        <f t="shared" si="0"/>
        <v>841.5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195</v>
      </c>
      <c r="E14" s="27" t="s">
        <v>200</v>
      </c>
      <c r="F14" s="55"/>
      <c r="G14" s="55">
        <v>2</v>
      </c>
      <c r="H14" s="55">
        <v>14</v>
      </c>
      <c r="I14" s="55">
        <v>14.3</v>
      </c>
      <c r="J14" s="55">
        <f t="shared" si="0"/>
        <v>200.20000000000002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194</v>
      </c>
      <c r="E15" s="27" t="s">
        <v>201</v>
      </c>
      <c r="F15" s="55"/>
      <c r="G15" s="55">
        <v>2</v>
      </c>
      <c r="H15" s="55">
        <v>1</v>
      </c>
      <c r="I15" s="55">
        <v>78.430000000000007</v>
      </c>
      <c r="J15" s="55">
        <f t="shared" si="0"/>
        <v>78.430000000000007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195</v>
      </c>
      <c r="E16" s="27" t="s">
        <v>202</v>
      </c>
      <c r="F16" s="55"/>
      <c r="G16" s="55">
        <v>2</v>
      </c>
      <c r="H16" s="55">
        <v>2</v>
      </c>
      <c r="I16" s="55">
        <v>37.4</v>
      </c>
      <c r="J16" s="55">
        <f t="shared" si="0"/>
        <v>74.8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195</v>
      </c>
      <c r="E17" s="27" t="s">
        <v>203</v>
      </c>
      <c r="F17" s="55"/>
      <c r="G17" s="55">
        <v>2</v>
      </c>
      <c r="H17" s="55">
        <v>9</v>
      </c>
      <c r="I17" s="55">
        <v>6.6</v>
      </c>
      <c r="J17" s="55">
        <f t="shared" si="0"/>
        <v>59.4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196</v>
      </c>
      <c r="E18" s="27" t="s">
        <v>204</v>
      </c>
      <c r="F18" s="55"/>
      <c r="G18" s="55">
        <v>2</v>
      </c>
      <c r="H18" s="55">
        <v>1</v>
      </c>
      <c r="I18" s="55">
        <v>38.5</v>
      </c>
      <c r="J18" s="55">
        <f t="shared" si="0"/>
        <v>38.5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195</v>
      </c>
      <c r="E19" s="27" t="s">
        <v>199</v>
      </c>
      <c r="F19" s="55"/>
      <c r="G19" s="55">
        <v>2</v>
      </c>
      <c r="H19" s="55">
        <v>7</v>
      </c>
      <c r="I19" s="55">
        <v>6.88</v>
      </c>
      <c r="J19" s="55">
        <f t="shared" si="0"/>
        <v>48.16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7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Unstable Angina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 t="s">
        <v>30</v>
      </c>
      <c r="E16" s="55">
        <v>8</v>
      </c>
      <c r="F16" s="55">
        <v>4.4000000000000004</v>
      </c>
      <c r="G16" s="55">
        <f>E16*F16</f>
        <v>35.200000000000003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30</v>
      </c>
      <c r="E17" s="55">
        <v>4</v>
      </c>
      <c r="F17" s="55">
        <v>6.6</v>
      </c>
      <c r="G17" s="55">
        <f t="shared" ref="G17:G27" si="0">E17*F17</f>
        <v>26.4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30</v>
      </c>
      <c r="E18" s="55">
        <v>2</v>
      </c>
      <c r="F18" s="55">
        <v>5.5</v>
      </c>
      <c r="G18" s="55">
        <f t="shared" si="0"/>
        <v>11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208</v>
      </c>
      <c r="D19" s="70" t="s">
        <v>30</v>
      </c>
      <c r="E19" s="55">
        <v>1</v>
      </c>
      <c r="F19" s="55">
        <v>7.7</v>
      </c>
      <c r="G19" s="55">
        <f t="shared" si="0"/>
        <v>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209</v>
      </c>
      <c r="D20" s="70" t="s">
        <v>30</v>
      </c>
      <c r="E20" s="55">
        <v>6</v>
      </c>
      <c r="F20" s="55">
        <v>3.1</v>
      </c>
      <c r="G20" s="55">
        <f t="shared" si="0"/>
        <v>18.600000000000001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210</v>
      </c>
      <c r="D21" s="70" t="s">
        <v>29</v>
      </c>
      <c r="E21" s="55">
        <v>1</v>
      </c>
      <c r="F21" s="55">
        <v>59.4</v>
      </c>
      <c r="G21" s="55">
        <f t="shared" si="0"/>
        <v>59.4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211</v>
      </c>
      <c r="D22" s="70" t="s">
        <v>30</v>
      </c>
      <c r="E22" s="55">
        <v>1</v>
      </c>
      <c r="F22" s="55">
        <v>42.9</v>
      </c>
      <c r="G22" s="55">
        <f t="shared" si="0"/>
        <v>42.9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212</v>
      </c>
      <c r="D23" s="70" t="s">
        <v>30</v>
      </c>
      <c r="E23" s="55">
        <v>10</v>
      </c>
      <c r="F23" s="55">
        <v>2.5299999999999998</v>
      </c>
      <c r="G23" s="55">
        <f t="shared" si="0"/>
        <v>25.299999999999997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213</v>
      </c>
      <c r="D24" s="70" t="s">
        <v>30</v>
      </c>
      <c r="E24" s="55">
        <v>1</v>
      </c>
      <c r="F24" s="55">
        <v>31.9</v>
      </c>
      <c r="G24" s="55">
        <f t="shared" si="0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214</v>
      </c>
      <c r="D25" s="70" t="s">
        <v>30</v>
      </c>
      <c r="E25" s="55">
        <v>1</v>
      </c>
      <c r="F25" s="55">
        <v>60.5</v>
      </c>
      <c r="G25" s="55">
        <f t="shared" si="0"/>
        <v>60.5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215</v>
      </c>
      <c r="D26" s="70" t="s">
        <v>30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216</v>
      </c>
      <c r="D27" s="70" t="s">
        <v>30</v>
      </c>
      <c r="E27" s="55">
        <v>1</v>
      </c>
      <c r="F27" s="55">
        <v>60.5</v>
      </c>
      <c r="G27" s="55">
        <f t="shared" si="0"/>
        <v>60.5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80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32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UCdwrK+A79g8JTQ93Z11E8DOVMuW2R+tAg24MZYXiDsGZ6IZjC/z0xs5DeCtTW2TD8E4ksowAwXeGNqmgnKQuw==" saltValue="XsGVTdYEZ+nQ4f/AE9g9b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Unstable Angina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2018-06-08T05:52:16Z</dcterms:modified>
</cp:coreProperties>
</file>