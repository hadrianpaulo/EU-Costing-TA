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Electrolyte Imbalanc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G26" i="9"/>
  <c r="G27" i="9"/>
  <c r="G16" i="9"/>
  <c r="J12" i="2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<sst xmlns="http://schemas.openxmlformats.org/spreadsheetml/2006/main" count="506" uniqueCount="208">
  <si>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</si>
  <si>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</si>
  <si>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</si>
  <si>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</si>
  <si>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</si>
  <si>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</si>
  <si>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</si>
  <si>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</si>
  <si>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</si>
  <si>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</si>
  <si>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</si>
  <si>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</si>
  <si>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</si>
  <si>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</si>
  <si>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</si>
  <si>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</si>
  <si>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</si>
  <si>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</si>
  <si>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</si>
  <si>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</si>
  <si>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</si>
  <si>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</si>
  <si>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</si>
  <si>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</si>
  <si>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</si>
  <si>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</si>
  <si>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</si>
  <si>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</si>
  <si>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</si>
  <si>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</si>
  <si>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</si>
  <si>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</si>
  <si>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</si>
  <si>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</si>
  <si>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</si>
  <si>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</si>
  <si>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</si>
  <si>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</si>
  <si>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</si>
  <si>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</si>
  <si>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</si>
  <si>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</si>
  <si>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</si>
  <si>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</si>
  <si>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</si>
  <si>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</si>
  <si>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</si>
  <si>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</si>
  <si>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</si>
  <si>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</si>
  <si>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</si>
  <si>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</si>
  <si>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</si>
  <si>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</si>
  <si>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</si>
  <si>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</si>
  <si>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</si>
  <si>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</si>
  <si>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</si>
  <si>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</si>
  <si>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</si>
  <si>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</si>
  <si>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</si>
  <si>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</si>
  <si>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</si>
  <si>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</si>
  <si>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</si>
  <si>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</si>
  <si>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</si>
  <si>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</si>
  <si>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</si>
  <si>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</si>
  <si>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</si>
  <si>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</si>
  <si>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</si>
  <si>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</si>
  <si>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</si>
  <si>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</si>
  <si>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</si>
  <si>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</si>
  <si>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</si>
  <si>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</si>
  <si>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</si>
  <si>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</si>
  <si>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</si>
  <si>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</si>
  <si>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</si>
  <si>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</si>
  <si>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</si>
  <si>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</si>
  <si>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</si>
  <si>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</si>
  <si>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</si>
  <si>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</si>
  <si>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</si>
  <si>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</si>
  <si>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</si>
  <si>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</si>
  <si>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</si>
  <si>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</si>
  <si>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</si>
  <si>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</si>
  <si>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</si>
  <si>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</si>
  <si>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</si>
  <si>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</si>
  <si>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</si>
  <si>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</si>
  <si>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</si>
  <si>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</si>
  <si>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</si>
  <si>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</si>
  <si>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</si>
  <si>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</si>
  <si>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</si>
  <si>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</si>
  <si>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</si>
  <si>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</si>
  <si>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</si>
  <si>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</si>
  <si>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</si>
  <si>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</si>
  <si>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</si>
  <si>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</si>
  <si>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</si>
  <si>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</si>
  <si>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</si>
  <si>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</si>
  <si>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</si>
  <si>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</si>
  <si>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</si>
  <si>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</si>
  <si>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</si>
  <si>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</si>
  <si>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</si>
  <si>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</si>
  <si>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</si>
  <si>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</si>
  <si>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</si>
  <si>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</si>
  <si>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</si>
  <si>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</si>
  <si>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</si>
  <si>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</si>
  <si>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</si>
  <si>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</si>
  <si>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</si>
  <si>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</si>
  <si>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</si>
  <si>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</si>
  <si>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</si>
  <si>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</si>
  <si>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</si>
  <si>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</si>
  <si>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</si>
  <si>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</si>
  <si>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</si>
  <si>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</si>
  <si>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</si>
  <si>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</si>
  <si>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</si>
  <si>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</si>
  <si>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</si>
  <si>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</si>
  <si>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</si>
  <si>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</si>
  <si>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</si>
  <si>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Electrolyte Imbalance</t>
  </si>
  <si>
    <t>E87.8</t>
  </si>
  <si>
    <t>Hema Package 1(CBC, Platelet Count)</t>
  </si>
  <si>
    <t>Electrolytes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</si>
  <si>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</si>
  <si>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</si>
  <si>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</si>
  <si>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</si>
  <si>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</si>
  <si>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</si>
  <si>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Multivitamins+Minerals</t>
  </si>
  <si>
    <t>Amino Acid 9.12%</t>
  </si>
  <si>
    <t>Buclizine HCI+Vit.B Complex+Iron</t>
  </si>
  <si>
    <t>Piracetam</t>
  </si>
  <si>
    <t>Potassium Chloride</t>
  </si>
  <si>
    <t>Ranitidine Hydrochloride</t>
  </si>
  <si>
    <t>Omeprazole</t>
  </si>
  <si>
    <t>0.9% Sodium Chloride</t>
  </si>
  <si>
    <t>tablet</t>
  </si>
  <si>
    <t>ampul</t>
  </si>
  <si>
    <t>capsule</t>
  </si>
  <si>
    <t>bottle</t>
  </si>
  <si>
    <t>500mg</t>
  </si>
  <si>
    <t>25mg/10mg/50mcg</t>
  </si>
  <si>
    <t>200mg/5ml</t>
  </si>
  <si>
    <t>600mg</t>
  </si>
  <si>
    <t>25mg/ml</t>
  </si>
  <si>
    <t>40mg</t>
  </si>
  <si>
    <t>1000ml</t>
  </si>
  <si>
    <t>Thermometer</t>
  </si>
  <si>
    <t>Disposable Mask</t>
  </si>
  <si>
    <t>3cc</t>
  </si>
  <si>
    <t>5cc</t>
  </si>
  <si>
    <t>10cc</t>
  </si>
  <si>
    <t>1cc/tbs</t>
  </si>
  <si>
    <t>Micropore</t>
  </si>
  <si>
    <t>Macroset</t>
  </si>
  <si>
    <t>IV Cath G.24</t>
  </si>
  <si>
    <t>IV Cath G.26</t>
  </si>
  <si>
    <t>ID Bracelet</t>
  </si>
  <si>
    <t>NGT Fr.16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</si>
</sst>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E65" sqref="E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47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6" t="s">
        <v>56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1828.63</v>
      </c>
      <c r="E60" s="55">
        <v>457.17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921.98</v>
      </c>
      <c r="E61" s="55">
        <v>230.5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920</v>
      </c>
      <c r="E62" s="55">
        <v>230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24</v>
      </c>
      <c r="E63" s="55">
        <v>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175</v>
      </c>
      <c r="D64" s="55">
        <v>960</v>
      </c>
      <c r="E64" s="55">
        <v>240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176</v>
      </c>
      <c r="D65" s="55">
        <v>2550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7204.6100000000006</v>
      </c>
      <c r="E71" s="59">
        <f>SUM(E60:E70)</f>
        <v>1163.67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Electrolyte Imbalance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185</v>
      </c>
      <c r="E11" s="27" t="s">
        <v>189</v>
      </c>
      <c r="F11" s="55"/>
      <c r="G11" s="55">
        <v>3</v>
      </c>
      <c r="H11" s="55">
        <v>11</v>
      </c>
      <c r="I11" s="55">
        <v>7.15</v>
      </c>
      <c r="J11" s="55">
        <f>H11*I11</f>
        <v>78.650000000000006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186</v>
      </c>
      <c r="E12" s="115">
        <v>0.05</v>
      </c>
      <c r="F12" s="55"/>
      <c r="G12" s="55">
        <v>3</v>
      </c>
      <c r="H12" s="55">
        <v>2</v>
      </c>
      <c r="I12" s="55">
        <v>401.5</v>
      </c>
      <c r="J12" s="55">
        <f t="shared" ref="J12:J18" si="0">H12*I12</f>
        <v>803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187</v>
      </c>
      <c r="E13" s="27" t="s">
        <v>190</v>
      </c>
      <c r="F13" s="55"/>
      <c r="G13" s="55">
        <v>3</v>
      </c>
      <c r="H13" s="55">
        <v>4</v>
      </c>
      <c r="I13" s="55">
        <v>17.600000000000001</v>
      </c>
      <c r="J13" s="55">
        <f t="shared" si="0"/>
        <v>70.400000000000006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186</v>
      </c>
      <c r="E14" s="27" t="s">
        <v>191</v>
      </c>
      <c r="F14" s="55"/>
      <c r="G14" s="55">
        <v>3</v>
      </c>
      <c r="H14" s="55">
        <v>6</v>
      </c>
      <c r="I14" s="55">
        <v>71.5</v>
      </c>
      <c r="J14" s="55">
        <f t="shared" si="0"/>
        <v>429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185</v>
      </c>
      <c r="E15" s="27" t="s">
        <v>192</v>
      </c>
      <c r="F15" s="55"/>
      <c r="G15" s="55">
        <v>3</v>
      </c>
      <c r="H15" s="55">
        <v>8</v>
      </c>
      <c r="I15" s="55">
        <v>13.75</v>
      </c>
      <c r="J15" s="55">
        <f t="shared" si="0"/>
        <v>110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186</v>
      </c>
      <c r="E16" s="27" t="s">
        <v>193</v>
      </c>
      <c r="F16" s="55"/>
      <c r="G16" s="55">
        <v>3</v>
      </c>
      <c r="H16" s="55">
        <v>9</v>
      </c>
      <c r="I16" s="55">
        <v>31.9</v>
      </c>
      <c r="J16" s="55">
        <f t="shared" si="0"/>
        <v>287.09999999999997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183</v>
      </c>
      <c r="D17" s="27" t="s">
        <v>187</v>
      </c>
      <c r="E17" s="27" t="s">
        <v>194</v>
      </c>
      <c r="F17" s="55"/>
      <c r="G17" s="55">
        <v>3</v>
      </c>
      <c r="H17" s="55">
        <v>7</v>
      </c>
      <c r="I17" s="55">
        <v>16.5</v>
      </c>
      <c r="J17" s="55">
        <f t="shared" si="0"/>
        <v>115.5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184</v>
      </c>
      <c r="D18" s="27" t="s">
        <v>188</v>
      </c>
      <c r="E18" s="27" t="s">
        <v>195</v>
      </c>
      <c r="F18" s="55"/>
      <c r="G18" s="55">
        <v>3</v>
      </c>
      <c r="H18" s="55">
        <v>5</v>
      </c>
      <c r="I18" s="55">
        <v>78.430000000000007</v>
      </c>
      <c r="J18" s="55">
        <f t="shared" si="0"/>
        <v>392.15000000000003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7" workbookViewId="0">
      <selection activeCell="G16" sqref="G16:G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Electrolyte Imbalance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196</v>
      </c>
      <c r="D16" s="70" t="s">
        <v>30</v>
      </c>
      <c r="E16" s="55">
        <v>1</v>
      </c>
      <c r="F16" s="55">
        <v>80.3</v>
      </c>
      <c r="G16" s="55">
        <f>E16*F16</f>
        <v>80.3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197</v>
      </c>
      <c r="D17" s="70" t="s">
        <v>30</v>
      </c>
      <c r="E17" s="55">
        <v>2</v>
      </c>
      <c r="F17" s="55">
        <v>4.4000000000000004</v>
      </c>
      <c r="G17" s="55">
        <f t="shared" ref="G17:G27" si="0">E17*F17</f>
        <v>8.8000000000000007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30</v>
      </c>
      <c r="E18" s="55">
        <v>8</v>
      </c>
      <c r="F18" s="55">
        <v>5.5</v>
      </c>
      <c r="G18" s="55">
        <f t="shared" si="0"/>
        <v>44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199</v>
      </c>
      <c r="D19" s="70" t="s">
        <v>30</v>
      </c>
      <c r="E19" s="55">
        <v>3</v>
      </c>
      <c r="F19" s="55">
        <v>6.6</v>
      </c>
      <c r="G19" s="55">
        <f t="shared" si="0"/>
        <v>19.799999999999997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200</v>
      </c>
      <c r="D20" s="70" t="s">
        <v>30</v>
      </c>
      <c r="E20" s="55">
        <v>3</v>
      </c>
      <c r="F20" s="55">
        <v>7.7</v>
      </c>
      <c r="G20" s="55">
        <f t="shared" si="0"/>
        <v>23.1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201</v>
      </c>
      <c r="D21" s="70" t="s">
        <v>30</v>
      </c>
      <c r="E21" s="55">
        <v>2</v>
      </c>
      <c r="F21" s="55">
        <v>6.6</v>
      </c>
      <c r="G21" s="55">
        <f t="shared" si="0"/>
        <v>13.2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202</v>
      </c>
      <c r="D22" s="70" t="s">
        <v>29</v>
      </c>
      <c r="E22" s="55">
        <v>1</v>
      </c>
      <c r="F22" s="55">
        <v>59.4</v>
      </c>
      <c r="G22" s="55">
        <f t="shared" si="0"/>
        <v>59.4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203</v>
      </c>
      <c r="D23" s="70" t="s">
        <v>30</v>
      </c>
      <c r="E23" s="55">
        <v>1</v>
      </c>
      <c r="F23" s="55">
        <v>31.9</v>
      </c>
      <c r="G23" s="55">
        <f t="shared" si="0"/>
        <v>31.9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204</v>
      </c>
      <c r="D24" s="70" t="s">
        <v>30</v>
      </c>
      <c r="E24" s="55">
        <v>11</v>
      </c>
      <c r="F24" s="55">
        <v>60.5</v>
      </c>
      <c r="G24" s="55">
        <f t="shared" si="0"/>
        <v>665.5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205</v>
      </c>
      <c r="D25" s="70" t="s">
        <v>30</v>
      </c>
      <c r="E25" s="55">
        <v>2</v>
      </c>
      <c r="F25" s="55">
        <v>60.5</v>
      </c>
      <c r="G25" s="55">
        <f t="shared" si="0"/>
        <v>121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206</v>
      </c>
      <c r="D26" s="70" t="s">
        <v>30</v>
      </c>
      <c r="E26" s="55">
        <v>1</v>
      </c>
      <c r="F26" s="55">
        <v>6.28</v>
      </c>
      <c r="G26" s="55">
        <f t="shared" si="0"/>
        <v>6.28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207</v>
      </c>
      <c r="D27" s="70" t="s">
        <v>30</v>
      </c>
      <c r="E27" s="55">
        <v>2</v>
      </c>
      <c r="F27" s="55">
        <v>39.6</v>
      </c>
      <c r="G27" s="55">
        <f t="shared" si="0"/>
        <v>79.2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37" t="s">
        <v>79</v>
      </c>
      <c r="C28" s="138"/>
      <c r="D28" s="138"/>
      <c r="E28" s="138"/>
      <c r="F28" s="138"/>
      <c r="G28" s="139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37" t="s">
        <v>31</v>
      </c>
      <c r="C39" s="138"/>
      <c r="D39" s="138"/>
      <c r="E39" s="138"/>
      <c r="F39" s="138"/>
      <c r="G39" s="139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algorithmName="SHA-512" hashValue="h7UbRx31sEJT+jUNc2UBisprr0rVdJDp7xrs1a1tAaPPE2pJx1O816857YFxhVtZEAIWtJDu9PQD8SN5Xlga6g==" saltValue="phZ7yCyFom/LYp27YNfx1g==" spinCount="100000" sheet="1" objects="1" scenarios="1" formatColumns="0" formatRows="0" sort="0" autoFilter="0"/>
  <mergeCells count="9">
    <mergeCell ref="B7:G7"/>
    <mergeCell ref="B28:G28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K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Electrolyte Imbalance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2018-06-08T05:49:01Z</dcterms:modified>
</cp:coreProperties>
</file>