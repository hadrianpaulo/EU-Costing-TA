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F40" i="9" l="1"/>
  <c r="G40" i="9" s="1"/>
  <c r="F39" i="9"/>
  <c r="G39" i="9" s="1"/>
  <c r="G38" i="9"/>
  <c r="G37" i="9"/>
  <c r="G36" i="9"/>
  <c r="G35" i="9"/>
  <c r="G34" i="9"/>
  <c r="G33" i="9"/>
  <c r="G32" i="9"/>
  <c r="G31" i="9"/>
  <c r="G30" i="9"/>
  <c r="I14" i="2"/>
  <c r="I21" i="2"/>
  <c r="I20" i="2"/>
  <c r="J19" i="2"/>
  <c r="J20" i="2"/>
  <c r="J21" i="2"/>
  <c r="I18" i="2"/>
  <c r="J18" i="2"/>
  <c r="G41" i="9" l="1"/>
  <c r="G18" i="9"/>
  <c r="I17" i="2"/>
  <c r="J14" i="2"/>
  <c r="J15" i="2"/>
  <c r="J16" i="2"/>
  <c r="J17" i="2"/>
  <c r="I12" i="2"/>
  <c r="G17" i="9" l="1"/>
  <c r="G29" i="9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<sst xmlns="http://schemas.openxmlformats.org/spreadsheetml/2006/main" count="527" uniqueCount="219">
  <si>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</si>
  <si>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</si>
  <si>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</si>
  <si>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</si>
  <si>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</si>
  <si>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</si>
  <si>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</si>
  <si>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</si>
  <si>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</si>
  <si>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</si>
  <si>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</si>
  <si>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</si>
  <si>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</si>
  <si>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</si>
  <si>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</si>
  <si>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</si>
  <si>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</si>
  <si>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</si>
  <si>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</si>
  <si>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</si>
  <si>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</si>
  <si>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</si>
  <si>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</si>
  <si>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</si>
  <si>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</si>
  <si>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</si>
  <si>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</si>
  <si>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</si>
  <si>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</si>
  <si>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</si>
  <si>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</si>
  <si>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</si>
  <si>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</si>
  <si>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</si>
  <si>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</si>
  <si>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</si>
  <si>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</si>
  <si>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</si>
  <si>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</si>
  <si>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</si>
  <si>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</si>
  <si>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</si>
  <si>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</si>
  <si>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</si>
  <si>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</si>
  <si>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</si>
  <si>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</si>
  <si>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</si>
  <si>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</si>
  <si>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</si>
  <si>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</si>
  <si>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</si>
  <si>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</si>
  <si>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</si>
  <si>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</si>
  <si>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</si>
  <si>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</si>
  <si>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</si>
  <si>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</si>
  <si>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</si>
  <si>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</si>
  <si>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</si>
  <si>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</si>
  <si>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</si>
  <si>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</si>
  <si>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</si>
  <si>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</si>
  <si>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</si>
  <si>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</si>
  <si>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</si>
  <si>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</si>
  <si>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</si>
  <si>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</si>
  <si>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</si>
  <si>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</si>
  <si>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</si>
  <si>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</si>
  <si>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</si>
  <si>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</si>
  <si>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</si>
  <si>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</si>
  <si>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</si>
  <si>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</si>
  <si>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</si>
  <si>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</si>
  <si>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</si>
  <si>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</si>
  <si>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</si>
  <si>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</si>
  <si>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</si>
  <si>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</si>
  <si>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</si>
  <si>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</si>
  <si>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</si>
  <si>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</si>
  <si>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</si>
  <si>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</si>
  <si>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</si>
  <si>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</si>
  <si>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</si>
  <si>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</si>
  <si>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</si>
  <si>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</si>
  <si>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</si>
  <si>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</si>
  <si>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</si>
  <si>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</si>
  <si>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</si>
  <si>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</si>
  <si>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</si>
  <si>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</si>
  <si>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</si>
  <si>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</si>
  <si>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</si>
  <si>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</si>
  <si>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</si>
  <si>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</si>
  <si>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</si>
  <si>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</si>
  <si>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</si>
  <si>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</si>
  <si>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</si>
  <si>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</si>
  <si>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</si>
  <si>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</si>
  <si>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</si>
  <si>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</si>
  <si>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</si>
  <si>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</si>
  <si>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</si>
  <si>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</si>
  <si>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</si>
  <si>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</si>
  <si>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</si>
  <si>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</si>
  <si>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</si>
  <si>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</si>
  <si>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</si>
  <si>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</si>
  <si>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</si>
  <si>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</si>
  <si>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</si>
  <si>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</si>
  <si>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</si>
  <si>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</si>
  <si>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</si>
  <si>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</si>
  <si>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</si>
  <si>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</si>
  <si>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</si>
  <si>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</si>
  <si>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</si>
  <si>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</si>
  <si>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</si>
  <si>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</si>
  <si>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</si>
  <si>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</si>
  <si>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</si>
  <si>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</si>
  <si>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</si>
  <si>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</si>
  <si>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</si>
  <si>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</si>
  <si>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</si>
  <si>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</si>
  <si>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</si>
  <si>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</si>
  <si>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</si>
  <si>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</si>
  <si>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</si>
  <si>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Drugs and Medicines (cons)</t>
  </si>
  <si>
    <t>Medical Supplies (cons)</t>
  </si>
  <si>
    <t>Medical Supplies</t>
  </si>
  <si>
    <t>Garbage Fee</t>
  </si>
  <si>
    <t>Professional Fee</t>
  </si>
  <si>
    <t>Room and Board</t>
  </si>
  <si>
    <t>Mefenamic Acid</t>
  </si>
  <si>
    <t>Oxytocin</t>
  </si>
  <si>
    <t>D5LRS</t>
  </si>
  <si>
    <t>ampul</t>
  </si>
  <si>
    <t>botte</t>
  </si>
  <si>
    <t>500mg</t>
  </si>
  <si>
    <t>10IU</t>
  </si>
  <si>
    <t>1000mL</t>
  </si>
  <si>
    <t>ID Bracelet</t>
  </si>
  <si>
    <t>Disposable Mask</t>
  </si>
  <si>
    <t>Surgical Blade S.20</t>
  </si>
  <si>
    <t>Clean Gloves</t>
  </si>
  <si>
    <t>3cc</t>
  </si>
  <si>
    <t>Micropore</t>
  </si>
  <si>
    <t>Surgical Gauze</t>
  </si>
  <si>
    <t>S. Gloves S. 6 1/2</t>
  </si>
  <si>
    <t>Macroset</t>
  </si>
  <si>
    <t>IV Cath G.18</t>
  </si>
  <si>
    <t>Cord Clamp</t>
  </si>
  <si>
    <t>Methylergometrine Maleate</t>
  </si>
  <si>
    <t>200mcg/ml</t>
  </si>
  <si>
    <t>Complete Blood Count</t>
  </si>
  <si>
    <t>Laboratory Exam</t>
  </si>
  <si>
    <t>Methylergometrine</t>
  </si>
  <si>
    <t>tablet</t>
  </si>
  <si>
    <t>125mcg</t>
  </si>
  <si>
    <t>625mg</t>
  </si>
  <si>
    <t>Lidocaine HCI</t>
  </si>
  <si>
    <t>50mL</t>
  </si>
  <si>
    <t>5cc</t>
  </si>
  <si>
    <t>Chromic 2-0</t>
  </si>
  <si>
    <t>Head Cap</t>
  </si>
  <si>
    <t>OB Package 3 (CBC, Typing, HBsAg, RPR)</t>
  </si>
  <si>
    <t>Blood Typing + Rh Factor</t>
  </si>
  <si>
    <t>Ferrous Fumarate</t>
  </si>
  <si>
    <t>Nalbuphine HCI</t>
  </si>
  <si>
    <t>Hyoscine N Butyl Bromide</t>
  </si>
  <si>
    <t>Cefalexine</t>
  </si>
  <si>
    <t>Metronidazole</t>
  </si>
  <si>
    <t>200mg</t>
  </si>
  <si>
    <t>10mg/mL</t>
  </si>
  <si>
    <t>20mg/mL</t>
  </si>
  <si>
    <t>ID Bracelet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</si>
</sst>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67" sqref="F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796.23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1049.9100000000001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198</v>
      </c>
      <c r="D63" s="55">
        <v>1000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119</v>
      </c>
      <c r="D64" s="55">
        <v>0</v>
      </c>
      <c r="E64" s="55"/>
      <c r="F64" s="55">
        <v>1060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0</v>
      </c>
      <c r="E65" s="55"/>
      <c r="F65" s="55">
        <v>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175</v>
      </c>
      <c r="D66" s="55">
        <v>143.86000000000001</v>
      </c>
      <c r="E66" s="55"/>
      <c r="F66" s="55">
        <v>256.14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174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5000</v>
      </c>
      <c r="E71" s="59">
        <f>SUM(E60:E70)</f>
        <v>0</v>
      </c>
      <c r="F71" s="59">
        <f>SUM(F60:F70)</f>
        <v>1336.1399999999999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G25" sqref="G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</v>
      </c>
      <c r="E11" s="27" t="s">
        <v>181</v>
      </c>
      <c r="F11" s="55"/>
      <c r="G11" s="55">
        <v>2</v>
      </c>
      <c r="H11" s="55">
        <v>10</v>
      </c>
      <c r="I11" s="55">
        <v>3.52</v>
      </c>
      <c r="J11" s="55">
        <f>H11*I11</f>
        <v>35.200000000000003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200</v>
      </c>
      <c r="E12" s="27" t="s">
        <v>201</v>
      </c>
      <c r="F12" s="55"/>
      <c r="G12" s="55">
        <v>2</v>
      </c>
      <c r="H12" s="55">
        <v>9</v>
      </c>
      <c r="I12" s="55">
        <f>37.62/9</f>
        <v>4.18</v>
      </c>
      <c r="J12" s="55">
        <f t="shared" ref="J12:J14" si="0">H12*I12</f>
        <v>37.619999999999997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179</v>
      </c>
      <c r="E13" s="27" t="s">
        <v>182</v>
      </c>
      <c r="F13" s="55"/>
      <c r="G13" s="55">
        <v>2</v>
      </c>
      <c r="H13" s="55">
        <v>2</v>
      </c>
      <c r="I13" s="55">
        <v>38.39</v>
      </c>
      <c r="J13" s="55">
        <f t="shared" si="0"/>
        <v>76.78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213</v>
      </c>
      <c r="D14" s="27" t="s">
        <v>200</v>
      </c>
      <c r="E14" s="27" t="s">
        <v>202</v>
      </c>
      <c r="F14" s="55"/>
      <c r="G14" s="55">
        <v>2</v>
      </c>
      <c r="H14" s="55">
        <v>21</v>
      </c>
      <c r="I14" s="55">
        <f>161.7/21</f>
        <v>7.6999999999999993</v>
      </c>
      <c r="J14" s="55">
        <f t="shared" si="0"/>
        <v>161.69999999999999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180</v>
      </c>
      <c r="E15" s="27" t="s">
        <v>183</v>
      </c>
      <c r="F15" s="55"/>
      <c r="G15" s="55">
        <v>2</v>
      </c>
      <c r="H15" s="55">
        <v>1</v>
      </c>
      <c r="I15" s="55">
        <v>78.430000000000007</v>
      </c>
      <c r="J15" s="55">
        <f t="shared" ref="J15:J21" si="1">H15*I15</f>
        <v>78.430000000000007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179</v>
      </c>
      <c r="E16" s="27" t="s">
        <v>196</v>
      </c>
      <c r="F16" s="55"/>
      <c r="G16" s="55">
        <v>2</v>
      </c>
      <c r="H16" s="55">
        <v>2</v>
      </c>
      <c r="I16" s="55">
        <v>49.5</v>
      </c>
      <c r="J16" s="55">
        <f t="shared" si="1"/>
        <v>99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179</v>
      </c>
      <c r="E17" s="27" t="s">
        <v>204</v>
      </c>
      <c r="F17" s="55"/>
      <c r="G17" s="55">
        <v>2</v>
      </c>
      <c r="H17" s="55">
        <v>10</v>
      </c>
      <c r="I17" s="55">
        <f>16.5/10</f>
        <v>1.65</v>
      </c>
      <c r="J17" s="55">
        <f t="shared" si="1"/>
        <v>16.5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210</v>
      </c>
      <c r="D18" s="27" t="s">
        <v>17</v>
      </c>
      <c r="E18" s="27" t="s">
        <v>215</v>
      </c>
      <c r="F18" s="55"/>
      <c r="G18" s="55">
        <v>2</v>
      </c>
      <c r="H18" s="55">
        <v>7</v>
      </c>
      <c r="I18" s="55">
        <f>16.94/7</f>
        <v>2.4200000000000004</v>
      </c>
      <c r="J18" s="55">
        <f t="shared" si="1"/>
        <v>16.940000000000001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211</v>
      </c>
      <c r="D19" s="27" t="s">
        <v>179</v>
      </c>
      <c r="E19" s="27" t="s">
        <v>216</v>
      </c>
      <c r="F19" s="55"/>
      <c r="G19" s="55">
        <v>2</v>
      </c>
      <c r="H19" s="55">
        <v>1</v>
      </c>
      <c r="I19" s="55">
        <v>121</v>
      </c>
      <c r="J19" s="55">
        <f t="shared" si="1"/>
        <v>121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212</v>
      </c>
      <c r="D20" s="27" t="s">
        <v>179</v>
      </c>
      <c r="E20" s="27" t="s">
        <v>217</v>
      </c>
      <c r="F20" s="55"/>
      <c r="G20" s="55">
        <v>2</v>
      </c>
      <c r="H20" s="55">
        <v>2</v>
      </c>
      <c r="I20" s="55">
        <f>105.6/2</f>
        <v>52.8</v>
      </c>
      <c r="J20" s="55">
        <f t="shared" si="1"/>
        <v>105.6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214</v>
      </c>
      <c r="D21" s="27" t="s">
        <v>200</v>
      </c>
      <c r="E21" s="27" t="s">
        <v>181</v>
      </c>
      <c r="F21" s="55"/>
      <c r="G21" s="55">
        <v>2</v>
      </c>
      <c r="H21" s="55">
        <v>21</v>
      </c>
      <c r="I21" s="55">
        <f>47.46/21</f>
        <v>2.2600000000000002</v>
      </c>
      <c r="J21" s="55">
        <f t="shared" si="1"/>
        <v>47.460000000000008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workbookViewId="0">
      <selection activeCell="C42" sqref="C42:G4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31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218</v>
      </c>
      <c r="D17" s="70" t="s">
        <v>31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31</v>
      </c>
      <c r="E18" s="55">
        <v>4</v>
      </c>
      <c r="F18" s="55">
        <v>3.1</v>
      </c>
      <c r="G18" s="55">
        <f>E18*F18</f>
        <v>12.4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185</v>
      </c>
      <c r="D28" s="70" t="s">
        <v>31</v>
      </c>
      <c r="E28" s="55">
        <v>2</v>
      </c>
      <c r="F28" s="55">
        <v>4.4000000000000004</v>
      </c>
      <c r="G28" s="55">
        <f>E28*F28</f>
        <v>8.8000000000000007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31</v>
      </c>
      <c r="E29" s="55">
        <v>2</v>
      </c>
      <c r="F29" s="55">
        <v>7.7</v>
      </c>
      <c r="G29" s="55">
        <f t="shared" ref="G29" si="0">E29*F29</f>
        <v>15.4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31</v>
      </c>
      <c r="E30" s="55">
        <v>10</v>
      </c>
      <c r="F30" s="55">
        <v>3.1</v>
      </c>
      <c r="G30" s="55">
        <f t="shared" ref="G30:G40" si="1">E30*F30</f>
        <v>31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31</v>
      </c>
      <c r="E31" s="55">
        <v>3</v>
      </c>
      <c r="F31" s="55">
        <v>5.5</v>
      </c>
      <c r="G31" s="55">
        <f t="shared" si="1"/>
        <v>16.5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205</v>
      </c>
      <c r="D32" s="70" t="s">
        <v>31</v>
      </c>
      <c r="E32" s="55">
        <v>2</v>
      </c>
      <c r="F32" s="55">
        <v>6.6</v>
      </c>
      <c r="G32" s="55">
        <f t="shared" si="1"/>
        <v>13.2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191</v>
      </c>
      <c r="D33" s="70" t="s">
        <v>31</v>
      </c>
      <c r="E33" s="55">
        <v>5</v>
      </c>
      <c r="F33" s="55">
        <v>24.2</v>
      </c>
      <c r="G33" s="55">
        <f t="shared" si="1"/>
        <v>121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192</v>
      </c>
      <c r="D34" s="70" t="s">
        <v>31</v>
      </c>
      <c r="E34" s="55">
        <v>1</v>
      </c>
      <c r="F34" s="55">
        <v>31.9</v>
      </c>
      <c r="G34" s="55">
        <f t="shared" si="1"/>
        <v>31.9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193</v>
      </c>
      <c r="D35" s="70" t="s">
        <v>31</v>
      </c>
      <c r="E35" s="55">
        <v>1</v>
      </c>
      <c r="F35" s="55">
        <v>60.5</v>
      </c>
      <c r="G35" s="55">
        <f t="shared" si="1"/>
        <v>60.5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194</v>
      </c>
      <c r="D36" s="70" t="s">
        <v>31</v>
      </c>
      <c r="E36" s="55">
        <v>2</v>
      </c>
      <c r="F36" s="55">
        <v>5.61</v>
      </c>
      <c r="G36" s="55">
        <f t="shared" si="1"/>
        <v>11.22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189</v>
      </c>
      <c r="D37" s="70" t="s">
        <v>30</v>
      </c>
      <c r="E37" s="55">
        <v>1</v>
      </c>
      <c r="F37" s="55">
        <v>59.4</v>
      </c>
      <c r="G37" s="55">
        <f t="shared" si="1"/>
        <v>59.4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190</v>
      </c>
      <c r="D38" s="70" t="s">
        <v>31</v>
      </c>
      <c r="E38" s="55">
        <v>15</v>
      </c>
      <c r="F38" s="55">
        <v>2.5299999999999998</v>
      </c>
      <c r="G38" s="55">
        <f t="shared" si="1"/>
        <v>37.949999999999996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206</v>
      </c>
      <c r="D39" s="70" t="s">
        <v>31</v>
      </c>
      <c r="E39" s="55">
        <v>3</v>
      </c>
      <c r="F39" s="55">
        <f>409.2/2</f>
        <v>204.6</v>
      </c>
      <c r="G39" s="55">
        <f t="shared" si="1"/>
        <v>613.79999999999995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207</v>
      </c>
      <c r="D40" s="70" t="s">
        <v>31</v>
      </c>
      <c r="E40" s="55">
        <v>2</v>
      </c>
      <c r="F40" s="55">
        <f>10.56/2</f>
        <v>5.28</v>
      </c>
      <c r="G40" s="55">
        <f t="shared" si="1"/>
        <v>10.56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>
        <f t="shared" ref="G41" si="2">E41*F41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32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MM4slhkAuZGLCAECvBSESZ80q3J2HNmMtNuJ6yleamZItazht/J4EkR5N0MhxpoYlOFPBqKBfjYgT2kLXjZpKg==" saltValue="00AmnsGcytPcewnhHQK27w==" spinCount="100000" sheet="1" objects="1" scenarios="1" formatColumns="0" formatRows="0" sort="0" autoFilter="0"/>
  <mergeCells count="9">
    <mergeCell ref="B7:G7"/>
    <mergeCell ref="B27:G27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M12" sqref="M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2018-04-18T04:02:16Z</cp:lastPrinted>
  <dcterms:created xsi:type="dcterms:W3CDTF">2018-05-11T08:46:15Z</dcterms:created>
  <dcterms:modified xsi:type="dcterms:W3CDTF">2018-04-18T04:02:42Z</dcterms:modified>
</cp:coreProperties>
</file>