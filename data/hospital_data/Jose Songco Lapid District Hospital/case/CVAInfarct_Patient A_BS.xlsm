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VA Infarc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16" i="9"/>
  <c r="J12" i="2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<sst xmlns="http://schemas.openxmlformats.org/spreadsheetml/2006/main" count="502" uniqueCount="206">
  <si>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</si>
  <si>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</si>
  <si>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</si>
  <si>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</si>
  <si>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</si>
  <si>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</si>
  <si>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</si>
  <si>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</si>
  <si>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</si>
  <si>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</si>
  <si>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</si>
  <si>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</si>
  <si>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</si>
  <si>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</si>
  <si>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</si>
  <si>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</si>
  <si>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</si>
  <si>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</si>
  <si>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</si>
  <si>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</si>
  <si>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</si>
  <si>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</si>
  <si>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</si>
  <si>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</si>
  <si>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</si>
  <si>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</si>
  <si>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</si>
  <si>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</si>
  <si>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</si>
  <si>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</si>
  <si>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</si>
  <si>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</si>
  <si>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</si>
  <si>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</si>
  <si>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</si>
  <si>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</si>
  <si>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</si>
  <si>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</si>
  <si>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</si>
  <si>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</si>
  <si>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</si>
  <si>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</si>
  <si>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</si>
  <si>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</si>
  <si>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</si>
  <si>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</si>
  <si>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</si>
  <si>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</si>
  <si>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</si>
  <si>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</si>
  <si>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</si>
  <si>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</si>
  <si>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</si>
  <si>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</si>
  <si>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</si>
  <si>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</si>
  <si>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</si>
  <si>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</si>
  <si>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</si>
  <si>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</si>
  <si>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</si>
  <si>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</si>
  <si>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</si>
  <si>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</si>
  <si>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</si>
  <si>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</si>
  <si>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</si>
  <si>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</si>
  <si>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</si>
  <si>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</si>
  <si>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</si>
  <si>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</si>
  <si>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</si>
  <si>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</si>
  <si>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</si>
  <si>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</si>
  <si>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</si>
  <si>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</si>
  <si>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</si>
  <si>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</si>
  <si>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</si>
  <si>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</si>
  <si>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</si>
  <si>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</si>
  <si>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</si>
  <si>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</si>
  <si>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</si>
  <si>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</si>
  <si>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</si>
  <si>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</si>
  <si>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</si>
  <si>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</si>
  <si>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</si>
  <si>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</si>
  <si>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</si>
  <si>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</si>
  <si>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</si>
  <si>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</si>
  <si>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</si>
  <si>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</si>
  <si>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</si>
  <si>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</si>
  <si>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</si>
  <si>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</si>
  <si>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</si>
  <si>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</si>
  <si>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</si>
  <si>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</si>
  <si>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</si>
  <si>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</si>
  <si>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</si>
  <si>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</si>
  <si>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</si>
  <si>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</si>
  <si>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</si>
  <si>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</si>
  <si>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</si>
  <si>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</si>
  <si>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</si>
  <si>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</si>
  <si>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</si>
  <si>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</si>
  <si>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</si>
  <si>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</si>
  <si>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</si>
  <si>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</si>
  <si>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</si>
  <si>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</si>
  <si>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</si>
  <si>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</si>
  <si>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</si>
  <si>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</si>
  <si>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</si>
  <si>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</si>
  <si>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</si>
  <si>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</si>
  <si>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</si>
  <si>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</si>
  <si>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</si>
  <si>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</si>
  <si>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</si>
  <si>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</si>
  <si>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</si>
  <si>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</si>
  <si>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</si>
  <si>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</si>
  <si>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</si>
  <si>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</si>
  <si>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</si>
  <si>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</si>
  <si>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</si>
  <si>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</si>
  <si>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</si>
  <si>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</si>
  <si>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</si>
  <si>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</si>
  <si>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</si>
  <si>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</si>
  <si>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</si>
  <si>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</si>
  <si>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</si>
  <si>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</si>
  <si>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</si>
  <si>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</si>
  <si>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</si>
  <si>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</si>
  <si>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CVA Infarct</t>
  </si>
  <si>
    <t>I63.9</t>
  </si>
  <si>
    <t>Lipid Profile</t>
  </si>
  <si>
    <t>BUA</t>
  </si>
  <si>
    <t>SGPT/ALT</t>
  </si>
  <si>
    <t>SGOT/AST</t>
  </si>
  <si>
    <t>Hema Package 1(CBC, Platelet Count)</t>
  </si>
  <si>
    <t>ECG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</si>
  <si>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</si>
  <si>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</si>
  <si>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</si>
  <si>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</si>
  <si>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</si>
  <si>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</si>
  <si>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Clopidogrel</t>
  </si>
  <si>
    <t>Aspirin</t>
  </si>
  <si>
    <t>BMMS</t>
  </si>
  <si>
    <t>Citicoline</t>
  </si>
  <si>
    <t>5% Dextrose NM</t>
  </si>
  <si>
    <t>Amlodipine Besylate</t>
  </si>
  <si>
    <t>Atorvastatin</t>
  </si>
  <si>
    <t>Vit.B Complex</t>
  </si>
  <si>
    <t>tablet</t>
  </si>
  <si>
    <t>bottle</t>
  </si>
  <si>
    <t>ampul</t>
  </si>
  <si>
    <t>75mg</t>
  </si>
  <si>
    <t>80mg</t>
  </si>
  <si>
    <t>500ml</t>
  </si>
  <si>
    <t>100mg</t>
  </si>
  <si>
    <t>250mg/ml</t>
  </si>
  <si>
    <t>1000ml</t>
  </si>
  <si>
    <t>10mg</t>
  </si>
  <si>
    <t>40mg</t>
  </si>
  <si>
    <t>Thermometer</t>
  </si>
  <si>
    <t>Disposable Mask</t>
  </si>
  <si>
    <t>5cc</t>
  </si>
  <si>
    <t>Clean Gloves</t>
  </si>
  <si>
    <t>Macroset</t>
  </si>
  <si>
    <t>IV Cath G.20</t>
  </si>
  <si>
    <t>ID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</si>
</sst>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zoomScaleNormal="100" workbookViewId="0">
      <selection activeCell="D68" sqref="D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173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46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47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55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57</v>
      </c>
      <c r="C60" s="17" t="s">
        <v>53</v>
      </c>
      <c r="D60" s="17" t="s">
        <v>58</v>
      </c>
      <c r="E60" s="18" t="s">
        <v>59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174</v>
      </c>
      <c r="D61" s="55">
        <v>2421.92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175</v>
      </c>
      <c r="D62" s="55">
        <v>261.77999999999997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176</v>
      </c>
      <c r="D63" s="55">
        <v>1350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173</v>
      </c>
      <c r="D64" s="55">
        <v>200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177</v>
      </c>
      <c r="D65" s="55">
        <v>20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178</v>
      </c>
      <c r="D66" s="55">
        <v>400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179</v>
      </c>
      <c r="D67" s="55">
        <v>8400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13053.7</v>
      </c>
      <c r="E72" s="59">
        <f>SUM(E61:E71)</f>
        <v>0</v>
      </c>
      <c r="F72" s="59">
        <f>SUM(F61:F71)</f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algorithmName="SHA-512" hashValue="iGnMi0KSqgm+Ykog0Q80gN8q6ceT0FHuRkrg0NSDyhSDuFI6mJplVuAoOC5NaRkMjP821ZAcUUWGHRxopgsHgg==" saltValue="yzz8F44RnscuwHvYgU5INg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CVA Infarct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188</v>
      </c>
      <c r="E11" s="27" t="s">
        <v>191</v>
      </c>
      <c r="F11" s="55"/>
      <c r="G11" s="55">
        <v>2</v>
      </c>
      <c r="H11" s="55">
        <v>9</v>
      </c>
      <c r="I11" s="55">
        <v>24.75</v>
      </c>
      <c r="J11" s="55">
        <f>H11*I11</f>
        <v>222.75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188</v>
      </c>
      <c r="E12" s="27" t="s">
        <v>192</v>
      </c>
      <c r="F12" s="55"/>
      <c r="G12" s="55">
        <v>2</v>
      </c>
      <c r="H12" s="55">
        <v>9</v>
      </c>
      <c r="I12" s="55">
        <v>2.75</v>
      </c>
      <c r="J12" s="55">
        <f t="shared" ref="J12:J18" si="0">H12*I12</f>
        <v>24.75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189</v>
      </c>
      <c r="E13" s="27" t="s">
        <v>193</v>
      </c>
      <c r="F13" s="55"/>
      <c r="G13" s="55">
        <v>2</v>
      </c>
      <c r="H13" s="55">
        <v>1</v>
      </c>
      <c r="I13" s="55">
        <v>78.430000000000007</v>
      </c>
      <c r="J13" s="55">
        <f t="shared" si="0"/>
        <v>78.430000000000007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188</v>
      </c>
      <c r="E14" s="27" t="s">
        <v>194</v>
      </c>
      <c r="F14" s="55"/>
      <c r="G14" s="55">
        <v>2</v>
      </c>
      <c r="H14" s="55">
        <v>19</v>
      </c>
      <c r="I14" s="55">
        <v>1.76</v>
      </c>
      <c r="J14" s="55">
        <f t="shared" si="0"/>
        <v>33.44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190</v>
      </c>
      <c r="E15" s="27" t="s">
        <v>195</v>
      </c>
      <c r="F15" s="55"/>
      <c r="G15" s="55">
        <v>2</v>
      </c>
      <c r="H15" s="55">
        <v>7</v>
      </c>
      <c r="I15" s="55">
        <v>261.8</v>
      </c>
      <c r="J15" s="55">
        <f t="shared" si="0"/>
        <v>1832.6000000000001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189</v>
      </c>
      <c r="E16" s="27" t="s">
        <v>196</v>
      </c>
      <c r="F16" s="55"/>
      <c r="G16" s="55">
        <v>2</v>
      </c>
      <c r="H16" s="55">
        <v>1</v>
      </c>
      <c r="I16" s="55">
        <v>101.75</v>
      </c>
      <c r="J16" s="55">
        <f t="shared" si="0"/>
        <v>101.75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188</v>
      </c>
      <c r="E17" s="27" t="s">
        <v>197</v>
      </c>
      <c r="F17" s="55"/>
      <c r="G17" s="55">
        <v>2</v>
      </c>
      <c r="H17" s="55">
        <v>9</v>
      </c>
      <c r="I17" s="55">
        <v>6.6</v>
      </c>
      <c r="J17" s="55">
        <f t="shared" si="0"/>
        <v>59.4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186</v>
      </c>
      <c r="D18" s="27" t="s">
        <v>188</v>
      </c>
      <c r="E18" s="27" t="s">
        <v>198</v>
      </c>
      <c r="F18" s="55"/>
      <c r="G18" s="55">
        <v>2</v>
      </c>
      <c r="H18" s="55">
        <v>10</v>
      </c>
      <c r="I18" s="55">
        <v>6.88</v>
      </c>
      <c r="J18" s="55">
        <f t="shared" si="0"/>
        <v>68.8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CVA Infarct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199</v>
      </c>
      <c r="D16" s="70" t="s">
        <v>29</v>
      </c>
      <c r="E16" s="55">
        <v>1</v>
      </c>
      <c r="F16" s="55">
        <v>80.3</v>
      </c>
      <c r="G16" s="55">
        <f>E16*F16</f>
        <v>80.3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200</v>
      </c>
      <c r="D17" s="70" t="s">
        <v>29</v>
      </c>
      <c r="E17" s="55">
        <v>4</v>
      </c>
      <c r="F17" s="55">
        <v>4.4000000000000004</v>
      </c>
      <c r="G17" s="55">
        <f t="shared" ref="G17:G22" si="0">E17*F17</f>
        <v>17.600000000000001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201</v>
      </c>
      <c r="D18" s="70" t="s">
        <v>29</v>
      </c>
      <c r="E18" s="55">
        <v>6</v>
      </c>
      <c r="F18" s="55">
        <v>6.6</v>
      </c>
      <c r="G18" s="55">
        <f t="shared" si="0"/>
        <v>39.599999999999994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202</v>
      </c>
      <c r="D19" s="70" t="s">
        <v>29</v>
      </c>
      <c r="E19" s="55">
        <v>4</v>
      </c>
      <c r="F19" s="55">
        <v>3.1</v>
      </c>
      <c r="G19" s="55">
        <f t="shared" si="0"/>
        <v>12.4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203</v>
      </c>
      <c r="D20" s="70" t="s">
        <v>29</v>
      </c>
      <c r="E20" s="55">
        <v>1</v>
      </c>
      <c r="F20" s="55">
        <v>31.9</v>
      </c>
      <c r="G20" s="55">
        <f t="shared" si="0"/>
        <v>31.9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204</v>
      </c>
      <c r="D21" s="70" t="s">
        <v>29</v>
      </c>
      <c r="E21" s="55">
        <v>1</v>
      </c>
      <c r="F21" s="55">
        <v>60.5</v>
      </c>
      <c r="G21" s="55">
        <f t="shared" si="0"/>
        <v>60.5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205</v>
      </c>
      <c r="D22" s="70" t="s">
        <v>29</v>
      </c>
      <c r="E22" s="55">
        <v>1</v>
      </c>
      <c r="F22" s="55">
        <v>6.28</v>
      </c>
      <c r="G22" s="55">
        <f t="shared" si="0"/>
        <v>6.28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78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CVA Infarct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2018-06-08T05:47:10Z</dcterms:modified>
</cp:coreProperties>
</file>