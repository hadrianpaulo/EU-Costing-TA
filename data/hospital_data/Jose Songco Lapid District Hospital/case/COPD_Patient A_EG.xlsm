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OP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4" i="9" l="1"/>
  <c r="G23" i="9"/>
  <c r="G22" i="9"/>
  <c r="G21" i="9"/>
  <c r="G20" i="9"/>
  <c r="G17" i="9"/>
  <c r="G18" i="9"/>
  <c r="G19" i="9"/>
  <c r="G16" i="9"/>
  <c r="J18" i="2"/>
  <c r="J19" i="2"/>
  <c r="J20" i="2"/>
  <c r="J21" i="2"/>
  <c r="J12" i="2" l="1"/>
  <c r="J13" i="2"/>
  <c r="J14" i="2"/>
  <c r="J15" i="2"/>
  <c r="J16" i="2"/>
  <c r="J17" i="2"/>
  <c r="J11" i="2"/>
  <c r="J34" i="2" l="1"/>
  <c r="J27" i="2"/>
  <c r="J33" i="2" l="1"/>
  <c r="J32" i="2"/>
  <c r="J31" i="2"/>
  <c r="J30" i="2"/>
  <c r="J29" i="2"/>
  <c r="J28" i="2"/>
  <c r="J22" i="2" l="1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<sst xmlns="http://schemas.openxmlformats.org/spreadsheetml/2006/main" count="525" uniqueCount="223">
  <si>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</si>
  <si>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</si>
  <si>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</si>
  <si>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</si>
  <si>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</si>
  <si>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</si>
  <si>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</si>
  <si>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</si>
  <si>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</si>
  <si>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</si>
  <si>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</si>
  <si>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</si>
  <si>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</si>
  <si>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</si>
  <si>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</si>
  <si>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</si>
  <si>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</si>
  <si>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</si>
  <si>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</si>
  <si>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</si>
  <si>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</si>
  <si>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</si>
  <si>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</si>
  <si>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</si>
  <si>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</si>
  <si>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</si>
  <si>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</si>
  <si>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</si>
  <si>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</si>
  <si>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</si>
  <si>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</si>
  <si>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</si>
  <si>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</si>
  <si>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</si>
  <si>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</si>
  <si>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</si>
  <si>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</si>
  <si>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</si>
  <si>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</si>
  <si>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</si>
  <si>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</si>
  <si>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</si>
  <si>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</si>
  <si>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</si>
  <si>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</si>
  <si>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</si>
  <si>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</si>
  <si>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</si>
  <si>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</si>
  <si>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</si>
  <si>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</si>
  <si>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</si>
  <si>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</si>
  <si>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</si>
  <si>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</si>
  <si>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</si>
  <si>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</si>
  <si>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</si>
  <si>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</si>
  <si>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</si>
  <si>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</si>
  <si>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</si>
  <si>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</si>
  <si>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</si>
  <si>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</si>
  <si>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</si>
  <si>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</si>
  <si>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</si>
  <si>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</si>
  <si>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</si>
  <si>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</si>
  <si>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</si>
  <si>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</si>
  <si>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</si>
  <si>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</si>
  <si>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</si>
  <si>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</si>
  <si>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</si>
  <si>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</si>
  <si>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</si>
  <si>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</si>
  <si>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</si>
  <si>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</si>
  <si>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</si>
  <si>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</si>
  <si>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</si>
  <si>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</si>
  <si>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</si>
  <si>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</si>
  <si>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</si>
  <si>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</si>
  <si>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</si>
  <si>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</si>
  <si>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</si>
  <si>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</si>
  <si>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</si>
  <si>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</si>
  <si>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</si>
  <si>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</si>
  <si>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</si>
  <si>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</si>
  <si>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</si>
  <si>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</si>
  <si>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</si>
  <si>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</si>
  <si>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</si>
  <si>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</si>
  <si>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</si>
  <si>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</si>
  <si>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</si>
  <si>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</si>
  <si>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</si>
  <si>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</si>
  <si>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</si>
  <si>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</si>
  <si>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</si>
  <si>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</si>
  <si>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</si>
  <si>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</si>
  <si>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</si>
  <si>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</si>
  <si>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</si>
  <si>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</si>
  <si>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</si>
  <si>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</si>
  <si>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</si>
  <si>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</si>
  <si>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</si>
  <si>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</si>
  <si>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</si>
  <si>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</si>
  <si>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</si>
  <si>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</si>
  <si>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</si>
  <si>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</si>
  <si>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</si>
  <si>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</si>
  <si>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</si>
  <si>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</si>
  <si>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</si>
  <si>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</si>
  <si>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</si>
  <si>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</si>
  <si>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</si>
  <si>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</si>
  <si>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</si>
  <si>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</si>
  <si>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</si>
  <si>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</si>
  <si>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</si>
  <si>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</si>
  <si>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</si>
  <si>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</si>
  <si>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</si>
  <si>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</si>
  <si>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</si>
  <si>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</si>
  <si>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</si>
  <si>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</si>
  <si>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</si>
  <si>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</si>
  <si>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</si>
  <si>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</si>
  <si>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</si>
  <si>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</si>
  <si>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</si>
  <si>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</si>
  <si>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</si>
  <si>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</si>
  <si>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</si>
  <si>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</si>
  <si>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</si>
  <si>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</si>
  <si>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3cc</t>
  </si>
  <si>
    <t>5cc</t>
  </si>
  <si>
    <t>Clean Gloves</t>
  </si>
  <si>
    <t>Radiology</t>
  </si>
  <si>
    <t>ampul</t>
  </si>
  <si>
    <t>Hema Package 1(CBC, Platelet Count)</t>
  </si>
  <si>
    <t>CHEST PA</t>
  </si>
  <si>
    <t>0.9% Sodium Chloride</t>
  </si>
  <si>
    <t>tablet</t>
  </si>
  <si>
    <t>Disposable Mask</t>
  </si>
  <si>
    <t>Surgical Gauze</t>
  </si>
  <si>
    <t>Macroset</t>
  </si>
  <si>
    <t>ID BRACELET</t>
  </si>
  <si>
    <t>COPD</t>
  </si>
  <si>
    <t>J44.9</t>
  </si>
  <si>
    <t>RBS</t>
  </si>
  <si>
    <t>Blood Chem 1(FBS, BUN, CREA, BUA, LIPID PROFILE)</t>
  </si>
  <si>
    <t>Troponin I</t>
  </si>
  <si>
    <t>SGPT/ALT</t>
  </si>
  <si>
    <t>SGOT/AST</t>
  </si>
  <si>
    <t>Clopidogrel</t>
  </si>
  <si>
    <t>Aspirin</t>
  </si>
  <si>
    <t>Trimetazidine</t>
  </si>
  <si>
    <t>Betahistine HCL</t>
  </si>
  <si>
    <t>Citicoline</t>
  </si>
  <si>
    <t>Clonidine</t>
  </si>
  <si>
    <t>Ranitidine Hydrochloride</t>
  </si>
  <si>
    <t>Budesonide</t>
  </si>
  <si>
    <t>Salmeterol+Fluticasone Propionate</t>
  </si>
  <si>
    <t>Amlodipine Besylate</t>
  </si>
  <si>
    <t>Doxofylline</t>
  </si>
  <si>
    <t>Atorvastatin</t>
  </si>
  <si>
    <t>Ipratropium Bromide+Salbutamol</t>
  </si>
  <si>
    <t>75mg</t>
  </si>
  <si>
    <t>80mg</t>
  </si>
  <si>
    <t>35mg</t>
  </si>
  <si>
    <t>16mg</t>
  </si>
  <si>
    <t>500mg</t>
  </si>
  <si>
    <t>75mcg</t>
  </si>
  <si>
    <t>25mg/ml</t>
  </si>
  <si>
    <t>nebules</t>
  </si>
  <si>
    <t>250mcg/ml</t>
  </si>
  <si>
    <t>inhaler</t>
  </si>
  <si>
    <t>250mcg</t>
  </si>
  <si>
    <t>1000ml</t>
  </si>
  <si>
    <t>10mg</t>
  </si>
  <si>
    <t>400mg</t>
  </si>
  <si>
    <t>40mg</t>
  </si>
  <si>
    <t>Micropore</t>
  </si>
  <si>
    <t>IV CATH G.22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</si>
</sst>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62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63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54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45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46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55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3290.45</v>
      </c>
      <c r="E62" s="55">
        <v>822.64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382.62</v>
      </c>
      <c r="E63" s="55">
        <v>95.66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1976</v>
      </c>
      <c r="E64" s="55">
        <v>494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176</v>
      </c>
      <c r="D65" s="55">
        <v>136</v>
      </c>
      <c r="E65" s="55">
        <v>34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169</v>
      </c>
      <c r="D66" s="55">
        <v>24</v>
      </c>
      <c r="E66" s="55">
        <v>6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170</v>
      </c>
      <c r="D67" s="55">
        <v>480</v>
      </c>
      <c r="E67" s="55">
        <v>120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171</v>
      </c>
      <c r="D68" s="55">
        <v>3660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9949.07</v>
      </c>
      <c r="E73" s="59">
        <f>SUM(E62:E72)</f>
        <v>1572.3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5" workbookViewId="0">
      <selection activeCell="J11" sqref="J11: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COPD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66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181</v>
      </c>
      <c r="E11" s="115" t="s">
        <v>206</v>
      </c>
      <c r="F11" s="55"/>
      <c r="G11" s="55">
        <v>3</v>
      </c>
      <c r="H11" s="55">
        <v>4</v>
      </c>
      <c r="I11" s="55">
        <v>24.75</v>
      </c>
      <c r="J11" s="55">
        <f>H11*I11</f>
        <v>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181</v>
      </c>
      <c r="E12" s="27" t="s">
        <v>207</v>
      </c>
      <c r="F12" s="55"/>
      <c r="G12" s="55">
        <v>3</v>
      </c>
      <c r="H12" s="55">
        <v>6</v>
      </c>
      <c r="I12" s="55">
        <v>2.75</v>
      </c>
      <c r="J12" s="55">
        <f t="shared" ref="J12:J21" si="0">H12*I12</f>
        <v>16.5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195</v>
      </c>
      <c r="D13" s="27" t="s">
        <v>181</v>
      </c>
      <c r="E13" s="115" t="s">
        <v>208</v>
      </c>
      <c r="F13" s="55"/>
      <c r="G13" s="55">
        <v>3</v>
      </c>
      <c r="H13" s="55">
        <v>7</v>
      </c>
      <c r="I13" s="55">
        <v>14.3</v>
      </c>
      <c r="J13" s="55">
        <f t="shared" si="0"/>
        <v>100.10000000000001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181</v>
      </c>
      <c r="E14" s="27" t="s">
        <v>209</v>
      </c>
      <c r="F14" s="55"/>
      <c r="G14" s="55">
        <v>3</v>
      </c>
      <c r="H14" s="55">
        <v>3</v>
      </c>
      <c r="I14" s="55">
        <v>17.88</v>
      </c>
      <c r="J14" s="55">
        <f t="shared" si="0"/>
        <v>53.64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181</v>
      </c>
      <c r="E15" s="27" t="s">
        <v>210</v>
      </c>
      <c r="F15" s="55"/>
      <c r="G15" s="55">
        <v>3</v>
      </c>
      <c r="H15" s="55">
        <v>10</v>
      </c>
      <c r="I15" s="55">
        <v>49.5</v>
      </c>
      <c r="J15" s="55">
        <f t="shared" si="0"/>
        <v>495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181</v>
      </c>
      <c r="E16" s="27" t="s">
        <v>211</v>
      </c>
      <c r="F16" s="55"/>
      <c r="G16" s="55">
        <v>3</v>
      </c>
      <c r="H16" s="55">
        <v>4</v>
      </c>
      <c r="I16" s="55">
        <v>32.86</v>
      </c>
      <c r="J16" s="55">
        <f t="shared" si="0"/>
        <v>131.44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199</v>
      </c>
      <c r="D17" s="27" t="s">
        <v>177</v>
      </c>
      <c r="E17" s="27" t="s">
        <v>212</v>
      </c>
      <c r="F17" s="55"/>
      <c r="G17" s="55">
        <v>3</v>
      </c>
      <c r="H17" s="55">
        <v>8</v>
      </c>
      <c r="I17" s="55">
        <v>31.9</v>
      </c>
      <c r="J17" s="55">
        <f t="shared" si="0"/>
        <v>255.2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200</v>
      </c>
      <c r="D18" s="27" t="s">
        <v>213</v>
      </c>
      <c r="E18" s="27" t="s">
        <v>214</v>
      </c>
      <c r="F18" s="55"/>
      <c r="G18" s="55">
        <v>3</v>
      </c>
      <c r="H18" s="55">
        <v>10</v>
      </c>
      <c r="I18" s="55">
        <v>82.5</v>
      </c>
      <c r="J18" s="55">
        <f t="shared" si="0"/>
        <v>825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201</v>
      </c>
      <c r="D19" s="27" t="s">
        <v>215</v>
      </c>
      <c r="E19" s="27" t="s">
        <v>216</v>
      </c>
      <c r="F19" s="55"/>
      <c r="G19" s="55">
        <v>3</v>
      </c>
      <c r="H19" s="55">
        <v>1</v>
      </c>
      <c r="I19" s="55">
        <v>723.8</v>
      </c>
      <c r="J19" s="55">
        <f t="shared" si="0"/>
        <v>723.8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180</v>
      </c>
      <c r="D20" s="27" t="s">
        <v>172</v>
      </c>
      <c r="E20" s="27" t="s">
        <v>217</v>
      </c>
      <c r="F20" s="55"/>
      <c r="G20" s="55">
        <v>3</v>
      </c>
      <c r="H20" s="55">
        <v>3</v>
      </c>
      <c r="I20" s="55">
        <v>78.430000000000007</v>
      </c>
      <c r="J20" s="55">
        <f t="shared" si="0"/>
        <v>235.29000000000002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202</v>
      </c>
      <c r="D21" s="27" t="s">
        <v>181</v>
      </c>
      <c r="E21" s="27" t="s">
        <v>218</v>
      </c>
      <c r="F21" s="55"/>
      <c r="G21" s="55">
        <v>3</v>
      </c>
      <c r="H21" s="55">
        <v>4</v>
      </c>
      <c r="I21" s="55">
        <v>6.6</v>
      </c>
      <c r="J21" s="55">
        <f t="shared" si="0"/>
        <v>26.4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203</v>
      </c>
      <c r="D22" s="27" t="s">
        <v>181</v>
      </c>
      <c r="E22" s="27" t="s">
        <v>219</v>
      </c>
      <c r="F22" s="55"/>
      <c r="G22" s="55">
        <v>3</v>
      </c>
      <c r="H22" s="55">
        <v>7</v>
      </c>
      <c r="I22" s="55">
        <v>58.3</v>
      </c>
      <c r="J22" s="55">
        <f t="shared" ref="J22:J33" si="1">H22*I22</f>
        <v>408.09999999999997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204</v>
      </c>
      <c r="D23" s="27" t="s">
        <v>181</v>
      </c>
      <c r="E23" s="27" t="s">
        <v>220</v>
      </c>
      <c r="F23" s="55"/>
      <c r="G23" s="55">
        <v>3</v>
      </c>
      <c r="H23" s="55">
        <v>4</v>
      </c>
      <c r="I23" s="55">
        <v>6.88</v>
      </c>
      <c r="J23" s="55">
        <f t="shared" si="1"/>
        <v>27.52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205</v>
      </c>
      <c r="D24" s="27" t="s">
        <v>213</v>
      </c>
      <c r="E24" s="27" t="s">
        <v>210</v>
      </c>
      <c r="F24" s="55"/>
      <c r="G24" s="55">
        <v>3</v>
      </c>
      <c r="H24" s="55">
        <v>21</v>
      </c>
      <c r="I24" s="55">
        <v>34.1</v>
      </c>
      <c r="J24" s="55">
        <f t="shared" si="1"/>
        <v>716.1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0" workbookViewId="0">
      <selection activeCell="A26" sqref="A26:XFD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COPD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71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74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221</v>
      </c>
      <c r="D16" s="70" t="s">
        <v>29</v>
      </c>
      <c r="E16" s="55">
        <v>1</v>
      </c>
      <c r="F16" s="55">
        <v>59.4</v>
      </c>
      <c r="G16" s="55">
        <f>E16*F16</f>
        <v>59.4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4</v>
      </c>
      <c r="F17" s="55">
        <v>4.4000000000000004</v>
      </c>
      <c r="G17" s="55">
        <f t="shared" ref="G17:G19" si="0">E17*F17</f>
        <v>17.600000000000001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29</v>
      </c>
      <c r="E18" s="55">
        <v>6</v>
      </c>
      <c r="F18" s="55">
        <v>6.6</v>
      </c>
      <c r="G18" s="55">
        <f t="shared" si="0"/>
        <v>39.599999999999994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29</v>
      </c>
      <c r="E19" s="55">
        <v>16</v>
      </c>
      <c r="F19" s="55">
        <v>3.1</v>
      </c>
      <c r="G19" s="55">
        <f t="shared" si="0"/>
        <v>49.6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29</v>
      </c>
      <c r="E20" s="55">
        <v>14</v>
      </c>
      <c r="F20" s="55">
        <v>5.5</v>
      </c>
      <c r="G20" s="55">
        <f t="shared" ref="G20:G24" si="1">E20*F20</f>
        <v>77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30</v>
      </c>
      <c r="F21" s="55">
        <v>2.5299999999999998</v>
      </c>
      <c r="G21" s="55">
        <f t="shared" si="1"/>
        <v>75.899999999999991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184</v>
      </c>
      <c r="D22" s="70" t="s">
        <v>29</v>
      </c>
      <c r="E22" s="55">
        <v>1</v>
      </c>
      <c r="F22" s="55">
        <v>31.9</v>
      </c>
      <c r="G22" s="55">
        <f t="shared" si="1"/>
        <v>31.9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222</v>
      </c>
      <c r="D23" s="70" t="s">
        <v>29</v>
      </c>
      <c r="E23" s="55">
        <v>2</v>
      </c>
      <c r="F23" s="55">
        <v>60.5</v>
      </c>
      <c r="G23" s="55">
        <f t="shared" si="1"/>
        <v>121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29</v>
      </c>
      <c r="E24" s="55">
        <v>1</v>
      </c>
      <c r="F24" s="55">
        <v>6.28</v>
      </c>
      <c r="G24" s="55">
        <f t="shared" si="1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138" t="s">
        <v>78</v>
      </c>
      <c r="C26" s="139"/>
      <c r="D26" s="139"/>
      <c r="E26" s="139"/>
      <c r="F26" s="139"/>
      <c r="G26" s="140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2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3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4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5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6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7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8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9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10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8" t="s">
        <v>30</v>
      </c>
      <c r="C37" s="139"/>
      <c r="D37" s="139"/>
      <c r="E37" s="139"/>
      <c r="F37" s="139"/>
      <c r="G37" s="140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algorithmName="SHA-512" hashValue="8nY4ON2H5cBUvY5MSF26rCQZ8a3wXEy96SqbhK3BcP8ujC84YiESQwbzZRWcscU3YImB7a75wuXi6dMLoePnRQ==" saltValue="YkZVRYUPqxxq7yV1lBdORg==" spinCount="100000" sheet="1" objects="1" scenarios="1" formatColumns="0" formatRows="0" sort="0" autoFilter="0"/>
  <mergeCells count="9">
    <mergeCell ref="B7:G7"/>
    <mergeCell ref="B26:G26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COPD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33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2018-06-08T05:45:23Z</dcterms:modified>
</cp:coreProperties>
</file>