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Data Collection\CS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Supplies_Medical'!$C$15:$C$67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5" i="9" l="1"/>
  <c r="G56" i="9"/>
  <c r="I21" i="2"/>
  <c r="I18" i="2"/>
  <c r="J17" i="2"/>
  <c r="F45" i="9" l="1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F28" i="9"/>
  <c r="J24" i="2"/>
  <c r="J22" i="2"/>
  <c r="J21" i="2"/>
  <c r="J20" i="2"/>
  <c r="J19" i="2"/>
  <c r="J18" i="2"/>
  <c r="J16" i="2"/>
  <c r="J15" i="2"/>
  <c r="J14" i="2"/>
  <c r="J13" i="2"/>
  <c r="G18" i="9" l="1"/>
  <c r="G40" i="9" l="1"/>
  <c r="G29" i="9"/>
  <c r="G30" i="9"/>
  <c r="G31" i="9"/>
  <c r="G32" i="9"/>
  <c r="G33" i="9"/>
  <c r="G34" i="9"/>
  <c r="G35" i="9"/>
  <c r="G36" i="9"/>
  <c r="G37" i="9"/>
  <c r="G38" i="9"/>
  <c r="G39" i="9"/>
  <c r="G28" i="9"/>
  <c r="G17" i="9"/>
  <c r="G16" i="9"/>
  <c r="J12" i="2"/>
  <c r="J23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<sst xmlns="http://schemas.openxmlformats.org/spreadsheetml/2006/main" count="563" uniqueCount="236">
  <si>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</si>
  <si>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</si>
  <si>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</si>
  <si>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</si>
  <si>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</si>
  <si>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</si>
  <si>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</si>
  <si>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</si>
  <si>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</si>
  <si>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</si>
  <si>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</si>
  <si>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</si>
  <si>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</si>
  <si>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</si>
  <si>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</si>
  <si>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</si>
  <si>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</si>
  <si>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</si>
  <si>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</si>
  <si>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</si>
  <si>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</si>
  <si>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</si>
  <si>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</si>
  <si>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</si>
  <si>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</si>
  <si>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</si>
  <si>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</si>
  <si>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</si>
  <si>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</si>
  <si>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</si>
  <si>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</si>
  <si>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</si>
  <si>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</si>
  <si>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</si>
  <si>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</si>
  <si>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</si>
  <si>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</si>
  <si>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</si>
  <si>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</si>
  <si>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</si>
  <si>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</si>
  <si>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</si>
  <si>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</si>
  <si>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</si>
  <si>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</si>
  <si>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</si>
  <si>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</si>
  <si>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</si>
  <si>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</si>
  <si>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</si>
  <si>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</si>
  <si>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</si>
  <si>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</si>
  <si>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</si>
  <si>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</si>
  <si>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</si>
  <si>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</si>
  <si>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</si>
  <si>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</si>
  <si>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</si>
  <si>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</si>
  <si>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</si>
  <si>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</si>
  <si>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</si>
  <si>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</si>
  <si>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</si>
  <si>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</si>
  <si>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</si>
  <si>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</si>
  <si>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</si>
  <si>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</si>
  <si>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</si>
  <si>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</si>
  <si>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</si>
  <si>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</si>
  <si>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</si>
  <si>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</si>
  <si>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</si>
  <si>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</si>
  <si>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</si>
  <si>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</si>
  <si>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</si>
  <si>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</si>
  <si>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</si>
  <si>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</si>
  <si>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</si>
  <si>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</si>
  <si>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</si>
  <si>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</si>
  <si>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</si>
  <si>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</si>
  <si>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</si>
  <si>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</si>
  <si>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</si>
  <si>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</si>
  <si>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</si>
  <si>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</si>
  <si>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</si>
  <si>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</si>
  <si>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</si>
  <si>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</si>
  <si>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</si>
  <si>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</si>
  <si>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</si>
  <si>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</si>
  <si>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</si>
  <si>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</si>
  <si>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</si>
  <si>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</si>
  <si>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</si>
  <si>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</si>
  <si>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</si>
  <si>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</si>
  <si>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</si>
  <si>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</si>
  <si>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</si>
  <si>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</si>
  <si>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</si>
  <si>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</si>
  <si>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</si>
  <si>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</si>
  <si>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</si>
  <si>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</si>
  <si>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</si>
  <si>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</si>
  <si>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</si>
  <si>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</si>
  <si>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</si>
  <si>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</si>
  <si>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</si>
  <si>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</si>
  <si>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</si>
  <si>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</si>
  <si>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</si>
  <si>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</si>
  <si>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</si>
  <si>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</si>
  <si>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</si>
  <si>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</si>
  <si>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</si>
  <si>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</si>
  <si>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</si>
  <si>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</si>
  <si>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</si>
  <si>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</si>
  <si>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</si>
  <si>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</si>
  <si>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</si>
  <si>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</si>
  <si>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</si>
  <si>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</si>
  <si>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</si>
  <si>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</si>
  <si>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</si>
  <si>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</si>
  <si>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</si>
  <si>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</si>
  <si>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</si>
  <si>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</si>
  <si>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</si>
  <si>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</si>
  <si>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</si>
  <si>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</si>
  <si>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</si>
  <si>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</si>
  <si>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</si>
  <si>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0.5% Bupivacaine Hydrochloride in 8% Dextrose 4ml</t>
  </si>
  <si>
    <t>Ferrous Fumarate</t>
  </si>
  <si>
    <t>Oxytocin</t>
  </si>
  <si>
    <t>D5LRS</t>
  </si>
  <si>
    <t>Drugs and Medicines (cons)</t>
  </si>
  <si>
    <t>Medical Supplies (cons)</t>
  </si>
  <si>
    <t>Laboratory Exam</t>
  </si>
  <si>
    <t>Operating Room</t>
  </si>
  <si>
    <t>Garbage Fee</t>
  </si>
  <si>
    <t>Room and Board</t>
  </si>
  <si>
    <t>Professional Fee</t>
  </si>
  <si>
    <t>vial</t>
  </si>
  <si>
    <t>ampul</t>
  </si>
  <si>
    <t>capsule</t>
  </si>
  <si>
    <t>tablet</t>
  </si>
  <si>
    <t>bottle</t>
  </si>
  <si>
    <t>200mg</t>
  </si>
  <si>
    <t>500mg</t>
  </si>
  <si>
    <t>10IU</t>
  </si>
  <si>
    <t>1000ml</t>
  </si>
  <si>
    <t>Disposable Mask</t>
  </si>
  <si>
    <t>Chromic 1</t>
  </si>
  <si>
    <t>10cc</t>
  </si>
  <si>
    <t>1cc/tbs</t>
  </si>
  <si>
    <t>3cc</t>
  </si>
  <si>
    <t>5cc</t>
  </si>
  <si>
    <t>Surgical Blade S.20</t>
  </si>
  <si>
    <t>Clean Gloves</t>
  </si>
  <si>
    <t>Cutasept Spray</t>
  </si>
  <si>
    <t>Adult - O2 Can</t>
  </si>
  <si>
    <t>Surgical gauze</t>
  </si>
  <si>
    <t>Abdo Pack</t>
  </si>
  <si>
    <t>Chromic 2-0</t>
  </si>
  <si>
    <t>S. Gloves S. 6 1/2</t>
  </si>
  <si>
    <t>IV Cath G.18</t>
  </si>
  <si>
    <t>Macroset</t>
  </si>
  <si>
    <t>Adult - U. Bag</t>
  </si>
  <si>
    <t>F. Cath 16</t>
  </si>
  <si>
    <t>Soluset</t>
  </si>
  <si>
    <t>Cord Clamp</t>
  </si>
  <si>
    <t>Cefuroxime Sodium</t>
  </si>
  <si>
    <t>Diclofenac Sodium</t>
  </si>
  <si>
    <t>Methylergometrine Maleate</t>
  </si>
  <si>
    <t>750mg</t>
  </si>
  <si>
    <t>25mg/ml</t>
  </si>
  <si>
    <t>200mcg/ml</t>
  </si>
  <si>
    <t>0.9% Sodium Chloride</t>
  </si>
  <si>
    <t>Spinal Needle G.25</t>
  </si>
  <si>
    <t>Plain 2-0</t>
  </si>
  <si>
    <t>Vicryl 1-0</t>
  </si>
  <si>
    <t>Vicryl 4-0</t>
  </si>
  <si>
    <t>CS</t>
  </si>
  <si>
    <t>Sterile Water for Injection</t>
  </si>
  <si>
    <t>50ml</t>
  </si>
  <si>
    <t>S. Gloves S. 7</t>
  </si>
  <si>
    <t>S. Gloves S. 7 1/2</t>
  </si>
  <si>
    <t>OB Package 3(CBC, Typing, HbsAg, RPR)</t>
  </si>
  <si>
    <t>Medical Supplies</t>
  </si>
  <si>
    <t>Omeprazole</t>
  </si>
  <si>
    <t>40mg</t>
  </si>
  <si>
    <t>Mefenamic Acid</t>
  </si>
  <si>
    <t>Co-Amoxiclav</t>
  </si>
  <si>
    <t>625mg</t>
  </si>
  <si>
    <t>Metronidazole</t>
  </si>
  <si>
    <t>Micropore</t>
  </si>
  <si>
    <t>roll</t>
  </si>
  <si>
    <t>ID Bracelet</t>
  </si>
  <si>
    <t>S. Cath FR.8</t>
  </si>
  <si>
    <t>Microset</t>
  </si>
  <si>
    <t>ID Bracelet Pink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</si>
</sst>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57</xdr:row>
          <xdr:rowOff>28575</xdr:rowOff>
        </xdr:from>
        <xdr:to>
          <xdr:col>1</xdr:col>
          <xdr:colOff>771525</xdr:colOff>
          <xdr:row>57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57</xdr:row>
          <xdr:rowOff>28575</xdr:rowOff>
        </xdr:from>
        <xdr:to>
          <xdr:col>1</xdr:col>
          <xdr:colOff>1543050</xdr:colOff>
          <xdr:row>57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B57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217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>
        <v>59514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222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9" t="s">
        <v>19</v>
      </c>
      <c r="C38" s="120"/>
      <c r="D38" s="117"/>
      <c r="E38" s="120"/>
      <c r="F38" s="118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9" t="s">
        <v>46</v>
      </c>
      <c r="C43" s="120"/>
      <c r="D43" s="117"/>
      <c r="E43" s="120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6" t="s">
        <v>55</v>
      </c>
      <c r="C45" s="117"/>
      <c r="D45" s="117"/>
      <c r="E45" s="117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6" t="s">
        <v>20</v>
      </c>
      <c r="C50" s="117"/>
      <c r="D50" s="117"/>
      <c r="E50" s="117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170</v>
      </c>
      <c r="D60" s="55">
        <v>3192.55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171</v>
      </c>
      <c r="D61" s="55">
        <v>3114.31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64</v>
      </c>
      <c r="D62" s="55">
        <v>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223</v>
      </c>
      <c r="D63" s="55">
        <v>10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700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173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174</v>
      </c>
      <c r="D66" s="55">
        <v>30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175</v>
      </c>
      <c r="D67" s="55">
        <v>600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176</v>
      </c>
      <c r="D68" s="55">
        <v>7600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17696.86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C1" workbookViewId="0">
      <selection activeCell="F34" sqref="F3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2.8554687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224</v>
      </c>
      <c r="D11" s="27" t="s">
        <v>177</v>
      </c>
      <c r="E11" s="27" t="s">
        <v>225</v>
      </c>
      <c r="F11" s="55"/>
      <c r="G11" s="55">
        <v>3</v>
      </c>
      <c r="H11" s="55">
        <v>1</v>
      </c>
      <c r="I11" s="55">
        <v>280.5</v>
      </c>
      <c r="J11" s="55">
        <f>H11*I11</f>
        <v>280.5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226</v>
      </c>
      <c r="D12" s="27" t="s">
        <v>179</v>
      </c>
      <c r="E12" s="27" t="s">
        <v>183</v>
      </c>
      <c r="F12" s="55"/>
      <c r="G12" s="55">
        <v>3</v>
      </c>
      <c r="H12" s="55">
        <v>10</v>
      </c>
      <c r="I12" s="55">
        <v>3.52</v>
      </c>
      <c r="J12" s="55">
        <f t="shared" ref="J12:J24" si="0">H12*I12</f>
        <v>35.200000000000003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166</v>
      </c>
      <c r="D13" s="27" t="s">
        <v>178</v>
      </c>
      <c r="E13" s="115">
        <v>5.0000000000000001E-3</v>
      </c>
      <c r="F13" s="55"/>
      <c r="G13" s="55">
        <v>3</v>
      </c>
      <c r="H13" s="55">
        <v>1</v>
      </c>
      <c r="I13" s="55">
        <v>635.79999999999995</v>
      </c>
      <c r="J13" s="55">
        <f t="shared" ref="J13:J22" si="1">H13*I13</f>
        <v>635.79999999999995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167</v>
      </c>
      <c r="D14" s="27" t="s">
        <v>179</v>
      </c>
      <c r="E14" s="27" t="s">
        <v>182</v>
      </c>
      <c r="F14" s="55"/>
      <c r="G14" s="55">
        <v>3</v>
      </c>
      <c r="H14" s="55">
        <v>7</v>
      </c>
      <c r="I14" s="55">
        <v>2.42</v>
      </c>
      <c r="J14" s="55">
        <f t="shared" si="1"/>
        <v>16.939999999999998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206</v>
      </c>
      <c r="D15" s="27" t="s">
        <v>177</v>
      </c>
      <c r="E15" s="27" t="s">
        <v>209</v>
      </c>
      <c r="F15" s="55"/>
      <c r="G15" s="55">
        <v>3</v>
      </c>
      <c r="H15" s="55">
        <v>6</v>
      </c>
      <c r="I15" s="55">
        <v>52.8</v>
      </c>
      <c r="J15" s="55">
        <f t="shared" si="1"/>
        <v>316.79999999999995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207</v>
      </c>
      <c r="D16" s="27" t="s">
        <v>178</v>
      </c>
      <c r="E16" s="27" t="s">
        <v>210</v>
      </c>
      <c r="F16" s="55"/>
      <c r="G16" s="55">
        <v>3</v>
      </c>
      <c r="H16" s="55">
        <v>4</v>
      </c>
      <c r="I16" s="55">
        <v>26.4</v>
      </c>
      <c r="J16" s="55">
        <f t="shared" si="1"/>
        <v>105.6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168</v>
      </c>
      <c r="D17" s="27" t="s">
        <v>178</v>
      </c>
      <c r="E17" s="27" t="s">
        <v>184</v>
      </c>
      <c r="F17" s="55"/>
      <c r="G17" s="55">
        <v>3</v>
      </c>
      <c r="H17" s="55">
        <v>7</v>
      </c>
      <c r="I17" s="55">
        <v>38.39</v>
      </c>
      <c r="J17" s="55">
        <f t="shared" si="1"/>
        <v>268.73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227</v>
      </c>
      <c r="D18" s="27" t="s">
        <v>180</v>
      </c>
      <c r="E18" s="27" t="s">
        <v>228</v>
      </c>
      <c r="F18" s="55"/>
      <c r="G18" s="55">
        <v>3</v>
      </c>
      <c r="H18" s="55">
        <v>21</v>
      </c>
      <c r="I18" s="55">
        <f>577.5/21</f>
        <v>27.5</v>
      </c>
      <c r="J18" s="55">
        <f t="shared" si="1"/>
        <v>577.5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169</v>
      </c>
      <c r="D19" s="27" t="s">
        <v>181</v>
      </c>
      <c r="E19" s="27" t="s">
        <v>185</v>
      </c>
      <c r="F19" s="55"/>
      <c r="G19" s="55">
        <v>3</v>
      </c>
      <c r="H19" s="55">
        <v>4</v>
      </c>
      <c r="I19" s="55">
        <v>78.430000000000007</v>
      </c>
      <c r="J19" s="55">
        <f t="shared" si="1"/>
        <v>313.72000000000003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229</v>
      </c>
      <c r="D20" s="27" t="s">
        <v>177</v>
      </c>
      <c r="E20" s="27" t="s">
        <v>183</v>
      </c>
      <c r="F20" s="55"/>
      <c r="G20" s="55">
        <v>3</v>
      </c>
      <c r="H20" s="55">
        <v>6</v>
      </c>
      <c r="I20" s="55">
        <v>44</v>
      </c>
      <c r="J20" s="55">
        <f t="shared" si="1"/>
        <v>264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229</v>
      </c>
      <c r="D21" s="27" t="s">
        <v>180</v>
      </c>
      <c r="E21" s="27" t="s">
        <v>183</v>
      </c>
      <c r="F21" s="55"/>
      <c r="G21" s="55">
        <v>3</v>
      </c>
      <c r="H21" s="55">
        <v>15</v>
      </c>
      <c r="I21" s="55">
        <f>33.9/15</f>
        <v>2.2599999999999998</v>
      </c>
      <c r="J21" s="55">
        <f t="shared" si="1"/>
        <v>33.9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212</v>
      </c>
      <c r="D22" s="27" t="s">
        <v>181</v>
      </c>
      <c r="E22" s="27" t="s">
        <v>185</v>
      </c>
      <c r="F22" s="55"/>
      <c r="G22" s="55">
        <v>3</v>
      </c>
      <c r="H22" s="55">
        <v>2</v>
      </c>
      <c r="I22" s="55">
        <v>78.430000000000007</v>
      </c>
      <c r="J22" s="55">
        <f t="shared" si="1"/>
        <v>156.86000000000001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218</v>
      </c>
      <c r="D23" s="27" t="s">
        <v>177</v>
      </c>
      <c r="E23" s="27" t="s">
        <v>219</v>
      </c>
      <c r="F23" s="55"/>
      <c r="G23" s="55">
        <v>3</v>
      </c>
      <c r="H23" s="55">
        <v>1</v>
      </c>
      <c r="I23" s="55">
        <v>38.5</v>
      </c>
      <c r="J23" s="55">
        <f t="shared" si="0"/>
        <v>38.5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208</v>
      </c>
      <c r="D24" s="27" t="s">
        <v>178</v>
      </c>
      <c r="E24" s="27" t="s">
        <v>211</v>
      </c>
      <c r="F24" s="55"/>
      <c r="G24" s="55">
        <v>3</v>
      </c>
      <c r="H24" s="55">
        <v>3</v>
      </c>
      <c r="I24" s="55">
        <v>49.5</v>
      </c>
      <c r="J24" s="55">
        <f t="shared" si="0"/>
        <v>148.5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25">
      <c r="A31" s="33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</row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aFUy1NccoRs1BuIQ/MNkF6pGYFfNGqwLkBwmUC5C0QrGFG5FWPtGjCJCktsdAt0bWbFdGob9+Kzhpf27zS+CAA==" saltValue="Fe1ZpVD6bgNh7ABN0ASKX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" right="0" top="0.75" bottom="0.75" header="0" footer="0"/>
  <pageSetup paperSize="5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1"/>
  <sheetViews>
    <sheetView topLeftCell="C13" zoomScaleNormal="100" workbookViewId="0">
      <selection activeCell="G17" activeCellId="2" sqref="G28:G56 G16 G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29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232</v>
      </c>
      <c r="D16" s="70" t="s">
        <v>29</v>
      </c>
      <c r="E16" s="55">
        <v>1</v>
      </c>
      <c r="F16" s="55">
        <v>6.28</v>
      </c>
      <c r="G16" s="55">
        <f>E16*F16</f>
        <v>6.28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235</v>
      </c>
      <c r="D17" s="70" t="s">
        <v>29</v>
      </c>
      <c r="E17" s="55">
        <v>1</v>
      </c>
      <c r="F17" s="55">
        <v>10</v>
      </c>
      <c r="G17" s="55">
        <f t="shared" ref="G17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ref="G18" si="1"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220</v>
      </c>
      <c r="D28" s="70" t="s">
        <v>29</v>
      </c>
      <c r="E28" s="55">
        <v>2</v>
      </c>
      <c r="F28" s="55">
        <f>139.74/6</f>
        <v>23.290000000000003</v>
      </c>
      <c r="G28" s="55">
        <f>E28*F28</f>
        <v>46.580000000000005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186</v>
      </c>
      <c r="D29" s="70" t="s">
        <v>29</v>
      </c>
      <c r="E29" s="55">
        <v>4</v>
      </c>
      <c r="F29" s="55">
        <v>4.4000000000000004</v>
      </c>
      <c r="G29" s="55">
        <f t="shared" ref="G29:G40" si="2">E29*F29</f>
        <v>17.600000000000001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29</v>
      </c>
      <c r="E30" s="55">
        <v>2</v>
      </c>
      <c r="F30" s="55">
        <v>204.6</v>
      </c>
      <c r="G30" s="55">
        <f t="shared" si="2"/>
        <v>409.2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29</v>
      </c>
      <c r="E31" s="55">
        <v>3</v>
      </c>
      <c r="F31" s="55">
        <v>7.7</v>
      </c>
      <c r="G31" s="55">
        <f t="shared" si="2"/>
        <v>23.1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29</v>
      </c>
      <c r="E32" s="55">
        <v>5</v>
      </c>
      <c r="F32" s="55">
        <v>6.6</v>
      </c>
      <c r="G32" s="55">
        <f t="shared" si="2"/>
        <v>33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190</v>
      </c>
      <c r="D33" s="70" t="s">
        <v>29</v>
      </c>
      <c r="E33" s="55">
        <v>8</v>
      </c>
      <c r="F33" s="55">
        <v>5.5</v>
      </c>
      <c r="G33" s="55">
        <f t="shared" si="2"/>
        <v>44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191</v>
      </c>
      <c r="D34" s="70" t="s">
        <v>29</v>
      </c>
      <c r="E34" s="55">
        <v>7</v>
      </c>
      <c r="F34" s="55">
        <v>6.6</v>
      </c>
      <c r="G34" s="55">
        <f t="shared" si="2"/>
        <v>46.199999999999996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192</v>
      </c>
      <c r="D35" s="70" t="s">
        <v>29</v>
      </c>
      <c r="E35" s="55">
        <v>2</v>
      </c>
      <c r="F35" s="55">
        <v>7.7</v>
      </c>
      <c r="G35" s="55">
        <f t="shared" si="2"/>
        <v>15.4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193</v>
      </c>
      <c r="D36" s="70" t="s">
        <v>29</v>
      </c>
      <c r="E36" s="55">
        <v>6</v>
      </c>
      <c r="F36" s="55">
        <v>3.1</v>
      </c>
      <c r="G36" s="55">
        <f t="shared" si="2"/>
        <v>18.600000000000001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221</v>
      </c>
      <c r="D37" s="70" t="s">
        <v>29</v>
      </c>
      <c r="E37" s="55">
        <v>2</v>
      </c>
      <c r="F37" s="55">
        <v>23.29</v>
      </c>
      <c r="G37" s="55">
        <f t="shared" si="2"/>
        <v>46.58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233</v>
      </c>
      <c r="D38" s="70" t="s">
        <v>29</v>
      </c>
      <c r="E38" s="55">
        <v>2</v>
      </c>
      <c r="F38" s="55">
        <v>17.600000000000001</v>
      </c>
      <c r="G38" s="55">
        <f t="shared" si="2"/>
        <v>35.200000000000003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194</v>
      </c>
      <c r="D39" s="70" t="s">
        <v>181</v>
      </c>
      <c r="E39" s="55">
        <v>1</v>
      </c>
      <c r="F39" s="55">
        <v>87.47</v>
      </c>
      <c r="G39" s="55">
        <f t="shared" si="2"/>
        <v>87.47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195</v>
      </c>
      <c r="D40" s="70" t="s">
        <v>29</v>
      </c>
      <c r="E40" s="55">
        <v>1</v>
      </c>
      <c r="F40" s="55">
        <v>42.9</v>
      </c>
      <c r="G40" s="55">
        <f t="shared" si="2"/>
        <v>42.9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196</v>
      </c>
      <c r="D41" s="70" t="s">
        <v>29</v>
      </c>
      <c r="E41" s="55">
        <v>45</v>
      </c>
      <c r="F41" s="55">
        <v>2.5299999999999998</v>
      </c>
      <c r="G41" s="55">
        <f t="shared" ref="G41:G56" si="3">E41*F41</f>
        <v>113.85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234</v>
      </c>
      <c r="D42" s="70" t="s">
        <v>29</v>
      </c>
      <c r="E42" s="55">
        <v>1</v>
      </c>
      <c r="F42" s="55">
        <v>34.1</v>
      </c>
      <c r="G42" s="55">
        <f t="shared" si="3"/>
        <v>34.1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197</v>
      </c>
      <c r="D43" s="70" t="s">
        <v>29</v>
      </c>
      <c r="E43" s="55">
        <v>2</v>
      </c>
      <c r="F43" s="55">
        <v>60.5</v>
      </c>
      <c r="G43" s="55">
        <f t="shared" si="3"/>
        <v>121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198</v>
      </c>
      <c r="D44" s="70" t="s">
        <v>29</v>
      </c>
      <c r="E44" s="55">
        <v>1</v>
      </c>
      <c r="F44" s="55">
        <v>204.6</v>
      </c>
      <c r="G44" s="55">
        <f t="shared" si="3"/>
        <v>204.6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199</v>
      </c>
      <c r="D45" s="70" t="s">
        <v>29</v>
      </c>
      <c r="E45" s="55">
        <v>2</v>
      </c>
      <c r="F45" s="55">
        <f>46.58/2</f>
        <v>23.29</v>
      </c>
      <c r="G45" s="55">
        <f t="shared" si="3"/>
        <v>46.58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214</v>
      </c>
      <c r="D46" s="70" t="s">
        <v>29</v>
      </c>
      <c r="E46" s="55">
        <v>1</v>
      </c>
      <c r="F46" s="55">
        <v>220</v>
      </c>
      <c r="G46" s="55">
        <f t="shared" si="3"/>
        <v>220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200</v>
      </c>
      <c r="D47" s="70" t="s">
        <v>29</v>
      </c>
      <c r="E47" s="55">
        <v>3</v>
      </c>
      <c r="F47" s="55">
        <v>60.5</v>
      </c>
      <c r="G47" s="55">
        <f t="shared" si="3"/>
        <v>181.5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201</v>
      </c>
      <c r="D48" s="70" t="s">
        <v>29</v>
      </c>
      <c r="E48" s="55">
        <v>1</v>
      </c>
      <c r="F48" s="55">
        <v>31.9</v>
      </c>
      <c r="G48" s="55">
        <f t="shared" si="3"/>
        <v>31.9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202</v>
      </c>
      <c r="D49" s="70" t="s">
        <v>29</v>
      </c>
      <c r="E49" s="55">
        <v>1</v>
      </c>
      <c r="F49" s="55">
        <v>24.2</v>
      </c>
      <c r="G49" s="55">
        <f t="shared" si="3"/>
        <v>24.2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203</v>
      </c>
      <c r="D50" s="70" t="s">
        <v>29</v>
      </c>
      <c r="E50" s="55">
        <v>1</v>
      </c>
      <c r="F50" s="55">
        <v>36.299999999999997</v>
      </c>
      <c r="G50" s="55">
        <f t="shared" si="3"/>
        <v>36.299999999999997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204</v>
      </c>
      <c r="D51" s="70" t="s">
        <v>29</v>
      </c>
      <c r="E51" s="55">
        <v>1</v>
      </c>
      <c r="F51" s="55">
        <v>198</v>
      </c>
      <c r="G51" s="55">
        <f t="shared" si="3"/>
        <v>198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205</v>
      </c>
      <c r="D52" s="70" t="s">
        <v>29</v>
      </c>
      <c r="E52" s="55">
        <v>1</v>
      </c>
      <c r="F52" s="55">
        <v>5.61</v>
      </c>
      <c r="G52" s="55">
        <f t="shared" si="3"/>
        <v>5.61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213</v>
      </c>
      <c r="D53" s="70" t="s">
        <v>29</v>
      </c>
      <c r="E53" s="55">
        <v>1</v>
      </c>
      <c r="F53" s="55">
        <v>110</v>
      </c>
      <c r="G53" s="55">
        <f t="shared" si="3"/>
        <v>110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215</v>
      </c>
      <c r="D54" s="70" t="s">
        <v>29</v>
      </c>
      <c r="E54" s="55">
        <v>1</v>
      </c>
      <c r="F54" s="55">
        <v>409.11</v>
      </c>
      <c r="G54" s="55">
        <f t="shared" si="3"/>
        <v>409.11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216</v>
      </c>
      <c r="D55" s="70" t="s">
        <v>29</v>
      </c>
      <c r="E55" s="55">
        <v>1</v>
      </c>
      <c r="F55" s="55">
        <v>327.25</v>
      </c>
      <c r="G55" s="55">
        <f t="shared" si="3"/>
        <v>327.25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 t="s">
        <v>230</v>
      </c>
      <c r="D56" s="70" t="s">
        <v>231</v>
      </c>
      <c r="E56" s="55">
        <v>3</v>
      </c>
      <c r="F56" s="55">
        <v>59.4</v>
      </c>
      <c r="G56" s="55">
        <f t="shared" si="3"/>
        <v>178.2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137" t="s">
        <v>30</v>
      </c>
      <c r="C57" s="138"/>
      <c r="D57" s="138"/>
      <c r="E57" s="138"/>
      <c r="F57" s="138"/>
      <c r="G57" s="139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1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2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4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5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6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7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8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9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10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A68" s="44"/>
      <c r="B68" s="39"/>
      <c r="C68" s="44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5.75" customHeight="1" x14ac:dyDescent="0.25"/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</sheetData>
  <sheetProtection algorithmName="SHA-512" hashValue="5fHPCqqAkktmOcFbS3lUjbbowVFz1RUoWqn53Jp13AD8F3Im/pxHSVv0/XNXLLi5rFuu7BPcqFj1upZqa4pyeA==" saltValue="atZRMiFmWOBtJA5ikhD0ag==" spinCount="100000" sheet="1" objects="1" scenarios="1" formatColumns="0" formatRows="0" sort="0" autoFilter="0"/>
  <mergeCells count="9">
    <mergeCell ref="B7:G7"/>
    <mergeCell ref="B27:G27"/>
    <mergeCell ref="B57:G5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57</xdr:row>
                    <xdr:rowOff>28575</xdr:rowOff>
                  </from>
                  <to>
                    <xdr:col>1</xdr:col>
                    <xdr:colOff>771525</xdr:colOff>
                    <xdr:row>57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57</xdr:row>
                    <xdr:rowOff>28575</xdr:rowOff>
                  </from>
                  <to>
                    <xdr:col>1</xdr:col>
                    <xdr:colOff>1543050</xdr:colOff>
                    <xdr:row>57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E8" workbookViewId="0">
      <selection activeCell="M22" sqref="M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" right="0" top="0.75" bottom="0.75" header="0" footer="0"/>
  <pageSetup paperSize="5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2018-06-08T03:59:41Z</cp:lastPrinted>
  <dcterms:created xsi:type="dcterms:W3CDTF">2018-05-11T08:46:15Z</dcterms:created>
  <dcterms:modified xsi:type="dcterms:W3CDTF">2018-06-08T04:00:47Z</dcterms:modified>
</cp:coreProperties>
</file>