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Supraventricular Tachycardia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16" i="9"/>
  <c r="J12" i="2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<sst xmlns="http://schemas.openxmlformats.org/spreadsheetml/2006/main" count="497" uniqueCount="203">
  <si>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</si>
  <si>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</si>
  <si>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</si>
  <si>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</si>
  <si>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</si>
  <si>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</si>
  <si>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</si>
  <si>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</si>
  <si>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</si>
  <si>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</si>
  <si>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</si>
  <si>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</si>
  <si>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</si>
  <si>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</si>
  <si>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</si>
  <si>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</si>
  <si>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</si>
  <si>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</si>
  <si>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</si>
  <si>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</si>
  <si>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</si>
  <si>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</si>
  <si>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</si>
  <si>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</si>
  <si>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</si>
  <si>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</si>
  <si>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</si>
  <si>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</si>
  <si>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</si>
  <si>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</si>
  <si>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</si>
  <si>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</si>
  <si>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</si>
  <si>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</si>
  <si>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</si>
  <si>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</si>
  <si>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</si>
  <si>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</si>
  <si>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</si>
  <si>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</si>
  <si>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</si>
  <si>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</si>
  <si>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</si>
  <si>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</si>
  <si>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</si>
  <si>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</si>
  <si>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</si>
  <si>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</si>
  <si>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</si>
  <si>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</si>
  <si>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</si>
  <si>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</si>
  <si>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</si>
  <si>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</si>
  <si>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</si>
  <si>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</si>
  <si>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</si>
  <si>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</si>
  <si>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</si>
  <si>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</si>
  <si>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</si>
  <si>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</si>
  <si>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</si>
  <si>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</si>
  <si>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</si>
  <si>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</si>
  <si>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</si>
  <si>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</si>
  <si>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</si>
  <si>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</si>
  <si>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</si>
  <si>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</si>
  <si>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</si>
  <si>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</si>
  <si>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</si>
  <si>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</si>
  <si>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</si>
  <si>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</si>
  <si>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</si>
  <si>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</si>
  <si>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</si>
  <si>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</si>
  <si>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</si>
  <si>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</si>
  <si>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</si>
  <si>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</si>
  <si>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</si>
  <si>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</si>
  <si>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</si>
  <si>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</si>
  <si>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</si>
  <si>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</si>
  <si>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</si>
  <si>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</si>
  <si>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</si>
  <si>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</si>
  <si>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</si>
  <si>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</si>
  <si>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</si>
  <si>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</si>
  <si>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</si>
  <si>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</si>
  <si>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</si>
  <si>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</si>
  <si>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</si>
  <si>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</si>
  <si>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</si>
  <si>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</si>
  <si>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</si>
  <si>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</si>
  <si>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</si>
  <si>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</si>
  <si>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</si>
  <si>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</si>
  <si>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</si>
  <si>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</si>
  <si>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</si>
  <si>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</si>
  <si>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</si>
  <si>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</si>
  <si>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</si>
  <si>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</si>
  <si>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</si>
  <si>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</si>
  <si>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</si>
  <si>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</si>
  <si>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</si>
  <si>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</si>
  <si>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</si>
  <si>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</si>
  <si>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</si>
  <si>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</si>
  <si>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</si>
  <si>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</si>
  <si>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</si>
  <si>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</si>
  <si>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</si>
  <si>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</si>
  <si>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</si>
  <si>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</si>
  <si>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</si>
  <si>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</si>
  <si>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</si>
  <si>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</si>
  <si>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</si>
  <si>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</si>
  <si>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</si>
  <si>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</si>
  <si>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</si>
  <si>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</si>
  <si>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</si>
  <si>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</si>
  <si>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</si>
  <si>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</si>
  <si>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</si>
  <si>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</si>
  <si>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</si>
  <si>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</si>
  <si>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</si>
  <si>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</si>
  <si>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</si>
  <si>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</si>
  <si>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</si>
  <si>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</si>
  <si>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</si>
  <si>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</si>
  <si>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Supraventricular Tachycardia</t>
  </si>
  <si>
    <t>I47.1</t>
  </si>
  <si>
    <t>HGT</t>
  </si>
  <si>
    <t>Blood Chem 1(FBS, BUN, Crea, BUA, Lipid Profile)</t>
  </si>
  <si>
    <t>SGPT/ALT</t>
  </si>
  <si>
    <t>SGOT/AST</t>
  </si>
  <si>
    <t>Hema Package 1(CBC, Platelet Count)</t>
  </si>
  <si>
    <t>Electrolytes</t>
  </si>
  <si>
    <t>Troponin I</t>
  </si>
  <si>
    <t>Drugs and Medicines (cons)</t>
  </si>
  <si>
    <t>Medical Supplies (cons)</t>
  </si>
  <si>
    <t>Laboratory Exam</t>
  </si>
  <si>
    <t>Radiology</t>
  </si>
  <si>
    <t>Garbage Fee</t>
  </si>
  <si>
    <t>Room and Board</t>
  </si>
  <si>
    <t>Professional Fee</t>
  </si>
  <si>
    <t>Clopidogrel</t>
  </si>
  <si>
    <t>Aspirin</t>
  </si>
  <si>
    <t>Trimetazidine</t>
  </si>
  <si>
    <t>Carvedilol</t>
  </si>
  <si>
    <t>5% Dextrose in Water</t>
  </si>
  <si>
    <t>Atorvastatin</t>
  </si>
  <si>
    <t>tablet</t>
  </si>
  <si>
    <t>bottle</t>
  </si>
  <si>
    <t>75mg</t>
  </si>
  <si>
    <t>80mg</t>
  </si>
  <si>
    <t>35mg</t>
  </si>
  <si>
    <t>6.25mg</t>
  </si>
  <si>
    <t>500ml</t>
  </si>
  <si>
    <t>40mg</t>
  </si>
  <si>
    <t>Thermometer</t>
  </si>
  <si>
    <t>Disposable Mask</t>
  </si>
  <si>
    <t>Clean Gloves</t>
  </si>
  <si>
    <t>Surgical Gauze</t>
  </si>
  <si>
    <t>Macroset</t>
  </si>
  <si>
    <t>IV Cath G.22</t>
  </si>
  <si>
    <t>ID Bracelet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</si>
</sst>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18" zoomScaleNormal="100" workbookViewId="0">
      <selection activeCell="E69" sqref="E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172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174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19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46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47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55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20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57</v>
      </c>
      <c r="C62" s="17" t="s">
        <v>53</v>
      </c>
      <c r="D62" s="17" t="s">
        <v>58</v>
      </c>
      <c r="E62" s="18" t="s">
        <v>59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175</v>
      </c>
      <c r="D63" s="55">
        <v>796.95</v>
      </c>
      <c r="E63" s="55">
        <v>199.26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176</v>
      </c>
      <c r="D64" s="55">
        <v>280.7</v>
      </c>
      <c r="E64" s="55">
        <v>70.180000000000007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177</v>
      </c>
      <c r="D65" s="55">
        <v>2696</v>
      </c>
      <c r="E65" s="55">
        <v>674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178</v>
      </c>
      <c r="D66" s="55">
        <v>128</v>
      </c>
      <c r="E66" s="55">
        <v>32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179</v>
      </c>
      <c r="D67" s="55">
        <v>16</v>
      </c>
      <c r="E67" s="55">
        <v>4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180</v>
      </c>
      <c r="D68" s="55">
        <v>320</v>
      </c>
      <c r="E68" s="55">
        <v>80</v>
      </c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181</v>
      </c>
      <c r="D69" s="55">
        <v>3660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7897.65</v>
      </c>
      <c r="E74" s="59">
        <f>SUM(E63:E73)</f>
        <v>1059.44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algorithmName="SHA-512" hashValue="7ZeBmyQpKOA+aMRcy2RzSe5WqBfzcZbbrO1iik1UWkK61MFc8Hf+lEum6MI9lxAa/sjWjFPAGMzyco2UJLyDxg==" saltValue="WB9B8lD/BPibzBZnOkHUKg==" spinCount="100000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1" sqref="J11: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Supraventricular Tachycardia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188</v>
      </c>
      <c r="E11" s="27" t="s">
        <v>190</v>
      </c>
      <c r="F11" s="55"/>
      <c r="G11" s="55">
        <v>2</v>
      </c>
      <c r="H11" s="55">
        <v>14</v>
      </c>
      <c r="I11" s="55">
        <v>24.75</v>
      </c>
      <c r="J11" s="55">
        <f>H11*I11</f>
        <v>346.5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183</v>
      </c>
      <c r="D12" s="27" t="s">
        <v>188</v>
      </c>
      <c r="E12" s="27" t="s">
        <v>191</v>
      </c>
      <c r="F12" s="55"/>
      <c r="G12" s="55">
        <v>2</v>
      </c>
      <c r="H12" s="55">
        <v>3</v>
      </c>
      <c r="I12" s="55">
        <v>2.75</v>
      </c>
      <c r="J12" s="55">
        <f t="shared" ref="J12:J16" si="0">H12*I12</f>
        <v>8.25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188</v>
      </c>
      <c r="E13" s="27" t="s">
        <v>192</v>
      </c>
      <c r="F13" s="55"/>
      <c r="G13" s="55">
        <v>2</v>
      </c>
      <c r="H13" s="55">
        <v>6</v>
      </c>
      <c r="I13" s="55">
        <v>14.3</v>
      </c>
      <c r="J13" s="55">
        <f t="shared" si="0"/>
        <v>85.800000000000011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185</v>
      </c>
      <c r="D14" s="27" t="s">
        <v>188</v>
      </c>
      <c r="E14" s="27" t="s">
        <v>193</v>
      </c>
      <c r="F14" s="55"/>
      <c r="G14" s="55">
        <v>2</v>
      </c>
      <c r="H14" s="55">
        <v>20</v>
      </c>
      <c r="I14" s="55">
        <v>16.5</v>
      </c>
      <c r="J14" s="55">
        <f t="shared" si="0"/>
        <v>330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189</v>
      </c>
      <c r="E15" s="27" t="s">
        <v>194</v>
      </c>
      <c r="F15" s="55"/>
      <c r="G15" s="55">
        <v>2</v>
      </c>
      <c r="H15" s="55">
        <v>2</v>
      </c>
      <c r="I15" s="55">
        <v>78.430000000000007</v>
      </c>
      <c r="J15" s="55">
        <f t="shared" si="0"/>
        <v>156.86000000000001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187</v>
      </c>
      <c r="D16" s="27" t="s">
        <v>188</v>
      </c>
      <c r="E16" s="27" t="s">
        <v>195</v>
      </c>
      <c r="F16" s="55"/>
      <c r="G16" s="55">
        <v>2</v>
      </c>
      <c r="H16" s="55">
        <v>10</v>
      </c>
      <c r="I16" s="55">
        <v>6.88</v>
      </c>
      <c r="J16" s="55">
        <f t="shared" si="0"/>
        <v>68.8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16" sqref="G16:G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Supraventricular Tachycardia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196</v>
      </c>
      <c r="D16" s="70" t="s">
        <v>29</v>
      </c>
      <c r="E16" s="55">
        <v>1</v>
      </c>
      <c r="F16" s="55">
        <v>80.3</v>
      </c>
      <c r="G16" s="55">
        <f>E16*F16</f>
        <v>80.3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197</v>
      </c>
      <c r="D17" s="70" t="s">
        <v>29</v>
      </c>
      <c r="E17" s="55">
        <v>3</v>
      </c>
      <c r="F17" s="55">
        <v>4.4000000000000004</v>
      </c>
      <c r="G17" s="55">
        <f t="shared" ref="G17:G22" si="0">E17*F17</f>
        <v>13.200000000000001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198</v>
      </c>
      <c r="D18" s="70" t="s">
        <v>29</v>
      </c>
      <c r="E18" s="55">
        <v>4</v>
      </c>
      <c r="F18" s="55">
        <v>3.1</v>
      </c>
      <c r="G18" s="55">
        <f t="shared" si="0"/>
        <v>12.4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199</v>
      </c>
      <c r="D19" s="70" t="s">
        <v>29</v>
      </c>
      <c r="E19" s="55">
        <v>10</v>
      </c>
      <c r="F19" s="55">
        <v>2.5299999999999998</v>
      </c>
      <c r="G19" s="55">
        <f t="shared" si="0"/>
        <v>25.299999999999997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200</v>
      </c>
      <c r="D20" s="70" t="s">
        <v>29</v>
      </c>
      <c r="E20" s="55">
        <v>1</v>
      </c>
      <c r="F20" s="55">
        <v>31.9</v>
      </c>
      <c r="G20" s="55">
        <f t="shared" si="0"/>
        <v>31.9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201</v>
      </c>
      <c r="D21" s="70" t="s">
        <v>29</v>
      </c>
      <c r="E21" s="55">
        <v>3</v>
      </c>
      <c r="F21" s="55">
        <v>60.5</v>
      </c>
      <c r="G21" s="55">
        <f t="shared" si="0"/>
        <v>181.5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202</v>
      </c>
      <c r="D22" s="70" t="s">
        <v>29</v>
      </c>
      <c r="E22" s="55">
        <v>1</v>
      </c>
      <c r="F22" s="55">
        <v>6.28</v>
      </c>
      <c r="G22" s="55">
        <f t="shared" si="0"/>
        <v>6.28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78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L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Supraventricular Tachycardia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2018-06-08T05:52:01Z</dcterms:modified>
</cp:coreProperties>
</file>