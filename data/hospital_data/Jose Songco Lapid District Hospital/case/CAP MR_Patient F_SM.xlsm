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4" i="9" l="1"/>
  <c r="G23" i="9"/>
  <c r="G22" i="9"/>
  <c r="G21" i="9"/>
  <c r="G19" i="9"/>
  <c r="G25" i="9" l="1"/>
  <c r="J11" i="2" l="1"/>
  <c r="J34" i="2" l="1"/>
  <c r="J27" i="2"/>
  <c r="J33" i="2" l="1"/>
  <c r="J32" i="2"/>
  <c r="J31" i="2"/>
  <c r="J30" i="2"/>
  <c r="J29" i="2"/>
  <c r="J28" i="2"/>
  <c r="G20" i="9"/>
  <c r="G17" i="9"/>
  <c r="G18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<sst xmlns="http://schemas.openxmlformats.org/spreadsheetml/2006/main" count="516" uniqueCount="216">
  <si>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</si>
  <si>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</si>
  <si>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</si>
  <si>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</si>
  <si>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</si>
  <si>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</si>
  <si>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</si>
  <si>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</si>
  <si>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</si>
  <si>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</si>
  <si>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</si>
  <si>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</si>
  <si>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</si>
  <si>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</si>
  <si>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</si>
  <si>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</si>
  <si>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</si>
  <si>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</si>
  <si>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</si>
  <si>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</si>
  <si>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</si>
  <si>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</si>
  <si>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</si>
  <si>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</si>
  <si>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</si>
  <si>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</si>
  <si>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</si>
  <si>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</si>
  <si>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</si>
  <si>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</si>
  <si>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</si>
  <si>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</si>
  <si>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</si>
  <si>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</si>
  <si>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</si>
  <si>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</si>
  <si>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</si>
  <si>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</si>
  <si>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</si>
  <si>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</si>
  <si>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</si>
  <si>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</si>
  <si>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</si>
  <si>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</si>
  <si>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</si>
  <si>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</si>
  <si>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</si>
  <si>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</si>
  <si>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</si>
  <si>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</si>
  <si>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</si>
  <si>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</si>
  <si>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</si>
  <si>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</si>
  <si>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</si>
  <si>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</si>
  <si>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</si>
  <si>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</si>
  <si>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</si>
  <si>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</si>
  <si>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</si>
  <si>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</si>
  <si>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</si>
  <si>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</si>
  <si>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</si>
  <si>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</si>
  <si>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</si>
  <si>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</si>
  <si>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</si>
  <si>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</si>
  <si>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</si>
  <si>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</si>
  <si>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</si>
  <si>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</si>
  <si>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</si>
  <si>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</si>
  <si>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</si>
  <si>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</si>
  <si>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</si>
  <si>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</si>
  <si>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</si>
  <si>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</si>
  <si>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</si>
  <si>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</si>
  <si>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</si>
  <si>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</si>
  <si>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</si>
  <si>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</si>
  <si>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</si>
  <si>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</si>
  <si>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</si>
  <si>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</si>
  <si>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</si>
  <si>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</si>
  <si>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</si>
  <si>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</si>
  <si>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</si>
  <si>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</si>
  <si>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</si>
  <si>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</si>
  <si>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</si>
  <si>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</si>
  <si>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</si>
  <si>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</si>
  <si>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</si>
  <si>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</si>
  <si>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</si>
  <si>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</si>
  <si>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</si>
  <si>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</si>
  <si>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</si>
  <si>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</si>
  <si>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</si>
  <si>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</si>
  <si>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</si>
  <si>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</si>
  <si>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</si>
  <si>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</si>
  <si>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</si>
  <si>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</si>
  <si>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</si>
  <si>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</si>
  <si>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</si>
  <si>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</si>
  <si>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</si>
  <si>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</si>
  <si>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</si>
  <si>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</si>
  <si>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</si>
  <si>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</si>
  <si>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</si>
  <si>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</si>
  <si>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</si>
  <si>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</si>
  <si>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</si>
  <si>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</si>
  <si>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</si>
  <si>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</si>
  <si>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</si>
  <si>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</si>
  <si>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</si>
  <si>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</si>
  <si>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</si>
  <si>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</si>
  <si>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</si>
  <si>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</si>
  <si>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</si>
  <si>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</si>
  <si>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</si>
  <si>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</si>
  <si>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</si>
  <si>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</si>
  <si>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</si>
  <si>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</si>
  <si>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</si>
  <si>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</si>
  <si>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</si>
  <si>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</si>
  <si>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</si>
  <si>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</si>
  <si>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</si>
  <si>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</si>
  <si>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</si>
  <si>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</si>
  <si>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</si>
  <si>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</si>
  <si>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</si>
  <si>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</si>
  <si>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</si>
  <si>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</si>
  <si>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</si>
  <si>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</si>
  <si>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</si>
  <si>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</si>
  <si>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</si>
  <si>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500mg</t>
  </si>
  <si>
    <t>Disposable Mask</t>
  </si>
  <si>
    <t>1cc/tbs</t>
  </si>
  <si>
    <t>3cc</t>
  </si>
  <si>
    <t>5cc</t>
  </si>
  <si>
    <t>10cc</t>
  </si>
  <si>
    <t>Clean Gloves</t>
  </si>
  <si>
    <t>IV Cath G. 24</t>
  </si>
  <si>
    <t>ID Bracelet</t>
  </si>
  <si>
    <t>CAP MR</t>
  </si>
  <si>
    <t>J18.92</t>
  </si>
  <si>
    <t>Radiology</t>
  </si>
  <si>
    <t>nebule</t>
  </si>
  <si>
    <t>Neb Kit</t>
  </si>
  <si>
    <t>1g</t>
  </si>
  <si>
    <t>ampul</t>
  </si>
  <si>
    <t>Paracetamol</t>
  </si>
  <si>
    <t>Hema Package 1(CBC, Platelet Count)</t>
  </si>
  <si>
    <t>500ml</t>
  </si>
  <si>
    <t>Ipratropium Bromide 500mg+Salbutamol 25mg</t>
  </si>
  <si>
    <t>Cefoxitin</t>
  </si>
  <si>
    <t>Cetirizin</t>
  </si>
  <si>
    <t>Salbutamol</t>
  </si>
  <si>
    <t>Salbutamol 1mg+Guiafenesin 50mg/5ml</t>
  </si>
  <si>
    <t>BMMS</t>
  </si>
  <si>
    <t>Salbutamol Sulfate</t>
  </si>
  <si>
    <t>Ampicillin Sodium</t>
  </si>
  <si>
    <t>drops</t>
  </si>
  <si>
    <t>syrup</t>
  </si>
  <si>
    <t>2.50mg/ml</t>
  </si>
  <si>
    <t>2mg/5ml</t>
  </si>
  <si>
    <t>50mg/5ml</t>
  </si>
  <si>
    <t>1mg/ml</t>
  </si>
  <si>
    <t>Amikacin Sulfate</t>
  </si>
  <si>
    <t>5% Dextrose in 0.3% Sodium Chloride</t>
  </si>
  <si>
    <t>Clarithromycin</t>
  </si>
  <si>
    <t>suspension</t>
  </si>
  <si>
    <t>125mg/ml</t>
  </si>
  <si>
    <t>125mg/5ml</t>
  </si>
  <si>
    <t>150mg/ml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</si>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</sst>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15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9" t="s">
        <v>19</v>
      </c>
      <c r="C40" s="120"/>
      <c r="D40" s="117"/>
      <c r="E40" s="120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47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48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56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20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58</v>
      </c>
      <c r="C61" s="17" t="s">
        <v>54</v>
      </c>
      <c r="D61" s="17" t="s">
        <v>59</v>
      </c>
      <c r="E61" s="18" t="s">
        <v>60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167</v>
      </c>
      <c r="D62" s="55">
        <v>7165.07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168</v>
      </c>
      <c r="D63" s="55">
        <v>745.38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65</v>
      </c>
      <c r="D64" s="55">
        <v>165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169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186</v>
      </c>
      <c r="D66" s="55">
        <v>250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170</v>
      </c>
      <c r="D67" s="55">
        <v>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171</v>
      </c>
      <c r="D68" s="55">
        <v>1000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172</v>
      </c>
      <c r="D69" s="55">
        <v>4500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14375.45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8" workbookViewId="0">
      <selection activeCell="J11" sqref="J11: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174</v>
      </c>
      <c r="E11" s="27" t="s">
        <v>189</v>
      </c>
      <c r="F11" s="55"/>
      <c r="G11" s="55">
        <v>5</v>
      </c>
      <c r="H11" s="55">
        <v>5</v>
      </c>
      <c r="I11" s="55">
        <v>825</v>
      </c>
      <c r="J11" s="55">
        <f t="shared" ref="J11" si="0">H11*I11</f>
        <v>4125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202</v>
      </c>
      <c r="E12" s="27" t="s">
        <v>204</v>
      </c>
      <c r="F12" s="55"/>
      <c r="G12" s="55">
        <v>5</v>
      </c>
      <c r="H12" s="55">
        <v>2</v>
      </c>
      <c r="I12" s="55">
        <v>253</v>
      </c>
      <c r="J12" s="55">
        <f t="shared" ref="J12:J33" si="1">H12*I12</f>
        <v>506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197</v>
      </c>
      <c r="D13" s="27" t="s">
        <v>203</v>
      </c>
      <c r="E13" s="115" t="s">
        <v>205</v>
      </c>
      <c r="F13" s="55"/>
      <c r="G13" s="55">
        <v>5</v>
      </c>
      <c r="H13" s="55">
        <v>1</v>
      </c>
      <c r="I13" s="55">
        <v>33</v>
      </c>
      <c r="J13" s="55">
        <f t="shared" si="1"/>
        <v>33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203</v>
      </c>
      <c r="E14" s="27" t="s">
        <v>206</v>
      </c>
      <c r="F14" s="55"/>
      <c r="G14" s="55">
        <v>5</v>
      </c>
      <c r="H14" s="55">
        <v>1</v>
      </c>
      <c r="I14" s="55">
        <v>31.9</v>
      </c>
      <c r="J14" s="55">
        <f t="shared" si="1"/>
        <v>31.9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173</v>
      </c>
      <c r="E15" s="27" t="s">
        <v>193</v>
      </c>
      <c r="F15" s="55"/>
      <c r="G15" s="55">
        <v>5</v>
      </c>
      <c r="H15" s="55">
        <v>7</v>
      </c>
      <c r="I15" s="55">
        <v>78.430000000000007</v>
      </c>
      <c r="J15" s="55">
        <f t="shared" si="1"/>
        <v>549.01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187</v>
      </c>
      <c r="E16" s="27" t="s">
        <v>207</v>
      </c>
      <c r="F16" s="55"/>
      <c r="G16" s="55">
        <v>5</v>
      </c>
      <c r="H16" s="55">
        <v>14</v>
      </c>
      <c r="I16" s="55">
        <v>12.65</v>
      </c>
      <c r="J16" s="55">
        <f t="shared" si="1"/>
        <v>177.1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201</v>
      </c>
      <c r="D17" s="27" t="s">
        <v>174</v>
      </c>
      <c r="E17" s="27" t="s">
        <v>175</v>
      </c>
      <c r="F17" s="55"/>
      <c r="G17" s="55">
        <v>5</v>
      </c>
      <c r="H17" s="55">
        <v>7</v>
      </c>
      <c r="I17" s="55">
        <v>21.01</v>
      </c>
      <c r="J17" s="55">
        <f t="shared" si="1"/>
        <v>147.07000000000002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208</v>
      </c>
      <c r="D18" s="27" t="s">
        <v>174</v>
      </c>
      <c r="E18" s="27" t="s">
        <v>212</v>
      </c>
      <c r="F18" s="55"/>
      <c r="G18" s="55">
        <v>5</v>
      </c>
      <c r="H18" s="55">
        <v>3</v>
      </c>
      <c r="I18" s="55">
        <v>68.2</v>
      </c>
      <c r="J18" s="55">
        <f t="shared" si="1"/>
        <v>204.60000000000002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209</v>
      </c>
      <c r="D19" s="27" t="s">
        <v>173</v>
      </c>
      <c r="E19" s="27" t="s">
        <v>193</v>
      </c>
      <c r="F19" s="55"/>
      <c r="G19" s="55">
        <v>5</v>
      </c>
      <c r="H19" s="55">
        <v>1</v>
      </c>
      <c r="I19" s="55">
        <v>78.430000000000007</v>
      </c>
      <c r="J19" s="55">
        <f t="shared" si="1"/>
        <v>78.430000000000007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210</v>
      </c>
      <c r="D20" s="27" t="s">
        <v>211</v>
      </c>
      <c r="E20" s="27" t="s">
        <v>213</v>
      </c>
      <c r="F20" s="55"/>
      <c r="G20" s="55">
        <v>5</v>
      </c>
      <c r="H20" s="55">
        <v>1</v>
      </c>
      <c r="I20" s="55">
        <v>258.5</v>
      </c>
      <c r="J20" s="55">
        <f t="shared" si="1"/>
        <v>258.5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191</v>
      </c>
      <c r="D21" s="27" t="s">
        <v>190</v>
      </c>
      <c r="E21" s="27" t="s">
        <v>214</v>
      </c>
      <c r="F21" s="55"/>
      <c r="G21" s="55">
        <v>5</v>
      </c>
      <c r="H21" s="55">
        <v>1</v>
      </c>
      <c r="I21" s="55">
        <v>31.46</v>
      </c>
      <c r="J21" s="55">
        <f t="shared" si="1"/>
        <v>31.46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194</v>
      </c>
      <c r="D22" s="27" t="s">
        <v>187</v>
      </c>
      <c r="E22" s="27" t="s">
        <v>175</v>
      </c>
      <c r="F22" s="55"/>
      <c r="G22" s="55">
        <v>5</v>
      </c>
      <c r="H22" s="55">
        <v>30</v>
      </c>
      <c r="I22" s="55">
        <v>34.1</v>
      </c>
      <c r="J22" s="55">
        <f t="shared" si="1"/>
        <v>1023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3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29</v>
      </c>
      <c r="E16" s="55">
        <v>5</v>
      </c>
      <c r="F16" s="55">
        <v>4.4000000000000004</v>
      </c>
      <c r="G16" s="55">
        <f>E16*F16</f>
        <v>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29</v>
      </c>
      <c r="E17" s="55">
        <v>11</v>
      </c>
      <c r="F17" s="55">
        <v>6.6</v>
      </c>
      <c r="G17" s="55">
        <f t="shared" ref="G17:G19" si="0">E17*F17</f>
        <v>72.599999999999994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15</v>
      </c>
      <c r="F18" s="55">
        <v>5.5</v>
      </c>
      <c r="G18" s="55">
        <f t="shared" si="0"/>
        <v>82.5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29</v>
      </c>
      <c r="E19" s="55">
        <v>5</v>
      </c>
      <c r="F19" s="55">
        <v>6.6</v>
      </c>
      <c r="G19" s="55">
        <f t="shared" si="0"/>
        <v>33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29</v>
      </c>
      <c r="E20" s="55">
        <v>6</v>
      </c>
      <c r="F20" s="55">
        <v>3.1</v>
      </c>
      <c r="G20" s="55">
        <f t="shared" ref="G20:G24" si="1">E20*F20</f>
        <v>18.600000000000001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215</v>
      </c>
      <c r="D21" s="70" t="s">
        <v>29</v>
      </c>
      <c r="E21" s="55">
        <v>1</v>
      </c>
      <c r="F21" s="55">
        <v>34.1</v>
      </c>
      <c r="G21" s="55">
        <f t="shared" si="1"/>
        <v>34.1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29</v>
      </c>
      <c r="E22" s="55">
        <v>1</v>
      </c>
      <c r="F22" s="55">
        <v>6.28</v>
      </c>
      <c r="G22" s="55">
        <f t="shared" si="1"/>
        <v>6.28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29</v>
      </c>
      <c r="E23" s="55">
        <v>4</v>
      </c>
      <c r="F23" s="55">
        <v>60.5</v>
      </c>
      <c r="G23" s="55">
        <f t="shared" si="1"/>
        <v>242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180</v>
      </c>
      <c r="D24" s="70" t="s">
        <v>29</v>
      </c>
      <c r="E24" s="55">
        <v>3</v>
      </c>
      <c r="F24" s="55">
        <v>7.7</v>
      </c>
      <c r="G24" s="55">
        <f t="shared" si="1"/>
        <v>23.1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188</v>
      </c>
      <c r="D25" s="70" t="s">
        <v>30</v>
      </c>
      <c r="E25" s="55">
        <v>3</v>
      </c>
      <c r="F25" s="55">
        <v>70.400000000000006</v>
      </c>
      <c r="G25" s="55">
        <f>E25*F25</f>
        <v>211.20000000000002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79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31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2018-06-08T05:43:00Z</dcterms:modified>
</cp:coreProperties>
</file>