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F28" i="9" l="1"/>
  <c r="F45" i="9" l="1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J24" i="2"/>
  <c r="J22" i="2"/>
  <c r="J21" i="2"/>
  <c r="J20" i="2"/>
  <c r="J19" i="2"/>
  <c r="J18" i="2"/>
  <c r="J17" i="2"/>
  <c r="J16" i="2"/>
  <c r="J15" i="2"/>
  <c r="J14" i="2"/>
  <c r="J13" i="2"/>
  <c r="G40" i="9" l="1"/>
  <c r="G29" i="9"/>
  <c r="G30" i="9"/>
  <c r="G31" i="9"/>
  <c r="G32" i="9"/>
  <c r="G33" i="9"/>
  <c r="G34" i="9"/>
  <c r="G35" i="9"/>
  <c r="G36" i="9"/>
  <c r="G37" i="9"/>
  <c r="G38" i="9"/>
  <c r="G39" i="9"/>
  <c r="G28" i="9"/>
  <c r="J12" i="2"/>
  <c r="J2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<sst xmlns="http://schemas.openxmlformats.org/spreadsheetml/2006/main" count="556" uniqueCount="232">
  <si>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</si>
  <si>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</si>
  <si>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</si>
  <si>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</si>
  <si>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</si>
  <si>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</si>
  <si>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</si>
  <si>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</si>
  <si>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</si>
  <si>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</si>
  <si>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</si>
  <si>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</si>
  <si>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</si>
  <si>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</si>
  <si>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</si>
  <si>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</si>
  <si>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</si>
  <si>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</si>
  <si>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</si>
  <si>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</si>
  <si>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</si>
  <si>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</si>
  <si>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</si>
  <si>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</si>
  <si>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</si>
  <si>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</si>
  <si>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</si>
  <si>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</si>
  <si>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</si>
  <si>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</si>
  <si>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</si>
  <si>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</si>
  <si>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</si>
  <si>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</si>
  <si>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</si>
  <si>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</si>
  <si>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</si>
  <si>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</si>
  <si>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</si>
  <si>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</si>
  <si>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</si>
  <si>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</si>
  <si>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</si>
  <si>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</si>
  <si>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</si>
  <si>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</si>
  <si>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</si>
  <si>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</si>
  <si>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</si>
  <si>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</si>
  <si>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</si>
  <si>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</si>
  <si>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</si>
  <si>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</si>
  <si>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</si>
  <si>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</si>
  <si>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</si>
  <si>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</si>
  <si>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</si>
  <si>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</si>
  <si>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</si>
  <si>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</si>
  <si>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</si>
  <si>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</si>
  <si>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</si>
  <si>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</si>
  <si>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</si>
  <si>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</si>
  <si>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</si>
  <si>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</si>
  <si>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</si>
  <si>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</si>
  <si>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</si>
  <si>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</si>
  <si>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</si>
  <si>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</si>
  <si>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</si>
  <si>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</si>
  <si>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</si>
  <si>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</si>
  <si>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</si>
  <si>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</si>
  <si>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</si>
  <si>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</si>
  <si>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</si>
  <si>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</si>
  <si>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</si>
  <si>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</si>
  <si>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</si>
  <si>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</si>
  <si>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</si>
  <si>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</si>
  <si>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</si>
  <si>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</si>
  <si>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</si>
  <si>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</si>
  <si>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</si>
  <si>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</si>
  <si>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</si>
  <si>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</si>
  <si>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</si>
  <si>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</si>
  <si>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</si>
  <si>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</si>
  <si>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</si>
  <si>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</si>
  <si>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</si>
  <si>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</si>
  <si>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</si>
  <si>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</si>
  <si>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</si>
  <si>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</si>
  <si>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</si>
  <si>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</si>
  <si>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</si>
  <si>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</si>
  <si>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</si>
  <si>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</si>
  <si>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</si>
  <si>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</si>
  <si>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</si>
  <si>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</si>
  <si>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</si>
  <si>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</si>
  <si>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</si>
  <si>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</si>
  <si>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</si>
  <si>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</si>
  <si>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</si>
  <si>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</si>
  <si>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</si>
  <si>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</si>
  <si>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</si>
  <si>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</si>
  <si>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</si>
  <si>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</si>
  <si>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</si>
  <si>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</si>
  <si>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</si>
  <si>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</si>
  <si>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</si>
  <si>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</si>
  <si>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</si>
  <si>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</si>
  <si>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</si>
  <si>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</si>
  <si>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</si>
  <si>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</si>
  <si>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</si>
  <si>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</si>
  <si>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</si>
  <si>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</si>
  <si>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</si>
  <si>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</si>
  <si>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</si>
  <si>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</si>
  <si>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</si>
  <si>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</si>
  <si>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</si>
  <si>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</si>
  <si>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</si>
  <si>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</si>
  <si>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</si>
  <si>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</si>
  <si>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</si>
  <si>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</si>
  <si>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0.5% Bupivacaine Hydrochloride in 8% Dextrose 4ml</t>
  </si>
  <si>
    <t>Nalbuphine HCI</t>
  </si>
  <si>
    <t>Ferrous Fumarate</t>
  </si>
  <si>
    <t>Oxytocin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</si>
  <si>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</si>
  <si>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</si>
  <si>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</si>
  <si>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</si>
  <si>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</si>
  <si>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</si>
  <si>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</si>
  <si>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</si>
  <si>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</si>
  <si>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</si>
  <si>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</si>
  <si>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</si>
  <si>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</si>
  <si>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</si>
  <si>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</si>
  <si>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10IU</t>
  </si>
  <si>
    <t>1000ml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</si>
  <si>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</si>
  <si>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</si>
  <si>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</si>
  <si>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</si>
  <si>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</si>
  <si>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</si>
  <si>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</si>
  <si>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</si>
  <si>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Head Cap</t>
  </si>
  <si>
    <t>Cutasept Spray</t>
  </si>
  <si>
    <t>Adult - O2 Can</t>
  </si>
  <si>
    <t>Surgical gauze</t>
  </si>
  <si>
    <t>Suction FR.24</t>
  </si>
  <si>
    <t>Abdo Pack</t>
  </si>
  <si>
    <t>Chromic 2-0</t>
  </si>
  <si>
    <t>S. Gloves S. 6 1/2</t>
  </si>
  <si>
    <t>IV Cath G.18</t>
  </si>
  <si>
    <t>Macroset</t>
  </si>
  <si>
    <t>Adult - U. Bag</t>
  </si>
  <si>
    <t>F. Cath 16</t>
  </si>
  <si>
    <t>Soluset</t>
  </si>
  <si>
    <t>Cord Clamp</t>
  </si>
  <si>
    <t>Complete Blood Count</t>
  </si>
  <si>
    <t>Diazepam</t>
  </si>
  <si>
    <t>Cefuroxime Sodium</t>
  </si>
  <si>
    <t>Diclofenac Sodium</t>
  </si>
  <si>
    <t>LRS</t>
  </si>
  <si>
    <t>Methylergometrine Maleate</t>
  </si>
  <si>
    <t>Celecoxib</t>
  </si>
  <si>
    <t>Cefuroxime Axetil</t>
  </si>
  <si>
    <t>5mg/ml</t>
  </si>
  <si>
    <t>10mg/ml</t>
  </si>
  <si>
    <t>750mg</t>
  </si>
  <si>
    <t>25mg/ml</t>
  </si>
  <si>
    <t>200mcg/ml</t>
  </si>
  <si>
    <t>0.9% Sodium Chloride</t>
  </si>
  <si>
    <t>Spinal Needle G.25</t>
  </si>
  <si>
    <t>Plain 2-0</t>
  </si>
  <si>
    <t>Vicryl 1-0</t>
  </si>
  <si>
    <t>Vicryl 4-0</t>
  </si>
  <si>
    <t>CS</t>
  </si>
  <si>
    <t>Sterile Water for Injection</t>
  </si>
  <si>
    <t>50ml</t>
  </si>
  <si>
    <t>S. Gloves S. 7 1/2</t>
  </si>
  <si>
    <t>S. Gloves S.7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</si>
</sst>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</xdr:row>
          <xdr:rowOff>28575</xdr:rowOff>
        </xdr:from>
        <xdr:to>
          <xdr:col>1</xdr:col>
          <xdr:colOff>771525</xdr:colOff>
          <xdr:row>59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59</xdr:row>
          <xdr:rowOff>28575</xdr:rowOff>
        </xdr:from>
        <xdr:to>
          <xdr:col>1</xdr:col>
          <xdr:colOff>1543050</xdr:colOff>
          <xdr:row>59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B1" zoomScaleNormal="100" workbookViewId="0">
      <selection activeCell="F62" sqref="F62: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227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46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55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3247.09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2985.47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64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>
        <v>150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40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7600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17272.559999999998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C11" workbookViewId="0">
      <selection activeCell="G18" sqref="G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210</v>
      </c>
      <c r="D11" s="27" t="s">
        <v>179</v>
      </c>
      <c r="E11" s="27" t="s">
        <v>217</v>
      </c>
      <c r="F11" s="55"/>
      <c r="G11" s="55">
        <v>4</v>
      </c>
      <c r="H11" s="55">
        <v>1</v>
      </c>
      <c r="I11" s="55">
        <v>132</v>
      </c>
      <c r="J11" s="55">
        <f>H11*I11</f>
        <v>132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167</v>
      </c>
      <c r="D12" s="27" t="s">
        <v>179</v>
      </c>
      <c r="E12" s="27" t="s">
        <v>218</v>
      </c>
      <c r="F12" s="55"/>
      <c r="G12" s="55">
        <v>4</v>
      </c>
      <c r="H12" s="55">
        <v>3</v>
      </c>
      <c r="I12" s="55">
        <v>121</v>
      </c>
      <c r="J12" s="55">
        <f t="shared" ref="J12:J24" si="0">H12*I12</f>
        <v>363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166</v>
      </c>
      <c r="D13" s="27" t="s">
        <v>179</v>
      </c>
      <c r="E13" s="115">
        <v>5.0000000000000001E-3</v>
      </c>
      <c r="F13" s="55"/>
      <c r="G13" s="55">
        <v>4</v>
      </c>
      <c r="H13" s="55">
        <v>1</v>
      </c>
      <c r="I13" s="55">
        <v>635.79999999999995</v>
      </c>
      <c r="J13" s="55">
        <f t="shared" ref="J13:J22" si="1">H13*I13</f>
        <v>635.79999999999995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168</v>
      </c>
      <c r="D14" s="27" t="s">
        <v>180</v>
      </c>
      <c r="E14" s="27" t="s">
        <v>183</v>
      </c>
      <c r="F14" s="55"/>
      <c r="G14" s="55">
        <v>4</v>
      </c>
      <c r="H14" s="55">
        <v>7</v>
      </c>
      <c r="I14" s="55">
        <v>2.42</v>
      </c>
      <c r="J14" s="55">
        <f t="shared" si="1"/>
        <v>16.939999999999998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211</v>
      </c>
      <c r="D15" s="27" t="s">
        <v>178</v>
      </c>
      <c r="E15" s="27" t="s">
        <v>219</v>
      </c>
      <c r="F15" s="55"/>
      <c r="G15" s="55">
        <v>4</v>
      </c>
      <c r="H15" s="55">
        <v>4</v>
      </c>
      <c r="I15" s="55">
        <v>52.8</v>
      </c>
      <c r="J15" s="55">
        <f t="shared" si="1"/>
        <v>211.2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212</v>
      </c>
      <c r="D16" s="27" t="s">
        <v>179</v>
      </c>
      <c r="E16" s="27" t="s">
        <v>220</v>
      </c>
      <c r="F16" s="55"/>
      <c r="G16" s="55">
        <v>4</v>
      </c>
      <c r="H16" s="55">
        <v>4</v>
      </c>
      <c r="I16" s="55">
        <v>26.4</v>
      </c>
      <c r="J16" s="55">
        <f t="shared" si="1"/>
        <v>105.6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169</v>
      </c>
      <c r="D17" s="27" t="s">
        <v>179</v>
      </c>
      <c r="E17" s="27" t="s">
        <v>185</v>
      </c>
      <c r="F17" s="55"/>
      <c r="G17" s="55">
        <v>4</v>
      </c>
      <c r="H17" s="55">
        <v>4</v>
      </c>
      <c r="I17" s="55">
        <v>38.39</v>
      </c>
      <c r="J17" s="55">
        <f t="shared" si="1"/>
        <v>153.56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213</v>
      </c>
      <c r="D18" s="27" t="s">
        <v>182</v>
      </c>
      <c r="E18" s="27" t="s">
        <v>186</v>
      </c>
      <c r="F18" s="55"/>
      <c r="G18" s="55">
        <v>4</v>
      </c>
      <c r="H18" s="55">
        <v>1</v>
      </c>
      <c r="I18" s="55">
        <v>78.430000000000007</v>
      </c>
      <c r="J18" s="55">
        <f t="shared" si="1"/>
        <v>78.430000000000007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170</v>
      </c>
      <c r="D19" s="27" t="s">
        <v>182</v>
      </c>
      <c r="E19" s="27" t="s">
        <v>186</v>
      </c>
      <c r="F19" s="55"/>
      <c r="G19" s="55">
        <v>4</v>
      </c>
      <c r="H19" s="55">
        <v>4</v>
      </c>
      <c r="I19" s="55">
        <v>78.430000000000007</v>
      </c>
      <c r="J19" s="55">
        <f t="shared" si="1"/>
        <v>313.72000000000003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215</v>
      </c>
      <c r="D20" s="27" t="s">
        <v>180</v>
      </c>
      <c r="E20" s="27" t="s">
        <v>183</v>
      </c>
      <c r="F20" s="55"/>
      <c r="G20" s="55">
        <v>4</v>
      </c>
      <c r="H20" s="55">
        <v>6</v>
      </c>
      <c r="I20" s="55">
        <v>10.78</v>
      </c>
      <c r="J20" s="55">
        <f t="shared" si="1"/>
        <v>64.679999999999993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216</v>
      </c>
      <c r="D21" s="27" t="s">
        <v>181</v>
      </c>
      <c r="E21" s="27" t="s">
        <v>184</v>
      </c>
      <c r="F21" s="55"/>
      <c r="G21" s="55">
        <v>4</v>
      </c>
      <c r="H21" s="55">
        <v>21</v>
      </c>
      <c r="I21" s="55">
        <v>41.8</v>
      </c>
      <c r="J21" s="55">
        <f t="shared" si="1"/>
        <v>877.8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222</v>
      </c>
      <c r="D22" s="27" t="s">
        <v>182</v>
      </c>
      <c r="E22" s="27" t="s">
        <v>186</v>
      </c>
      <c r="F22" s="55"/>
      <c r="G22" s="55">
        <v>4</v>
      </c>
      <c r="H22" s="55">
        <v>2</v>
      </c>
      <c r="I22" s="55">
        <v>78.430000000000007</v>
      </c>
      <c r="J22" s="55">
        <f t="shared" si="1"/>
        <v>156.86000000000001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228</v>
      </c>
      <c r="D23" s="27" t="s">
        <v>178</v>
      </c>
      <c r="E23" s="27" t="s">
        <v>229</v>
      </c>
      <c r="F23" s="55"/>
      <c r="G23" s="55">
        <v>4</v>
      </c>
      <c r="H23" s="55">
        <v>1</v>
      </c>
      <c r="I23" s="55">
        <v>38.5</v>
      </c>
      <c r="J23" s="55">
        <f t="shared" si="0"/>
        <v>38.5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214</v>
      </c>
      <c r="D24" s="27" t="s">
        <v>179</v>
      </c>
      <c r="E24" s="27" t="s">
        <v>221</v>
      </c>
      <c r="F24" s="55"/>
      <c r="G24" s="55">
        <v>4</v>
      </c>
      <c r="H24" s="55">
        <v>2</v>
      </c>
      <c r="I24" s="55">
        <v>49.5</v>
      </c>
      <c r="J24" s="55">
        <f t="shared" si="0"/>
        <v>99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aFUy1NccoRs1BuIQ/MNkF6pGYFfNGqwLkBwmUC5C0QrGFG5FWPtGjCJCktsdAt0bWbFdGob9+Kzhpf27zS+CAA==" saltValue="Fe1ZpVD6bgNh7ABN0ASKX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3"/>
  <sheetViews>
    <sheetView topLeftCell="C10" zoomScaleNormal="100" workbookViewId="0">
      <selection activeCell="C16" sqref="C16:G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31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231</v>
      </c>
      <c r="D28" s="70" t="s">
        <v>29</v>
      </c>
      <c r="E28" s="55">
        <v>6</v>
      </c>
      <c r="F28" s="55">
        <f>139.74/6</f>
        <v>23.290000000000003</v>
      </c>
      <c r="G28" s="55">
        <f>E28*F28</f>
        <v>139.74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29</v>
      </c>
      <c r="E29" s="55">
        <v>11</v>
      </c>
      <c r="F29" s="55">
        <v>4.4000000000000004</v>
      </c>
      <c r="G29" s="55">
        <f t="shared" ref="G29:G40" si="0">E29*F29</f>
        <v>48.400000000000006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29</v>
      </c>
      <c r="E30" s="55">
        <v>2</v>
      </c>
      <c r="F30" s="55">
        <v>204.6</v>
      </c>
      <c r="G30" s="55">
        <f t="shared" si="0"/>
        <v>409.2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189</v>
      </c>
      <c r="D31" s="70" t="s">
        <v>29</v>
      </c>
      <c r="E31" s="55">
        <v>3</v>
      </c>
      <c r="F31" s="55">
        <v>7.7</v>
      </c>
      <c r="G31" s="55">
        <f t="shared" si="0"/>
        <v>23.1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190</v>
      </c>
      <c r="D32" s="70" t="s">
        <v>29</v>
      </c>
      <c r="E32" s="55">
        <v>5</v>
      </c>
      <c r="F32" s="55">
        <v>6.6</v>
      </c>
      <c r="G32" s="55">
        <f t="shared" si="0"/>
        <v>33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191</v>
      </c>
      <c r="D33" s="70" t="s">
        <v>29</v>
      </c>
      <c r="E33" s="55">
        <v>3</v>
      </c>
      <c r="F33" s="55">
        <v>5.5</v>
      </c>
      <c r="G33" s="55">
        <f t="shared" si="0"/>
        <v>16.5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192</v>
      </c>
      <c r="D34" s="70" t="s">
        <v>29</v>
      </c>
      <c r="E34" s="55">
        <v>5</v>
      </c>
      <c r="F34" s="55">
        <v>6.6</v>
      </c>
      <c r="G34" s="55">
        <f t="shared" si="0"/>
        <v>33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193</v>
      </c>
      <c r="D35" s="70" t="s">
        <v>29</v>
      </c>
      <c r="E35" s="55">
        <v>2</v>
      </c>
      <c r="F35" s="55">
        <v>7.7</v>
      </c>
      <c r="G35" s="55">
        <f t="shared" si="0"/>
        <v>15.4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194</v>
      </c>
      <c r="D36" s="70" t="s">
        <v>29</v>
      </c>
      <c r="E36" s="55">
        <v>4</v>
      </c>
      <c r="F36" s="55">
        <v>3.1</v>
      </c>
      <c r="G36" s="55">
        <f t="shared" si="0"/>
        <v>12.4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230</v>
      </c>
      <c r="D37" s="70" t="s">
        <v>29</v>
      </c>
      <c r="E37" s="55">
        <v>1</v>
      </c>
      <c r="F37" s="55">
        <v>23.29</v>
      </c>
      <c r="G37" s="55">
        <f t="shared" si="0"/>
        <v>23.29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195</v>
      </c>
      <c r="D38" s="70" t="s">
        <v>29</v>
      </c>
      <c r="E38" s="55">
        <v>4</v>
      </c>
      <c r="F38" s="55">
        <v>5.28</v>
      </c>
      <c r="G38" s="55">
        <f t="shared" si="0"/>
        <v>21.12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196</v>
      </c>
      <c r="D39" s="70" t="s">
        <v>182</v>
      </c>
      <c r="E39" s="55">
        <v>1</v>
      </c>
      <c r="F39" s="55">
        <v>87.47</v>
      </c>
      <c r="G39" s="55">
        <f t="shared" si="0"/>
        <v>87.47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197</v>
      </c>
      <c r="D40" s="70" t="s">
        <v>29</v>
      </c>
      <c r="E40" s="55">
        <v>1</v>
      </c>
      <c r="F40" s="55">
        <v>42.9</v>
      </c>
      <c r="G40" s="55">
        <f t="shared" si="0"/>
        <v>42.9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198</v>
      </c>
      <c r="D41" s="70" t="s">
        <v>29</v>
      </c>
      <c r="E41" s="55">
        <v>30</v>
      </c>
      <c r="F41" s="55">
        <v>2.5299999999999998</v>
      </c>
      <c r="G41" s="55">
        <f t="shared" ref="G41:G55" si="1">E41*F41</f>
        <v>75.899999999999991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199</v>
      </c>
      <c r="D42" s="70" t="s">
        <v>29</v>
      </c>
      <c r="E42" s="55">
        <v>1</v>
      </c>
      <c r="F42" s="55">
        <v>209</v>
      </c>
      <c r="G42" s="55">
        <f t="shared" si="1"/>
        <v>209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200</v>
      </c>
      <c r="D43" s="70" t="s">
        <v>29</v>
      </c>
      <c r="E43" s="55">
        <v>2</v>
      </c>
      <c r="F43" s="55">
        <v>60.5</v>
      </c>
      <c r="G43" s="55">
        <f t="shared" si="1"/>
        <v>121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201</v>
      </c>
      <c r="D44" s="70" t="s">
        <v>29</v>
      </c>
      <c r="E44" s="55">
        <v>1</v>
      </c>
      <c r="F44" s="55">
        <v>204.6</v>
      </c>
      <c r="G44" s="55">
        <f t="shared" si="1"/>
        <v>204.6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202</v>
      </c>
      <c r="D45" s="70" t="s">
        <v>29</v>
      </c>
      <c r="E45" s="55">
        <v>2</v>
      </c>
      <c r="F45" s="55">
        <f>46.58/2</f>
        <v>23.29</v>
      </c>
      <c r="G45" s="55">
        <f t="shared" si="1"/>
        <v>46.58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224</v>
      </c>
      <c r="D46" s="70" t="s">
        <v>29</v>
      </c>
      <c r="E46" s="55">
        <v>1</v>
      </c>
      <c r="F46" s="55">
        <v>220</v>
      </c>
      <c r="G46" s="55">
        <f t="shared" si="1"/>
        <v>220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203</v>
      </c>
      <c r="D47" s="70" t="s">
        <v>29</v>
      </c>
      <c r="E47" s="55">
        <v>1</v>
      </c>
      <c r="F47" s="55">
        <v>60.5</v>
      </c>
      <c r="G47" s="55">
        <f t="shared" si="1"/>
        <v>60.5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204</v>
      </c>
      <c r="D48" s="70" t="s">
        <v>29</v>
      </c>
      <c r="E48" s="55">
        <v>1</v>
      </c>
      <c r="F48" s="55">
        <v>31.9</v>
      </c>
      <c r="G48" s="55">
        <f t="shared" si="1"/>
        <v>31.9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205</v>
      </c>
      <c r="D49" s="70" t="s">
        <v>29</v>
      </c>
      <c r="E49" s="55">
        <v>1</v>
      </c>
      <c r="F49" s="55">
        <v>24.2</v>
      </c>
      <c r="G49" s="55">
        <f t="shared" si="1"/>
        <v>24.2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206</v>
      </c>
      <c r="D50" s="70" t="s">
        <v>29</v>
      </c>
      <c r="E50" s="55">
        <v>1</v>
      </c>
      <c r="F50" s="55">
        <v>36.299999999999997</v>
      </c>
      <c r="G50" s="55">
        <f t="shared" si="1"/>
        <v>36.299999999999997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207</v>
      </c>
      <c r="D51" s="70" t="s">
        <v>29</v>
      </c>
      <c r="E51" s="55">
        <v>1</v>
      </c>
      <c r="F51" s="55">
        <v>198</v>
      </c>
      <c r="G51" s="55">
        <f t="shared" si="1"/>
        <v>198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208</v>
      </c>
      <c r="D52" s="70" t="s">
        <v>29</v>
      </c>
      <c r="E52" s="55">
        <v>1</v>
      </c>
      <c r="F52" s="55">
        <v>5.61</v>
      </c>
      <c r="G52" s="55">
        <f t="shared" si="1"/>
        <v>5.61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223</v>
      </c>
      <c r="D53" s="70" t="s">
        <v>29</v>
      </c>
      <c r="E53" s="55">
        <v>1</v>
      </c>
      <c r="F53" s="55">
        <v>110</v>
      </c>
      <c r="G53" s="55">
        <f t="shared" si="1"/>
        <v>110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225</v>
      </c>
      <c r="D54" s="70" t="s">
        <v>29</v>
      </c>
      <c r="E54" s="55">
        <v>1</v>
      </c>
      <c r="F54" s="55">
        <v>409.11</v>
      </c>
      <c r="G54" s="55">
        <f t="shared" si="1"/>
        <v>409.11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226</v>
      </c>
      <c r="D55" s="70" t="s">
        <v>29</v>
      </c>
      <c r="E55" s="55">
        <v>1</v>
      </c>
      <c r="F55" s="55">
        <v>327.25</v>
      </c>
      <c r="G55" s="55">
        <f t="shared" si="1"/>
        <v>327.25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137" t="s">
        <v>30</v>
      </c>
      <c r="C59" s="138"/>
      <c r="D59" s="138"/>
      <c r="E59" s="138"/>
      <c r="F59" s="138"/>
      <c r="G59" s="139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1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2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3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4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5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6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7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8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9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10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A71" s="44"/>
      <c r="B71" s="39"/>
      <c r="C71" s="44"/>
      <c r="D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sheetProtection algorithmName="SHA-512" hashValue="ES3BYNWr+7SbVfC/Oj/KIiRDvQr2RKzGA89H6TVesDUHydRfy90fs6owLaEgoFIt2ZyR5ak/Qo82hb46Ih7qxw==" saltValue="1zcveaK0eHE+IxK4qhKTUg==" spinCount="100000" sheet="1" objects="1" scenarios="1" formatColumns="0" formatRows="0" sort="0" autoFilter="0"/>
  <mergeCells count="9">
    <mergeCell ref="B7:G7"/>
    <mergeCell ref="B27:G27"/>
    <mergeCell ref="B59:G5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59</xdr:row>
                    <xdr:rowOff>28575</xdr:rowOff>
                  </from>
                  <to>
                    <xdr:col>1</xdr:col>
                    <xdr:colOff>771525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59</xdr:row>
                    <xdr:rowOff>28575</xdr:rowOff>
                  </from>
                  <to>
                    <xdr:col>1</xdr:col>
                    <xdr:colOff>1543050</xdr:colOff>
                    <xdr:row>59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6" sqref="H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2018-06-08T03:58:50Z</cp:lastPrinted>
  <dcterms:created xsi:type="dcterms:W3CDTF">2018-05-11T08:46:15Z</dcterms:created>
  <dcterms:modified xsi:type="dcterms:W3CDTF">2018-06-08T03:59:00Z</dcterms:modified>
</cp:coreProperties>
</file>