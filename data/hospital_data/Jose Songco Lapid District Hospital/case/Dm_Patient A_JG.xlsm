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DM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Supplies_Medical'!$C$15:$C$50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F17" i="9" l="1"/>
  <c r="I12" i="2"/>
  <c r="I11" i="2"/>
  <c r="G18" i="9" l="1"/>
  <c r="G17" i="9"/>
  <c r="J12" i="2" l="1"/>
  <c r="J13" i="2"/>
  <c r="J14" i="2"/>
  <c r="J15" i="2"/>
  <c r="J16" i="2"/>
  <c r="J17" i="2"/>
  <c r="J18" i="2"/>
  <c r="J19" i="2"/>
  <c r="J20" i="2"/>
  <c r="J21" i="2"/>
  <c r="J22" i="2"/>
  <c r="J23" i="2"/>
  <c r="F16" i="9" l="1"/>
  <c r="G16" i="9" s="1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<sst xmlns="http://schemas.openxmlformats.org/spreadsheetml/2006/main" count="475" uniqueCount="187">
  <si>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</si>
  <si>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</si>
  <si>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</si>
  <si>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</si>
  <si>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</si>
  <si>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</si>
  <si>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</si>
  <si>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</si>
  <si>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</si>
  <si>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</si>
  <si>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</si>
  <si>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</si>
  <si>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</si>
  <si>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</si>
  <si>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</si>
  <si>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</si>
  <si>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</si>
  <si>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</si>
  <si>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</si>
  <si>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</si>
  <si>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</si>
  <si>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</si>
  <si>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</si>
  <si>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</si>
  <si>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</si>
  <si>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</si>
  <si>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</si>
  <si>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</si>
  <si>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</si>
  <si>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</si>
  <si>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</si>
  <si>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</si>
  <si>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</si>
  <si>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</si>
  <si>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</si>
  <si>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</si>
  <si>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</si>
  <si>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</si>
  <si>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</si>
  <si>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</si>
  <si>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</si>
  <si>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</si>
  <si>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</si>
  <si>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</si>
  <si>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</si>
  <si>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</si>
  <si>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</si>
  <si>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</si>
  <si>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</si>
  <si>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</si>
  <si>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</si>
  <si>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</si>
  <si>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</si>
  <si>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</si>
  <si>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</si>
  <si>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</si>
  <si>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</si>
  <si>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</si>
  <si>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</si>
  <si>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</si>
  <si>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</si>
  <si>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</si>
  <si>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</si>
  <si>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</si>
  <si>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</si>
  <si>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</si>
  <si>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</si>
  <si>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</si>
  <si>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</si>
  <si>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</si>
  <si>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</si>
  <si>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</si>
  <si>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</si>
  <si>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</si>
  <si>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</si>
  <si>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</si>
  <si>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</si>
  <si>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</si>
  <si>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</si>
  <si>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</si>
  <si>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</si>
  <si>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</si>
  <si>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</si>
  <si>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</si>
  <si>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</si>
  <si>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</si>
  <si>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</si>
  <si>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</si>
  <si>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</si>
  <si>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</si>
  <si>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</si>
  <si>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</si>
  <si>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</si>
  <si>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</si>
  <si>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</si>
  <si>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</si>
  <si>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</si>
  <si>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</si>
  <si>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</si>
  <si>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</si>
  <si>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</si>
  <si>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</si>
  <si>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</si>
  <si>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</si>
  <si>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</si>
  <si>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</si>
  <si>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</si>
  <si>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</si>
  <si>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</si>
  <si>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</si>
  <si>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</si>
  <si>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</si>
  <si>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</si>
  <si>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</si>
  <si>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</si>
  <si>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</si>
  <si>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</si>
  <si>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</si>
  <si>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</si>
  <si>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</si>
  <si>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</si>
  <si>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</si>
  <si>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</si>
  <si>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</si>
  <si>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</si>
  <si>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</si>
  <si>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</si>
  <si>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</si>
  <si>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</si>
  <si>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</si>
  <si>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</si>
  <si>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</si>
  <si>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</si>
  <si>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</si>
  <si>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</si>
  <si>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</si>
  <si>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</si>
  <si>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</si>
  <si>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</si>
  <si>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</si>
  <si>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</si>
  <si>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</si>
  <si>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</si>
  <si>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</si>
  <si>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</si>
  <si>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</si>
  <si>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</si>
  <si>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</si>
  <si>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</si>
  <si>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</si>
  <si>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</si>
  <si>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</si>
  <si>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</si>
  <si>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</si>
  <si>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</si>
  <si>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</si>
  <si>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</si>
  <si>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</si>
  <si>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</si>
  <si>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</si>
  <si>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</si>
  <si>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</si>
  <si>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</si>
  <si>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</si>
  <si>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</si>
  <si>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</si>
  <si>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Hema Package 1(CBC, Platelet Count)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</si>
  <si>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</si>
  <si>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</si>
  <si>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</si>
  <si>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</si>
  <si>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</si>
  <si>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</si>
  <si>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Disposable Mask</t>
  </si>
  <si>
    <t>Insulin Syringe</t>
  </si>
  <si>
    <t>ID Bracelet</t>
  </si>
  <si>
    <t>tablet</t>
  </si>
  <si>
    <t>Radiology</t>
  </si>
  <si>
    <t>Atorvastatin</t>
  </si>
  <si>
    <t>40mg</t>
  </si>
  <si>
    <t>DM</t>
  </si>
  <si>
    <t>E10.9</t>
  </si>
  <si>
    <t>Bloos Chem 1(FBS, BUN, CREA, BUA, LIPID PROFILE)</t>
  </si>
  <si>
    <t>HGT Q8</t>
  </si>
  <si>
    <t>Urinalysis</t>
  </si>
  <si>
    <t>Chest PA</t>
  </si>
  <si>
    <t>Febuxostat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</si>
</sst>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29</xdr:row>
          <xdr:rowOff>28575</xdr:rowOff>
        </xdr:from>
        <xdr:to>
          <xdr:col>1</xdr:col>
          <xdr:colOff>762000</xdr:colOff>
          <xdr:row>29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29</xdr:row>
          <xdr:rowOff>28575</xdr:rowOff>
        </xdr:from>
        <xdr:to>
          <xdr:col>1</xdr:col>
          <xdr:colOff>1533525</xdr:colOff>
          <xdr:row>29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28575</xdr:rowOff>
        </xdr:from>
        <xdr:to>
          <xdr:col>1</xdr:col>
          <xdr:colOff>771525</xdr:colOff>
          <xdr:row>40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40</xdr:row>
          <xdr:rowOff>28575</xdr:rowOff>
        </xdr:from>
        <xdr:to>
          <xdr:col>1</xdr:col>
          <xdr:colOff>1543050</xdr:colOff>
          <xdr:row>40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55" zoomScaleNormal="100" workbookViewId="0">
      <selection activeCell="D70" sqref="D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180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19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 t="s">
        <v>185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46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47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55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20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57</v>
      </c>
      <c r="C62" s="17" t="s">
        <v>53</v>
      </c>
      <c r="D62" s="17" t="s">
        <v>58</v>
      </c>
      <c r="E62" s="18" t="s">
        <v>59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167</v>
      </c>
      <c r="D63" s="55">
        <v>417.76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168</v>
      </c>
      <c r="D64" s="55">
        <v>70.63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169</v>
      </c>
      <c r="D65" s="55">
        <v>1820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177</v>
      </c>
      <c r="D66" s="55">
        <v>160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170</v>
      </c>
      <c r="D67" s="55">
        <v>10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171</v>
      </c>
      <c r="D68" s="55">
        <v>200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172</v>
      </c>
      <c r="D69" s="55">
        <v>1200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3878.39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algorithmName="SHA-512" hashValue="Hx0256JHuTvW2y969vL7gdm/TkDXjmAe38YrNYRb3/QuxRMUyELM203Q8pxRDHA/1eYwGk+aIy6QVxmhZd3+ww==" saltValue="L+5xhwGJp5qXtWe1ssXwgg==" spinCount="100000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DM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186</v>
      </c>
      <c r="D11" s="27" t="s">
        <v>176</v>
      </c>
      <c r="E11" s="27" t="s">
        <v>179</v>
      </c>
      <c r="F11" s="55"/>
      <c r="G11" s="55">
        <v>1</v>
      </c>
      <c r="H11" s="55">
        <v>7</v>
      </c>
      <c r="I11" s="55">
        <f>369.6/7</f>
        <v>52.800000000000004</v>
      </c>
      <c r="J11" s="55">
        <f>H11*I11</f>
        <v>369.6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176</v>
      </c>
      <c r="E12" s="27" t="s">
        <v>179</v>
      </c>
      <c r="F12" s="55"/>
      <c r="G12" s="55">
        <v>1</v>
      </c>
      <c r="H12" s="55">
        <v>7</v>
      </c>
      <c r="I12" s="55">
        <f>48.16/7</f>
        <v>6.88</v>
      </c>
      <c r="J12" s="55">
        <f t="shared" ref="J12:J23" si="0">H12*I12</f>
        <v>48.16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4"/>
  <sheetViews>
    <sheetView topLeftCell="A3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DM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13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173</v>
      </c>
      <c r="D16" s="70" t="s">
        <v>29</v>
      </c>
      <c r="E16" s="55">
        <v>3</v>
      </c>
      <c r="F16" s="55">
        <f>13.2/3</f>
        <v>4.3999999999999995</v>
      </c>
      <c r="G16" s="55">
        <f>E16*F16</f>
        <v>13.2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29</v>
      </c>
      <c r="E17" s="55">
        <v>3</v>
      </c>
      <c r="F17" s="55">
        <f>51.15/3</f>
        <v>17.05</v>
      </c>
      <c r="G17" s="55">
        <f t="shared" ref="G17:G18" si="0">E17*F17</f>
        <v>51.150000000000006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29</v>
      </c>
      <c r="E18" s="55">
        <v>1</v>
      </c>
      <c r="F18" s="55">
        <v>6.28</v>
      </c>
      <c r="G18" s="55">
        <f t="shared" si="0"/>
        <v>6.28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136" t="s">
        <v>78</v>
      </c>
      <c r="C29" s="137"/>
      <c r="D29" s="137"/>
      <c r="E29" s="137"/>
      <c r="F29" s="137"/>
      <c r="G29" s="138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2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3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4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5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6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7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8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9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10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136" t="s">
        <v>30</v>
      </c>
      <c r="C40" s="137"/>
      <c r="D40" s="137"/>
      <c r="E40" s="137"/>
      <c r="F40" s="137"/>
      <c r="G40" s="138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2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3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4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5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6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7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8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9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10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A52" s="44"/>
      <c r="B52" s="39"/>
      <c r="C52" s="44"/>
      <c r="D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</sheetData>
  <sheetProtection algorithmName="SHA-512" hashValue="kGqFakRgAm+4Xxf2afvpQwtscB3AIzXw1/6Av5kLz9B8/YQfLkVpsbWMHKdG3kZ4w46CGX1dFhpX7RS3MAGNBA==" saltValue="jhV+mkxpcHIena6CybqU8A==" spinCount="100000" sheet="1" objects="1" scenarios="1" formatColumns="0" formatRows="0" sort="0" autoFilter="0"/>
  <mergeCells count="9">
    <mergeCell ref="B7:G7"/>
    <mergeCell ref="B29:G29"/>
    <mergeCell ref="B40:G4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29</xdr:row>
                    <xdr:rowOff>28575</xdr:rowOff>
                  </from>
                  <to>
                    <xdr:col>1</xdr:col>
                    <xdr:colOff>762000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29</xdr:row>
                    <xdr:rowOff>28575</xdr:rowOff>
                  </from>
                  <to>
                    <xdr:col>1</xdr:col>
                    <xdr:colOff>1533525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40</xdr:row>
                    <xdr:rowOff>28575</xdr:rowOff>
                  </from>
                  <to>
                    <xdr:col>1</xdr:col>
                    <xdr:colOff>771525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40</xdr:row>
                    <xdr:rowOff>28575</xdr:rowOff>
                  </from>
                  <to>
                    <xdr:col>1</xdr:col>
                    <xdr:colOff>1543050</xdr:colOff>
                    <xdr:row>40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L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DM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dcterms:created xsi:type="dcterms:W3CDTF">2018-05-11T08:46:15Z</dcterms:created>
  <dcterms:modified xsi:type="dcterms:W3CDTF">2018-06-08T05:47:58Z</dcterms:modified>
</cp:coreProperties>
</file>