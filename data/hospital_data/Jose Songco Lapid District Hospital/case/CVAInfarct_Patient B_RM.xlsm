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CVA Infarc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3" i="9" l="1"/>
  <c r="G24" i="9"/>
  <c r="G25" i="9"/>
  <c r="G26" i="9"/>
  <c r="J19" i="2"/>
  <c r="J20" i="2"/>
  <c r="J21" i="2"/>
  <c r="J22" i="2"/>
  <c r="J23" i="2"/>
  <c r="J24" i="2"/>
  <c r="J25" i="2"/>
  <c r="J26" i="2"/>
  <c r="G17" i="9" l="1"/>
  <c r="G18" i="9"/>
  <c r="G19" i="9"/>
  <c r="G20" i="9"/>
  <c r="G21" i="9"/>
  <c r="G22" i="9"/>
  <c r="G16" i="9"/>
  <c r="J12" i="2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<sst xmlns="http://schemas.openxmlformats.org/spreadsheetml/2006/main" count="524" uniqueCount="220">
  <si>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</si>
  <si>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</si>
  <si>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</si>
  <si>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</si>
  <si>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</si>
  <si>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</si>
  <si>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</si>
  <si>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</si>
  <si>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</si>
  <si>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</si>
  <si>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</si>
  <si>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</si>
  <si>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</si>
  <si>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</si>
  <si>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</si>
  <si>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</si>
  <si>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</si>
  <si>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</si>
  <si>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</si>
  <si>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</si>
  <si>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</si>
  <si>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</si>
  <si>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</si>
  <si>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</si>
  <si>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</si>
  <si>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</si>
  <si>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</si>
  <si>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</si>
  <si>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</si>
  <si>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</si>
  <si>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</si>
  <si>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</si>
  <si>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</si>
  <si>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</si>
  <si>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</si>
  <si>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</si>
  <si>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</si>
  <si>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</si>
  <si>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</si>
  <si>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</si>
  <si>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</si>
  <si>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</si>
  <si>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</si>
  <si>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</si>
  <si>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</si>
  <si>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</si>
  <si>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</si>
  <si>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</si>
  <si>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</si>
  <si>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</si>
  <si>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</si>
  <si>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</si>
  <si>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</si>
  <si>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</si>
  <si>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</si>
  <si>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</si>
  <si>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</si>
  <si>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</si>
  <si>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</si>
  <si>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</si>
  <si>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</si>
  <si>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</si>
  <si>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</si>
  <si>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</si>
  <si>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</si>
  <si>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</si>
  <si>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</si>
  <si>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</si>
  <si>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</si>
  <si>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</si>
  <si>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</si>
  <si>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</si>
  <si>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</si>
  <si>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</si>
  <si>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</si>
  <si>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</si>
  <si>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</si>
  <si>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</si>
  <si>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</si>
  <si>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</si>
  <si>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</si>
  <si>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</si>
  <si>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</si>
  <si>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</si>
  <si>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</si>
  <si>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</si>
  <si>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</si>
  <si>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</si>
  <si>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</si>
  <si>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</si>
  <si>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</si>
  <si>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</si>
  <si>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</si>
  <si>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</si>
  <si>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</si>
  <si>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</si>
  <si>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</si>
  <si>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</si>
  <si>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</si>
  <si>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</si>
  <si>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</si>
  <si>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</si>
  <si>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</si>
  <si>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</si>
  <si>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</si>
  <si>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</si>
  <si>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</si>
  <si>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</si>
  <si>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</si>
  <si>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</si>
  <si>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</si>
  <si>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</si>
  <si>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</si>
  <si>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</si>
  <si>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</si>
  <si>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</si>
  <si>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</si>
  <si>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</si>
  <si>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</si>
  <si>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</si>
  <si>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</si>
  <si>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</si>
  <si>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</si>
  <si>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</si>
  <si>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</si>
  <si>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</si>
  <si>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</si>
  <si>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</si>
  <si>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</si>
  <si>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</si>
  <si>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</si>
  <si>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</si>
  <si>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</si>
  <si>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</si>
  <si>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</si>
  <si>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</si>
  <si>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</si>
  <si>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</si>
  <si>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</si>
  <si>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</si>
  <si>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</si>
  <si>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</si>
  <si>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</si>
  <si>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</si>
  <si>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</si>
  <si>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</si>
  <si>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</si>
  <si>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</si>
  <si>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</si>
  <si>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</si>
  <si>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</si>
  <si>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</si>
  <si>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</si>
  <si>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</si>
  <si>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</si>
  <si>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</si>
  <si>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</si>
  <si>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</si>
  <si>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</si>
  <si>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</si>
  <si>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</si>
  <si>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</si>
  <si>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</si>
  <si>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</si>
  <si>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</si>
  <si>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</si>
  <si>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CVA Infarct</t>
  </si>
  <si>
    <t>I63.9</t>
  </si>
  <si>
    <t>Hema Package 1(CBC, Platelet Count)</t>
  </si>
  <si>
    <t>ECG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</si>
  <si>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</si>
  <si>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</si>
  <si>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</si>
  <si>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</si>
  <si>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</si>
  <si>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</si>
  <si>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Citicoline</t>
  </si>
  <si>
    <t>Atorvastatin</t>
  </si>
  <si>
    <t>tablet</t>
  </si>
  <si>
    <t>bottle</t>
  </si>
  <si>
    <t>ampul</t>
  </si>
  <si>
    <t>250mg/ml</t>
  </si>
  <si>
    <t>1000ml</t>
  </si>
  <si>
    <t>40mg</t>
  </si>
  <si>
    <t>Disposable Mask</t>
  </si>
  <si>
    <t>5cc</t>
  </si>
  <si>
    <t>Clean Gloves</t>
  </si>
  <si>
    <t>Macroset</t>
  </si>
  <si>
    <t>IV Cath G.20</t>
  </si>
  <si>
    <t>ID Bracelet</t>
  </si>
  <si>
    <t>Creatinine</t>
  </si>
  <si>
    <t>RBS</t>
  </si>
  <si>
    <t>Electrolytes</t>
  </si>
  <si>
    <t>BUN</t>
  </si>
  <si>
    <t>Blood Chem 1(FBS, BUN, CREA, BUA, Lipid Profile)</t>
  </si>
  <si>
    <t>HGT Q12</t>
  </si>
  <si>
    <t>HGT Q8</t>
  </si>
  <si>
    <t>Radiology</t>
  </si>
  <si>
    <t>Vit. B Complex</t>
  </si>
  <si>
    <t>Esomeprazole</t>
  </si>
  <si>
    <t>Amlodipine BE</t>
  </si>
  <si>
    <t>Insulin Glargine</t>
  </si>
  <si>
    <t>1mg/3ml</t>
  </si>
  <si>
    <t>vial</t>
  </si>
  <si>
    <t>5mg</t>
  </si>
  <si>
    <t>500mg</t>
  </si>
  <si>
    <t>syringe</t>
  </si>
  <si>
    <t>100IU</t>
  </si>
  <si>
    <t>0.9% Sodium Chloride</t>
  </si>
  <si>
    <t>50% Dextrose in 50ml Water</t>
  </si>
  <si>
    <t>50ml</t>
  </si>
  <si>
    <t>Losartan Potassium</t>
  </si>
  <si>
    <t>Ketoanalogues+Essential Amino Acids</t>
  </si>
  <si>
    <t>50mg</t>
  </si>
  <si>
    <t>600mg</t>
  </si>
  <si>
    <t>10cc</t>
  </si>
  <si>
    <t>3cc</t>
  </si>
  <si>
    <t>Micropore</t>
  </si>
  <si>
    <t>IV Cath G.22</t>
  </si>
  <si>
    <t>IV Cath G.18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</si>
</sst>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zoomScaleNormal="100" workbookViewId="0">
      <selection activeCell="E71" sqref="E7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193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168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194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195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196</v>
      </c>
      <c r="D41" s="23"/>
      <c r="E41" s="55">
        <v>3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197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 t="s">
        <v>169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46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47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55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57</v>
      </c>
      <c r="C63" s="17" t="s">
        <v>53</v>
      </c>
      <c r="D63" s="17" t="s">
        <v>58</v>
      </c>
      <c r="E63" s="18" t="s">
        <v>59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170</v>
      </c>
      <c r="D64" s="55">
        <v>4080.06</v>
      </c>
      <c r="E64" s="55">
        <v>1020.01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171</v>
      </c>
      <c r="D65" s="55">
        <v>604.78</v>
      </c>
      <c r="E65" s="55">
        <v>151.19999999999999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172</v>
      </c>
      <c r="D66" s="55">
        <v>3392</v>
      </c>
      <c r="E66" s="55">
        <v>848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 t="s">
        <v>197</v>
      </c>
      <c r="D67" s="55">
        <v>128</v>
      </c>
      <c r="E67" s="55">
        <v>32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 t="s">
        <v>169</v>
      </c>
      <c r="D68" s="55">
        <v>160</v>
      </c>
      <c r="E68" s="55">
        <v>40</v>
      </c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 t="s">
        <v>173</v>
      </c>
      <c r="D69" s="55">
        <v>32</v>
      </c>
      <c r="E69" s="55">
        <v>8</v>
      </c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 t="s">
        <v>174</v>
      </c>
      <c r="D70" s="55">
        <v>640</v>
      </c>
      <c r="E70" s="55">
        <v>160</v>
      </c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 t="s">
        <v>175</v>
      </c>
      <c r="D71" s="55">
        <v>8400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17436.84</v>
      </c>
      <c r="E75" s="59">
        <f>SUM(E64:E74)</f>
        <v>2259.21</v>
      </c>
      <c r="F75" s="59">
        <f>SUM(F64:F74)</f>
        <v>0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algorithmName="SHA-512" hashValue="D+pflAHWSh58dcPEfxptlxMQimF2oIw7Tp5Ft3xr15qY3FD0BL40z+d7B9PDUysIPUU4i/rw+Fk8Jk+bFlhpPg==" saltValue="IFF2aa+BY9sQK3prNHP10g==" spinCount="100000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1" sqref="J11:J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CVA Infarct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198</v>
      </c>
      <c r="D11" s="27" t="s">
        <v>180</v>
      </c>
      <c r="E11" s="27" t="s">
        <v>202</v>
      </c>
      <c r="F11" s="55"/>
      <c r="G11" s="55">
        <v>4</v>
      </c>
      <c r="H11" s="55">
        <v>2</v>
      </c>
      <c r="I11" s="55">
        <v>68.2</v>
      </c>
      <c r="J11" s="55">
        <f>H11*I11</f>
        <v>136.4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199</v>
      </c>
      <c r="D12" s="27" t="s">
        <v>203</v>
      </c>
      <c r="E12" s="27" t="s">
        <v>183</v>
      </c>
      <c r="F12" s="55"/>
      <c r="G12" s="55">
        <v>4</v>
      </c>
      <c r="H12" s="55">
        <v>1</v>
      </c>
      <c r="I12" s="55">
        <v>856.9</v>
      </c>
      <c r="J12" s="55">
        <f t="shared" ref="J12:J26" si="0">H12*I12</f>
        <v>856.9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200</v>
      </c>
      <c r="D13" s="27" t="s">
        <v>178</v>
      </c>
      <c r="E13" s="27" t="s">
        <v>204</v>
      </c>
      <c r="F13" s="55"/>
      <c r="G13" s="55">
        <v>4</v>
      </c>
      <c r="H13" s="55">
        <v>12</v>
      </c>
      <c r="I13" s="55">
        <v>3.3</v>
      </c>
      <c r="J13" s="55">
        <f t="shared" si="0"/>
        <v>39.599999999999994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178</v>
      </c>
      <c r="E14" s="27" t="s">
        <v>205</v>
      </c>
      <c r="F14" s="55"/>
      <c r="G14" s="55">
        <v>4</v>
      </c>
      <c r="H14" s="55">
        <v>29</v>
      </c>
      <c r="I14" s="55">
        <v>49.5</v>
      </c>
      <c r="J14" s="55">
        <f t="shared" si="0"/>
        <v>1435.5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201</v>
      </c>
      <c r="D15" s="27" t="s">
        <v>206</v>
      </c>
      <c r="E15" s="27" t="s">
        <v>207</v>
      </c>
      <c r="F15" s="55"/>
      <c r="G15" s="55">
        <v>4</v>
      </c>
      <c r="H15" s="55">
        <v>1</v>
      </c>
      <c r="I15" s="55">
        <v>682</v>
      </c>
      <c r="J15" s="55">
        <f t="shared" si="0"/>
        <v>682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208</v>
      </c>
      <c r="D16" s="27" t="s">
        <v>179</v>
      </c>
      <c r="E16" s="27" t="s">
        <v>182</v>
      </c>
      <c r="F16" s="55"/>
      <c r="G16" s="55">
        <v>4</v>
      </c>
      <c r="H16" s="55">
        <v>6</v>
      </c>
      <c r="I16" s="55">
        <v>78.430000000000007</v>
      </c>
      <c r="J16" s="55">
        <f t="shared" si="0"/>
        <v>470.58000000000004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176</v>
      </c>
      <c r="D17" s="27" t="s">
        <v>180</v>
      </c>
      <c r="E17" s="27" t="s">
        <v>181</v>
      </c>
      <c r="F17" s="55"/>
      <c r="G17" s="55">
        <v>4</v>
      </c>
      <c r="H17" s="55">
        <v>3</v>
      </c>
      <c r="I17" s="55">
        <v>261.8</v>
      </c>
      <c r="J17" s="55">
        <f t="shared" si="0"/>
        <v>785.40000000000009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209</v>
      </c>
      <c r="D18" s="27" t="s">
        <v>203</v>
      </c>
      <c r="E18" s="27" t="s">
        <v>210</v>
      </c>
      <c r="F18" s="55"/>
      <c r="G18" s="55">
        <v>4</v>
      </c>
      <c r="H18" s="55">
        <v>1</v>
      </c>
      <c r="I18" s="55">
        <v>78.430000000000007</v>
      </c>
      <c r="J18" s="55">
        <f t="shared" si="0"/>
        <v>78.430000000000007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211</v>
      </c>
      <c r="D19" s="27" t="s">
        <v>178</v>
      </c>
      <c r="E19" s="27" t="s">
        <v>213</v>
      </c>
      <c r="F19" s="55"/>
      <c r="G19" s="55">
        <v>4</v>
      </c>
      <c r="H19" s="55">
        <v>19</v>
      </c>
      <c r="I19" s="55">
        <v>7.7</v>
      </c>
      <c r="J19" s="55">
        <f t="shared" si="0"/>
        <v>146.30000000000001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212</v>
      </c>
      <c r="D20" s="27" t="s">
        <v>178</v>
      </c>
      <c r="E20" s="27" t="s">
        <v>214</v>
      </c>
      <c r="F20" s="55"/>
      <c r="G20" s="55">
        <v>4</v>
      </c>
      <c r="H20" s="55">
        <v>10</v>
      </c>
      <c r="I20" s="55">
        <v>35.200000000000003</v>
      </c>
      <c r="J20" s="55">
        <f t="shared" si="0"/>
        <v>352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177</v>
      </c>
      <c r="D21" s="27" t="s">
        <v>178</v>
      </c>
      <c r="E21" s="27" t="s">
        <v>183</v>
      </c>
      <c r="F21" s="55"/>
      <c r="G21" s="55">
        <v>4</v>
      </c>
      <c r="H21" s="55">
        <v>17</v>
      </c>
      <c r="I21" s="55">
        <v>6.88</v>
      </c>
      <c r="J21" s="55">
        <f t="shared" si="0"/>
        <v>116.96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16" sqref="G16:G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CVA Infarct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215</v>
      </c>
      <c r="D16" s="70" t="s">
        <v>29</v>
      </c>
      <c r="E16" s="55">
        <v>1</v>
      </c>
      <c r="F16" s="55">
        <v>7.7</v>
      </c>
      <c r="G16" s="55">
        <f>E16*F16</f>
        <v>7.7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184</v>
      </c>
      <c r="D17" s="70" t="s">
        <v>29</v>
      </c>
      <c r="E17" s="55">
        <v>10</v>
      </c>
      <c r="F17" s="55">
        <v>4.4000000000000004</v>
      </c>
      <c r="G17" s="55">
        <f t="shared" ref="G17:G26" si="0">E17*F17</f>
        <v>44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185</v>
      </c>
      <c r="D18" s="70" t="s">
        <v>29</v>
      </c>
      <c r="E18" s="55">
        <v>4</v>
      </c>
      <c r="F18" s="55">
        <v>6.6</v>
      </c>
      <c r="G18" s="55">
        <f t="shared" si="0"/>
        <v>26.4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186</v>
      </c>
      <c r="D19" s="70" t="s">
        <v>29</v>
      </c>
      <c r="E19" s="55">
        <v>8</v>
      </c>
      <c r="F19" s="55">
        <v>3.1</v>
      </c>
      <c r="G19" s="55">
        <f t="shared" si="0"/>
        <v>24.8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187</v>
      </c>
      <c r="D20" s="70" t="s">
        <v>29</v>
      </c>
      <c r="E20" s="55">
        <v>1</v>
      </c>
      <c r="F20" s="55">
        <v>31.9</v>
      </c>
      <c r="G20" s="55">
        <f t="shared" si="0"/>
        <v>31.9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188</v>
      </c>
      <c r="D21" s="70" t="s">
        <v>29</v>
      </c>
      <c r="E21" s="55">
        <v>3</v>
      </c>
      <c r="F21" s="55">
        <v>60.5</v>
      </c>
      <c r="G21" s="55">
        <f t="shared" si="0"/>
        <v>181.5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189</v>
      </c>
      <c r="D22" s="70" t="s">
        <v>29</v>
      </c>
      <c r="E22" s="55">
        <v>1</v>
      </c>
      <c r="F22" s="55">
        <v>6.28</v>
      </c>
      <c r="G22" s="55">
        <f t="shared" si="0"/>
        <v>6.28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216</v>
      </c>
      <c r="D23" s="70" t="s">
        <v>29</v>
      </c>
      <c r="E23" s="55">
        <v>2</v>
      </c>
      <c r="F23" s="55">
        <v>5.5</v>
      </c>
      <c r="G23" s="55">
        <f t="shared" si="0"/>
        <v>11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217</v>
      </c>
      <c r="D24" s="70" t="s">
        <v>29</v>
      </c>
      <c r="E24" s="55">
        <v>1</v>
      </c>
      <c r="F24" s="55">
        <v>59.4</v>
      </c>
      <c r="G24" s="55">
        <f t="shared" si="0"/>
        <v>59.4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218</v>
      </c>
      <c r="D25" s="70" t="s">
        <v>29</v>
      </c>
      <c r="E25" s="55">
        <v>5</v>
      </c>
      <c r="F25" s="55">
        <v>60.5</v>
      </c>
      <c r="G25" s="55">
        <f t="shared" si="0"/>
        <v>302.5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219</v>
      </c>
      <c r="D26" s="70" t="s">
        <v>29</v>
      </c>
      <c r="E26" s="55">
        <v>1</v>
      </c>
      <c r="F26" s="55">
        <v>60.5</v>
      </c>
      <c r="G26" s="55">
        <f t="shared" si="0"/>
        <v>60.5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78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wzL+/dSL6sxyspT+2ZWuN756P8ySyD64/1GtvLGjgNEN4hI9h+VWk31UMwuBztdR6k2Gi5S2dFWqAJP9Vj30wg==" saltValue="aBGCJuHS6nrQBR45Ld+Lgw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L1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CVA Infarct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2018-06-08T05:47:25Z</dcterms:modified>
</cp:coreProperties>
</file>