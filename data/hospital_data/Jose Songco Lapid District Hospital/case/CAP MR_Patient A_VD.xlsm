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J34" i="2" l="1"/>
  <c r="J27" i="2"/>
  <c r="G30" i="9" l="1"/>
  <c r="G29" i="9"/>
  <c r="G28" i="9"/>
  <c r="G27" i="9"/>
  <c r="G26" i="9"/>
  <c r="G25" i="9"/>
  <c r="G24" i="9"/>
  <c r="G23" i="9"/>
  <c r="J33" i="2"/>
  <c r="J32" i="2"/>
  <c r="J31" i="2"/>
  <c r="J30" i="2"/>
  <c r="J29" i="2"/>
  <c r="J28" i="2"/>
  <c r="G19" i="9"/>
  <c r="G20" i="9"/>
  <c r="G21" i="9"/>
  <c r="G22" i="9"/>
  <c r="G17" i="9"/>
  <c r="G18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<sst xmlns="http://schemas.openxmlformats.org/spreadsheetml/2006/main" count="566" uniqueCount="246">
  <si>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</si>
  <si>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</si>
  <si>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</si>
  <si>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</si>
  <si>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</si>
  <si>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</si>
  <si>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</si>
  <si>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</si>
  <si>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</si>
  <si>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</si>
  <si>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</si>
  <si>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</si>
  <si>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</si>
  <si>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</si>
  <si>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</si>
  <si>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</si>
  <si>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</si>
  <si>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</si>
  <si>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</si>
  <si>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</si>
  <si>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</si>
  <si>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</si>
  <si>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</si>
  <si>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</si>
  <si>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</si>
  <si>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</si>
  <si>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</si>
  <si>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</si>
  <si>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</si>
  <si>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</si>
  <si>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</si>
  <si>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</si>
  <si>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</si>
  <si>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</si>
  <si>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</si>
  <si>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</si>
  <si>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</si>
  <si>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</si>
  <si>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</si>
  <si>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</si>
  <si>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</si>
  <si>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</si>
  <si>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</si>
  <si>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</si>
  <si>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</si>
  <si>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</si>
  <si>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</si>
  <si>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</si>
  <si>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</si>
  <si>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</si>
  <si>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</si>
  <si>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</si>
  <si>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</si>
  <si>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</si>
  <si>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</si>
  <si>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</si>
  <si>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</si>
  <si>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</si>
  <si>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</si>
  <si>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</si>
  <si>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</si>
  <si>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</si>
  <si>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</si>
  <si>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</si>
  <si>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</si>
  <si>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</si>
  <si>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</si>
  <si>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</si>
  <si>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</si>
  <si>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</si>
  <si>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</si>
  <si>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</si>
  <si>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</si>
  <si>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</si>
  <si>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</si>
  <si>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</si>
  <si>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</si>
  <si>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</si>
  <si>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</si>
  <si>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</si>
  <si>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</si>
  <si>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</si>
  <si>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</si>
  <si>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</si>
  <si>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</si>
  <si>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</si>
  <si>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</si>
  <si>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</si>
  <si>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</si>
  <si>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</si>
  <si>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</si>
  <si>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</si>
  <si>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</si>
  <si>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</si>
  <si>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</si>
  <si>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</si>
  <si>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</si>
  <si>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</si>
  <si>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</si>
  <si>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</si>
  <si>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</si>
  <si>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</si>
  <si>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</si>
  <si>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</si>
  <si>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</si>
  <si>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</si>
  <si>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</si>
  <si>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</si>
  <si>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</si>
  <si>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</si>
  <si>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</si>
  <si>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</si>
  <si>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</si>
  <si>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</si>
  <si>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</si>
  <si>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</si>
  <si>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</si>
  <si>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</si>
  <si>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</si>
  <si>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</si>
  <si>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</si>
  <si>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</si>
  <si>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</si>
  <si>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</si>
  <si>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</si>
  <si>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</si>
  <si>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</si>
  <si>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</si>
  <si>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</si>
  <si>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</si>
  <si>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</si>
  <si>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</si>
  <si>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</si>
  <si>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</si>
  <si>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</si>
  <si>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</si>
  <si>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</si>
  <si>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</si>
  <si>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</si>
  <si>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</si>
  <si>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</si>
  <si>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</si>
  <si>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</si>
  <si>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</si>
  <si>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</si>
  <si>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</si>
  <si>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</si>
  <si>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</si>
  <si>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</si>
  <si>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</si>
  <si>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</si>
  <si>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</si>
  <si>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</si>
  <si>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</si>
  <si>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</si>
  <si>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</si>
  <si>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</si>
  <si>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</si>
  <si>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</si>
  <si>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</si>
  <si>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</si>
  <si>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</si>
  <si>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</si>
  <si>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</si>
  <si>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</si>
  <si>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</si>
  <si>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</si>
  <si>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</si>
  <si>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</si>
  <si>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</si>
  <si>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</si>
  <si>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</si>
  <si>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</si>
  <si>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</si>
  <si>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</si>
  <si>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</si>
  <si>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1000mL</t>
  </si>
  <si>
    <t>500mg</t>
  </si>
  <si>
    <t>600mg</t>
  </si>
  <si>
    <t>500mL</t>
  </si>
  <si>
    <t>sachet</t>
  </si>
  <si>
    <t>Disposable Mask</t>
  </si>
  <si>
    <t>1cc/tbs</t>
  </si>
  <si>
    <t>3cc</t>
  </si>
  <si>
    <t>5cc</t>
  </si>
  <si>
    <t>10cc</t>
  </si>
  <si>
    <t>Clean Gloves</t>
  </si>
  <si>
    <t>Surgical Gauze</t>
  </si>
  <si>
    <t>IV Cath G. 24</t>
  </si>
  <si>
    <t>ID Bracelet</t>
  </si>
  <si>
    <t>Electrolytes</t>
  </si>
  <si>
    <t>Omeprazole</t>
  </si>
  <si>
    <t>0.9% Sodium Chloride</t>
  </si>
  <si>
    <t>tablet</t>
  </si>
  <si>
    <t>40mg</t>
  </si>
  <si>
    <t>Micropore</t>
  </si>
  <si>
    <t>Macroset</t>
  </si>
  <si>
    <t>CAP MR</t>
  </si>
  <si>
    <t>J18.92</t>
  </si>
  <si>
    <t>Blood Chem 1(FBS,BUN, CREA, BUA, LIPID PROFILE)</t>
  </si>
  <si>
    <t>SGOT/AST</t>
  </si>
  <si>
    <t>Troponin I</t>
  </si>
  <si>
    <t>Radiology</t>
  </si>
  <si>
    <t>ECG</t>
  </si>
  <si>
    <t>Aspirin</t>
  </si>
  <si>
    <t>Clopidogrel</t>
  </si>
  <si>
    <t>Multivitamins+Dextrose</t>
  </si>
  <si>
    <t>Trimetazidine</t>
  </si>
  <si>
    <t>Lactulose</t>
  </si>
  <si>
    <t>Furosemide</t>
  </si>
  <si>
    <t>Cefuroxime Sodium</t>
  </si>
  <si>
    <t>Acetylcysteine</t>
  </si>
  <si>
    <t>Enoxaparin (Lomoh)</t>
  </si>
  <si>
    <t>5% Dextrose in Water</t>
  </si>
  <si>
    <t>Metoprolol</t>
  </si>
  <si>
    <t>Isosorbisde Dinitrate</t>
  </si>
  <si>
    <t>Captopril</t>
  </si>
  <si>
    <t>Clarithromycin</t>
  </si>
  <si>
    <t>Sterile Water for Injection</t>
  </si>
  <si>
    <t>Atorvastatin</t>
  </si>
  <si>
    <t>Morphine</t>
  </si>
  <si>
    <t>Acetylcysteine Effervescent</t>
  </si>
  <si>
    <t>Cefuroxime Axetil</t>
  </si>
  <si>
    <t>80mg</t>
  </si>
  <si>
    <t>75mg</t>
  </si>
  <si>
    <t>50mg</t>
  </si>
  <si>
    <t>200mg</t>
  </si>
  <si>
    <t>35mg</t>
  </si>
  <si>
    <t>33g/5ml</t>
  </si>
  <si>
    <t>amp</t>
  </si>
  <si>
    <t>10mg/ml</t>
  </si>
  <si>
    <t>750mg</t>
  </si>
  <si>
    <t>injectable</t>
  </si>
  <si>
    <t>0.40mL</t>
  </si>
  <si>
    <t>1mg/mL</t>
  </si>
  <si>
    <t>25mg</t>
  </si>
  <si>
    <t>50mL</t>
  </si>
  <si>
    <t>Ipratropium Bromide + Salbutamol</t>
  </si>
  <si>
    <t>nebule</t>
  </si>
  <si>
    <t>25mg, 500mg</t>
  </si>
  <si>
    <t>dispersable tablet</t>
  </si>
  <si>
    <t>Losartan Potassium</t>
  </si>
  <si>
    <t>Adult-O2 Can</t>
  </si>
  <si>
    <t>Durapore</t>
  </si>
  <si>
    <t>IV Cath G. 22</t>
  </si>
  <si>
    <t>Neb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</si>
</sst>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48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49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57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59</v>
      </c>
      <c r="C59" s="17" t="s">
        <v>55</v>
      </c>
      <c r="D59" s="17" t="s">
        <v>60</v>
      </c>
      <c r="E59" s="18" t="s">
        <v>61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9097.7199999999993</v>
      </c>
      <c r="E60" s="55">
        <v>2274.48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573.98</v>
      </c>
      <c r="E61" s="55">
        <v>143.5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66</v>
      </c>
      <c r="D62" s="55"/>
      <c r="E62" s="55">
        <v>19</v>
      </c>
      <c r="F62" s="55">
        <v>76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>
        <v>828.3</v>
      </c>
      <c r="E63" s="55">
        <v>554</v>
      </c>
      <c r="F63" s="55">
        <v>1387.7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202</v>
      </c>
      <c r="D64" s="55"/>
      <c r="E64" s="55">
        <v>32</v>
      </c>
      <c r="F64" s="55">
        <v>128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203</v>
      </c>
      <c r="D65" s="55"/>
      <c r="E65" s="55">
        <v>40</v>
      </c>
      <c r="F65" s="55">
        <v>160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171</v>
      </c>
      <c r="D66" s="55"/>
      <c r="E66" s="55">
        <v>4</v>
      </c>
      <c r="F66" s="55">
        <v>16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172</v>
      </c>
      <c r="D67" s="55"/>
      <c r="E67" s="55">
        <v>160</v>
      </c>
      <c r="F67" s="55">
        <v>640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173</v>
      </c>
      <c r="D68" s="55">
        <v>4500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14999.999999999998</v>
      </c>
      <c r="E71" s="59">
        <f>SUM(E60:E70)</f>
        <v>3226.98</v>
      </c>
      <c r="F71" s="59">
        <f>SUM(F60:F70)</f>
        <v>2407.6999999999998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M4AI1vIqd7HHTCckTxcH/HsiNq8niu/zT7UVgj0SER2LtQgAn8Aw2QyKObqDPYV2wzwjwoKYDNgkQUHujwlDQA==" saltValue="8Wq96t4Rj6IsBfkkQZioj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A11" workbookViewId="0">
      <selection activeCell="I30" sqref="I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204</v>
      </c>
      <c r="D11" s="27" t="s">
        <v>193</v>
      </c>
      <c r="E11" s="27" t="s">
        <v>223</v>
      </c>
      <c r="F11" s="55"/>
      <c r="G11" s="55">
        <v>2</v>
      </c>
      <c r="H11" s="55">
        <v>10</v>
      </c>
      <c r="I11" s="55">
        <v>2.75</v>
      </c>
      <c r="J11" s="55">
        <f>H11*I11</f>
        <v>27.5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205</v>
      </c>
      <c r="D12" s="27" t="s">
        <v>193</v>
      </c>
      <c r="E12" s="27" t="s">
        <v>224</v>
      </c>
      <c r="F12" s="55"/>
      <c r="G12" s="55">
        <v>2</v>
      </c>
      <c r="H12" s="55">
        <v>13</v>
      </c>
      <c r="I12" s="55">
        <v>24.75</v>
      </c>
      <c r="J12" s="55">
        <f t="shared" ref="J12:J33" si="0">H12*I12</f>
        <v>321.75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206</v>
      </c>
      <c r="D13" s="27" t="s">
        <v>174</v>
      </c>
      <c r="E13" s="27" t="s">
        <v>179</v>
      </c>
      <c r="F13" s="55"/>
      <c r="G13" s="55">
        <v>2</v>
      </c>
      <c r="H13" s="55">
        <v>1</v>
      </c>
      <c r="I13" s="55">
        <v>770</v>
      </c>
      <c r="J13" s="55">
        <f t="shared" si="0"/>
        <v>770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175</v>
      </c>
      <c r="E14" s="27" t="s">
        <v>194</v>
      </c>
      <c r="F14" s="55"/>
      <c r="G14" s="55">
        <v>2</v>
      </c>
      <c r="H14" s="55">
        <v>3</v>
      </c>
      <c r="I14" s="55">
        <v>280.5</v>
      </c>
      <c r="J14" s="55">
        <f t="shared" si="0"/>
        <v>841.5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193</v>
      </c>
      <c r="E15" s="27" t="s">
        <v>227</v>
      </c>
      <c r="F15" s="55"/>
      <c r="G15" s="55">
        <v>2</v>
      </c>
      <c r="H15" s="55">
        <v>2</v>
      </c>
      <c r="I15" s="55">
        <v>14.3</v>
      </c>
      <c r="J15" s="55">
        <f t="shared" si="0"/>
        <v>28.6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208</v>
      </c>
      <c r="D16" s="27" t="s">
        <v>174</v>
      </c>
      <c r="E16" s="27" t="s">
        <v>228</v>
      </c>
      <c r="F16" s="55"/>
      <c r="G16" s="55">
        <v>2</v>
      </c>
      <c r="H16" s="55">
        <v>1</v>
      </c>
      <c r="I16" s="55">
        <v>247.5</v>
      </c>
      <c r="J16" s="55">
        <f t="shared" si="0"/>
        <v>247.5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209</v>
      </c>
      <c r="D17" s="27" t="s">
        <v>229</v>
      </c>
      <c r="E17" s="27" t="s">
        <v>230</v>
      </c>
      <c r="F17" s="55"/>
      <c r="G17" s="55">
        <v>2</v>
      </c>
      <c r="H17" s="55">
        <v>2</v>
      </c>
      <c r="I17" s="55">
        <v>20.9</v>
      </c>
      <c r="J17" s="55">
        <f t="shared" si="0"/>
        <v>41.8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210</v>
      </c>
      <c r="D18" s="27" t="s">
        <v>175</v>
      </c>
      <c r="E18" s="27" t="s">
        <v>231</v>
      </c>
      <c r="F18" s="55"/>
      <c r="G18" s="55">
        <v>2</v>
      </c>
      <c r="H18" s="55">
        <v>7</v>
      </c>
      <c r="I18" s="55">
        <v>52.8</v>
      </c>
      <c r="J18" s="55">
        <f t="shared" si="0"/>
        <v>369.59999999999997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211</v>
      </c>
      <c r="D19" s="27" t="s">
        <v>180</v>
      </c>
      <c r="E19" s="27" t="s">
        <v>226</v>
      </c>
      <c r="F19" s="55"/>
      <c r="G19" s="55">
        <v>2</v>
      </c>
      <c r="H19" s="55">
        <v>12</v>
      </c>
      <c r="I19" s="55">
        <v>23.1</v>
      </c>
      <c r="J19" s="55">
        <f t="shared" si="0"/>
        <v>277.20000000000005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212</v>
      </c>
      <c r="D20" s="27" t="s">
        <v>232</v>
      </c>
      <c r="E20" s="27" t="s">
        <v>233</v>
      </c>
      <c r="F20" s="55"/>
      <c r="G20" s="55">
        <v>2</v>
      </c>
      <c r="H20" s="55">
        <v>5</v>
      </c>
      <c r="I20" s="55">
        <v>1152.8</v>
      </c>
      <c r="J20" s="55">
        <f t="shared" si="0"/>
        <v>5764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213</v>
      </c>
      <c r="D21" s="27" t="s">
        <v>174</v>
      </c>
      <c r="E21" s="27" t="s">
        <v>179</v>
      </c>
      <c r="F21" s="55"/>
      <c r="G21" s="55">
        <v>2</v>
      </c>
      <c r="H21" s="55">
        <v>1</v>
      </c>
      <c r="I21" s="55">
        <v>78.430000000000007</v>
      </c>
      <c r="J21" s="55">
        <f t="shared" si="0"/>
        <v>78.430000000000007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192</v>
      </c>
      <c r="D22" s="27" t="s">
        <v>174</v>
      </c>
      <c r="E22" s="27" t="s">
        <v>176</v>
      </c>
      <c r="F22" s="55"/>
      <c r="G22" s="55">
        <v>2</v>
      </c>
      <c r="H22" s="55">
        <v>4</v>
      </c>
      <c r="I22" s="55">
        <v>78.430000000000007</v>
      </c>
      <c r="J22" s="55">
        <f t="shared" si="0"/>
        <v>313.72000000000003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214</v>
      </c>
      <c r="D23" s="27" t="s">
        <v>193</v>
      </c>
      <c r="E23" s="27" t="s">
        <v>225</v>
      </c>
      <c r="F23" s="55"/>
      <c r="G23" s="55">
        <v>2</v>
      </c>
      <c r="H23" s="55">
        <v>20</v>
      </c>
      <c r="I23" s="55">
        <v>4.4000000000000004</v>
      </c>
      <c r="J23" s="55">
        <f t="shared" si="0"/>
        <v>88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215</v>
      </c>
      <c r="D24" s="27" t="s">
        <v>229</v>
      </c>
      <c r="E24" s="27" t="s">
        <v>234</v>
      </c>
      <c r="F24" s="55"/>
      <c r="G24" s="55">
        <v>2</v>
      </c>
      <c r="H24" s="55">
        <v>1</v>
      </c>
      <c r="I24" s="55">
        <v>957</v>
      </c>
      <c r="J24" s="55">
        <f t="shared" si="0"/>
        <v>957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216</v>
      </c>
      <c r="D25" s="27" t="s">
        <v>193</v>
      </c>
      <c r="E25" s="27" t="s">
        <v>235</v>
      </c>
      <c r="F25" s="55"/>
      <c r="G25" s="55">
        <v>2</v>
      </c>
      <c r="H25" s="55">
        <v>16</v>
      </c>
      <c r="I25" s="55">
        <v>3.3</v>
      </c>
      <c r="J25" s="55">
        <f t="shared" si="0"/>
        <v>52.8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217</v>
      </c>
      <c r="D26" s="27" t="s">
        <v>193</v>
      </c>
      <c r="E26" s="27" t="s">
        <v>177</v>
      </c>
      <c r="F26" s="55"/>
      <c r="G26" s="55">
        <v>2</v>
      </c>
      <c r="H26" s="55">
        <v>14</v>
      </c>
      <c r="I26" s="55">
        <v>9.7899999999999991</v>
      </c>
      <c r="J26" s="55">
        <f t="shared" si="0"/>
        <v>137.06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218</v>
      </c>
      <c r="D27" s="27" t="s">
        <v>175</v>
      </c>
      <c r="E27" s="27" t="s">
        <v>236</v>
      </c>
      <c r="F27" s="55"/>
      <c r="G27" s="55">
        <v>2</v>
      </c>
      <c r="H27" s="55">
        <v>2</v>
      </c>
      <c r="I27" s="55">
        <v>38.5</v>
      </c>
      <c r="J27" s="55">
        <f t="shared" si="0"/>
        <v>77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219</v>
      </c>
      <c r="D28" s="27" t="s">
        <v>193</v>
      </c>
      <c r="E28" s="27" t="s">
        <v>194</v>
      </c>
      <c r="F28" s="55"/>
      <c r="G28" s="55">
        <v>2</v>
      </c>
      <c r="H28" s="55">
        <v>3</v>
      </c>
      <c r="I28" s="55">
        <v>6.88</v>
      </c>
      <c r="J28" s="55">
        <f t="shared" si="0"/>
        <v>20.64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220</v>
      </c>
      <c r="D29" s="27" t="s">
        <v>229</v>
      </c>
      <c r="E29" s="27" t="s">
        <v>230</v>
      </c>
      <c r="F29" s="55"/>
      <c r="G29" s="55">
        <v>2</v>
      </c>
      <c r="H29" s="55">
        <v>1</v>
      </c>
      <c r="I29" s="55">
        <v>105.6</v>
      </c>
      <c r="J29" s="55">
        <f t="shared" si="0"/>
        <v>105.6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237</v>
      </c>
      <c r="D30" s="27" t="s">
        <v>238</v>
      </c>
      <c r="E30" s="27" t="s">
        <v>239</v>
      </c>
      <c r="F30" s="55"/>
      <c r="G30" s="55">
        <v>2</v>
      </c>
      <c r="H30" s="55">
        <v>6</v>
      </c>
      <c r="I30" s="55">
        <v>34.1</v>
      </c>
      <c r="J30" s="55">
        <f t="shared" si="0"/>
        <v>204.60000000000002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 t="s">
        <v>221</v>
      </c>
      <c r="D31" s="27" t="s">
        <v>240</v>
      </c>
      <c r="E31" s="27" t="s">
        <v>178</v>
      </c>
      <c r="F31" s="55"/>
      <c r="G31" s="55">
        <v>2</v>
      </c>
      <c r="H31" s="55">
        <v>4</v>
      </c>
      <c r="I31" s="55">
        <v>66</v>
      </c>
      <c r="J31" s="55">
        <f t="shared" si="0"/>
        <v>264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 t="s">
        <v>222</v>
      </c>
      <c r="D32" s="27" t="s">
        <v>193</v>
      </c>
      <c r="E32" s="27" t="s">
        <v>177</v>
      </c>
      <c r="F32" s="55"/>
      <c r="G32" s="55">
        <v>2</v>
      </c>
      <c r="H32" s="55">
        <v>8</v>
      </c>
      <c r="I32" s="55">
        <v>41.8</v>
      </c>
      <c r="J32" s="55">
        <f t="shared" si="0"/>
        <v>334.4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 t="s">
        <v>241</v>
      </c>
      <c r="D33" s="27" t="s">
        <v>193</v>
      </c>
      <c r="E33" s="27" t="s">
        <v>225</v>
      </c>
      <c r="F33" s="55"/>
      <c r="G33" s="55">
        <v>2</v>
      </c>
      <c r="H33" s="55">
        <v>2</v>
      </c>
      <c r="I33" s="55">
        <v>7.7</v>
      </c>
      <c r="J33" s="55">
        <f t="shared" si="0"/>
        <v>15.4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 t="s">
        <v>237</v>
      </c>
      <c r="D34" s="27" t="s">
        <v>238</v>
      </c>
      <c r="E34" s="27" t="s">
        <v>239</v>
      </c>
      <c r="F34" s="55"/>
      <c r="G34" s="55">
        <v>2</v>
      </c>
      <c r="H34" s="55">
        <v>2</v>
      </c>
      <c r="I34" s="55">
        <v>17.05</v>
      </c>
      <c r="J34" s="55">
        <f t="shared" ref="J34" si="1">H34*I34</f>
        <v>34.1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workbookViewId="0">
      <selection activeCell="C26" sqref="C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30</v>
      </c>
      <c r="E16" s="55">
        <v>6</v>
      </c>
      <c r="F16" s="55">
        <v>4.4000000000000004</v>
      </c>
      <c r="G16" s="55">
        <f>E16*F16</f>
        <v>26.400000000000002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30</v>
      </c>
      <c r="E17" s="55">
        <v>10</v>
      </c>
      <c r="F17" s="55">
        <v>6.6</v>
      </c>
      <c r="G17" s="55">
        <f t="shared" ref="G17:G19" si="0">E17*F17</f>
        <v>66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30</v>
      </c>
      <c r="E18" s="55">
        <v>1</v>
      </c>
      <c r="F18" s="55">
        <v>5.5</v>
      </c>
      <c r="G18" s="55">
        <f t="shared" si="0"/>
        <v>5.5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30</v>
      </c>
      <c r="E19" s="55">
        <v>1</v>
      </c>
      <c r="F19" s="55">
        <v>7.7</v>
      </c>
      <c r="G19" s="55">
        <f t="shared" si="0"/>
        <v>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30</v>
      </c>
      <c r="E20" s="55">
        <v>8</v>
      </c>
      <c r="F20" s="55">
        <v>3.1</v>
      </c>
      <c r="G20" s="55">
        <f t="shared" ref="G20:G22" si="1">E20*F20</f>
        <v>24.8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30</v>
      </c>
      <c r="E21" s="55">
        <v>30</v>
      </c>
      <c r="F21" s="55">
        <v>2.5299999999999998</v>
      </c>
      <c r="G21" s="55">
        <f t="shared" si="1"/>
        <v>75.899999999999991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195</v>
      </c>
      <c r="D22" s="70" t="s">
        <v>29</v>
      </c>
      <c r="E22" s="55">
        <v>1</v>
      </c>
      <c r="F22" s="55">
        <v>59.4</v>
      </c>
      <c r="G22" s="55">
        <f t="shared" si="1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182</v>
      </c>
      <c r="D23" s="70" t="s">
        <v>30</v>
      </c>
      <c r="E23" s="55">
        <v>1</v>
      </c>
      <c r="F23" s="55">
        <v>6.6</v>
      </c>
      <c r="G23" s="55">
        <f t="shared" ref="G23:G28" si="2">E23*F23</f>
        <v>6.6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242</v>
      </c>
      <c r="D24" s="70" t="s">
        <v>30</v>
      </c>
      <c r="E24" s="55">
        <v>1</v>
      </c>
      <c r="F24" s="55">
        <v>42.9</v>
      </c>
      <c r="G24" s="55">
        <f t="shared" si="2"/>
        <v>42.9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243</v>
      </c>
      <c r="D25" s="70" t="s">
        <v>30</v>
      </c>
      <c r="E25" s="55">
        <v>1</v>
      </c>
      <c r="F25" s="55">
        <v>140.80000000000001</v>
      </c>
      <c r="G25" s="55">
        <f t="shared" si="2"/>
        <v>140.80000000000001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196</v>
      </c>
      <c r="D26" s="70" t="s">
        <v>30</v>
      </c>
      <c r="E26" s="55">
        <v>2</v>
      </c>
      <c r="F26" s="55">
        <v>31.9</v>
      </c>
      <c r="G26" s="55">
        <f t="shared" si="2"/>
        <v>63.8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188</v>
      </c>
      <c r="D27" s="70" t="s">
        <v>30</v>
      </c>
      <c r="E27" s="55">
        <v>1</v>
      </c>
      <c r="F27" s="55">
        <v>60.5</v>
      </c>
      <c r="G27" s="55">
        <f t="shared" si="2"/>
        <v>60.5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244</v>
      </c>
      <c r="D28" s="70" t="s">
        <v>30</v>
      </c>
      <c r="E28" s="55">
        <v>1</v>
      </c>
      <c r="F28" s="55">
        <v>60.5</v>
      </c>
      <c r="G28" s="55">
        <f t="shared" si="2"/>
        <v>60.5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245</v>
      </c>
      <c r="D29" s="70" t="s">
        <v>31</v>
      </c>
      <c r="E29" s="55">
        <v>1</v>
      </c>
      <c r="F29" s="55">
        <v>70.400000000000006</v>
      </c>
      <c r="G29" s="55">
        <f>E29*F29</f>
        <v>70.400000000000006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189</v>
      </c>
      <c r="D30" s="70" t="s">
        <v>30</v>
      </c>
      <c r="E30" s="55">
        <v>1</v>
      </c>
      <c r="F30" s="55">
        <v>6.28</v>
      </c>
      <c r="G30" s="55">
        <f t="shared" ref="G30" si="3">E30*F30</f>
        <v>6.28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80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32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VlI8DTDn1RTnOH/74TSzT2+P8rkr0UiJJg7gY8PTFCnfnajtorKXmKxIpcBXqHLiWv1yU3CcEIQsYogrKo+6pg==" saltValue="9jsCLkU2LC1kmnWWkKWMN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2018-06-08T05:40:18Z</dcterms:modified>
</cp:coreProperties>
</file>