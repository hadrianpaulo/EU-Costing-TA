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NS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Supplies_Medical'!$C$15:$C$51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37" i="9" l="1"/>
  <c r="G36" i="9"/>
  <c r="G35" i="9"/>
  <c r="G34" i="9"/>
  <c r="G33" i="9"/>
  <c r="G32" i="9"/>
  <c r="G31" i="9"/>
  <c r="G30" i="9"/>
  <c r="J15" i="2"/>
  <c r="J14" i="2"/>
  <c r="G17" i="9" l="1"/>
  <c r="G29" i="9" l="1"/>
  <c r="G28" i="9"/>
  <c r="G16" i="9"/>
  <c r="J12" i="2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<sst xmlns="http://schemas.openxmlformats.org/spreadsheetml/2006/main" count="499" uniqueCount="201">
  <si>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</si>
  <si>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</si>
  <si>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</si>
  <si>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</si>
  <si>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</si>
  <si>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</si>
  <si>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</si>
  <si>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</si>
  <si>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</si>
  <si>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</si>
  <si>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</si>
  <si>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</si>
  <si>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</si>
  <si>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</si>
  <si>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</si>
  <si>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</si>
  <si>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</si>
  <si>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 xml:space="preserve">capsules 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</si>
  <si>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</si>
  <si>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</si>
  <si>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</si>
  <si>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</si>
  <si>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</si>
  <si>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</si>
  <si>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</si>
  <si>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</si>
  <si>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</si>
  <si>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</si>
  <si>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</si>
  <si>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</si>
  <si>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</si>
  <si>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</si>
  <si>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</si>
  <si>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</si>
  <si>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</si>
  <si>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</si>
  <si>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</si>
  <si>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</si>
  <si>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</si>
  <si>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</si>
  <si>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</si>
  <si>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</si>
  <si>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</si>
  <si>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</si>
  <si>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</si>
  <si>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</si>
  <si>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</si>
  <si>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</si>
  <si>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</si>
  <si>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</si>
  <si>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</si>
  <si>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</si>
  <si>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</si>
  <si>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</si>
  <si>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</si>
  <si>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</si>
  <si>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</si>
  <si>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</si>
  <si>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</si>
  <si>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</si>
  <si>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</si>
  <si>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</si>
  <si>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</si>
  <si>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</si>
  <si>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</si>
  <si>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</si>
  <si>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</si>
  <si>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</si>
  <si>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</si>
  <si>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</si>
  <si>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</si>
  <si>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</si>
  <si>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</si>
  <si>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</si>
  <si>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</si>
  <si>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</si>
  <si>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</si>
  <si>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</si>
  <si>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</si>
  <si>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</si>
  <si>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</si>
  <si>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</si>
  <si>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</si>
  <si>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</si>
  <si>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</si>
  <si>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</si>
  <si>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</si>
  <si>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</si>
  <si>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</si>
  <si>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</si>
  <si>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</si>
  <si>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</si>
  <si>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</si>
  <si>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</si>
  <si>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</si>
  <si>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</si>
  <si>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</si>
  <si>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</si>
  <si>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</si>
  <si>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</si>
  <si>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</si>
  <si>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</si>
  <si>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</si>
  <si>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</si>
  <si>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</si>
  <si>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</si>
  <si>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</si>
  <si>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</si>
  <si>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</si>
  <si>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</si>
  <si>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</si>
  <si>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</si>
  <si>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</si>
  <si>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</si>
  <si>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</si>
  <si>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</si>
  <si>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</si>
  <si>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</si>
  <si>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</si>
  <si>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</si>
  <si>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</si>
  <si>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</si>
  <si>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</si>
  <si>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</si>
  <si>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</si>
  <si>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</si>
  <si>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</si>
  <si>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</si>
  <si>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</si>
  <si>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</si>
  <si>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</si>
  <si>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</si>
  <si>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</si>
  <si>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</si>
  <si>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</si>
  <si>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</si>
  <si>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</si>
  <si>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</si>
  <si>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</si>
  <si>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</si>
  <si>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</si>
  <si>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</si>
  <si>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</si>
  <si>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</si>
  <si>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</si>
  <si>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</si>
  <si>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</si>
  <si>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</si>
  <si>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</si>
  <si>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</si>
  <si>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</si>
  <si>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</si>
  <si>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</si>
  <si>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</si>
  <si>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</si>
  <si>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</si>
  <si>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</si>
  <si>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</si>
  <si>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</si>
  <si>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</si>
  <si>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</si>
  <si>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</si>
  <si>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</si>
  <si>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</si>
  <si>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</si>
  <si>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</si>
  <si>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</si>
  <si>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</si>
  <si>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NSD</t>
  </si>
  <si>
    <t>NSD01</t>
  </si>
  <si>
    <t>OB PACKAGE 3 (CBC, TYPING, HBsAg, RPR)</t>
  </si>
  <si>
    <t>Drugs and Medicines (cons)</t>
  </si>
  <si>
    <t>Medical Supplies (cons)</t>
  </si>
  <si>
    <t>Medical Supplies</t>
  </si>
  <si>
    <t>Laboratory Exam</t>
  </si>
  <si>
    <t>Garbage Fee</t>
  </si>
  <si>
    <t>Professional Fee</t>
  </si>
  <si>
    <t>Room and Board</t>
  </si>
  <si>
    <t>Mefenamic Acid</t>
  </si>
  <si>
    <t>Ferrous Fumarate</t>
  </si>
  <si>
    <t>Oxytocin</t>
  </si>
  <si>
    <t>D5LRS</t>
  </si>
  <si>
    <t>Cefalexine</t>
  </si>
  <si>
    <t>ampul</t>
  </si>
  <si>
    <t>botte</t>
  </si>
  <si>
    <t>500mg</t>
  </si>
  <si>
    <t>200mg</t>
  </si>
  <si>
    <t>10IU</t>
  </si>
  <si>
    <t>1000mL</t>
  </si>
  <si>
    <t>ID Bracelet</t>
  </si>
  <si>
    <t>Disposable Mask</t>
  </si>
  <si>
    <t>Surgical Blade S.20</t>
  </si>
  <si>
    <t>Clean Gloves</t>
  </si>
  <si>
    <t>3cc</t>
  </si>
  <si>
    <t>Micropore</t>
  </si>
  <si>
    <t>Surgical Gauze</t>
  </si>
  <si>
    <t>S. Gloves S. 6 1/2</t>
  </si>
  <si>
    <t>Macroset</t>
  </si>
  <si>
    <t>IV Cath G.18</t>
  </si>
  <si>
    <t>Cord Clamp</t>
  </si>
  <si>
    <t>ID Bracelet 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</si>
</sst>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28575</xdr:rowOff>
        </xdr:from>
        <xdr:to>
          <xdr:col>1</xdr:col>
          <xdr:colOff>771525</xdr:colOff>
          <xdr:row>41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41</xdr:row>
          <xdr:rowOff>28575</xdr:rowOff>
        </xdr:from>
        <xdr:to>
          <xdr:col>1</xdr:col>
          <xdr:colOff>1543050</xdr:colOff>
          <xdr:row>41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E72" sqref="E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19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20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48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49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57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21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59</v>
      </c>
      <c r="C59" s="17" t="s">
        <v>55</v>
      </c>
      <c r="D59" s="17" t="s">
        <v>60</v>
      </c>
      <c r="E59" s="18" t="s">
        <v>61</v>
      </c>
      <c r="F59" s="19" t="s">
        <v>22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422.95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513.94000000000005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119</v>
      </c>
      <c r="D64" s="55">
        <v>1060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177</v>
      </c>
      <c r="D66" s="55">
        <v>200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176</v>
      </c>
      <c r="D67" s="55">
        <v>2000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23</v>
      </c>
      <c r="D71" s="59">
        <f>SUM(D60:D70)</f>
        <v>4916.8900000000003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G18" sqref="G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17</v>
      </c>
      <c r="E11" s="27" t="s">
        <v>185</v>
      </c>
      <c r="F11" s="55">
        <v>2</v>
      </c>
      <c r="G11" s="55">
        <v>1</v>
      </c>
      <c r="H11" s="55">
        <v>10</v>
      </c>
      <c r="I11" s="55">
        <v>3.52</v>
      </c>
      <c r="J11" s="55">
        <f>H11*I11</f>
        <v>35.200000000000003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17</v>
      </c>
      <c r="E12" s="27" t="s">
        <v>186</v>
      </c>
      <c r="F12" s="55"/>
      <c r="G12" s="55">
        <v>1</v>
      </c>
      <c r="H12" s="55">
        <v>7</v>
      </c>
      <c r="I12" s="55">
        <v>2.42</v>
      </c>
      <c r="J12" s="55">
        <f t="shared" ref="J12:J13" si="0">H12*I12</f>
        <v>16.939999999999998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183</v>
      </c>
      <c r="E13" s="27" t="s">
        <v>187</v>
      </c>
      <c r="F13" s="55"/>
      <c r="G13" s="55">
        <v>1</v>
      </c>
      <c r="H13" s="55">
        <v>2</v>
      </c>
      <c r="I13" s="55">
        <v>38.39</v>
      </c>
      <c r="J13" s="55">
        <f t="shared" si="0"/>
        <v>76.78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184</v>
      </c>
      <c r="E14" s="27" t="s">
        <v>188</v>
      </c>
      <c r="F14" s="55"/>
      <c r="G14" s="55">
        <v>1</v>
      </c>
      <c r="H14" s="55">
        <v>1</v>
      </c>
      <c r="I14" s="55">
        <v>78.430000000000007</v>
      </c>
      <c r="J14" s="55">
        <f t="shared" ref="J14:J15" si="1">H14*I14</f>
        <v>78.430000000000007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</v>
      </c>
      <c r="E15" s="27" t="s">
        <v>185</v>
      </c>
      <c r="F15" s="55"/>
      <c r="G15" s="55">
        <v>1</v>
      </c>
      <c r="H15" s="55">
        <v>28</v>
      </c>
      <c r="I15" s="55">
        <v>7.7</v>
      </c>
      <c r="J15" s="55">
        <f t="shared" si="1"/>
        <v>215.6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5"/>
  <sheetViews>
    <sheetView workbookViewId="0">
      <selection activeCell="G16" activeCellId="1" sqref="G28:G37 G16:G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13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31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200</v>
      </c>
      <c r="D17" s="70" t="s">
        <v>31</v>
      </c>
      <c r="E17" s="55">
        <v>1</v>
      </c>
      <c r="F17" s="55">
        <v>10</v>
      </c>
      <c r="G17" s="55">
        <f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80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190</v>
      </c>
      <c r="D28" s="70" t="s">
        <v>31</v>
      </c>
      <c r="E28" s="55">
        <v>6</v>
      </c>
      <c r="F28" s="55">
        <v>4.4000000000000004</v>
      </c>
      <c r="G28" s="55">
        <f>E28*F28</f>
        <v>26.400000000000002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191</v>
      </c>
      <c r="D29" s="70" t="s">
        <v>31</v>
      </c>
      <c r="E29" s="55">
        <v>2</v>
      </c>
      <c r="F29" s="55">
        <v>7.7</v>
      </c>
      <c r="G29" s="55">
        <f t="shared" ref="G29" si="0">E29*F29</f>
        <v>15.4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192</v>
      </c>
      <c r="D30" s="70" t="s">
        <v>31</v>
      </c>
      <c r="E30" s="55">
        <v>6</v>
      </c>
      <c r="F30" s="55">
        <v>3.1</v>
      </c>
      <c r="G30" s="55">
        <f t="shared" ref="G30:G37" si="1">E30*F30</f>
        <v>18.600000000000001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193</v>
      </c>
      <c r="D31" s="70" t="s">
        <v>31</v>
      </c>
      <c r="E31" s="55">
        <v>1</v>
      </c>
      <c r="F31" s="55">
        <v>5.5</v>
      </c>
      <c r="G31" s="55">
        <f t="shared" si="1"/>
        <v>5.5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194</v>
      </c>
      <c r="D32" s="70" t="s">
        <v>30</v>
      </c>
      <c r="E32" s="55">
        <v>1</v>
      </c>
      <c r="F32" s="55">
        <v>59.4</v>
      </c>
      <c r="G32" s="55">
        <f t="shared" si="1"/>
        <v>59.4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195</v>
      </c>
      <c r="D33" s="70" t="s">
        <v>31</v>
      </c>
      <c r="E33" s="55">
        <v>55</v>
      </c>
      <c r="F33" s="55">
        <v>2.5299999999999998</v>
      </c>
      <c r="G33" s="55">
        <f t="shared" si="1"/>
        <v>139.14999999999998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196</v>
      </c>
      <c r="D34" s="70" t="s">
        <v>31</v>
      </c>
      <c r="E34" s="55">
        <v>6</v>
      </c>
      <c r="F34" s="55">
        <v>24.2</v>
      </c>
      <c r="G34" s="55">
        <f t="shared" si="1"/>
        <v>145.19999999999999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197</v>
      </c>
      <c r="D35" s="70" t="s">
        <v>31</v>
      </c>
      <c r="E35" s="55">
        <v>1</v>
      </c>
      <c r="F35" s="55">
        <v>31.9</v>
      </c>
      <c r="G35" s="55">
        <f t="shared" si="1"/>
        <v>31.9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198</v>
      </c>
      <c r="D36" s="70" t="s">
        <v>31</v>
      </c>
      <c r="E36" s="55">
        <v>1</v>
      </c>
      <c r="F36" s="55">
        <v>60.5</v>
      </c>
      <c r="G36" s="55">
        <f t="shared" si="1"/>
        <v>60.5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199</v>
      </c>
      <c r="D37" s="70" t="s">
        <v>31</v>
      </c>
      <c r="E37" s="55">
        <v>1</v>
      </c>
      <c r="F37" s="55">
        <v>5.61</v>
      </c>
      <c r="G37" s="55">
        <f t="shared" si="1"/>
        <v>5.61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6" t="s">
        <v>32</v>
      </c>
      <c r="C41" s="137"/>
      <c r="D41" s="137"/>
      <c r="E41" s="137"/>
      <c r="F41" s="137"/>
      <c r="G41" s="138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algorithmName="SHA-512" hashValue="utF/OEA8KhT0Ibt0zJo9wMEEscS575ELzay7koIA1gBrgHbv544eKFGoUUjepN4eLOTKwZzVPNXYMj83lfDqRA==" saltValue="aCFEKDs+jkUW33zFS3mt7g==" spinCount="100000" sheet="1" objects="1" scenarios="1" formatColumns="0" formatRows="0" sort="0" autoFilter="0"/>
  <mergeCells count="9">
    <mergeCell ref="B7:G7"/>
    <mergeCell ref="B27:G27"/>
    <mergeCell ref="B41:G4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41</xdr:row>
                    <xdr:rowOff>28575</xdr:rowOff>
                  </from>
                  <to>
                    <xdr:col>1</xdr:col>
                    <xdr:colOff>771525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41</xdr:row>
                    <xdr:rowOff>28575</xdr:rowOff>
                  </from>
                  <to>
                    <xdr:col>1</xdr:col>
                    <xdr:colOff>1543050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E1" workbookViewId="0">
      <selection activeCell="N18" sqref="N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2018-04-18T04:04:35Z</cp:lastPrinted>
  <dcterms:created xsi:type="dcterms:W3CDTF">2018-05-11T08:46:15Z</dcterms:created>
  <dcterms:modified xsi:type="dcterms:W3CDTF">2018-04-18T04:05:14Z</dcterms:modified>
</cp:coreProperties>
</file>