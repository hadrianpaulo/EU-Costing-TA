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cute Pyelonephriti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21" i="2" l="1"/>
  <c r="J12" i="2"/>
  <c r="J13" i="2"/>
  <c r="J14" i="2"/>
  <c r="J15" i="2"/>
  <c r="J16" i="2"/>
  <c r="J17" i="2"/>
  <c r="J18" i="2"/>
  <c r="J19" i="2"/>
  <c r="J20" i="2"/>
  <c r="G17" i="9"/>
  <c r="G18" i="9"/>
  <c r="G19" i="9"/>
  <c r="G20" i="9"/>
  <c r="G21" i="9"/>
  <c r="G22" i="9"/>
  <c r="G23" i="9"/>
  <c r="G24" i="9"/>
  <c r="G25" i="9"/>
  <c r="G26" i="9"/>
  <c r="G27" i="9"/>
  <c r="G16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<sst xmlns="http://schemas.openxmlformats.org/spreadsheetml/2006/main" count="505" uniqueCount="207">
  <si>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</si>
  <si>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</si>
  <si>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</si>
  <si>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</si>
  <si>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</si>
  <si>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</si>
  <si>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</si>
  <si>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</si>
  <si>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</si>
  <si>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</si>
  <si>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</si>
  <si>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</si>
  <si>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</si>
  <si>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</si>
  <si>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</si>
  <si>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</si>
  <si>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</si>
  <si>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</si>
  <si>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</si>
  <si>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</si>
  <si>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</si>
  <si>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</si>
  <si>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</si>
  <si>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</si>
  <si>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</si>
  <si>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</si>
  <si>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</si>
  <si>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</si>
  <si>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</si>
  <si>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</si>
  <si>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Creatinine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</si>
  <si>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</si>
  <si>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</si>
  <si>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</si>
  <si>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</si>
  <si>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</si>
  <si>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</si>
  <si>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</si>
  <si>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</si>
  <si>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</si>
  <si>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</si>
  <si>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</si>
  <si>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</si>
  <si>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</si>
  <si>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</si>
  <si>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</si>
  <si>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</si>
  <si>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</si>
  <si>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</si>
  <si>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</si>
  <si>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</si>
  <si>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</si>
  <si>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</si>
  <si>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</si>
  <si>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</si>
  <si>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</si>
  <si>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</si>
  <si>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</si>
  <si>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</si>
  <si>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</si>
  <si>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</si>
  <si>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</si>
  <si>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</si>
  <si>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</si>
  <si>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</si>
  <si>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</si>
  <si>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</si>
  <si>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</si>
  <si>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</si>
  <si>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</si>
  <si>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</si>
  <si>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</si>
  <si>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</si>
  <si>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</si>
  <si>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</si>
  <si>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</si>
  <si>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</si>
  <si>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</si>
  <si>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</si>
  <si>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</si>
  <si>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</si>
  <si>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</si>
  <si>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</si>
  <si>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</si>
  <si>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</si>
  <si>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</si>
  <si>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</si>
  <si>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</si>
  <si>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</si>
  <si>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</si>
  <si>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</si>
  <si>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</si>
  <si>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</si>
  <si>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</si>
  <si>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</si>
  <si>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</si>
  <si>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</si>
  <si>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</si>
  <si>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</si>
  <si>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</si>
  <si>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</si>
  <si>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</si>
  <si>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</si>
  <si>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</si>
  <si>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</si>
  <si>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</si>
  <si>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</si>
  <si>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</si>
  <si>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</si>
  <si>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</si>
  <si>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</si>
  <si>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</si>
  <si>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</si>
  <si>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</si>
  <si>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</si>
  <si>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</si>
  <si>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</si>
  <si>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</si>
  <si>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</si>
  <si>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</si>
  <si>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</si>
  <si>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</si>
  <si>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</si>
  <si>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</si>
  <si>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</si>
  <si>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</si>
  <si>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</si>
  <si>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</si>
  <si>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</si>
  <si>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</si>
  <si>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</si>
  <si>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</si>
  <si>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</si>
  <si>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</si>
  <si>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</si>
  <si>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</si>
  <si>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</si>
  <si>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</si>
  <si>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</si>
  <si>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</si>
  <si>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</si>
  <si>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</si>
  <si>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</si>
  <si>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</si>
  <si>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</si>
  <si>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</si>
  <si>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</si>
  <si>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</si>
  <si>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</si>
  <si>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</si>
  <si>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</si>
  <si>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</si>
  <si>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</si>
  <si>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</si>
  <si>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</si>
  <si>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</si>
  <si>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</si>
  <si>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</si>
  <si>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</si>
  <si>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</si>
  <si>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</si>
  <si>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</si>
  <si>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</si>
  <si>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</si>
  <si>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</si>
  <si>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</si>
  <si>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</si>
  <si>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Acute Pyelonephritis</t>
  </si>
  <si>
    <t>N10</t>
  </si>
  <si>
    <t>Hema Package 1 (CBC, Platelet Count)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</si>
  <si>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</si>
  <si>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</si>
  <si>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</si>
  <si>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</si>
  <si>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</si>
  <si>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</si>
  <si>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ID Bracelet</t>
  </si>
  <si>
    <t>Disposable Mask</t>
  </si>
  <si>
    <t>Macroset</t>
  </si>
  <si>
    <t>3cc</t>
  </si>
  <si>
    <t>5cc</t>
  </si>
  <si>
    <t>1cc/tbs</t>
  </si>
  <si>
    <t>Microset</t>
  </si>
  <si>
    <t>Surgical Gauze</t>
  </si>
  <si>
    <t>Clean Gloves</t>
  </si>
  <si>
    <t>D5LRS</t>
  </si>
  <si>
    <t>Ciprofloxacin</t>
  </si>
  <si>
    <t>0.9% Sodium Chloride</t>
  </si>
  <si>
    <t>Amino Acids 9.12%</t>
  </si>
  <si>
    <t>Sulbactam/Ampicillin</t>
  </si>
  <si>
    <t>bottle</t>
  </si>
  <si>
    <t>vial</t>
  </si>
  <si>
    <t>ampul</t>
  </si>
  <si>
    <t>tablet</t>
  </si>
  <si>
    <t>1000ml</t>
  </si>
  <si>
    <t>750mg</t>
  </si>
  <si>
    <t>2mg/ml</t>
  </si>
  <si>
    <t>Sodium</t>
  </si>
  <si>
    <t>Potassium</t>
  </si>
  <si>
    <t>IV Cath G.22</t>
  </si>
  <si>
    <t>Micropore</t>
  </si>
  <si>
    <t>10cc</t>
  </si>
  <si>
    <t>Paracetamol</t>
  </si>
  <si>
    <t>Omeprazole</t>
  </si>
  <si>
    <t>150mg/ml</t>
  </si>
  <si>
    <t>40mg</t>
  </si>
  <si>
    <t>500ml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</si>
</sst>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6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30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4669.72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339.78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770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>
        <v>10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3000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8989.5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190</v>
      </c>
      <c r="E11" s="27" t="s">
        <v>194</v>
      </c>
      <c r="F11" s="55"/>
      <c r="G11" s="55">
        <v>1</v>
      </c>
      <c r="H11" s="55">
        <v>1</v>
      </c>
      <c r="I11" s="55">
        <v>78.430000000000007</v>
      </c>
      <c r="J11" s="55">
        <f>H11*I11</f>
        <v>78.430000000000007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192</v>
      </c>
      <c r="E12" s="115">
        <v>0.05</v>
      </c>
      <c r="F12" s="55"/>
      <c r="G12" s="55">
        <v>1</v>
      </c>
      <c r="H12" s="55">
        <v>2</v>
      </c>
      <c r="I12" s="55">
        <v>401.5</v>
      </c>
      <c r="J12" s="55">
        <f t="shared" ref="J12:J21" si="0">H12*I12</f>
        <v>803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193</v>
      </c>
      <c r="E13" s="27" t="s">
        <v>195</v>
      </c>
      <c r="F13" s="55"/>
      <c r="G13" s="55">
        <v>1</v>
      </c>
      <c r="H13" s="55">
        <v>21</v>
      </c>
      <c r="I13" s="55">
        <v>99</v>
      </c>
      <c r="J13" s="55">
        <f t="shared" si="0"/>
        <v>2079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191</v>
      </c>
      <c r="E14" s="27" t="s">
        <v>196</v>
      </c>
      <c r="F14" s="55"/>
      <c r="G14" s="55">
        <v>1</v>
      </c>
      <c r="H14" s="55">
        <v>4</v>
      </c>
      <c r="I14" s="55">
        <v>259.60000000000002</v>
      </c>
      <c r="J14" s="55">
        <f t="shared" si="0"/>
        <v>1038.4000000000001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192</v>
      </c>
      <c r="E15" s="27" t="s">
        <v>204</v>
      </c>
      <c r="F15" s="55"/>
      <c r="G15" s="55">
        <v>1</v>
      </c>
      <c r="H15" s="55">
        <v>1</v>
      </c>
      <c r="I15" s="55">
        <v>31.46</v>
      </c>
      <c r="J15" s="55">
        <f t="shared" si="0"/>
        <v>31.46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203</v>
      </c>
      <c r="D16" s="27" t="s">
        <v>191</v>
      </c>
      <c r="E16" s="27" t="s">
        <v>205</v>
      </c>
      <c r="F16" s="55"/>
      <c r="G16" s="55">
        <v>1</v>
      </c>
      <c r="H16" s="55">
        <v>2</v>
      </c>
      <c r="I16" s="55">
        <v>280.5</v>
      </c>
      <c r="J16" s="55">
        <f t="shared" si="0"/>
        <v>561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190</v>
      </c>
      <c r="E17" s="27" t="s">
        <v>206</v>
      </c>
      <c r="F17" s="55"/>
      <c r="G17" s="55">
        <v>1</v>
      </c>
      <c r="H17" s="55">
        <v>1</v>
      </c>
      <c r="I17" s="55">
        <v>78.430000000000007</v>
      </c>
      <c r="J17" s="55">
        <f t="shared" si="0"/>
        <v>78.430000000000007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115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0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29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29</v>
      </c>
      <c r="E17" s="55">
        <v>6</v>
      </c>
      <c r="F17" s="55">
        <v>4.4000000000000004</v>
      </c>
      <c r="G17" s="55">
        <f t="shared" ref="G17:G27" si="0">E17*F17</f>
        <v>26.400000000000002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29</v>
      </c>
      <c r="E18" s="55">
        <v>1</v>
      </c>
      <c r="F18" s="55">
        <v>31.9</v>
      </c>
      <c r="G18" s="55">
        <f t="shared" si="0"/>
        <v>31.9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29</v>
      </c>
      <c r="E19" s="55">
        <v>1</v>
      </c>
      <c r="F19" s="55">
        <v>60.5</v>
      </c>
      <c r="G19" s="55">
        <f t="shared" si="0"/>
        <v>60.5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29</v>
      </c>
      <c r="E20" s="55">
        <v>1</v>
      </c>
      <c r="F20" s="55">
        <v>5.5</v>
      </c>
      <c r="G20" s="55">
        <f t="shared" si="0"/>
        <v>5.5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180</v>
      </c>
      <c r="D21" s="70" t="s">
        <v>29</v>
      </c>
      <c r="E21" s="55">
        <v>3</v>
      </c>
      <c r="F21" s="55">
        <v>6.6</v>
      </c>
      <c r="G21" s="55">
        <f t="shared" si="0"/>
        <v>19.799999999999997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181</v>
      </c>
      <c r="D22" s="70" t="s">
        <v>29</v>
      </c>
      <c r="E22" s="55">
        <v>1</v>
      </c>
      <c r="F22" s="55">
        <v>6.6</v>
      </c>
      <c r="G22" s="55">
        <f t="shared" si="0"/>
        <v>6.6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182</v>
      </c>
      <c r="D23" s="70" t="s">
        <v>29</v>
      </c>
      <c r="E23" s="55">
        <v>1</v>
      </c>
      <c r="F23" s="55">
        <v>34.1</v>
      </c>
      <c r="G23" s="55">
        <f t="shared" si="0"/>
        <v>34.1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183</v>
      </c>
      <c r="D24" s="70" t="s">
        <v>29</v>
      </c>
      <c r="E24" s="55">
        <v>20</v>
      </c>
      <c r="F24" s="55">
        <v>2.5299999999999998</v>
      </c>
      <c r="G24" s="55">
        <f t="shared" si="0"/>
        <v>50.599999999999994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184</v>
      </c>
      <c r="D25" s="70" t="s">
        <v>29</v>
      </c>
      <c r="E25" s="55">
        <v>10</v>
      </c>
      <c r="F25" s="55">
        <v>3.1</v>
      </c>
      <c r="G25" s="55">
        <f t="shared" si="0"/>
        <v>31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200</v>
      </c>
      <c r="D26" s="70" t="s">
        <v>29</v>
      </c>
      <c r="E26" s="55">
        <v>1</v>
      </c>
      <c r="F26" s="55">
        <v>59.4</v>
      </c>
      <c r="G26" s="55">
        <f t="shared" si="0"/>
        <v>59.4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201</v>
      </c>
      <c r="D27" s="70" t="s">
        <v>29</v>
      </c>
      <c r="E27" s="55">
        <v>1</v>
      </c>
      <c r="F27" s="55">
        <v>7.7</v>
      </c>
      <c r="G27" s="55">
        <f t="shared" si="0"/>
        <v>7.7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7" t="s">
        <v>79</v>
      </c>
      <c r="C28" s="138"/>
      <c r="D28" s="138"/>
      <c r="E28" s="138"/>
      <c r="F28" s="138"/>
      <c r="G28" s="139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7" t="s">
        <v>31</v>
      </c>
      <c r="C39" s="138"/>
      <c r="D39" s="138"/>
      <c r="E39" s="138"/>
      <c r="F39" s="138"/>
      <c r="G39" s="139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cZLijKr5GCXGiHaA5godjlZHDix79F2YN0j/sPomdh+mlL9Sj45u/NulckVK/2qo/1jd/qsl85iBCxjsXiTF4A==" saltValue="TJwXB/QP/m9/nLiWIwN3iA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2018-06-08T05:36:33Z</dcterms:modified>
</cp:coreProperties>
</file>