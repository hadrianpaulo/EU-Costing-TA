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Acute Pyelonephritis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J21" i="2" l="1"/>
  <c r="J12" i="2"/>
  <c r="J13" i="2"/>
  <c r="J14" i="2"/>
  <c r="J15" i="2"/>
  <c r="J16" i="2"/>
  <c r="J17" i="2"/>
  <c r="J18" i="2"/>
  <c r="J19" i="2"/>
  <c r="J20" i="2"/>
  <c r="G17" i="9"/>
  <c r="G18" i="9"/>
  <c r="G19" i="9"/>
  <c r="G20" i="9"/>
  <c r="G21" i="9"/>
  <c r="G22" i="9"/>
  <c r="G23" i="9"/>
  <c r="G24" i="9"/>
  <c r="G25" i="9"/>
  <c r="G26" i="9"/>
  <c r="G27" i="9"/>
  <c r="G16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<sst xmlns="http://schemas.openxmlformats.org/spreadsheetml/2006/main" count="516" uniqueCount="211">
  <si>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</si>
  <si>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</si>
  <si>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</si>
  <si>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</si>
  <si>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</si>
  <si>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</si>
  <si>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</si>
  <si>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</si>
  <si>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</si>
  <si>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</si>
  <si>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</si>
  <si>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</si>
  <si>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</si>
  <si>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</si>
  <si>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</si>
  <si>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</si>
  <si>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</si>
  <si>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</si>
  <si>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</si>
  <si>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</si>
  <si>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</si>
  <si>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</si>
  <si>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</si>
  <si>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</si>
  <si>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</si>
  <si>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</si>
  <si>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</si>
  <si>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</si>
  <si>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</si>
  <si>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</si>
  <si>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</si>
  <si>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</si>
  <si>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</si>
  <si>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</si>
  <si>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</si>
  <si>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</si>
  <si>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</si>
  <si>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</si>
  <si>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</si>
  <si>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</si>
  <si>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</si>
  <si>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</si>
  <si>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</si>
  <si>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</si>
  <si>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</si>
  <si>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</si>
  <si>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</si>
  <si>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</si>
  <si>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</si>
  <si>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</si>
  <si>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</si>
  <si>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</si>
  <si>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</si>
  <si>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</si>
  <si>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</si>
  <si>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</si>
  <si>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</si>
  <si>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</si>
  <si>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</si>
  <si>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</si>
  <si>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</si>
  <si>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</si>
  <si>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</si>
  <si>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</si>
  <si>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</si>
  <si>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</si>
  <si>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</si>
  <si>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</si>
  <si>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</si>
  <si>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</si>
  <si>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</si>
  <si>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</si>
  <si>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</si>
  <si>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</si>
  <si>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</si>
  <si>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</si>
  <si>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</si>
  <si>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</si>
  <si>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</si>
  <si>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</si>
  <si>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</si>
  <si>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</si>
  <si>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</si>
  <si>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</si>
  <si>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</si>
  <si>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</si>
  <si>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</si>
  <si>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</si>
  <si>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</si>
  <si>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</si>
  <si>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</si>
  <si>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</si>
  <si>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</si>
  <si>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</si>
  <si>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</si>
  <si>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</si>
  <si>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</si>
  <si>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</si>
  <si>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</si>
  <si>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</si>
  <si>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</si>
  <si>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</si>
  <si>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</si>
  <si>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</si>
  <si>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</si>
  <si>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</si>
  <si>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</si>
  <si>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</si>
  <si>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</si>
  <si>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</si>
  <si>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</si>
  <si>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</si>
  <si>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</si>
  <si>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</si>
  <si>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</si>
  <si>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</si>
  <si>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</si>
  <si>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</si>
  <si>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</si>
  <si>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</si>
  <si>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</si>
  <si>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</si>
  <si>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</si>
  <si>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</si>
  <si>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</si>
  <si>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</si>
  <si>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</si>
  <si>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</si>
  <si>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</si>
  <si>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</si>
  <si>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</si>
  <si>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</si>
  <si>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</si>
  <si>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</si>
  <si>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</si>
  <si>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</si>
  <si>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</si>
  <si>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</si>
  <si>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</si>
  <si>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</si>
  <si>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</si>
  <si>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</si>
  <si>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</si>
  <si>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</si>
  <si>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</si>
  <si>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</si>
  <si>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</si>
  <si>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</si>
  <si>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</si>
  <si>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</si>
  <si>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</si>
  <si>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</si>
  <si>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</si>
  <si>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</si>
  <si>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</si>
  <si>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</si>
  <si>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</si>
  <si>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</si>
  <si>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</si>
  <si>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</si>
  <si>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</si>
  <si>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</si>
  <si>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</si>
  <si>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</si>
  <si>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</si>
  <si>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</si>
  <si>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Acute Pyelonephritis</t>
  </si>
  <si>
    <t>N10</t>
  </si>
  <si>
    <t>Urinalysis</t>
  </si>
  <si>
    <t>Hema Package 1 (CBC, Platelet Count)</t>
  </si>
  <si>
    <t>Eletrolytes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</si>
  <si>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</si>
  <si>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</si>
  <si>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</si>
  <si>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</si>
  <si>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</si>
  <si>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</si>
  <si>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ID Bracelet</t>
  </si>
  <si>
    <t>Disposable Mask</t>
  </si>
  <si>
    <t>Macroset</t>
  </si>
  <si>
    <t>IV Cath G.24</t>
  </si>
  <si>
    <t>3cc</t>
  </si>
  <si>
    <t>5cc</t>
  </si>
  <si>
    <t>1cc/tbs</t>
  </si>
  <si>
    <t>Microset</t>
  </si>
  <si>
    <t>Surgical Gauze</t>
  </si>
  <si>
    <t>Clean Gloves</t>
  </si>
  <si>
    <t>Soluset</t>
  </si>
  <si>
    <t>IV Cath G.18</t>
  </si>
  <si>
    <t>D5LRS</t>
  </si>
  <si>
    <t>Cefuroxime Sodium</t>
  </si>
  <si>
    <t>Ranitidine Hydrochloride</t>
  </si>
  <si>
    <t>Metoclopramide</t>
  </si>
  <si>
    <t>Hyoscine N Butyl Bromide</t>
  </si>
  <si>
    <t>Ciprofloxacin</t>
  </si>
  <si>
    <t>Sterile Water For Injection</t>
  </si>
  <si>
    <t>0.9% Sodium Chloride</t>
  </si>
  <si>
    <t>Amino Acids 9.12%</t>
  </si>
  <si>
    <t>Sulbactam/Ampicillin</t>
  </si>
  <si>
    <t>bottle</t>
  </si>
  <si>
    <t>vial</t>
  </si>
  <si>
    <t>ampul</t>
  </si>
  <si>
    <t>tablet</t>
  </si>
  <si>
    <t>1000ml</t>
  </si>
  <si>
    <t>750mg</t>
  </si>
  <si>
    <t>25mg/ml</t>
  </si>
  <si>
    <t>5mg/2ml</t>
  </si>
  <si>
    <t>20mg/ml</t>
  </si>
  <si>
    <t>500mg</t>
  </si>
  <si>
    <t>50ml</t>
  </si>
  <si>
    <t>2mg/ml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</si>
</sst>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D71" sqref="D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9" t="s">
        <v>19</v>
      </c>
      <c r="C38" s="120"/>
      <c r="D38" s="117"/>
      <c r="E38" s="120"/>
      <c r="F38" s="11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46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6" t="s">
        <v>55</v>
      </c>
      <c r="C45" s="117"/>
      <c r="D45" s="117"/>
      <c r="E45" s="117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20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3350.82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677.88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1200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20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175</v>
      </c>
      <c r="D64" s="55">
        <v>400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176</v>
      </c>
      <c r="D65" s="55">
        <v>3000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8648.7000000000007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8" workbookViewId="0">
      <selection activeCell="J11" sqref="J11:J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Acute Pyelonephritis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199</v>
      </c>
      <c r="E11" s="27" t="s">
        <v>203</v>
      </c>
      <c r="F11" s="55"/>
      <c r="G11" s="55">
        <v>2</v>
      </c>
      <c r="H11" s="55">
        <v>3</v>
      </c>
      <c r="I11" s="55">
        <v>78.430000000000007</v>
      </c>
      <c r="J11" s="55">
        <f>H11*I11</f>
        <v>235.29000000000002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200</v>
      </c>
      <c r="E12" s="27" t="s">
        <v>204</v>
      </c>
      <c r="F12" s="55"/>
      <c r="G12" s="55">
        <v>2</v>
      </c>
      <c r="H12" s="55">
        <v>4</v>
      </c>
      <c r="I12" s="55">
        <v>52.8</v>
      </c>
      <c r="J12" s="55">
        <f t="shared" ref="J12:J21" si="0">H12*I12</f>
        <v>211.2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201</v>
      </c>
      <c r="E13" s="27" t="s">
        <v>205</v>
      </c>
      <c r="F13" s="55"/>
      <c r="G13" s="55">
        <v>2</v>
      </c>
      <c r="H13" s="55">
        <v>6</v>
      </c>
      <c r="I13" s="55">
        <v>31.9</v>
      </c>
      <c r="J13" s="55">
        <f t="shared" si="0"/>
        <v>191.39999999999998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201</v>
      </c>
      <c r="E14" s="27" t="s">
        <v>206</v>
      </c>
      <c r="F14" s="55"/>
      <c r="G14" s="55">
        <v>2</v>
      </c>
      <c r="H14" s="55">
        <v>3</v>
      </c>
      <c r="I14" s="55">
        <v>18.7</v>
      </c>
      <c r="J14" s="55">
        <f t="shared" si="0"/>
        <v>56.099999999999994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201</v>
      </c>
      <c r="E15" s="27" t="s">
        <v>207</v>
      </c>
      <c r="F15" s="55"/>
      <c r="G15" s="55">
        <v>2</v>
      </c>
      <c r="H15" s="55">
        <v>2</v>
      </c>
      <c r="I15" s="55">
        <v>52.8</v>
      </c>
      <c r="J15" s="55">
        <f t="shared" si="0"/>
        <v>105.6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202</v>
      </c>
      <c r="E16" s="27" t="s">
        <v>208</v>
      </c>
      <c r="F16" s="55"/>
      <c r="G16" s="55">
        <v>2</v>
      </c>
      <c r="H16" s="55">
        <v>4</v>
      </c>
      <c r="I16" s="55">
        <v>7.15</v>
      </c>
      <c r="J16" s="55">
        <f t="shared" si="0"/>
        <v>28.6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195</v>
      </c>
      <c r="D17" s="27" t="s">
        <v>200</v>
      </c>
      <c r="E17" s="27" t="s">
        <v>209</v>
      </c>
      <c r="F17" s="55"/>
      <c r="G17" s="55">
        <v>2</v>
      </c>
      <c r="H17" s="55">
        <v>1</v>
      </c>
      <c r="I17" s="55">
        <v>38.5</v>
      </c>
      <c r="J17" s="55">
        <f t="shared" si="0"/>
        <v>38.5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196</v>
      </c>
      <c r="D18" s="27" t="s">
        <v>199</v>
      </c>
      <c r="E18" s="27" t="s">
        <v>203</v>
      </c>
      <c r="F18" s="55"/>
      <c r="G18" s="55">
        <v>2</v>
      </c>
      <c r="H18" s="55">
        <v>1</v>
      </c>
      <c r="I18" s="55">
        <v>78.430000000000007</v>
      </c>
      <c r="J18" s="55">
        <f t="shared" si="0"/>
        <v>78.430000000000007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197</v>
      </c>
      <c r="D19" s="27" t="s">
        <v>201</v>
      </c>
      <c r="E19" s="115">
        <v>0.05</v>
      </c>
      <c r="F19" s="55"/>
      <c r="G19" s="55">
        <v>2</v>
      </c>
      <c r="H19" s="55">
        <v>1</v>
      </c>
      <c r="I19" s="55">
        <v>401.5</v>
      </c>
      <c r="J19" s="55">
        <f t="shared" si="0"/>
        <v>401.5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198</v>
      </c>
      <c r="D20" s="27" t="s">
        <v>202</v>
      </c>
      <c r="E20" s="27" t="s">
        <v>204</v>
      </c>
      <c r="F20" s="55"/>
      <c r="G20" s="55">
        <v>2</v>
      </c>
      <c r="H20" s="55">
        <v>15</v>
      </c>
      <c r="I20" s="55">
        <v>99</v>
      </c>
      <c r="J20" s="55">
        <f t="shared" si="0"/>
        <v>1485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194</v>
      </c>
      <c r="D21" s="27" t="s">
        <v>200</v>
      </c>
      <c r="E21" s="27" t="s">
        <v>210</v>
      </c>
      <c r="F21" s="55"/>
      <c r="G21" s="55">
        <v>2</v>
      </c>
      <c r="H21" s="55">
        <v>2</v>
      </c>
      <c r="I21" s="55">
        <v>259.60000000000002</v>
      </c>
      <c r="J21" s="55">
        <f t="shared" si="0"/>
        <v>519.20000000000005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topLeftCell="A16" workbookViewId="0">
      <selection activeCell="G16" sqref="G16:G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29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29</v>
      </c>
      <c r="E17" s="55">
        <v>6</v>
      </c>
      <c r="F17" s="55">
        <v>4.4000000000000004</v>
      </c>
      <c r="G17" s="55">
        <f t="shared" ref="G17:G27" si="0">E17*F17</f>
        <v>26.400000000000002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29</v>
      </c>
      <c r="E18" s="55">
        <v>2</v>
      </c>
      <c r="F18" s="55">
        <v>31.9</v>
      </c>
      <c r="G18" s="55">
        <f t="shared" si="0"/>
        <v>63.8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180</v>
      </c>
      <c r="D19" s="70" t="s">
        <v>29</v>
      </c>
      <c r="E19" s="55">
        <v>2</v>
      </c>
      <c r="F19" s="55">
        <v>60.5</v>
      </c>
      <c r="G19" s="55">
        <f t="shared" si="0"/>
        <v>121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181</v>
      </c>
      <c r="D20" s="70" t="s">
        <v>29</v>
      </c>
      <c r="E20" s="55">
        <v>6</v>
      </c>
      <c r="F20" s="55">
        <v>5.5</v>
      </c>
      <c r="G20" s="55">
        <f t="shared" si="0"/>
        <v>33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182</v>
      </c>
      <c r="D21" s="70" t="s">
        <v>29</v>
      </c>
      <c r="E21" s="55">
        <v>6</v>
      </c>
      <c r="F21" s="55">
        <v>6.6</v>
      </c>
      <c r="G21" s="55">
        <f t="shared" si="0"/>
        <v>39.599999999999994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183</v>
      </c>
      <c r="D22" s="70" t="s">
        <v>29</v>
      </c>
      <c r="E22" s="55">
        <v>3</v>
      </c>
      <c r="F22" s="55">
        <v>6.6</v>
      </c>
      <c r="G22" s="55">
        <f t="shared" si="0"/>
        <v>19.799999999999997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184</v>
      </c>
      <c r="D23" s="70" t="s">
        <v>29</v>
      </c>
      <c r="E23" s="55">
        <v>1</v>
      </c>
      <c r="F23" s="55">
        <v>34.1</v>
      </c>
      <c r="G23" s="55">
        <f t="shared" si="0"/>
        <v>34.1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185</v>
      </c>
      <c r="D24" s="70" t="s">
        <v>29</v>
      </c>
      <c r="E24" s="55">
        <v>20</v>
      </c>
      <c r="F24" s="55">
        <v>2.5299999999999998</v>
      </c>
      <c r="G24" s="55">
        <f t="shared" si="0"/>
        <v>50.599999999999994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186</v>
      </c>
      <c r="D25" s="70" t="s">
        <v>29</v>
      </c>
      <c r="E25" s="55">
        <v>8</v>
      </c>
      <c r="F25" s="55">
        <v>3.1</v>
      </c>
      <c r="G25" s="55">
        <f t="shared" si="0"/>
        <v>24.8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187</v>
      </c>
      <c r="D26" s="70" t="s">
        <v>29</v>
      </c>
      <c r="E26" s="55">
        <v>1</v>
      </c>
      <c r="F26" s="55">
        <v>198</v>
      </c>
      <c r="G26" s="55">
        <f t="shared" si="0"/>
        <v>198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188</v>
      </c>
      <c r="D27" s="70" t="s">
        <v>29</v>
      </c>
      <c r="E27" s="55">
        <v>1</v>
      </c>
      <c r="F27" s="55">
        <v>60.5</v>
      </c>
      <c r="G27" s="55">
        <f t="shared" si="0"/>
        <v>60.5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37" t="s">
        <v>78</v>
      </c>
      <c r="C28" s="138"/>
      <c r="D28" s="138"/>
      <c r="E28" s="138"/>
      <c r="F28" s="138"/>
      <c r="G28" s="139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37" t="s">
        <v>30</v>
      </c>
      <c r="C39" s="138"/>
      <c r="D39" s="138"/>
      <c r="E39" s="138"/>
      <c r="F39" s="138"/>
      <c r="G39" s="139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algorithmName="SHA-512" hashValue="cZLijKr5GCXGiHaA5godjlZHDix79F2YN0j/sPomdh+mlL9Sj45u/NulckVK/2qo/1jd/qsl85iBCxjsXiTF4A==" saltValue="TJwXB/QP/m9/nLiWIwN3iA==" spinCount="100000" sheet="1" objects="1" scenarios="1" formatColumns="0" formatRows="0" sort="0" autoFilter="0"/>
  <mergeCells count="9">
    <mergeCell ref="B7:G7"/>
    <mergeCell ref="B28:G28"/>
    <mergeCell ref="B39:G3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K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2018-06-08T05:36:21Z</dcterms:modified>
</cp:coreProperties>
</file>