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iuf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36" i="9"/>
  <c r="G37" i="9"/>
  <c r="G28" i="9"/>
  <c r="G16" i="9"/>
  <c r="J12" i="2"/>
  <c r="J13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<sst xmlns="http://schemas.openxmlformats.org/spreadsheetml/2006/main" count="495" uniqueCount="198">
  <si>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</si>
  <si>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</si>
  <si>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</si>
  <si>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</si>
  <si>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</si>
  <si>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</si>
  <si>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</si>
  <si>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</si>
  <si>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</si>
  <si>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</si>
  <si>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</si>
  <si>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</si>
  <si>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</si>
  <si>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</si>
  <si>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</si>
  <si>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</si>
  <si>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</si>
  <si>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</si>
  <si>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</si>
  <si>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</si>
  <si>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</si>
  <si>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</si>
  <si>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</si>
  <si>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</si>
  <si>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</si>
  <si>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</si>
  <si>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</si>
  <si>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</si>
  <si>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</si>
  <si>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</si>
  <si>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</si>
  <si>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</si>
  <si>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</si>
  <si>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</si>
  <si>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</si>
  <si>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</si>
  <si>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</si>
  <si>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</si>
  <si>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</si>
  <si>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</si>
  <si>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</si>
  <si>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</si>
  <si>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</si>
  <si>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</si>
  <si>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</si>
  <si>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</si>
  <si>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</si>
  <si>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</si>
  <si>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</si>
  <si>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</si>
  <si>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</si>
  <si>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</si>
  <si>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</si>
  <si>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</si>
  <si>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</si>
  <si>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</si>
  <si>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</si>
  <si>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</si>
  <si>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</si>
  <si>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</si>
  <si>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</si>
  <si>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</si>
  <si>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</si>
  <si>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</si>
  <si>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</si>
  <si>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</si>
  <si>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</si>
  <si>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</si>
  <si>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</si>
  <si>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</si>
  <si>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</si>
  <si>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</si>
  <si>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</si>
  <si>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</si>
  <si>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</si>
  <si>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</si>
  <si>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</si>
  <si>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</si>
  <si>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</si>
  <si>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</si>
  <si>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</si>
  <si>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</si>
  <si>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</si>
  <si>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</si>
  <si>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</si>
  <si>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</si>
  <si>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</si>
  <si>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</si>
  <si>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</si>
  <si>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</si>
  <si>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</si>
  <si>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</si>
  <si>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</si>
  <si>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</si>
  <si>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</si>
  <si>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</si>
  <si>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</si>
  <si>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</si>
  <si>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</si>
  <si>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</si>
  <si>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</si>
  <si>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</si>
  <si>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</si>
  <si>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</si>
  <si>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</si>
  <si>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</si>
  <si>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</si>
  <si>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</si>
  <si>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</si>
  <si>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</si>
  <si>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</si>
  <si>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</si>
  <si>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</si>
  <si>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</si>
  <si>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</si>
  <si>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</si>
  <si>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</si>
  <si>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</si>
  <si>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</si>
  <si>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</si>
  <si>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</si>
  <si>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</si>
  <si>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</si>
  <si>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</si>
  <si>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</si>
  <si>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</si>
  <si>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</si>
  <si>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</si>
  <si>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</si>
  <si>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</si>
  <si>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</si>
  <si>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</si>
  <si>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</si>
  <si>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</si>
  <si>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</si>
  <si>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</si>
  <si>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</si>
  <si>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</si>
  <si>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</si>
  <si>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</si>
  <si>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</si>
  <si>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</si>
  <si>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</si>
  <si>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</si>
  <si>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</si>
  <si>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</si>
  <si>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</si>
  <si>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</si>
  <si>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</si>
  <si>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</si>
  <si>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</si>
  <si>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</si>
  <si>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</si>
  <si>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</si>
  <si>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</si>
  <si>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</si>
  <si>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</si>
  <si>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</si>
  <si>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</si>
  <si>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</si>
  <si>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</si>
  <si>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</si>
  <si>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</si>
  <si>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</si>
  <si>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</si>
  <si>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</si>
  <si>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O36.4</t>
  </si>
  <si>
    <t>OB Package 3(CBC, Typing, HBsAg, RPR)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</si>
  <si>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</si>
  <si>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</si>
  <si>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</si>
  <si>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</si>
  <si>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</si>
  <si>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</si>
  <si>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Ferrous Fumarate</t>
  </si>
  <si>
    <t>Mefenamic Acid</t>
  </si>
  <si>
    <t>Oxytocin</t>
  </si>
  <si>
    <t>D5LRS</t>
  </si>
  <si>
    <t>Cefalexine</t>
  </si>
  <si>
    <t>capsule</t>
  </si>
  <si>
    <t>ampul</t>
  </si>
  <si>
    <t>bottle</t>
  </si>
  <si>
    <t>200mg</t>
  </si>
  <si>
    <t>500mg</t>
  </si>
  <si>
    <t>10IU</t>
  </si>
  <si>
    <t>1000ml</t>
  </si>
  <si>
    <t>ID Bracelet</t>
  </si>
  <si>
    <t>Disposable Mask</t>
  </si>
  <si>
    <t>Surgical Blade S.20</t>
  </si>
  <si>
    <t>Clean Gloves</t>
  </si>
  <si>
    <t>3cc</t>
  </si>
  <si>
    <t>Head Cap</t>
  </si>
  <si>
    <t>Surgical Gauze</t>
  </si>
  <si>
    <t>S. Gloves S. 6 1/2</t>
  </si>
  <si>
    <t>Macroset</t>
  </si>
  <si>
    <t>IV Cath G.18</t>
  </si>
  <si>
    <t>Cord Clamp</t>
  </si>
  <si>
    <t>IUFD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</si>
</sst>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457.82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364.86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170</v>
      </c>
      <c r="D62" s="55">
        <v>700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>
        <v>10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2040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3772.6800000000003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IUFD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179</v>
      </c>
      <c r="E11" s="27" t="s">
        <v>182</v>
      </c>
      <c r="F11" s="55"/>
      <c r="G11" s="55">
        <v>1</v>
      </c>
      <c r="H11" s="55">
        <v>7</v>
      </c>
      <c r="I11" s="55">
        <v>2.42</v>
      </c>
      <c r="J11" s="55">
        <f>H11*I11</f>
        <v>16.939999999999998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179</v>
      </c>
      <c r="E12" s="27" t="s">
        <v>183</v>
      </c>
      <c r="F12" s="55"/>
      <c r="G12" s="55">
        <v>1</v>
      </c>
      <c r="H12" s="55">
        <v>9</v>
      </c>
      <c r="I12" s="55">
        <v>3.52</v>
      </c>
      <c r="J12" s="55">
        <f t="shared" ref="J12:J15" si="0">H12*I12</f>
        <v>31.68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180</v>
      </c>
      <c r="E13" s="27" t="s">
        <v>184</v>
      </c>
      <c r="F13" s="55"/>
      <c r="G13" s="55">
        <v>1</v>
      </c>
      <c r="H13" s="55">
        <v>3</v>
      </c>
      <c r="I13" s="55">
        <v>38.39</v>
      </c>
      <c r="J13" s="55">
        <f t="shared" si="0"/>
        <v>115.17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181</v>
      </c>
      <c r="E14" s="27" t="s">
        <v>185</v>
      </c>
      <c r="F14" s="55"/>
      <c r="G14" s="55">
        <v>1</v>
      </c>
      <c r="H14" s="55">
        <v>1</v>
      </c>
      <c r="I14" s="55">
        <v>78.430000000000007</v>
      </c>
      <c r="J14" s="55">
        <f t="shared" si="0"/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179</v>
      </c>
      <c r="E15" s="27" t="s">
        <v>183</v>
      </c>
      <c r="F15" s="55"/>
      <c r="G15" s="55">
        <v>1</v>
      </c>
      <c r="H15" s="55">
        <v>28</v>
      </c>
      <c r="I15" s="55">
        <v>7.7</v>
      </c>
      <c r="J15" s="55">
        <f t="shared" si="0"/>
        <v>215.6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G42" sqref="G42:G4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IUFD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29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187</v>
      </c>
      <c r="D28" s="70" t="s">
        <v>29</v>
      </c>
      <c r="E28" s="55">
        <v>5</v>
      </c>
      <c r="F28" s="55">
        <v>4.4000000000000004</v>
      </c>
      <c r="G28" s="55">
        <f>E28*F28</f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188</v>
      </c>
      <c r="D29" s="70" t="s">
        <v>29</v>
      </c>
      <c r="E29" s="55">
        <v>1</v>
      </c>
      <c r="F29" s="55">
        <v>7.7</v>
      </c>
      <c r="G29" s="55">
        <f t="shared" ref="G29:G37" si="0">E29*F29</f>
        <v>7.7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189</v>
      </c>
      <c r="D30" s="70" t="s">
        <v>29</v>
      </c>
      <c r="E30" s="55">
        <v>10</v>
      </c>
      <c r="F30" s="55">
        <v>3.1</v>
      </c>
      <c r="G30" s="55">
        <f t="shared" si="0"/>
        <v>31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190</v>
      </c>
      <c r="D31" s="70" t="s">
        <v>29</v>
      </c>
      <c r="E31" s="55">
        <v>2</v>
      </c>
      <c r="F31" s="55">
        <v>5.5</v>
      </c>
      <c r="G31" s="55">
        <f t="shared" si="0"/>
        <v>11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191</v>
      </c>
      <c r="D32" s="70" t="s">
        <v>29</v>
      </c>
      <c r="E32" s="55">
        <v>2</v>
      </c>
      <c r="F32" s="55">
        <v>5.28</v>
      </c>
      <c r="G32" s="55">
        <f t="shared" si="0"/>
        <v>10.56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192</v>
      </c>
      <c r="D33" s="70" t="s">
        <v>29</v>
      </c>
      <c r="E33" s="55">
        <v>30</v>
      </c>
      <c r="F33" s="55">
        <v>2.5299999999999998</v>
      </c>
      <c r="G33" s="55">
        <f t="shared" si="0"/>
        <v>75.899999999999991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193</v>
      </c>
      <c r="D34" s="70" t="s">
        <v>29</v>
      </c>
      <c r="E34" s="55">
        <v>4</v>
      </c>
      <c r="F34" s="55">
        <v>24.2</v>
      </c>
      <c r="G34" s="55">
        <f t="shared" si="0"/>
        <v>96.8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194</v>
      </c>
      <c r="D35" s="70" t="s">
        <v>29</v>
      </c>
      <c r="E35" s="55">
        <v>1</v>
      </c>
      <c r="F35" s="55">
        <v>31.9</v>
      </c>
      <c r="G35" s="55">
        <f t="shared" si="0"/>
        <v>31.9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195</v>
      </c>
      <c r="D36" s="70" t="s">
        <v>29</v>
      </c>
      <c r="E36" s="55">
        <v>1</v>
      </c>
      <c r="F36" s="55">
        <v>60.5</v>
      </c>
      <c r="G36" s="55">
        <f t="shared" si="0"/>
        <v>60.5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196</v>
      </c>
      <c r="D37" s="70" t="s">
        <v>29</v>
      </c>
      <c r="E37" s="55">
        <v>2</v>
      </c>
      <c r="F37" s="55">
        <v>5.61</v>
      </c>
      <c r="G37" s="55">
        <f t="shared" si="0"/>
        <v>11.22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IUFD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2018-06-08T05:49:36Z</dcterms:modified>
</cp:coreProperties>
</file>