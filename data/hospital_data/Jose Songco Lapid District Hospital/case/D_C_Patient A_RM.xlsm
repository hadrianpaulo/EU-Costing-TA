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D&amp;C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36" i="9"/>
  <c r="G28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<sst xmlns="http://schemas.openxmlformats.org/spreadsheetml/2006/main" count="532" uniqueCount="222">
  <si>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</si>
  <si>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</si>
  <si>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</si>
  <si>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</si>
  <si>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</si>
  <si>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</si>
  <si>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</si>
  <si>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</si>
  <si>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</si>
  <si>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</si>
  <si>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</si>
  <si>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</si>
  <si>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</si>
  <si>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</si>
  <si>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</si>
  <si>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</si>
  <si>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</si>
  <si>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</si>
  <si>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</si>
  <si>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</si>
  <si>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</si>
  <si>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</si>
  <si>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</si>
  <si>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</si>
  <si>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</si>
  <si>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</si>
  <si>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</si>
  <si>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</si>
  <si>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</si>
  <si>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</si>
  <si>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</si>
  <si>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</si>
  <si>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</si>
  <si>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</si>
  <si>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</si>
  <si>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</si>
  <si>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</si>
  <si>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</si>
  <si>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</si>
  <si>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</si>
  <si>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</si>
  <si>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</si>
  <si>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</si>
  <si>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</si>
  <si>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</si>
  <si>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</si>
  <si>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</si>
  <si>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</si>
  <si>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</si>
  <si>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</si>
  <si>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</si>
  <si>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</si>
  <si>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</si>
  <si>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</si>
  <si>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</si>
  <si>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</si>
  <si>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</si>
  <si>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</si>
  <si>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</si>
  <si>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</si>
  <si>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</si>
  <si>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</si>
  <si>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</si>
  <si>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</si>
  <si>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</si>
  <si>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</si>
  <si>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</si>
  <si>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</si>
  <si>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</si>
  <si>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</si>
  <si>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</si>
  <si>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</si>
  <si>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</si>
  <si>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</si>
  <si>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</si>
  <si>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</si>
  <si>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</si>
  <si>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</si>
  <si>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</si>
  <si>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</si>
  <si>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</si>
  <si>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</si>
  <si>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</si>
  <si>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</si>
  <si>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</si>
  <si>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</si>
  <si>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</si>
  <si>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</si>
  <si>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</si>
  <si>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</si>
  <si>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</si>
  <si>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</si>
  <si>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</si>
  <si>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</si>
  <si>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</si>
  <si>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</si>
  <si>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</si>
  <si>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</si>
  <si>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</si>
  <si>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</si>
  <si>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</si>
  <si>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</si>
  <si>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</si>
  <si>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</si>
  <si>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</si>
  <si>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</si>
  <si>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</si>
  <si>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</si>
  <si>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</si>
  <si>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</si>
  <si>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</si>
  <si>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</si>
  <si>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</si>
  <si>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</si>
  <si>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</si>
  <si>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</si>
  <si>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</si>
  <si>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</si>
  <si>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</si>
  <si>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</si>
  <si>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</si>
  <si>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</si>
  <si>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</si>
  <si>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</si>
  <si>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</si>
  <si>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</si>
  <si>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</si>
  <si>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</si>
  <si>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</si>
  <si>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</si>
  <si>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</si>
  <si>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</si>
  <si>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</si>
  <si>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</si>
  <si>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</si>
  <si>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</si>
  <si>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</si>
  <si>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</si>
  <si>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</si>
  <si>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</si>
  <si>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</si>
  <si>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</si>
  <si>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</si>
  <si>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</si>
  <si>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</si>
  <si>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</si>
  <si>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</si>
  <si>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</si>
  <si>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</si>
  <si>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</si>
  <si>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</si>
  <si>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</si>
  <si>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</si>
  <si>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</si>
  <si>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</si>
  <si>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</si>
  <si>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</si>
  <si>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</si>
  <si>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</si>
  <si>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</si>
  <si>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</si>
  <si>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</si>
  <si>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</si>
  <si>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</si>
  <si>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</si>
  <si>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</si>
  <si>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</si>
  <si>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D&amp;C</t>
  </si>
  <si>
    <t>OB Package 3(CBC, Typing, HBsAg, RPR)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</si>
  <si>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</si>
  <si>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</si>
  <si>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</si>
  <si>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</si>
  <si>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</si>
  <si>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</si>
  <si>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</si>
  <si>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Omeprazole</t>
  </si>
  <si>
    <t>Propofol</t>
  </si>
  <si>
    <t>Nalbuphine HCI</t>
  </si>
  <si>
    <t>Esomeprazole</t>
  </si>
  <si>
    <t>Methylergometrine</t>
  </si>
  <si>
    <t>Mefenamic Acid</t>
  </si>
  <si>
    <t>Hyoscine N Butyl Bromide</t>
  </si>
  <si>
    <t>Metoclopramide</t>
  </si>
  <si>
    <t>Oxytocin</t>
  </si>
  <si>
    <t>Ranitidine Hydrochloride</t>
  </si>
  <si>
    <t>Tramadol Hydrochloride</t>
  </si>
  <si>
    <t>D5LRS</t>
  </si>
  <si>
    <t>0.9% Sodium Chloride</t>
  </si>
  <si>
    <t>Sodium Alginate+Sodium Bicarbonate+Calcium Carbonate</t>
  </si>
  <si>
    <t>Ketamine HCI</t>
  </si>
  <si>
    <t>Midazolam</t>
  </si>
  <si>
    <t>Cefalexine</t>
  </si>
  <si>
    <t>vial</t>
  </si>
  <si>
    <t>ampul</t>
  </si>
  <si>
    <t>tablet</t>
  </si>
  <si>
    <t>capsule</t>
  </si>
  <si>
    <t>bottle</t>
  </si>
  <si>
    <t>sachet</t>
  </si>
  <si>
    <t>40mg</t>
  </si>
  <si>
    <t>10mg/ml</t>
  </si>
  <si>
    <t>125mcg</t>
  </si>
  <si>
    <t>500mg</t>
  </si>
  <si>
    <t>20mg/ml</t>
  </si>
  <si>
    <t>5mg/2ml</t>
  </si>
  <si>
    <t>10IU</t>
  </si>
  <si>
    <t>25mg/ml</t>
  </si>
  <si>
    <t>50mg/ml</t>
  </si>
  <si>
    <t>1000ml</t>
  </si>
  <si>
    <t>500mg/10ml</t>
  </si>
  <si>
    <t>1cc</t>
  </si>
  <si>
    <t>1mg/ml</t>
  </si>
  <si>
    <t>ID Bracelet</t>
  </si>
  <si>
    <t>Disposable Mask</t>
  </si>
  <si>
    <t>3cc</t>
  </si>
  <si>
    <t>1cc/tbs</t>
  </si>
  <si>
    <t>Clean Gloves</t>
  </si>
  <si>
    <t>Micropore</t>
  </si>
  <si>
    <t>Surgical Gauze</t>
  </si>
  <si>
    <t>Macroset</t>
  </si>
  <si>
    <t>IV Cath G.20</t>
  </si>
  <si>
    <t>IV Cath G.18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</si>
</sst>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4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58120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3606.46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443.28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171</v>
      </c>
      <c r="D62" s="55">
        <v>700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>
        <v>1200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30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174</v>
      </c>
      <c r="D65" s="55">
        <v>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175</v>
      </c>
      <c r="D66" s="55">
        <v>4400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10979.74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A8" workbookViewId="0">
      <selection activeCell="J11" sqref="J11:J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D&amp;C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193</v>
      </c>
      <c r="E11" s="27" t="s">
        <v>199</v>
      </c>
      <c r="F11" s="55"/>
      <c r="G11" s="55">
        <v>3</v>
      </c>
      <c r="H11" s="55">
        <v>1</v>
      </c>
      <c r="I11" s="55">
        <v>280.5</v>
      </c>
      <c r="J11" s="55">
        <f>H11*I11</f>
        <v>280.5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193</v>
      </c>
      <c r="E12" s="27" t="s">
        <v>200</v>
      </c>
      <c r="F12" s="55"/>
      <c r="G12" s="55">
        <v>3</v>
      </c>
      <c r="H12" s="55">
        <v>1</v>
      </c>
      <c r="I12" s="55">
        <v>734.8</v>
      </c>
      <c r="J12" s="55">
        <f t="shared" ref="J12:J28" si="0">H12*I12</f>
        <v>734.8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194</v>
      </c>
      <c r="E13" s="27" t="s">
        <v>200</v>
      </c>
      <c r="F13" s="55"/>
      <c r="G13" s="55">
        <v>3</v>
      </c>
      <c r="H13" s="55">
        <v>1</v>
      </c>
      <c r="I13" s="55">
        <v>121</v>
      </c>
      <c r="J13" s="55">
        <f t="shared" si="0"/>
        <v>121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193</v>
      </c>
      <c r="E14" s="27" t="s">
        <v>199</v>
      </c>
      <c r="F14" s="55"/>
      <c r="G14" s="55">
        <v>3</v>
      </c>
      <c r="H14" s="55">
        <v>1</v>
      </c>
      <c r="I14" s="55">
        <v>856.9</v>
      </c>
      <c r="J14" s="55">
        <f t="shared" si="0"/>
        <v>856.9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195</v>
      </c>
      <c r="E15" s="27" t="s">
        <v>201</v>
      </c>
      <c r="F15" s="55"/>
      <c r="G15" s="55">
        <v>3</v>
      </c>
      <c r="H15" s="55">
        <v>15</v>
      </c>
      <c r="I15" s="55">
        <v>4.18</v>
      </c>
      <c r="J15" s="55">
        <f t="shared" si="0"/>
        <v>62.699999999999996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196</v>
      </c>
      <c r="E16" s="27" t="s">
        <v>202</v>
      </c>
      <c r="F16" s="55"/>
      <c r="G16" s="55">
        <v>3</v>
      </c>
      <c r="H16" s="55">
        <v>6</v>
      </c>
      <c r="I16" s="55">
        <v>3.52</v>
      </c>
      <c r="J16" s="55">
        <f t="shared" si="0"/>
        <v>21.12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194</v>
      </c>
      <c r="E17" s="27" t="s">
        <v>203</v>
      </c>
      <c r="F17" s="55"/>
      <c r="G17" s="55">
        <v>3</v>
      </c>
      <c r="H17" s="55">
        <v>1</v>
      </c>
      <c r="I17" s="55">
        <v>52.8</v>
      </c>
      <c r="J17" s="55">
        <f t="shared" si="0"/>
        <v>52.8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183</v>
      </c>
      <c r="D18" s="27" t="s">
        <v>194</v>
      </c>
      <c r="E18" s="27" t="s">
        <v>204</v>
      </c>
      <c r="F18" s="55"/>
      <c r="G18" s="55">
        <v>3</v>
      </c>
      <c r="H18" s="55">
        <v>3</v>
      </c>
      <c r="I18" s="55">
        <v>18.7</v>
      </c>
      <c r="J18" s="55">
        <f t="shared" si="0"/>
        <v>56.099999999999994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184</v>
      </c>
      <c r="D19" s="27" t="s">
        <v>194</v>
      </c>
      <c r="E19" s="27" t="s">
        <v>205</v>
      </c>
      <c r="F19" s="55"/>
      <c r="G19" s="55">
        <v>3</v>
      </c>
      <c r="H19" s="55">
        <v>1</v>
      </c>
      <c r="I19" s="55">
        <v>38.39</v>
      </c>
      <c r="J19" s="55">
        <f t="shared" si="0"/>
        <v>38.39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185</v>
      </c>
      <c r="D20" s="27" t="s">
        <v>194</v>
      </c>
      <c r="E20" s="27" t="s">
        <v>206</v>
      </c>
      <c r="F20" s="55"/>
      <c r="G20" s="55">
        <v>3</v>
      </c>
      <c r="H20" s="55">
        <v>1</v>
      </c>
      <c r="I20" s="55">
        <v>31.9</v>
      </c>
      <c r="J20" s="55">
        <f t="shared" si="0"/>
        <v>31.9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186</v>
      </c>
      <c r="D21" s="27" t="s">
        <v>194</v>
      </c>
      <c r="E21" s="27" t="s">
        <v>207</v>
      </c>
      <c r="F21" s="55"/>
      <c r="G21" s="55">
        <v>3</v>
      </c>
      <c r="H21" s="55">
        <v>2</v>
      </c>
      <c r="I21" s="55">
        <v>61.6</v>
      </c>
      <c r="J21" s="55">
        <f t="shared" si="0"/>
        <v>123.2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176</v>
      </c>
      <c r="D22" s="27" t="s">
        <v>196</v>
      </c>
      <c r="E22" s="27" t="s">
        <v>199</v>
      </c>
      <c r="F22" s="55"/>
      <c r="G22" s="55">
        <v>3</v>
      </c>
      <c r="H22" s="55">
        <v>7</v>
      </c>
      <c r="I22" s="55">
        <v>16.5</v>
      </c>
      <c r="J22" s="55">
        <f t="shared" si="0"/>
        <v>115.5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187</v>
      </c>
      <c r="D23" s="27" t="s">
        <v>197</v>
      </c>
      <c r="E23" s="27" t="s">
        <v>208</v>
      </c>
      <c r="F23" s="55"/>
      <c r="G23" s="55">
        <v>3</v>
      </c>
      <c r="H23" s="55">
        <v>3</v>
      </c>
      <c r="I23" s="55">
        <v>78.430000000000007</v>
      </c>
      <c r="J23" s="55">
        <f t="shared" si="0"/>
        <v>235.29000000000002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188</v>
      </c>
      <c r="D24" s="27" t="s">
        <v>197</v>
      </c>
      <c r="E24" s="27" t="s">
        <v>208</v>
      </c>
      <c r="F24" s="55"/>
      <c r="G24" s="55">
        <v>3</v>
      </c>
      <c r="H24" s="55">
        <v>2</v>
      </c>
      <c r="I24" s="55">
        <v>78.430000000000007</v>
      </c>
      <c r="J24" s="55">
        <f t="shared" si="0"/>
        <v>156.86000000000001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189</v>
      </c>
      <c r="D25" s="27" t="s">
        <v>198</v>
      </c>
      <c r="E25" s="27" t="s">
        <v>209</v>
      </c>
      <c r="F25" s="55"/>
      <c r="G25" s="55">
        <v>3</v>
      </c>
      <c r="H25" s="55">
        <v>5</v>
      </c>
      <c r="I25" s="55">
        <v>33</v>
      </c>
      <c r="J25" s="55">
        <f t="shared" si="0"/>
        <v>165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190</v>
      </c>
      <c r="D26" s="27" t="s">
        <v>193</v>
      </c>
      <c r="E26" s="27" t="s">
        <v>210</v>
      </c>
      <c r="F26" s="55"/>
      <c r="G26" s="55">
        <v>3</v>
      </c>
      <c r="H26" s="55">
        <v>1</v>
      </c>
      <c r="I26" s="55">
        <v>132</v>
      </c>
      <c r="J26" s="55">
        <f t="shared" si="0"/>
        <v>132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191</v>
      </c>
      <c r="D27" s="27" t="s">
        <v>194</v>
      </c>
      <c r="E27" s="27" t="s">
        <v>211</v>
      </c>
      <c r="F27" s="55"/>
      <c r="G27" s="55">
        <v>3</v>
      </c>
      <c r="H27" s="55">
        <v>1</v>
      </c>
      <c r="I27" s="55">
        <v>206.8</v>
      </c>
      <c r="J27" s="55">
        <f t="shared" si="0"/>
        <v>206.8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192</v>
      </c>
      <c r="D28" s="27" t="s">
        <v>196</v>
      </c>
      <c r="E28" s="27" t="s">
        <v>202</v>
      </c>
      <c r="F28" s="55"/>
      <c r="G28" s="55">
        <v>3</v>
      </c>
      <c r="H28" s="55">
        <v>28</v>
      </c>
      <c r="I28" s="55">
        <v>7.7</v>
      </c>
      <c r="J28" s="55">
        <f t="shared" si="0"/>
        <v>215.6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PIaDQNUALmGjsI7O12XyaYap8PLcq5nZFI017l4HoHbO4+wFYsaoaxBe/HTTwn06VI6kS3igJgBXV4U/uf9JnA==" saltValue="SkkNHaMhi69B15BbIFgCD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G16" activeCellId="1" sqref="G28:G36 G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D&amp;C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212</v>
      </c>
      <c r="D16" s="70" t="s">
        <v>30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213</v>
      </c>
      <c r="D28" s="70" t="s">
        <v>30</v>
      </c>
      <c r="E28" s="55">
        <v>4</v>
      </c>
      <c r="F28" s="55">
        <v>4.4000000000000004</v>
      </c>
      <c r="G28" s="55">
        <f>E28*F28</f>
        <v>17.600000000000001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214</v>
      </c>
      <c r="D29" s="70" t="s">
        <v>30</v>
      </c>
      <c r="E29" s="55">
        <v>3</v>
      </c>
      <c r="F29" s="55">
        <v>5.5</v>
      </c>
      <c r="G29" s="55">
        <f t="shared" ref="G29:G36" si="0">E29*F29</f>
        <v>16.5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215</v>
      </c>
      <c r="D30" s="70" t="s">
        <v>30</v>
      </c>
      <c r="E30" s="55">
        <v>1</v>
      </c>
      <c r="F30" s="55">
        <v>6.6</v>
      </c>
      <c r="G30" s="55">
        <f t="shared" si="0"/>
        <v>6.6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216</v>
      </c>
      <c r="D31" s="70" t="s">
        <v>30</v>
      </c>
      <c r="E31" s="55">
        <v>4</v>
      </c>
      <c r="F31" s="55">
        <v>3.1</v>
      </c>
      <c r="G31" s="55">
        <f t="shared" si="0"/>
        <v>12.4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217</v>
      </c>
      <c r="D32" s="70" t="s">
        <v>29</v>
      </c>
      <c r="E32" s="55">
        <v>1</v>
      </c>
      <c r="F32" s="55">
        <v>59.4</v>
      </c>
      <c r="G32" s="55">
        <f t="shared" si="0"/>
        <v>59.4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218</v>
      </c>
      <c r="D33" s="70" t="s">
        <v>30</v>
      </c>
      <c r="E33" s="55">
        <v>20</v>
      </c>
      <c r="F33" s="55">
        <v>2.5299999999999998</v>
      </c>
      <c r="G33" s="55">
        <f t="shared" si="0"/>
        <v>50.599999999999994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219</v>
      </c>
      <c r="D34" s="70" t="s">
        <v>30</v>
      </c>
      <c r="E34" s="55">
        <v>1</v>
      </c>
      <c r="F34" s="55">
        <v>31.9</v>
      </c>
      <c r="G34" s="55">
        <f t="shared" si="0"/>
        <v>31.9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220</v>
      </c>
      <c r="D35" s="70" t="s">
        <v>30</v>
      </c>
      <c r="E35" s="55">
        <v>1</v>
      </c>
      <c r="F35" s="55">
        <v>60.5</v>
      </c>
      <c r="G35" s="55">
        <f t="shared" si="0"/>
        <v>60.5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221</v>
      </c>
      <c r="D36" s="70" t="s">
        <v>30</v>
      </c>
      <c r="E36" s="55">
        <v>3</v>
      </c>
      <c r="F36" s="55">
        <v>60.5</v>
      </c>
      <c r="G36" s="55">
        <f t="shared" si="0"/>
        <v>181.5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31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D13" sqref="D13: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D&amp;C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2018-06-08T05:47:43Z</dcterms:modified>
</cp:coreProperties>
</file>