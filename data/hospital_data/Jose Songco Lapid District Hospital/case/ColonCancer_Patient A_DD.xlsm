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olon Cance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F17" i="9" l="1"/>
  <c r="F18" i="9"/>
  <c r="G19" i="9"/>
  <c r="G20" i="9"/>
  <c r="G21" i="9"/>
  <c r="G22" i="9"/>
  <c r="G23" i="9"/>
  <c r="G24" i="9"/>
  <c r="G25" i="9"/>
  <c r="I18" i="2"/>
  <c r="I17" i="2"/>
  <c r="J19" i="2"/>
  <c r="J18" i="2"/>
  <c r="G33" i="9"/>
  <c r="G34" i="9"/>
  <c r="G35" i="9"/>
  <c r="G36" i="9"/>
  <c r="G37" i="9"/>
  <c r="G18" i="9"/>
  <c r="J14" i="2"/>
  <c r="J15" i="2"/>
  <c r="J16" i="2"/>
  <c r="J17" i="2"/>
  <c r="G17" i="9" l="1"/>
  <c r="G29" i="9"/>
  <c r="G30" i="9"/>
  <c r="G31" i="9"/>
  <c r="G32" i="9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<sst xmlns="http://schemas.openxmlformats.org/spreadsheetml/2006/main" count="507" uniqueCount="212">
  <si>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</si>
  <si>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</si>
  <si>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</si>
  <si>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</si>
  <si>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</si>
  <si>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</si>
  <si>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</si>
  <si>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</si>
  <si>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</si>
  <si>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</si>
  <si>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</si>
  <si>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</si>
  <si>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</si>
  <si>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</si>
  <si>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</si>
  <si>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</si>
  <si>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</si>
  <si>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</si>
  <si>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</si>
  <si>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</si>
  <si>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</si>
  <si>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</si>
  <si>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</si>
  <si>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</si>
  <si>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</si>
  <si>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</si>
  <si>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</si>
  <si>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</si>
  <si>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</si>
  <si>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</si>
  <si>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</si>
  <si>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</si>
  <si>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</si>
  <si>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</si>
  <si>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</si>
  <si>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</si>
  <si>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</si>
  <si>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</si>
  <si>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</si>
  <si>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</si>
  <si>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</si>
  <si>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</si>
  <si>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</si>
  <si>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</si>
  <si>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</si>
  <si>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</si>
  <si>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</si>
  <si>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</si>
  <si>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</si>
  <si>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</si>
  <si>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</si>
  <si>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</si>
  <si>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</si>
  <si>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</si>
  <si>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</si>
  <si>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</si>
  <si>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</si>
  <si>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</si>
  <si>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</si>
  <si>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</si>
  <si>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</si>
  <si>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</si>
  <si>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</si>
  <si>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</si>
  <si>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</si>
  <si>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</si>
  <si>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</si>
  <si>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</si>
  <si>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</si>
  <si>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</si>
  <si>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</si>
  <si>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</si>
  <si>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</si>
  <si>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</si>
  <si>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</si>
  <si>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</si>
  <si>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</si>
  <si>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</si>
  <si>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</si>
  <si>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</si>
  <si>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</si>
  <si>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</si>
  <si>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</si>
  <si>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</si>
  <si>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</si>
  <si>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</si>
  <si>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</si>
  <si>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</si>
  <si>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</si>
  <si>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</si>
  <si>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</si>
  <si>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</si>
  <si>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</si>
  <si>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</si>
  <si>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</si>
  <si>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</si>
  <si>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</si>
  <si>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</si>
  <si>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</si>
  <si>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</si>
  <si>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</si>
  <si>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</si>
  <si>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</si>
  <si>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</si>
  <si>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</si>
  <si>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</si>
  <si>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</si>
  <si>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</si>
  <si>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</si>
  <si>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</si>
  <si>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</si>
  <si>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</si>
  <si>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</si>
  <si>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</si>
  <si>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</si>
  <si>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</si>
  <si>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</si>
  <si>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</si>
  <si>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</si>
  <si>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</si>
  <si>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</si>
  <si>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</si>
  <si>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</si>
  <si>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</si>
  <si>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</si>
  <si>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</si>
  <si>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</si>
  <si>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</si>
  <si>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</si>
  <si>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</si>
  <si>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</si>
  <si>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</si>
  <si>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</si>
  <si>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</si>
  <si>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</si>
  <si>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</si>
  <si>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</si>
  <si>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</si>
  <si>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</si>
  <si>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</si>
  <si>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</si>
  <si>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</si>
  <si>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</si>
  <si>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</si>
  <si>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</si>
  <si>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</si>
  <si>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</si>
  <si>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</si>
  <si>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</si>
  <si>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</si>
  <si>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</si>
  <si>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</si>
  <si>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</si>
  <si>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</si>
  <si>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</si>
  <si>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</si>
  <si>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</si>
  <si>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</si>
  <si>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</si>
  <si>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</si>
  <si>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</si>
  <si>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</si>
  <si>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</si>
  <si>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</si>
  <si>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</si>
  <si>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</si>
  <si>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</si>
  <si>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</si>
  <si>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</si>
  <si>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Garbage Fee</t>
  </si>
  <si>
    <t>Professional Fee</t>
  </si>
  <si>
    <t>Room and Board</t>
  </si>
  <si>
    <t>D5LRS</t>
  </si>
  <si>
    <t>ampul</t>
  </si>
  <si>
    <t>ID Bracelet</t>
  </si>
  <si>
    <t>Disposable Mask</t>
  </si>
  <si>
    <t>3cc</t>
  </si>
  <si>
    <t>Micropore</t>
  </si>
  <si>
    <t>Macroset</t>
  </si>
  <si>
    <t>Laboratory Exam</t>
  </si>
  <si>
    <t>tablet</t>
  </si>
  <si>
    <t>5cc</t>
  </si>
  <si>
    <t>MALIGNANT NEOPLASM OF COLON</t>
  </si>
  <si>
    <t>C18.9</t>
  </si>
  <si>
    <t>HEMA PACKAGE 1 (CBC, PLATELET COUNT)</t>
  </si>
  <si>
    <t>Electrolytes</t>
  </si>
  <si>
    <t>Urinalysis</t>
  </si>
  <si>
    <t>Blood Typing+Rh Factor</t>
  </si>
  <si>
    <t>BUN</t>
  </si>
  <si>
    <t>Creatinine</t>
  </si>
  <si>
    <t>RBS</t>
  </si>
  <si>
    <t>Radiology</t>
  </si>
  <si>
    <t>Omeprazole</t>
  </si>
  <si>
    <t>Amino Acid</t>
  </si>
  <si>
    <t>Lactulose</t>
  </si>
  <si>
    <t>Hyoscine N Butyl Bromide</t>
  </si>
  <si>
    <t>Metoclopramide</t>
  </si>
  <si>
    <t>Potassium Chloride</t>
  </si>
  <si>
    <t>Buclizine HCI</t>
  </si>
  <si>
    <t xml:space="preserve">Omeprazole </t>
  </si>
  <si>
    <t>vial</t>
  </si>
  <si>
    <t>bottle</t>
  </si>
  <si>
    <t>capsule</t>
  </si>
  <si>
    <t>40mg</t>
  </si>
  <si>
    <t>33g/5ml</t>
  </si>
  <si>
    <t>20mg/ml</t>
  </si>
  <si>
    <t>5mg/2ml</t>
  </si>
  <si>
    <t>25mg/10mg/50mcg</t>
  </si>
  <si>
    <t>600mg</t>
  </si>
  <si>
    <t>1000ml</t>
  </si>
  <si>
    <t>10cc</t>
  </si>
  <si>
    <t>IV Cath G.22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</si>
</sst>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4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190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58</v>
      </c>
      <c r="C62" s="17" t="s">
        <v>54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2380.66</v>
      </c>
      <c r="E63" s="55">
        <v>595.16999999999996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192.46</v>
      </c>
      <c r="E64" s="55">
        <v>48.12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179</v>
      </c>
      <c r="D65" s="55">
        <v>1376</v>
      </c>
      <c r="E65" s="55">
        <v>344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191</v>
      </c>
      <c r="D66" s="55">
        <v>136</v>
      </c>
      <c r="E66" s="55">
        <v>34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169</v>
      </c>
      <c r="D67" s="55">
        <v>8</v>
      </c>
      <c r="E67" s="55">
        <v>2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171</v>
      </c>
      <c r="D68" s="55">
        <v>160</v>
      </c>
      <c r="E68" s="55">
        <v>40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170</v>
      </c>
      <c r="D69" s="55">
        <v>4260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8513.119999999999</v>
      </c>
      <c r="E74" s="59">
        <f>SUM(E63:E73)</f>
        <v>1063.29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Hdib4Kad7MUDlzb24vnU6C2IhDTvDrzIoJakBEe9aIm8SxpuqnLiioYSteeNG3j1qJe4dSHlDMgHSA21nie8fQ==" saltValue="2Pns/+AdDgsZr1MMuM0xeg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J11" sqref="J11: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MALIGNANT NEOPLASM OF COLON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200</v>
      </c>
      <c r="E11" s="27" t="s">
        <v>203</v>
      </c>
      <c r="F11" s="55"/>
      <c r="G11" s="55">
        <v>1</v>
      </c>
      <c r="H11" s="55">
        <v>3</v>
      </c>
      <c r="I11" s="55">
        <v>280.5</v>
      </c>
      <c r="J11" s="55">
        <f>H11*I11</f>
        <v>841.5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173</v>
      </c>
      <c r="E12" s="115">
        <v>0.05</v>
      </c>
      <c r="F12" s="55"/>
      <c r="G12" s="55">
        <v>1</v>
      </c>
      <c r="H12" s="55">
        <v>2</v>
      </c>
      <c r="I12" s="55">
        <v>401.5</v>
      </c>
      <c r="J12" s="55">
        <f t="shared" ref="J12:J14" si="0">H12*I12</f>
        <v>803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201</v>
      </c>
      <c r="E13" s="27" t="s">
        <v>204</v>
      </c>
      <c r="F13" s="55"/>
      <c r="G13" s="55">
        <v>1</v>
      </c>
      <c r="H13" s="55">
        <v>2</v>
      </c>
      <c r="I13" s="55">
        <v>247.5</v>
      </c>
      <c r="J13" s="55">
        <f t="shared" si="0"/>
        <v>495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173</v>
      </c>
      <c r="E14" s="27" t="s">
        <v>205</v>
      </c>
      <c r="F14" s="55"/>
      <c r="G14" s="55">
        <v>1</v>
      </c>
      <c r="H14" s="55">
        <v>1</v>
      </c>
      <c r="I14" s="55">
        <v>52.8</v>
      </c>
      <c r="J14" s="55">
        <f t="shared" si="0"/>
        <v>52.8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173</v>
      </c>
      <c r="E15" s="27" t="s">
        <v>206</v>
      </c>
      <c r="F15" s="55"/>
      <c r="G15" s="55">
        <v>1</v>
      </c>
      <c r="H15" s="55">
        <v>1</v>
      </c>
      <c r="I15" s="55">
        <v>18.7</v>
      </c>
      <c r="J15" s="55">
        <f t="shared" ref="J15:J19" si="1">H15*I15</f>
        <v>18.7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202</v>
      </c>
      <c r="E16" s="27" t="s">
        <v>207</v>
      </c>
      <c r="F16" s="55"/>
      <c r="G16" s="55">
        <v>1</v>
      </c>
      <c r="H16" s="55">
        <v>9</v>
      </c>
      <c r="I16" s="55">
        <v>17.600000000000001</v>
      </c>
      <c r="J16" s="55">
        <f t="shared" si="1"/>
        <v>158.4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180</v>
      </c>
      <c r="E17" s="27" t="s">
        <v>208</v>
      </c>
      <c r="F17" s="55"/>
      <c r="G17" s="55">
        <v>1</v>
      </c>
      <c r="H17" s="55">
        <v>30</v>
      </c>
      <c r="I17" s="55">
        <f>123.75/9</f>
        <v>13.75</v>
      </c>
      <c r="J17" s="55">
        <f t="shared" si="1"/>
        <v>412.5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199</v>
      </c>
      <c r="D18" s="27" t="s">
        <v>202</v>
      </c>
      <c r="E18" s="27" t="s">
        <v>203</v>
      </c>
      <c r="F18" s="55"/>
      <c r="G18" s="55">
        <v>1</v>
      </c>
      <c r="H18" s="55">
        <v>7</v>
      </c>
      <c r="I18" s="55">
        <f>115.5/7</f>
        <v>16.5</v>
      </c>
      <c r="J18" s="55">
        <f t="shared" si="1"/>
        <v>115.5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172</v>
      </c>
      <c r="D19" s="27" t="s">
        <v>201</v>
      </c>
      <c r="E19" s="27" t="s">
        <v>209</v>
      </c>
      <c r="F19" s="55"/>
      <c r="G19" s="55">
        <v>1</v>
      </c>
      <c r="H19" s="55">
        <v>1</v>
      </c>
      <c r="I19" s="55">
        <v>78.430000000000007</v>
      </c>
      <c r="J19" s="55">
        <f t="shared" si="1"/>
        <v>78.430000000000007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1" workbookViewId="0">
      <selection activeCell="B20" sqref="B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MALIGNANT NEOPLASM OF COLON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30</v>
      </c>
      <c r="E16" s="55">
        <v>5</v>
      </c>
      <c r="F16" s="55">
        <v>4.4000000000000004</v>
      </c>
      <c r="G16" s="55">
        <f>E16*F16</f>
        <v>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30</v>
      </c>
      <c r="E17" s="55">
        <v>6</v>
      </c>
      <c r="F17" s="55">
        <f>19.8/3</f>
        <v>6.6000000000000005</v>
      </c>
      <c r="G17" s="55">
        <f>E17*F17</f>
        <v>39.6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210</v>
      </c>
      <c r="D18" s="70" t="s">
        <v>30</v>
      </c>
      <c r="E18" s="55">
        <v>2</v>
      </c>
      <c r="F18" s="55">
        <f>15.4/2</f>
        <v>7.7</v>
      </c>
      <c r="G18" s="55">
        <f>E18*F18</f>
        <v>15.4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30</v>
      </c>
      <c r="E19" s="55">
        <v>1</v>
      </c>
      <c r="F19" s="55">
        <v>5.5</v>
      </c>
      <c r="G19" s="55">
        <f t="shared" ref="G19:G25" si="0">E19*F19</f>
        <v>5.5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29</v>
      </c>
      <c r="E20" s="55">
        <v>1</v>
      </c>
      <c r="F20" s="55">
        <v>59.4</v>
      </c>
      <c r="G20" s="55">
        <f t="shared" si="0"/>
        <v>59.4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178</v>
      </c>
      <c r="D21" s="70" t="s">
        <v>30</v>
      </c>
      <c r="E21" s="55">
        <v>1</v>
      </c>
      <c r="F21" s="55">
        <v>31.9</v>
      </c>
      <c r="G21" s="55">
        <f t="shared" si="0"/>
        <v>31.9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211</v>
      </c>
      <c r="D22" s="70" t="s">
        <v>30</v>
      </c>
      <c r="E22" s="55">
        <v>1</v>
      </c>
      <c r="F22" s="55">
        <v>60.5</v>
      </c>
      <c r="G22" s="55">
        <f t="shared" si="0"/>
        <v>60.5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174</v>
      </c>
      <c r="D23" s="70" t="s">
        <v>30</v>
      </c>
      <c r="E23" s="55">
        <v>1</v>
      </c>
      <c r="F23" s="55">
        <v>6.28</v>
      </c>
      <c r="G23" s="55">
        <f t="shared" si="0"/>
        <v>6.28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3" si="1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1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1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1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ref="G34:G37" si="2">E34*F34</f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2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>
        <f t="shared" si="2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>
        <f t="shared" si="2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RScRj9Mxd/GAeytTTt1AbNf4IpMD5QnuJwey3OSYv4wcA7/zzDqBpDkxc542dFmX+LSHmJ6zDKtKHsH1XBuW8g==" saltValue="J6dWw814kPoSQ0hyFDVhO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M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MALIGNANT NEOPLASM OF COLON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2018-06-08T05:44:42Z</dcterms:modified>
</cp:coreProperties>
</file>