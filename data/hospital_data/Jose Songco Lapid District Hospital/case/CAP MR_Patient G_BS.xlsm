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AP MR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20490" windowHeight="765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Drugs&amp;Med'!$B$2:$J$35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9" i="9"/>
  <c r="G16" i="9"/>
  <c r="G20" i="9"/>
  <c r="J12" i="2"/>
  <c r="J13" i="2"/>
  <c r="J14" i="2"/>
  <c r="J15" i="2"/>
  <c r="J16" i="2"/>
  <c r="J17" i="2"/>
  <c r="J18" i="2"/>
  <c r="J19" i="2"/>
  <c r="J20" i="2"/>
  <c r="G24" i="9" l="1"/>
  <c r="G23" i="9"/>
  <c r="G22" i="9"/>
  <c r="G21" i="9"/>
  <c r="G25" i="9" l="1"/>
  <c r="J11" i="2" l="1"/>
  <c r="J34" i="2" l="1"/>
  <c r="J27" i="2"/>
  <c r="J33" i="2" l="1"/>
  <c r="J32" i="2"/>
  <c r="J31" i="2"/>
  <c r="J30" i="2"/>
  <c r="J29" i="2"/>
  <c r="J28" i="2"/>
  <c r="J21" i="2" l="1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<sst xmlns="http://schemas.openxmlformats.org/spreadsheetml/2006/main" count="496" uniqueCount="203">
  <si>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</si>
  <si>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</si>
  <si>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</si>
  <si>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</si>
  <si>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</si>
  <si>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</si>
  <si>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</si>
  <si>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</si>
  <si>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</si>
  <si>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</si>
  <si>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</si>
  <si>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</si>
  <si>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</si>
  <si>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</si>
  <si>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</si>
  <si>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</si>
  <si>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</si>
  <si>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</si>
  <si>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</si>
  <si>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</si>
  <si>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</si>
  <si>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</si>
  <si>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</si>
  <si>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</si>
  <si>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</si>
  <si>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</si>
  <si>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</si>
  <si>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</si>
  <si>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</si>
  <si>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</si>
  <si>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</si>
  <si>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</si>
  <si>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</si>
  <si>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</si>
  <si>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</si>
  <si>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</si>
  <si>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</si>
  <si>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</si>
  <si>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</si>
  <si>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</si>
  <si>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</si>
  <si>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</si>
  <si>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</si>
  <si>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</si>
  <si>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</si>
  <si>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</si>
  <si>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</si>
  <si>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</si>
  <si>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</si>
  <si>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</si>
  <si>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</si>
  <si>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</si>
  <si>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</si>
  <si>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</si>
  <si>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</si>
  <si>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</si>
  <si>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</si>
  <si>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</si>
  <si>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</si>
  <si>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</si>
  <si>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</si>
  <si>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</si>
  <si>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</si>
  <si>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</si>
  <si>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</si>
  <si>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</si>
  <si>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</si>
  <si>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</si>
  <si>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</si>
  <si>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</si>
  <si>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</si>
  <si>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</si>
  <si>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</si>
  <si>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</si>
  <si>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</si>
  <si>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</si>
  <si>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</si>
  <si>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</si>
  <si>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</si>
  <si>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</si>
  <si>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</si>
  <si>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</si>
  <si>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</si>
  <si>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</si>
  <si>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</si>
  <si>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</si>
  <si>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</si>
  <si>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</si>
  <si>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</si>
  <si>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</si>
  <si>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</si>
  <si>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</si>
  <si>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</si>
  <si>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</si>
  <si>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</si>
  <si>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</si>
  <si>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</si>
  <si>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</si>
  <si>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</si>
  <si>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</si>
  <si>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</si>
  <si>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</si>
  <si>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</si>
  <si>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</si>
  <si>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</si>
  <si>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</si>
  <si>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</si>
  <si>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</si>
  <si>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</si>
  <si>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</si>
  <si>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</si>
  <si>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</si>
  <si>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</si>
  <si>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</si>
  <si>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</si>
  <si>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</si>
  <si>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</si>
  <si>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</si>
  <si>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</si>
  <si>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</si>
  <si>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</si>
  <si>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</si>
  <si>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</si>
  <si>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</si>
  <si>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</si>
  <si>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</si>
  <si>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</si>
  <si>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</si>
  <si>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</si>
  <si>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</si>
  <si>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</si>
  <si>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</si>
  <si>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</si>
  <si>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</si>
  <si>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</si>
  <si>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</si>
  <si>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</si>
  <si>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</si>
  <si>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</si>
  <si>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</si>
  <si>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</si>
  <si>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</si>
  <si>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</si>
  <si>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</si>
  <si>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</si>
  <si>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</si>
  <si>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</si>
  <si>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</si>
  <si>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</si>
  <si>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</si>
  <si>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</si>
  <si>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</si>
  <si>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</si>
  <si>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</si>
  <si>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</si>
  <si>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</si>
  <si>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</si>
  <si>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</si>
  <si>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</si>
  <si>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</si>
  <si>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</si>
  <si>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</si>
  <si>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</si>
  <si>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</si>
  <si>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</si>
  <si>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</si>
  <si>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</si>
  <si>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</si>
  <si>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</si>
  <si>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</si>
  <si>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</si>
  <si>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</si>
  <si>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bottle</t>
  </si>
  <si>
    <t>vial</t>
  </si>
  <si>
    <t>3cc</t>
  </si>
  <si>
    <t>5cc</t>
  </si>
  <si>
    <t>10cc</t>
  </si>
  <si>
    <t>Clean Gloves</t>
  </si>
  <si>
    <t>CAP MR</t>
  </si>
  <si>
    <t>J18.92</t>
  </si>
  <si>
    <t>Radiology</t>
  </si>
  <si>
    <t>1g</t>
  </si>
  <si>
    <t>ampul</t>
  </si>
  <si>
    <t>Hema Package 1(CBC, Platelet Count)</t>
  </si>
  <si>
    <t>Clarithromycin</t>
  </si>
  <si>
    <t>Blood Typing + Rh Factor</t>
  </si>
  <si>
    <t>CHEST PA</t>
  </si>
  <si>
    <t>Amino Acid 9.12%</t>
  </si>
  <si>
    <t xml:space="preserve">Budesonide </t>
  </si>
  <si>
    <t>Ceftriaxone Soduim</t>
  </si>
  <si>
    <t>250.00mcg/ml</t>
  </si>
  <si>
    <t>nebules</t>
  </si>
  <si>
    <t>0.9% Sodium Chloride</t>
  </si>
  <si>
    <t>1000.00ml</t>
  </si>
  <si>
    <t xml:space="preserve">Hydrocortisone </t>
  </si>
  <si>
    <t>250mg</t>
  </si>
  <si>
    <t xml:space="preserve">Doxofylline </t>
  </si>
  <si>
    <t>tablets</t>
  </si>
  <si>
    <t>400.00mg</t>
  </si>
  <si>
    <t>500.00mg</t>
  </si>
  <si>
    <t>Ipratropium Bromide  + Salbutamol</t>
  </si>
  <si>
    <t>Acetylcysteine Effervescent</t>
  </si>
  <si>
    <t>600.00mg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</si>
</sst>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32</xdr:row>
          <xdr:rowOff>28575</xdr:rowOff>
        </xdr:from>
        <xdr:to>
          <xdr:col>1</xdr:col>
          <xdr:colOff>762000</xdr:colOff>
          <xdr:row>32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32</xdr:row>
          <xdr:rowOff>28575</xdr:rowOff>
        </xdr:from>
        <xdr:to>
          <xdr:col>1</xdr:col>
          <xdr:colOff>1533525</xdr:colOff>
          <xdr:row>32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Normal="100" workbookViewId="0">
      <selection activeCell="C65" sqref="C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178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9" t="s">
        <v>19</v>
      </c>
      <c r="C40" s="120"/>
      <c r="D40" s="117"/>
      <c r="E40" s="120"/>
      <c r="F40" s="118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186</v>
      </c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9" t="s">
        <v>46</v>
      </c>
      <c r="C45" s="120"/>
      <c r="D45" s="117"/>
      <c r="E45" s="120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47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6" t="s">
        <v>55</v>
      </c>
      <c r="C47" s="117"/>
      <c r="D47" s="117"/>
      <c r="E47" s="117"/>
      <c r="F47" s="11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6" t="s">
        <v>20</v>
      </c>
      <c r="C52" s="117"/>
      <c r="D52" s="117"/>
      <c r="E52" s="117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57</v>
      </c>
      <c r="C61" s="17" t="s">
        <v>53</v>
      </c>
      <c r="D61" s="17" t="s">
        <v>58</v>
      </c>
      <c r="E61" s="18" t="s">
        <v>59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166</v>
      </c>
      <c r="D62" s="55">
        <v>3565.2</v>
      </c>
      <c r="E62" s="55">
        <v>891.34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167</v>
      </c>
      <c r="D63" s="55">
        <v>915.4</v>
      </c>
      <c r="E63" s="55">
        <v>228.86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168</v>
      </c>
      <c r="D64" s="55">
        <v>320</v>
      </c>
      <c r="E64" s="55">
        <v>80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64</v>
      </c>
      <c r="D65" s="55">
        <v>292</v>
      </c>
      <c r="E65" s="55">
        <v>73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180</v>
      </c>
      <c r="D66" s="55">
        <v>128</v>
      </c>
      <c r="E66" s="55">
        <v>32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169</v>
      </c>
      <c r="D67" s="55">
        <v>24</v>
      </c>
      <c r="E67" s="55">
        <v>6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 t="s">
        <v>170</v>
      </c>
      <c r="D68" s="55">
        <v>480</v>
      </c>
      <c r="E68" s="55">
        <v>120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 t="s">
        <v>171</v>
      </c>
      <c r="D69" s="55">
        <v>4500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10224.599999999999</v>
      </c>
      <c r="E73" s="59">
        <f>SUM(E62:E72)</f>
        <v>1431.2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jipG+HJDeXxmlw8gi6lBYx5jOk/+JL+xWpdOPFHldyNrJmm1HTLeY19BZtcYjyCSWeY8RNbeNpsvmACno73v9g==" saltValue="vl+Du77Piq7gdXx9W3u5T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5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24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182</v>
      </c>
      <c r="E11" s="115">
        <v>0.05</v>
      </c>
      <c r="F11" s="55"/>
      <c r="G11" s="55">
        <v>3</v>
      </c>
      <c r="H11" s="55">
        <v>2</v>
      </c>
      <c r="I11" s="55">
        <v>401.5</v>
      </c>
      <c r="J11" s="55">
        <f t="shared" ref="J11:J20" si="0">H11*I11</f>
        <v>803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173</v>
      </c>
      <c r="E12" s="27" t="s">
        <v>181</v>
      </c>
      <c r="F12" s="55"/>
      <c r="G12" s="55">
        <v>3</v>
      </c>
      <c r="H12" s="55">
        <v>4</v>
      </c>
      <c r="I12" s="55">
        <v>60.5</v>
      </c>
      <c r="J12" s="55">
        <f t="shared" si="0"/>
        <v>242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191</v>
      </c>
      <c r="E13" s="115" t="s">
        <v>190</v>
      </c>
      <c r="F13" s="55"/>
      <c r="G13" s="55">
        <v>3</v>
      </c>
      <c r="H13" s="55">
        <v>3</v>
      </c>
      <c r="I13" s="55">
        <v>82.5</v>
      </c>
      <c r="J13" s="55">
        <f t="shared" si="0"/>
        <v>247.5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172</v>
      </c>
      <c r="E14" s="27" t="s">
        <v>193</v>
      </c>
      <c r="F14" s="55"/>
      <c r="G14" s="55">
        <v>3</v>
      </c>
      <c r="H14" s="55">
        <v>6</v>
      </c>
      <c r="I14" s="55">
        <v>78.430000000000007</v>
      </c>
      <c r="J14" s="55">
        <f t="shared" si="0"/>
        <v>470.58000000000004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194</v>
      </c>
      <c r="D15" s="27" t="s">
        <v>173</v>
      </c>
      <c r="E15" s="27" t="s">
        <v>195</v>
      </c>
      <c r="F15" s="55"/>
      <c r="G15" s="55">
        <v>3</v>
      </c>
      <c r="H15" s="55">
        <v>5</v>
      </c>
      <c r="I15" s="55">
        <v>81.400000000000006</v>
      </c>
      <c r="J15" s="55">
        <f t="shared" si="0"/>
        <v>407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197</v>
      </c>
      <c r="E16" s="27" t="s">
        <v>198</v>
      </c>
      <c r="F16" s="55"/>
      <c r="G16" s="55">
        <v>3</v>
      </c>
      <c r="H16" s="55">
        <v>11</v>
      </c>
      <c r="I16" s="55">
        <v>58.3</v>
      </c>
      <c r="J16" s="55">
        <f t="shared" si="0"/>
        <v>641.29999999999995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184</v>
      </c>
      <c r="D17" s="27" t="s">
        <v>197</v>
      </c>
      <c r="E17" s="27" t="s">
        <v>199</v>
      </c>
      <c r="F17" s="55"/>
      <c r="G17" s="55">
        <v>3</v>
      </c>
      <c r="H17" s="55">
        <v>14</v>
      </c>
      <c r="I17" s="55">
        <v>9.7899999999999991</v>
      </c>
      <c r="J17" s="55">
        <f t="shared" si="0"/>
        <v>137.06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200</v>
      </c>
      <c r="D18" s="27" t="s">
        <v>191</v>
      </c>
      <c r="E18" s="27" t="s">
        <v>199</v>
      </c>
      <c r="F18" s="55"/>
      <c r="G18" s="55">
        <v>3</v>
      </c>
      <c r="H18" s="55">
        <v>21</v>
      </c>
      <c r="I18" s="55">
        <v>34.1</v>
      </c>
      <c r="J18" s="55">
        <f t="shared" si="0"/>
        <v>716.1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201</v>
      </c>
      <c r="D19" s="27" t="s">
        <v>197</v>
      </c>
      <c r="E19" s="27" t="s">
        <v>202</v>
      </c>
      <c r="F19" s="55"/>
      <c r="G19" s="55">
        <v>3</v>
      </c>
      <c r="H19" s="55">
        <v>12</v>
      </c>
      <c r="I19" s="55">
        <v>66</v>
      </c>
      <c r="J19" s="55">
        <f t="shared" si="0"/>
        <v>792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ref="J21:J33" si="1">H21*I21</f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1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1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1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1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1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1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1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1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>
        <f t="shared" si="1"/>
        <v>0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>
        <f t="shared" ref="J34" si="2">H34*I34</f>
        <v>0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25">
      <c r="A35" s="33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</row>
    <row r="36" spans="1:20" ht="15.75" customHeight="1" x14ac:dyDescent="0.25"/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</sheetData>
  <sheetProtection algorithmName="SHA-512" hashValue="yaXWZVoorQfPDAtqK467GB7puOvs1vsuo3iJccbk1kXOywri5aVRgNs/rx7vmzI3bo7OzZxSWzgY9mU8QW70Rg==" saltValue="dJ6Zwdg3OZ5EdSZKTtIrV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4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0" workbookViewId="0">
      <selection activeCell="G16" sqref="G16:G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175</v>
      </c>
      <c r="D16" s="70" t="s">
        <v>29</v>
      </c>
      <c r="E16" s="55">
        <v>8</v>
      </c>
      <c r="F16" s="55">
        <v>6.6</v>
      </c>
      <c r="G16" s="55">
        <f t="shared" ref="G16:G19" si="0">E16*F16</f>
        <v>52.8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29</v>
      </c>
      <c r="E17" s="55">
        <v>12</v>
      </c>
      <c r="F17" s="55">
        <v>5.5</v>
      </c>
      <c r="G17" s="55">
        <f t="shared" si="0"/>
        <v>66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177</v>
      </c>
      <c r="D18" s="70" t="s">
        <v>29</v>
      </c>
      <c r="E18" s="55">
        <v>18</v>
      </c>
      <c r="F18" s="55">
        <v>3.1</v>
      </c>
      <c r="G18" s="55">
        <f t="shared" si="0"/>
        <v>55.800000000000004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29</v>
      </c>
      <c r="E19" s="55">
        <v>6</v>
      </c>
      <c r="F19" s="55">
        <v>7.7</v>
      </c>
      <c r="G19" s="55">
        <f t="shared" si="0"/>
        <v>46.2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ref="G20" si="1"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ref="G21:G24" si="2">E21*F21</f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2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2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2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>E25*F25</f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7" t="s">
        <v>78</v>
      </c>
      <c r="C32" s="138"/>
      <c r="D32" s="138"/>
      <c r="E32" s="138"/>
      <c r="F32" s="138"/>
      <c r="G32" s="139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7" t="s">
        <v>30</v>
      </c>
      <c r="C43" s="138"/>
      <c r="D43" s="138"/>
      <c r="E43" s="138"/>
      <c r="F43" s="138"/>
      <c r="G43" s="139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7lKWP4oJWUMXAnu2K/8B5YKvCtFwNriswLhRzuJyeLUEqvLz9lfQzO7EFj0of2mdjtL7Zphuxj9okayb6lyD2Q==" saltValue="wgvmjifaJAJMtdQ5p9uqoQ==" spinCount="100000" sheet="1" objects="1" scenarios="1" formatColumns="0" formatRows="0" sort="0" autoFilter="0"/>
  <mergeCells count="9">
    <mergeCell ref="B7:G7"/>
    <mergeCell ref="B32:G32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32</xdr:row>
                    <xdr:rowOff>28575</xdr:rowOff>
                  </from>
                  <to>
                    <xdr:col>1</xdr:col>
                    <xdr:colOff>762000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32</xdr:row>
                    <xdr:rowOff>28575</xdr:rowOff>
                  </from>
                  <to>
                    <xdr:col>1</xdr:col>
                    <xdr:colOff>1533525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2018-06-08T05:43:16Z</dcterms:modified>
</cp:coreProperties>
</file>