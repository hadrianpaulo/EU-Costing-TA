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Malignant Neoplasm of Pancreas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Supplies_Medical'!$C$15:$C$50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F22" i="9" l="1"/>
  <c r="G17" i="9"/>
  <c r="G18" i="9"/>
  <c r="G19" i="9"/>
  <c r="G20" i="9"/>
  <c r="G21" i="9"/>
  <c r="G22" i="9"/>
  <c r="G23" i="9"/>
  <c r="G24" i="9"/>
  <c r="G25" i="9"/>
  <c r="G26" i="9"/>
  <c r="G27" i="9"/>
  <c r="G28" i="9"/>
  <c r="G16" i="9"/>
  <c r="I23" i="2"/>
  <c r="I22" i="2"/>
  <c r="I20" i="2"/>
  <c r="J24" i="2"/>
  <c r="I16" i="2"/>
  <c r="J12" i="2"/>
  <c r="J13" i="2"/>
  <c r="J14" i="2"/>
  <c r="J15" i="2"/>
  <c r="J16" i="2"/>
  <c r="J17" i="2"/>
  <c r="J18" i="2"/>
  <c r="J19" i="2"/>
  <c r="J20" i="2"/>
  <c r="J21" i="2"/>
  <c r="J22" i="2"/>
  <c r="J2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<sst xmlns="http://schemas.openxmlformats.org/spreadsheetml/2006/main" count="532" uniqueCount="221">
  <si>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</si>
  <si>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</si>
  <si>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</si>
  <si>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</si>
  <si>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</si>
  <si>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</si>
  <si>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</si>
  <si>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</si>
  <si>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</si>
  <si>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</si>
  <si>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</si>
  <si>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</si>
  <si>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</si>
  <si>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</si>
  <si>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</si>
  <si>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</si>
  <si>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</si>
  <si>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</si>
  <si>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</si>
  <si>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</si>
  <si>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</si>
  <si>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</si>
  <si>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</si>
  <si>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</si>
  <si>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</si>
  <si>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</si>
  <si>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</si>
  <si>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</si>
  <si>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</si>
  <si>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</si>
  <si>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Creatinine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</si>
  <si>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</si>
  <si>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</si>
  <si>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</si>
  <si>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</si>
  <si>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</si>
  <si>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</si>
  <si>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</si>
  <si>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</si>
  <si>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</si>
  <si>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</si>
  <si>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</si>
  <si>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</si>
  <si>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</si>
  <si>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</si>
  <si>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</si>
  <si>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</si>
  <si>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</si>
  <si>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</si>
  <si>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</si>
  <si>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</si>
  <si>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</si>
  <si>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</si>
  <si>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</si>
  <si>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</si>
  <si>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</si>
  <si>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</si>
  <si>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</si>
  <si>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</si>
  <si>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</si>
  <si>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</si>
  <si>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</si>
  <si>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</si>
  <si>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</si>
  <si>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</si>
  <si>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</si>
  <si>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</si>
  <si>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</si>
  <si>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</si>
  <si>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</si>
  <si>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</si>
  <si>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</si>
  <si>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</si>
  <si>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</si>
  <si>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</si>
  <si>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</si>
  <si>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</si>
  <si>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</si>
  <si>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</si>
  <si>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</si>
  <si>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</si>
  <si>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</si>
  <si>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</si>
  <si>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</si>
  <si>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</si>
  <si>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</si>
  <si>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</si>
  <si>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</si>
  <si>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</si>
  <si>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</si>
  <si>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</si>
  <si>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</si>
  <si>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</si>
  <si>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</si>
  <si>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</si>
  <si>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</si>
  <si>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</si>
  <si>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</si>
  <si>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</si>
  <si>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</si>
  <si>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</si>
  <si>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</si>
  <si>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</si>
  <si>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</si>
  <si>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</si>
  <si>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</si>
  <si>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</si>
  <si>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</si>
  <si>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</si>
  <si>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</si>
  <si>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</si>
  <si>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</si>
  <si>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</si>
  <si>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</si>
  <si>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</si>
  <si>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</si>
  <si>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</si>
  <si>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</si>
  <si>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</si>
  <si>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</si>
  <si>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</si>
  <si>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</si>
  <si>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</si>
  <si>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</si>
  <si>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</si>
  <si>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</si>
  <si>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</si>
  <si>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</si>
  <si>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</si>
  <si>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</si>
  <si>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</si>
  <si>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</si>
  <si>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</si>
  <si>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</si>
  <si>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</si>
  <si>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</si>
  <si>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</si>
  <si>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</si>
  <si>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</si>
  <si>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</si>
  <si>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</si>
  <si>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</si>
  <si>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</si>
  <si>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</si>
  <si>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</si>
  <si>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</si>
  <si>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</si>
  <si>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</si>
  <si>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</si>
  <si>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</si>
  <si>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</si>
  <si>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</si>
  <si>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</si>
  <si>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</si>
  <si>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</si>
  <si>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</si>
  <si>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</si>
  <si>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</si>
  <si>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</si>
  <si>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</si>
  <si>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</si>
  <si>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</si>
  <si>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</si>
  <si>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</si>
  <si>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</si>
  <si>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</si>
  <si>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</si>
  <si>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Malignant Neoplasm of Pancreas</t>
  </si>
  <si>
    <t>C25.9</t>
  </si>
  <si>
    <t>Urinalysis</t>
  </si>
  <si>
    <t>HGT</t>
  </si>
  <si>
    <t>Hema Package 1(CBC, Platelet Count)</t>
  </si>
  <si>
    <t>HGT Q4</t>
  </si>
  <si>
    <t>ECG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</si>
  <si>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</si>
  <si>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</si>
  <si>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</si>
  <si>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</si>
  <si>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</si>
  <si>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</si>
  <si>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Omeprazole</t>
  </si>
  <si>
    <t>Nalbuphine HCI</t>
  </si>
  <si>
    <t>Sulbactam/Ampicillin</t>
  </si>
  <si>
    <t>Esomeprazole</t>
  </si>
  <si>
    <t>Buclinize HCI+Vit.B Complex+Iron</t>
  </si>
  <si>
    <t>Tramadol Hydrochloride</t>
  </si>
  <si>
    <t>0.9% Sodium Chloride</t>
  </si>
  <si>
    <t>50% Dextrose in 50ml Water</t>
  </si>
  <si>
    <t>10% Dextrose in Water</t>
  </si>
  <si>
    <t>Ciprofloxacin</t>
  </si>
  <si>
    <t>Morphine</t>
  </si>
  <si>
    <t>Paracetamol+Tramadol</t>
  </si>
  <si>
    <t>Vildagliptin</t>
  </si>
  <si>
    <t>vial</t>
  </si>
  <si>
    <t>40mg</t>
  </si>
  <si>
    <t>ampul</t>
  </si>
  <si>
    <t>tablet</t>
  </si>
  <si>
    <t>capsule</t>
  </si>
  <si>
    <t>bottle</t>
  </si>
  <si>
    <t>10mg/ml</t>
  </si>
  <si>
    <t>750mg</t>
  </si>
  <si>
    <t>25mg/10mg/50mcg</t>
  </si>
  <si>
    <t>1000ml</t>
  </si>
  <si>
    <t>50ml</t>
  </si>
  <si>
    <t>500mg</t>
  </si>
  <si>
    <t>325mg/37.5mg</t>
  </si>
  <si>
    <t>50mg</t>
  </si>
  <si>
    <t>50mg/ml</t>
  </si>
  <si>
    <t>Disposable Mask</t>
  </si>
  <si>
    <t>10cc</t>
  </si>
  <si>
    <t>1cc/tbs</t>
  </si>
  <si>
    <t>5cc</t>
  </si>
  <si>
    <t>3cc</t>
  </si>
  <si>
    <t>Clean Gloves</t>
  </si>
  <si>
    <t>NG25/N25</t>
  </si>
  <si>
    <t>Insulin Syringe</t>
  </si>
  <si>
    <t>Surgical Gauze</t>
  </si>
  <si>
    <t>Macroset</t>
  </si>
  <si>
    <t>IV Cath G.22</t>
  </si>
  <si>
    <t>iv Cath G.24</t>
  </si>
  <si>
    <t>ID Bracelet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</si>
</sst>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29</xdr:row>
          <xdr:rowOff>28575</xdr:rowOff>
        </xdr:from>
        <xdr:to>
          <xdr:col>1</xdr:col>
          <xdr:colOff>762000</xdr:colOff>
          <xdr:row>29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29</xdr:row>
          <xdr:rowOff>28575</xdr:rowOff>
        </xdr:from>
        <xdr:to>
          <xdr:col>1</xdr:col>
          <xdr:colOff>1533525</xdr:colOff>
          <xdr:row>29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28575</xdr:rowOff>
        </xdr:from>
        <xdr:to>
          <xdr:col>1</xdr:col>
          <xdr:colOff>771525</xdr:colOff>
          <xdr:row>40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40</xdr:row>
          <xdr:rowOff>28575</xdr:rowOff>
        </xdr:from>
        <xdr:to>
          <xdr:col>1</xdr:col>
          <xdr:colOff>1543050</xdr:colOff>
          <xdr:row>40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opLeftCell="A49" zoomScaleNormal="100" workbookViewId="0">
      <selection activeCell="E68" sqref="E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63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64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55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46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30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2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172</v>
      </c>
      <c r="D38" s="23"/>
      <c r="E38" s="55">
        <v>4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173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47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48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56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58</v>
      </c>
      <c r="C60" s="17" t="s">
        <v>54</v>
      </c>
      <c r="D60" s="17" t="s">
        <v>59</v>
      </c>
      <c r="E60" s="18" t="s">
        <v>60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174</v>
      </c>
      <c r="D61" s="55">
        <v>4326.24</v>
      </c>
      <c r="E61" s="55">
        <v>1081.58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175</v>
      </c>
      <c r="D62" s="55">
        <v>665.88</v>
      </c>
      <c r="E62" s="55">
        <v>166.48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176</v>
      </c>
      <c r="D63" s="55">
        <v>3536</v>
      </c>
      <c r="E63" s="55">
        <v>884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173</v>
      </c>
      <c r="D64" s="55">
        <v>160</v>
      </c>
      <c r="E64" s="55">
        <v>40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177</v>
      </c>
      <c r="D65" s="55">
        <v>32</v>
      </c>
      <c r="E65" s="55">
        <v>8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178</v>
      </c>
      <c r="D66" s="55">
        <v>640</v>
      </c>
      <c r="E66" s="55">
        <v>160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179</v>
      </c>
      <c r="D67" s="55">
        <v>4260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13620.119999999999</v>
      </c>
      <c r="E72" s="59">
        <f>SUM(E61:E71)</f>
        <v>2340.06</v>
      </c>
      <c r="F72" s="59">
        <f>SUM(F61:F71)</f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algorithmName="SHA-512" hashValue="YJ4uiVd5slawMdJfD3tg+C7KZfX2AY2IWRTbqC6cnAvxe7Kg9Xb8a5S9hqBAr25Y+SmXymttchfAAXN653wZZw==" saltValue="h2UPd8mq/Kv7tIopdQA+Yw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:J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Malignant Neoplasm of Pancreas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67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193</v>
      </c>
      <c r="E11" s="27" t="s">
        <v>194</v>
      </c>
      <c r="F11" s="55"/>
      <c r="G11" s="55">
        <v>4</v>
      </c>
      <c r="H11" s="55">
        <v>3</v>
      </c>
      <c r="I11" s="55">
        <v>280.5</v>
      </c>
      <c r="J11" s="55">
        <f>H11*I11</f>
        <v>841.5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195</v>
      </c>
      <c r="E12" s="27" t="s">
        <v>199</v>
      </c>
      <c r="F12" s="55"/>
      <c r="G12" s="55">
        <v>4</v>
      </c>
      <c r="H12" s="55">
        <v>2</v>
      </c>
      <c r="I12" s="55">
        <v>121</v>
      </c>
      <c r="J12" s="55">
        <f t="shared" ref="J12:J24" si="0">H12*I12</f>
        <v>242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196</v>
      </c>
      <c r="E13" s="27" t="s">
        <v>200</v>
      </c>
      <c r="F13" s="55"/>
      <c r="G13" s="55">
        <v>4</v>
      </c>
      <c r="H13" s="55">
        <v>21</v>
      </c>
      <c r="I13" s="55">
        <v>99</v>
      </c>
      <c r="J13" s="55">
        <f t="shared" si="0"/>
        <v>2079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193</v>
      </c>
      <c r="E14" s="27" t="s">
        <v>194</v>
      </c>
      <c r="F14" s="55"/>
      <c r="G14" s="55">
        <v>4</v>
      </c>
      <c r="H14" s="55">
        <v>1</v>
      </c>
      <c r="I14" s="55">
        <v>856.9</v>
      </c>
      <c r="J14" s="55">
        <f t="shared" si="0"/>
        <v>856.9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197</v>
      </c>
      <c r="E15" s="27" t="s">
        <v>201</v>
      </c>
      <c r="F15" s="55"/>
      <c r="G15" s="55">
        <v>4</v>
      </c>
      <c r="H15" s="55">
        <v>3</v>
      </c>
      <c r="I15" s="55">
        <v>17.600000000000001</v>
      </c>
      <c r="J15" s="55">
        <f t="shared" si="0"/>
        <v>52.800000000000004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196</v>
      </c>
      <c r="E16" s="27" t="s">
        <v>194</v>
      </c>
      <c r="F16" s="55"/>
      <c r="G16" s="55">
        <v>4</v>
      </c>
      <c r="H16" s="55">
        <v>8</v>
      </c>
      <c r="I16" s="55">
        <f>9.9/2</f>
        <v>4.95</v>
      </c>
      <c r="J16" s="55">
        <f t="shared" si="0"/>
        <v>39.6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198</v>
      </c>
      <c r="E17" s="27" t="s">
        <v>202</v>
      </c>
      <c r="F17" s="55"/>
      <c r="G17" s="55">
        <v>4</v>
      </c>
      <c r="H17" s="55">
        <v>4</v>
      </c>
      <c r="I17" s="55">
        <v>78.430000000000007</v>
      </c>
      <c r="J17" s="55">
        <f t="shared" si="0"/>
        <v>313.72000000000003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187</v>
      </c>
      <c r="D18" s="27" t="s">
        <v>193</v>
      </c>
      <c r="E18" s="27" t="s">
        <v>203</v>
      </c>
      <c r="F18" s="55"/>
      <c r="G18" s="55">
        <v>4</v>
      </c>
      <c r="H18" s="55">
        <v>3</v>
      </c>
      <c r="I18" s="55">
        <v>78.430000000000007</v>
      </c>
      <c r="J18" s="55">
        <f t="shared" si="0"/>
        <v>235.29000000000002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188</v>
      </c>
      <c r="D19" s="27" t="s">
        <v>198</v>
      </c>
      <c r="E19" s="27" t="s">
        <v>202</v>
      </c>
      <c r="F19" s="55"/>
      <c r="G19" s="55">
        <v>4</v>
      </c>
      <c r="H19" s="55">
        <v>2</v>
      </c>
      <c r="I19" s="55">
        <v>78.430000000000007</v>
      </c>
      <c r="J19" s="55">
        <f t="shared" si="0"/>
        <v>156.86000000000001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189</v>
      </c>
      <c r="D20" s="27" t="s">
        <v>196</v>
      </c>
      <c r="E20" s="27" t="s">
        <v>204</v>
      </c>
      <c r="F20" s="55"/>
      <c r="G20" s="55">
        <v>4</v>
      </c>
      <c r="H20" s="55">
        <v>8</v>
      </c>
      <c r="I20" s="55">
        <f>14.3/2</f>
        <v>7.15</v>
      </c>
      <c r="J20" s="55">
        <f t="shared" si="0"/>
        <v>57.2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190</v>
      </c>
      <c r="D21" s="27" t="s">
        <v>195</v>
      </c>
      <c r="E21" s="27" t="s">
        <v>199</v>
      </c>
      <c r="F21" s="55"/>
      <c r="G21" s="55">
        <v>4</v>
      </c>
      <c r="H21" s="55">
        <v>1</v>
      </c>
      <c r="I21" s="55">
        <v>105.6</v>
      </c>
      <c r="J21" s="55">
        <f t="shared" si="0"/>
        <v>105.6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191</v>
      </c>
      <c r="D22" s="27" t="s">
        <v>196</v>
      </c>
      <c r="E22" s="27" t="s">
        <v>205</v>
      </c>
      <c r="F22" s="55"/>
      <c r="G22" s="55">
        <v>4</v>
      </c>
      <c r="H22" s="55">
        <v>9</v>
      </c>
      <c r="I22" s="55">
        <f>69.3/9</f>
        <v>7.6999999999999993</v>
      </c>
      <c r="J22" s="55">
        <f t="shared" si="0"/>
        <v>69.3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192</v>
      </c>
      <c r="D23" s="27" t="s">
        <v>196</v>
      </c>
      <c r="E23" s="27" t="s">
        <v>206</v>
      </c>
      <c r="F23" s="55"/>
      <c r="G23" s="55">
        <v>4</v>
      </c>
      <c r="H23" s="55">
        <v>7</v>
      </c>
      <c r="I23" s="55">
        <f>296.45/7</f>
        <v>42.35</v>
      </c>
      <c r="J23" s="55">
        <f t="shared" si="0"/>
        <v>296.45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185</v>
      </c>
      <c r="D24" s="27" t="s">
        <v>195</v>
      </c>
      <c r="E24" s="27" t="s">
        <v>207</v>
      </c>
      <c r="F24" s="55"/>
      <c r="G24" s="55">
        <v>4</v>
      </c>
      <c r="H24" s="55">
        <v>1</v>
      </c>
      <c r="I24" s="55">
        <v>61.6</v>
      </c>
      <c r="J24" s="55">
        <f t="shared" si="0"/>
        <v>61.6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4"/>
  <sheetViews>
    <sheetView topLeftCell="A7" workbookViewId="0">
      <selection activeCell="G16" sqref="G16:G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Malignant Neoplasm of Pancreas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13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72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75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208</v>
      </c>
      <c r="D16" s="70" t="s">
        <v>29</v>
      </c>
      <c r="E16" s="55">
        <v>6</v>
      </c>
      <c r="F16" s="55">
        <v>4.4000000000000004</v>
      </c>
      <c r="G16" s="55">
        <f>E16*F16</f>
        <v>26.400000000000002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209</v>
      </c>
      <c r="D17" s="70" t="s">
        <v>29</v>
      </c>
      <c r="E17" s="55">
        <v>2</v>
      </c>
      <c r="F17" s="55">
        <v>7.7</v>
      </c>
      <c r="G17" s="55">
        <f t="shared" ref="G17:G28" si="0">E17*F17</f>
        <v>15.4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210</v>
      </c>
      <c r="D18" s="70" t="s">
        <v>29</v>
      </c>
      <c r="E18" s="55">
        <v>2</v>
      </c>
      <c r="F18" s="55">
        <v>6.6</v>
      </c>
      <c r="G18" s="55">
        <f t="shared" si="0"/>
        <v>13.2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211</v>
      </c>
      <c r="D19" s="70" t="s">
        <v>29</v>
      </c>
      <c r="E19" s="55">
        <v>3</v>
      </c>
      <c r="F19" s="55">
        <v>6.6</v>
      </c>
      <c r="G19" s="55">
        <f t="shared" si="0"/>
        <v>19.799999999999997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212</v>
      </c>
      <c r="D20" s="70" t="s">
        <v>29</v>
      </c>
      <c r="E20" s="55">
        <v>1</v>
      </c>
      <c r="F20" s="55">
        <v>5.5</v>
      </c>
      <c r="G20" s="55">
        <f t="shared" si="0"/>
        <v>5.5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213</v>
      </c>
      <c r="D21" s="70" t="s">
        <v>29</v>
      </c>
      <c r="E21" s="55">
        <v>10</v>
      </c>
      <c r="F21" s="55">
        <v>3.1</v>
      </c>
      <c r="G21" s="55">
        <f t="shared" si="0"/>
        <v>31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214</v>
      </c>
      <c r="D22" s="70" t="s">
        <v>29</v>
      </c>
      <c r="E22" s="55">
        <v>2</v>
      </c>
      <c r="F22" s="55">
        <f>7.48/2</f>
        <v>3.74</v>
      </c>
      <c r="G22" s="55">
        <f t="shared" si="0"/>
        <v>7.48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215</v>
      </c>
      <c r="D23" s="70" t="s">
        <v>29</v>
      </c>
      <c r="E23" s="55">
        <v>12</v>
      </c>
      <c r="F23" s="55">
        <v>17.05</v>
      </c>
      <c r="G23" s="55">
        <f t="shared" si="0"/>
        <v>204.60000000000002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216</v>
      </c>
      <c r="D24" s="70" t="s">
        <v>29</v>
      </c>
      <c r="E24" s="55">
        <v>30</v>
      </c>
      <c r="F24" s="55">
        <v>2.5299999999999998</v>
      </c>
      <c r="G24" s="55">
        <f t="shared" si="0"/>
        <v>75.899999999999991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217</v>
      </c>
      <c r="D25" s="70" t="s">
        <v>29</v>
      </c>
      <c r="E25" s="55">
        <v>2</v>
      </c>
      <c r="F25" s="55">
        <v>31.9</v>
      </c>
      <c r="G25" s="55">
        <f t="shared" si="0"/>
        <v>63.8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218</v>
      </c>
      <c r="D26" s="70" t="s">
        <v>29</v>
      </c>
      <c r="E26" s="55">
        <v>2</v>
      </c>
      <c r="F26" s="55">
        <v>60.5</v>
      </c>
      <c r="G26" s="55">
        <f t="shared" si="0"/>
        <v>121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219</v>
      </c>
      <c r="D27" s="70" t="s">
        <v>29</v>
      </c>
      <c r="E27" s="55">
        <v>4</v>
      </c>
      <c r="F27" s="55">
        <v>60.5</v>
      </c>
      <c r="G27" s="55">
        <f t="shared" si="0"/>
        <v>242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220</v>
      </c>
      <c r="D28" s="70" t="s">
        <v>29</v>
      </c>
      <c r="E28" s="55">
        <v>1</v>
      </c>
      <c r="F28" s="55">
        <v>6.28</v>
      </c>
      <c r="G28" s="55">
        <f t="shared" si="0"/>
        <v>6.28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136" t="s">
        <v>79</v>
      </c>
      <c r="C29" s="137"/>
      <c r="D29" s="137"/>
      <c r="E29" s="137"/>
      <c r="F29" s="137"/>
      <c r="G29" s="138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2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3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4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5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6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7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8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9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10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136" t="s">
        <v>31</v>
      </c>
      <c r="C40" s="137"/>
      <c r="D40" s="137"/>
      <c r="E40" s="137"/>
      <c r="F40" s="137"/>
      <c r="G40" s="138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2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3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4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5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6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7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8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9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10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</sheetData>
  <sheetProtection algorithmName="SHA-512" hashValue="yyvQdWPbOoDNfPX+33tgfyt3juZb6xyR0WcyTpIP+YdvJ9ZLL1SVEEd+HBZ0I7DSg4erO4WHO6Sf6oPy6+/JJQ==" saltValue="BcNXrMZPFkf6akvBg0G2mg==" spinCount="100000" sheet="1" objects="1" scenarios="1" formatColumns="0" formatRows="0" sort="0" autoFilter="0"/>
  <mergeCells count="9">
    <mergeCell ref="B7:G7"/>
    <mergeCell ref="B29:G29"/>
    <mergeCell ref="B40:G4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29</xdr:row>
                    <xdr:rowOff>28575</xdr:rowOff>
                  </from>
                  <to>
                    <xdr:col>1</xdr:col>
                    <xdr:colOff>762000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29</xdr:row>
                    <xdr:rowOff>28575</xdr:rowOff>
                  </from>
                  <to>
                    <xdr:col>1</xdr:col>
                    <xdr:colOff>1533525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40</xdr:row>
                    <xdr:rowOff>28575</xdr:rowOff>
                  </from>
                  <to>
                    <xdr:col>1</xdr:col>
                    <xdr:colOff>771525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40</xdr:row>
                    <xdr:rowOff>28575</xdr:rowOff>
                  </from>
                  <to>
                    <xdr:col>1</xdr:col>
                    <xdr:colOff>1543050</xdr:colOff>
                    <xdr:row>40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K1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Malignant Neoplasm of Pancreas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2018-06-08T05:50:48Z</dcterms:modified>
</cp:coreProperties>
</file>