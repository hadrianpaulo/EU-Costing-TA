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18" i="2" l="1"/>
  <c r="I14" i="2"/>
  <c r="G23" i="9"/>
  <c r="J17" i="2"/>
  <c r="J16" i="2"/>
  <c r="J15" i="2"/>
  <c r="J11" i="2"/>
  <c r="G17" i="9" l="1"/>
  <c r="G18" i="9"/>
  <c r="G19" i="9"/>
  <c r="G20" i="9"/>
  <c r="G21" i="9"/>
  <c r="G22" i="9"/>
  <c r="G24" i="9"/>
  <c r="G16" i="9"/>
  <c r="J12" i="2" l="1"/>
  <c r="J13" i="2"/>
  <c r="J14" i="2"/>
  <c r="J21" i="2"/>
  <c r="J22" i="2"/>
  <c r="J23" i="2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<sst xmlns="http://schemas.openxmlformats.org/spreadsheetml/2006/main" count="501" uniqueCount="204">
  <si>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</si>
  <si>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</si>
  <si>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</si>
  <si>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</si>
  <si>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</si>
  <si>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</si>
  <si>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</si>
  <si>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</si>
  <si>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</si>
  <si>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</si>
  <si>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</si>
  <si>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</si>
  <si>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</si>
  <si>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</si>
  <si>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</si>
  <si>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</si>
  <si>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</si>
  <si>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</si>
  <si>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</si>
  <si>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</si>
  <si>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</si>
  <si>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</si>
  <si>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</si>
  <si>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</si>
  <si>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</si>
  <si>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</si>
  <si>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</si>
  <si>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</si>
  <si>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</si>
  <si>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</si>
  <si>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</si>
  <si>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</si>
  <si>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</si>
  <si>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</si>
  <si>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</si>
  <si>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</si>
  <si>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</si>
  <si>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</si>
  <si>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</si>
  <si>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</si>
  <si>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</si>
  <si>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</si>
  <si>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</si>
  <si>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</si>
  <si>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</si>
  <si>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</si>
  <si>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</si>
  <si>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</si>
  <si>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</si>
  <si>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</si>
  <si>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</si>
  <si>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</si>
  <si>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</si>
  <si>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</si>
  <si>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</si>
  <si>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</si>
  <si>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</si>
  <si>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</si>
  <si>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</si>
  <si>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</si>
  <si>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</si>
  <si>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</si>
  <si>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</si>
  <si>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</si>
  <si>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</si>
  <si>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</si>
  <si>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</si>
  <si>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</si>
  <si>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</si>
  <si>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</si>
  <si>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</si>
  <si>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</si>
  <si>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</si>
  <si>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</si>
  <si>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</si>
  <si>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</si>
  <si>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</si>
  <si>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</si>
  <si>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</si>
  <si>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</si>
  <si>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</si>
  <si>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</si>
  <si>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</si>
  <si>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</si>
  <si>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</si>
  <si>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</si>
  <si>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</si>
  <si>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</si>
  <si>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</si>
  <si>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</si>
  <si>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</si>
  <si>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</si>
  <si>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</si>
  <si>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</si>
  <si>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</si>
  <si>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</si>
  <si>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</si>
  <si>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</si>
  <si>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</si>
  <si>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</si>
  <si>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</si>
  <si>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</si>
  <si>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</si>
  <si>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</si>
  <si>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</si>
  <si>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</si>
  <si>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</si>
  <si>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</si>
  <si>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</si>
  <si>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</si>
  <si>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</si>
  <si>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</si>
  <si>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</si>
  <si>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</si>
  <si>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</si>
  <si>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</si>
  <si>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</si>
  <si>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</si>
  <si>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</si>
  <si>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</si>
  <si>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</si>
  <si>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</si>
  <si>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</si>
  <si>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</si>
  <si>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</si>
  <si>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</si>
  <si>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</si>
  <si>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</si>
  <si>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</si>
  <si>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</si>
  <si>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</si>
  <si>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</si>
  <si>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</si>
  <si>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</si>
  <si>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</si>
  <si>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</si>
  <si>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</si>
  <si>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</si>
  <si>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</si>
  <si>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</si>
  <si>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</si>
  <si>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</si>
  <si>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</si>
  <si>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</si>
  <si>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</si>
  <si>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</si>
  <si>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</si>
  <si>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</si>
  <si>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</si>
  <si>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</si>
  <si>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</si>
  <si>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</si>
  <si>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</si>
  <si>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</si>
  <si>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</si>
  <si>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</si>
  <si>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</si>
  <si>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</si>
  <si>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</si>
  <si>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</si>
  <si>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</si>
  <si>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</si>
  <si>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</si>
  <si>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</si>
  <si>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</si>
  <si>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</si>
  <si>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AGE</t>
  </si>
  <si>
    <t>A09.9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</si>
  <si>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</si>
  <si>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</si>
  <si>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</si>
  <si>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</si>
  <si>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</si>
  <si>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</si>
  <si>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</si>
  <si>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Ampicillin Sodium</t>
  </si>
  <si>
    <t>vial</t>
  </si>
  <si>
    <t>500mg</t>
  </si>
  <si>
    <t>5% Dextrose in 0.3% Sodium Chloride</t>
  </si>
  <si>
    <t>Disposable Mask</t>
  </si>
  <si>
    <t>3cc</t>
  </si>
  <si>
    <t>Clean Gloves</t>
  </si>
  <si>
    <t>Surgical Gauze</t>
  </si>
  <si>
    <t>IV Cath G. 24</t>
  </si>
  <si>
    <t>ID Bracelet</t>
  </si>
  <si>
    <t>ampul</t>
  </si>
  <si>
    <t>150mg/ml</t>
  </si>
  <si>
    <t>Paracetamol</t>
  </si>
  <si>
    <t>Sterile Water for Injection</t>
  </si>
  <si>
    <t>Hema Package 1 (CBC, Platelet Count)</t>
  </si>
  <si>
    <t>Fecalysis</t>
  </si>
  <si>
    <t>Ranitidine Hydrochloride</t>
  </si>
  <si>
    <t>Diphenhydramine HCI</t>
  </si>
  <si>
    <t>BMMS fro Pedia</t>
  </si>
  <si>
    <t>Multivitamins+Minerals</t>
  </si>
  <si>
    <t>syrup</t>
  </si>
  <si>
    <t>25mg/ml</t>
  </si>
  <si>
    <t>50mg/ml</t>
  </si>
  <si>
    <t>500ml</t>
  </si>
  <si>
    <t>50ml</t>
  </si>
  <si>
    <t>50mg/5ml</t>
  </si>
  <si>
    <t>5cc</t>
  </si>
  <si>
    <t>NG25/N25</t>
  </si>
  <si>
    <t>Microset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</si>
</sst>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0" zoomScaleNormal="100" workbookViewId="0">
      <selection activeCell="D71" sqref="D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189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1015.52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376.52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170</v>
      </c>
      <c r="D62" s="55">
        <v>550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171</v>
      </c>
      <c r="D63" s="55">
        <v>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400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4162.04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AGE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191</v>
      </c>
      <c r="D11" s="27" t="s">
        <v>185</v>
      </c>
      <c r="E11" s="27" t="s">
        <v>196</v>
      </c>
      <c r="F11" s="55"/>
      <c r="G11" s="55">
        <v>2</v>
      </c>
      <c r="H11" s="55">
        <v>5</v>
      </c>
      <c r="I11" s="55">
        <v>31.9</v>
      </c>
      <c r="J11" s="55">
        <f>H11*I11</f>
        <v>159.5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192</v>
      </c>
      <c r="D12" s="27" t="s">
        <v>185</v>
      </c>
      <c r="E12" s="27" t="s">
        <v>197</v>
      </c>
      <c r="F12" s="55"/>
      <c r="G12" s="55">
        <v>2</v>
      </c>
      <c r="H12" s="55">
        <v>1</v>
      </c>
      <c r="I12" s="55">
        <v>143</v>
      </c>
      <c r="J12" s="55">
        <f t="shared" ref="J12:J26" si="0">H12*I12</f>
        <v>143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174</v>
      </c>
      <c r="E13" s="27" t="s">
        <v>198</v>
      </c>
      <c r="F13" s="55"/>
      <c r="G13" s="55">
        <v>2</v>
      </c>
      <c r="H13" s="55">
        <v>2</v>
      </c>
      <c r="I13" s="55">
        <v>78.430000000000007</v>
      </c>
      <c r="J13" s="55">
        <f t="shared" si="0"/>
        <v>156.86000000000001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176</v>
      </c>
      <c r="E14" s="27" t="s">
        <v>177</v>
      </c>
      <c r="F14" s="55"/>
      <c r="G14" s="55">
        <v>2</v>
      </c>
      <c r="H14" s="55">
        <v>8</v>
      </c>
      <c r="I14" s="55">
        <f>42.02/2</f>
        <v>21.01</v>
      </c>
      <c r="J14" s="55">
        <f t="shared" si="0"/>
        <v>168.08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174</v>
      </c>
      <c r="E15" s="27" t="s">
        <v>198</v>
      </c>
      <c r="F15" s="55"/>
      <c r="G15" s="55">
        <v>2</v>
      </c>
      <c r="H15" s="55">
        <v>2</v>
      </c>
      <c r="I15" s="55">
        <v>78.430000000000007</v>
      </c>
      <c r="J15" s="55">
        <f t="shared" ref="J15:J18" si="1">H15*I15</f>
        <v>156.86000000000001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176</v>
      </c>
      <c r="E16" s="27" t="s">
        <v>199</v>
      </c>
      <c r="F16" s="55"/>
      <c r="G16" s="55">
        <v>2</v>
      </c>
      <c r="H16" s="55">
        <v>1</v>
      </c>
      <c r="I16" s="55">
        <v>38.5</v>
      </c>
      <c r="J16" s="55">
        <f t="shared" si="1"/>
        <v>38.5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185</v>
      </c>
      <c r="E17" s="27" t="s">
        <v>186</v>
      </c>
      <c r="F17" s="55"/>
      <c r="G17" s="55">
        <v>2</v>
      </c>
      <c r="H17" s="55">
        <v>2</v>
      </c>
      <c r="I17" s="55">
        <v>31.46</v>
      </c>
      <c r="J17" s="55">
        <f t="shared" si="1"/>
        <v>62.92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194</v>
      </c>
      <c r="D18" s="27" t="s">
        <v>195</v>
      </c>
      <c r="E18" s="27" t="s">
        <v>200</v>
      </c>
      <c r="F18" s="55"/>
      <c r="G18" s="55">
        <v>2</v>
      </c>
      <c r="H18" s="55">
        <v>1</v>
      </c>
      <c r="I18" s="55">
        <v>129.80000000000001</v>
      </c>
      <c r="J18" s="55">
        <f t="shared" si="1"/>
        <v>129.80000000000001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G16" sqref="G16: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29</v>
      </c>
      <c r="E16" s="55">
        <v>1</v>
      </c>
      <c r="F16" s="55">
        <v>4.4000000000000004</v>
      </c>
      <c r="G16" s="55">
        <f>E16*F16</f>
        <v>4.4000000000000004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201</v>
      </c>
      <c r="D17" s="70" t="s">
        <v>29</v>
      </c>
      <c r="E17" s="55">
        <v>6</v>
      </c>
      <c r="F17" s="55">
        <v>6.6</v>
      </c>
      <c r="G17" s="55">
        <f t="shared" ref="G17:G24" si="0">E17*F17</f>
        <v>39.599999999999994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11</v>
      </c>
      <c r="F18" s="55">
        <v>5.5</v>
      </c>
      <c r="G18" s="55">
        <f t="shared" si="0"/>
        <v>60.5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29</v>
      </c>
      <c r="E19" s="55">
        <v>10</v>
      </c>
      <c r="F19" s="55">
        <v>3.1</v>
      </c>
      <c r="G19" s="55">
        <f t="shared" si="0"/>
        <v>31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29</v>
      </c>
      <c r="E20" s="55">
        <v>30</v>
      </c>
      <c r="F20" s="55">
        <v>2.5299999999999998</v>
      </c>
      <c r="G20" s="55">
        <f t="shared" si="0"/>
        <v>75.899999999999991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29</v>
      </c>
      <c r="E21" s="55">
        <v>2</v>
      </c>
      <c r="F21" s="55">
        <v>60.5</v>
      </c>
      <c r="G21" s="55">
        <f t="shared" si="0"/>
        <v>121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202</v>
      </c>
      <c r="D22" s="70" t="s">
        <v>29</v>
      </c>
      <c r="E22" s="55">
        <v>1</v>
      </c>
      <c r="F22" s="55">
        <v>3.74</v>
      </c>
      <c r="G22" s="55">
        <f t="shared" si="0"/>
        <v>3.74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203</v>
      </c>
      <c r="D23" s="70" t="s">
        <v>29</v>
      </c>
      <c r="E23" s="55">
        <v>1</v>
      </c>
      <c r="F23" s="55">
        <v>34.1</v>
      </c>
      <c r="G23" s="55">
        <f t="shared" ref="G23" si="1">E23*F23</f>
        <v>34.1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184</v>
      </c>
      <c r="D24" s="70" t="s">
        <v>29</v>
      </c>
      <c r="E24" s="55">
        <v>1</v>
      </c>
      <c r="F24" s="55">
        <v>6.28</v>
      </c>
      <c r="G24" s="55">
        <f t="shared" si="0"/>
        <v>6.28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78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30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AGE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2018-06-08T05:37:43Z</dcterms:modified>
</cp:coreProperties>
</file>