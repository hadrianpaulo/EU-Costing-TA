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Data Collection\PTB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20490" windowHeight="765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Supplies_Medical'!$C$15:$C$53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Drugs&amp;Med'!$B$2:$J$35</definedName>
  </definedNames>
  <calcPr calcId="152511"/>
</workbook>
</file>

<file path=xl/calcChain.xml><?xml version="1.0" encoding="utf-8"?>
<calcChain xmlns="http://schemas.openxmlformats.org/spreadsheetml/2006/main">
  <c r="G25" i="9" l="1"/>
  <c r="F25" i="9"/>
  <c r="G24" i="9"/>
  <c r="G16" i="9"/>
  <c r="G17" i="9"/>
  <c r="I15" i="2"/>
  <c r="I13" i="2"/>
  <c r="J18" i="2"/>
  <c r="J19" i="2"/>
  <c r="J20" i="2"/>
  <c r="J21" i="2"/>
  <c r="J22" i="2"/>
  <c r="G18" i="9" l="1"/>
  <c r="G19" i="9"/>
  <c r="G20" i="9"/>
  <c r="G21" i="9"/>
  <c r="G22" i="9"/>
  <c r="G23" i="9"/>
  <c r="J12" i="2"/>
  <c r="J13" i="2"/>
  <c r="J14" i="2"/>
  <c r="J15" i="2"/>
  <c r="J16" i="2"/>
  <c r="J17" i="2"/>
  <c r="J11" i="2"/>
  <c r="J34" i="2" l="1"/>
  <c r="J27" i="2"/>
  <c r="J33" i="2" l="1"/>
  <c r="J32" i="2"/>
  <c r="J31" i="2"/>
  <c r="J30" i="2"/>
  <c r="J29" i="2"/>
  <c r="J28" i="2"/>
  <c r="J23" i="2" l="1"/>
  <c r="J24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<sst xmlns="http://schemas.openxmlformats.org/spreadsheetml/2006/main" count="505" uniqueCount="207">
  <si>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</si>
  <si>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</si>
  <si>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</si>
  <si>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</si>
  <si>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</si>
  <si>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</si>
  <si>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</si>
  <si>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</si>
  <si>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</si>
  <si>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</si>
  <si>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</si>
  <si>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</si>
  <si>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</si>
  <si>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</si>
  <si>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</si>
  <si>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</si>
  <si>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</si>
  <si>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</si>
  <si>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</si>
  <si>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</si>
  <si>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</si>
  <si>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</si>
  <si>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</si>
  <si>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</si>
  <si>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</si>
  <si>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</si>
  <si>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</si>
  <si>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</si>
  <si>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</si>
  <si>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</si>
  <si>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</si>
  <si>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</si>
  <si>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</si>
  <si>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</si>
  <si>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</si>
  <si>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</si>
  <si>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</si>
  <si>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</si>
  <si>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</si>
  <si>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</si>
  <si>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</si>
  <si>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</si>
  <si>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</si>
  <si>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</si>
  <si>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</si>
  <si>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</si>
  <si>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</si>
  <si>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</si>
  <si>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</si>
  <si>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</si>
  <si>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</si>
  <si>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</si>
  <si>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</si>
  <si>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</si>
  <si>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</si>
  <si>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</si>
  <si>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</si>
  <si>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</si>
  <si>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</si>
  <si>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</si>
  <si>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</si>
  <si>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</si>
  <si>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</si>
  <si>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</si>
  <si>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</si>
  <si>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</si>
  <si>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</si>
  <si>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</si>
  <si>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</si>
  <si>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</si>
  <si>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</si>
  <si>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</si>
  <si>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</si>
  <si>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</si>
  <si>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</si>
  <si>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</si>
  <si>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</si>
  <si>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</si>
  <si>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</si>
  <si>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</si>
  <si>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</si>
  <si>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</si>
  <si>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</si>
  <si>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</si>
  <si>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</si>
  <si>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</si>
  <si>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</si>
  <si>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</si>
  <si>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</si>
  <si>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</si>
  <si>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</si>
  <si>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</si>
  <si>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</si>
  <si>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</si>
  <si>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</si>
  <si>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</si>
  <si>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</si>
  <si>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</si>
  <si>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</si>
  <si>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</si>
  <si>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</si>
  <si>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</si>
  <si>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</si>
  <si>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</si>
  <si>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</si>
  <si>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</si>
  <si>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</si>
  <si>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</si>
  <si>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</si>
  <si>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</si>
  <si>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</si>
  <si>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</si>
  <si>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</si>
  <si>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</si>
  <si>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</si>
  <si>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</si>
  <si>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</si>
  <si>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</si>
  <si>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</si>
  <si>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</si>
  <si>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</si>
  <si>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</si>
  <si>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</si>
  <si>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</si>
  <si>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</si>
  <si>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</si>
  <si>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</si>
  <si>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</si>
  <si>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</si>
  <si>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</si>
  <si>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</si>
  <si>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</si>
  <si>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</si>
  <si>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</si>
  <si>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</si>
  <si>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</si>
  <si>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</si>
  <si>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</si>
  <si>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</si>
  <si>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</si>
  <si>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</si>
  <si>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</si>
  <si>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</si>
  <si>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</si>
  <si>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</si>
  <si>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</si>
  <si>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</si>
  <si>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</si>
  <si>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</si>
  <si>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</si>
  <si>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</si>
  <si>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</si>
  <si>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</si>
  <si>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</si>
  <si>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</si>
  <si>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</si>
  <si>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</si>
  <si>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</si>
  <si>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</si>
  <si>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</si>
  <si>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</si>
  <si>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</si>
  <si>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</si>
  <si>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</si>
  <si>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</si>
  <si>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</si>
  <si>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Drugs and Medicines (cons)</t>
  </si>
  <si>
    <t>Medical Supplies (cons)</t>
  </si>
  <si>
    <t>Laboratory Exam</t>
  </si>
  <si>
    <t>Garbage Fee</t>
  </si>
  <si>
    <t>Room and Board</t>
  </si>
  <si>
    <t>Professional Fee</t>
  </si>
  <si>
    <t>bottle</t>
  </si>
  <si>
    <t>vial</t>
  </si>
  <si>
    <t>3cc</t>
  </si>
  <si>
    <t>5cc</t>
  </si>
  <si>
    <t>10cc</t>
  </si>
  <si>
    <t>Clean Gloves</t>
  </si>
  <si>
    <t>Radiology</t>
  </si>
  <si>
    <t>ampul</t>
  </si>
  <si>
    <t>Hema Package 1(CBC, Platelet Count)</t>
  </si>
  <si>
    <t>CHEST PA</t>
  </si>
  <si>
    <t>tablet</t>
  </si>
  <si>
    <t>Disposable Mask</t>
  </si>
  <si>
    <t>THERMOMETER</t>
  </si>
  <si>
    <t>Macroset</t>
  </si>
  <si>
    <t>ID BRACELET</t>
  </si>
  <si>
    <t>PTB</t>
  </si>
  <si>
    <t>A16.2</t>
  </si>
  <si>
    <t>Blood Typing + Rh Factor</t>
  </si>
  <si>
    <t>Cefuroxime Sodium</t>
  </si>
  <si>
    <t>Azithromycin Monhydrate</t>
  </si>
  <si>
    <t>Tranexamic Acid</t>
  </si>
  <si>
    <t>D5LRS</t>
  </si>
  <si>
    <t>Butamirate Citrate</t>
  </si>
  <si>
    <t>Acetylcysteine Effervescent</t>
  </si>
  <si>
    <t>Paracetamol</t>
  </si>
  <si>
    <t>750mg</t>
  </si>
  <si>
    <t>500mg</t>
  </si>
  <si>
    <t>capsule</t>
  </si>
  <si>
    <t>1000ml</t>
  </si>
  <si>
    <t>50mg</t>
  </si>
  <si>
    <t>500mg/5ml</t>
  </si>
  <si>
    <t>dispersable tablet</t>
  </si>
  <si>
    <t>600mg</t>
  </si>
  <si>
    <t>IV Cath G.24</t>
  </si>
  <si>
    <t>1cc/tbs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</si>
</sst>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9" fontId="10" fillId="5" borderId="21" xfId="0" applyNumberFormat="1" applyFont="1" applyFill="1" applyBorder="1" applyAlignment="1" applyProtection="1">
      <alignment wrapText="1"/>
      <protection locked="0"/>
    </xf>
    <xf numFmtId="10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32</xdr:row>
          <xdr:rowOff>28575</xdr:rowOff>
        </xdr:from>
        <xdr:to>
          <xdr:col>1</xdr:col>
          <xdr:colOff>762000</xdr:colOff>
          <xdr:row>32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32</xdr:row>
          <xdr:rowOff>28575</xdr:rowOff>
        </xdr:from>
        <xdr:to>
          <xdr:col>1</xdr:col>
          <xdr:colOff>1533525</xdr:colOff>
          <xdr:row>32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43</xdr:row>
          <xdr:rowOff>28575</xdr:rowOff>
        </xdr:from>
        <xdr:to>
          <xdr:col>1</xdr:col>
          <xdr:colOff>771525</xdr:colOff>
          <xdr:row>43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43</xdr:row>
          <xdr:rowOff>28575</xdr:rowOff>
        </xdr:from>
        <xdr:to>
          <xdr:col>1</xdr:col>
          <xdr:colOff>1543050</xdr:colOff>
          <xdr:row>43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3" zoomScaleNormal="100" workbookViewId="0">
      <selection activeCell="E68" sqref="E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187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62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63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54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45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189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181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46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47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55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57</v>
      </c>
      <c r="C61" s="17" t="s">
        <v>53</v>
      </c>
      <c r="D61" s="17" t="s">
        <v>58</v>
      </c>
      <c r="E61" s="18" t="s">
        <v>59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166</v>
      </c>
      <c r="D62" s="55">
        <v>1867.08</v>
      </c>
      <c r="E62" s="55">
        <v>466.79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167</v>
      </c>
      <c r="D63" s="55">
        <v>364.62</v>
      </c>
      <c r="E63" s="55">
        <v>91.16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168</v>
      </c>
      <c r="D64" s="55">
        <v>320</v>
      </c>
      <c r="E64" s="55">
        <v>80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178</v>
      </c>
      <c r="D65" s="55">
        <v>128</v>
      </c>
      <c r="E65" s="55">
        <v>32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 t="s">
        <v>169</v>
      </c>
      <c r="D66" s="55">
        <v>16</v>
      </c>
      <c r="E66" s="55">
        <v>4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 t="s">
        <v>170</v>
      </c>
      <c r="D67" s="55">
        <v>320</v>
      </c>
      <c r="E67" s="55">
        <v>80</v>
      </c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 t="s">
        <v>171</v>
      </c>
      <c r="D68" s="55">
        <v>2940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5955.7</v>
      </c>
      <c r="E73" s="59">
        <f>SUM(E62:E72)</f>
        <v>753.95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jipG+HJDeXxmlw8gi6lBYx5jOk/+JL+xWpdOPFHldyNrJmm1HTLeY19BZtcYjyCSWeY8RNbeNpsvmACno73v9g==" saltValue="vl+Du77Piq7gdXx9W3u5Tg==" spinCount="100000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5"/>
  <sheetViews>
    <sheetView topLeftCell="B5" workbookViewId="0">
      <selection activeCell="J11" sqref="J11:J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4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PTB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24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66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190</v>
      </c>
      <c r="D11" s="27" t="s">
        <v>173</v>
      </c>
      <c r="E11" s="115" t="s">
        <v>197</v>
      </c>
      <c r="F11" s="55"/>
      <c r="G11" s="55">
        <v>2</v>
      </c>
      <c r="H11" s="55">
        <v>6</v>
      </c>
      <c r="I11" s="55">
        <v>52.8</v>
      </c>
      <c r="J11" s="55">
        <f>H11*I11</f>
        <v>316.79999999999995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182</v>
      </c>
      <c r="E12" s="27" t="s">
        <v>198</v>
      </c>
      <c r="F12" s="55"/>
      <c r="G12" s="55">
        <v>2</v>
      </c>
      <c r="H12" s="55">
        <v>5</v>
      </c>
      <c r="I12" s="55">
        <v>107.8</v>
      </c>
      <c r="J12" s="55">
        <f t="shared" ref="J12:J22" si="0">H12*I12</f>
        <v>539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6" t="s">
        <v>192</v>
      </c>
      <c r="D13" s="27" t="s">
        <v>199</v>
      </c>
      <c r="E13" s="115" t="s">
        <v>198</v>
      </c>
      <c r="F13" s="55"/>
      <c r="G13" s="55">
        <v>2</v>
      </c>
      <c r="H13" s="55">
        <v>9</v>
      </c>
      <c r="I13" s="55">
        <f>133.65/9</f>
        <v>14.850000000000001</v>
      </c>
      <c r="J13" s="55">
        <f t="shared" si="0"/>
        <v>133.65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193</v>
      </c>
      <c r="D14" s="27" t="s">
        <v>172</v>
      </c>
      <c r="E14" s="27" t="s">
        <v>200</v>
      </c>
      <c r="F14" s="55"/>
      <c r="G14" s="55">
        <v>2</v>
      </c>
      <c r="H14" s="55">
        <v>2</v>
      </c>
      <c r="I14" s="55">
        <v>78.430000000000007</v>
      </c>
      <c r="J14" s="55">
        <f t="shared" si="0"/>
        <v>156.86000000000001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194</v>
      </c>
      <c r="D15" s="27" t="s">
        <v>182</v>
      </c>
      <c r="E15" s="27" t="s">
        <v>201</v>
      </c>
      <c r="F15" s="55"/>
      <c r="G15" s="55">
        <v>2</v>
      </c>
      <c r="H15" s="55">
        <v>21</v>
      </c>
      <c r="I15" s="55">
        <f>346.5/21</f>
        <v>16.5</v>
      </c>
      <c r="J15" s="55">
        <f t="shared" si="0"/>
        <v>346.5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192</v>
      </c>
      <c r="D16" s="27" t="s">
        <v>179</v>
      </c>
      <c r="E16" s="27" t="s">
        <v>202</v>
      </c>
      <c r="F16" s="55"/>
      <c r="G16" s="55">
        <v>2</v>
      </c>
      <c r="H16" s="55">
        <v>7</v>
      </c>
      <c r="I16" s="55">
        <v>82.28</v>
      </c>
      <c r="J16" s="55">
        <f t="shared" si="0"/>
        <v>575.96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195</v>
      </c>
      <c r="D17" s="27" t="s">
        <v>203</v>
      </c>
      <c r="E17" s="27" t="s">
        <v>204</v>
      </c>
      <c r="F17" s="55"/>
      <c r="G17" s="55">
        <v>2</v>
      </c>
      <c r="H17" s="55">
        <v>4</v>
      </c>
      <c r="I17" s="55">
        <v>66</v>
      </c>
      <c r="J17" s="55">
        <f t="shared" si="0"/>
        <v>264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 t="s">
        <v>196</v>
      </c>
      <c r="D18" s="27" t="s">
        <v>182</v>
      </c>
      <c r="E18" s="27" t="s">
        <v>198</v>
      </c>
      <c r="F18" s="55"/>
      <c r="G18" s="55">
        <v>2</v>
      </c>
      <c r="H18" s="55">
        <v>1</v>
      </c>
      <c r="I18" s="55">
        <v>1.1000000000000001</v>
      </c>
      <c r="J18" s="55">
        <f t="shared" si="0"/>
        <v>1.1000000000000001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ref="J23:J33" si="1">H23*I23</f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1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1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1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1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1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 t="shared" si="1"/>
        <v>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>
        <f t="shared" si="1"/>
        <v>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>
        <f t="shared" si="1"/>
        <v>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>
        <f t="shared" si="1"/>
        <v>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20" ht="12.75" customHeight="1" x14ac:dyDescent="0.3">
      <c r="B33" s="42">
        <v>23</v>
      </c>
      <c r="C33" s="27"/>
      <c r="D33" s="27"/>
      <c r="E33" s="27"/>
      <c r="F33" s="55"/>
      <c r="G33" s="55"/>
      <c r="H33" s="55"/>
      <c r="I33" s="55"/>
      <c r="J33" s="55">
        <f t="shared" si="1"/>
        <v>0</v>
      </c>
      <c r="K33" s="34"/>
      <c r="L33" s="34"/>
      <c r="M33" s="34"/>
      <c r="N33" s="34"/>
      <c r="O33" s="34"/>
      <c r="P33" s="34"/>
      <c r="Q33" s="34"/>
      <c r="R33" s="34"/>
      <c r="S33" s="34"/>
      <c r="T33" s="34"/>
    </row>
    <row r="34" spans="1:20" ht="12.75" customHeight="1" x14ac:dyDescent="0.3">
      <c r="B34" s="42">
        <v>24</v>
      </c>
      <c r="C34" s="27"/>
      <c r="D34" s="27"/>
      <c r="E34" s="27"/>
      <c r="F34" s="55"/>
      <c r="G34" s="55"/>
      <c r="H34" s="55"/>
      <c r="I34" s="55"/>
      <c r="J34" s="55">
        <f t="shared" ref="J34" si="2">H34*I34</f>
        <v>0</v>
      </c>
      <c r="K34" s="34"/>
      <c r="L34" s="34"/>
      <c r="M34" s="34"/>
      <c r="N34" s="34"/>
      <c r="O34" s="34"/>
      <c r="P34" s="34"/>
      <c r="Q34" s="34"/>
      <c r="R34" s="34"/>
      <c r="S34" s="34"/>
      <c r="T34" s="34"/>
    </row>
    <row r="35" spans="1:20" ht="12.75" customHeight="1" x14ac:dyDescent="0.25">
      <c r="A35" s="33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</row>
    <row r="36" spans="1:20" ht="15.75" customHeight="1" x14ac:dyDescent="0.25"/>
    <row r="37" spans="1:20" ht="15.75" customHeight="1" x14ac:dyDescent="0.25"/>
    <row r="38" spans="1:20" ht="15.75" customHeight="1" x14ac:dyDescent="0.25"/>
    <row r="39" spans="1:20" ht="15.75" customHeight="1" x14ac:dyDescent="0.25"/>
    <row r="40" spans="1:20" ht="15.75" customHeight="1" x14ac:dyDescent="0.25"/>
    <row r="41" spans="1:20" ht="15.75" customHeight="1" x14ac:dyDescent="0.25"/>
    <row r="42" spans="1:20" ht="15.75" customHeight="1" x14ac:dyDescent="0.25"/>
    <row r="43" spans="1:20" ht="15.75" customHeight="1" x14ac:dyDescent="0.25"/>
    <row r="44" spans="1:20" ht="15.75" customHeight="1" x14ac:dyDescent="0.25"/>
    <row r="45" spans="1:20" ht="15.75" customHeight="1" x14ac:dyDescent="0.25"/>
    <row r="46" spans="1:20" ht="15.75" customHeight="1" x14ac:dyDescent="0.25"/>
    <row r="47" spans="1:20" ht="15.75" customHeight="1" x14ac:dyDescent="0.25"/>
    <row r="48" spans="1:2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</sheetData>
  <sheetProtection algorithmName="SHA-512" hashValue="yaXWZVoorQfPDAtqK467GB7puOvs1vsuo3iJccbk1kXOywri5aVRgNs/rx7vmzI3bo7OzZxSWzgY9mU8QW70Rg==" saltValue="dJ6Zwdg3OZ5EdSZKTtIrV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4">
      <formula1>0</formula1>
    </dataValidation>
  </dataValidations>
  <pageMargins left="0.7" right="0.7" top="0.75" bottom="0.75" header="0" footer="0"/>
  <pageSetup paperSize="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7"/>
  <sheetViews>
    <sheetView topLeftCell="A10" workbookViewId="0">
      <selection activeCell="G16" sqref="G16:G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PTB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71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74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184</v>
      </c>
      <c r="D16" s="70" t="s">
        <v>29</v>
      </c>
      <c r="E16" s="55">
        <v>1</v>
      </c>
      <c r="F16" s="55">
        <v>80.3</v>
      </c>
      <c r="G16" s="55">
        <f t="shared" ref="G16:G23" si="0">E16*F16</f>
        <v>80.3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183</v>
      </c>
      <c r="D17" s="70" t="s">
        <v>29</v>
      </c>
      <c r="E17" s="55">
        <v>3</v>
      </c>
      <c r="F17" s="55">
        <v>4.4000000000000004</v>
      </c>
      <c r="G17" s="55">
        <f t="shared" si="0"/>
        <v>13.200000000000001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29</v>
      </c>
      <c r="E18" s="55">
        <v>13</v>
      </c>
      <c r="F18" s="55">
        <v>6.6</v>
      </c>
      <c r="G18" s="55">
        <f t="shared" si="0"/>
        <v>85.8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177</v>
      </c>
      <c r="D19" s="70" t="s">
        <v>29</v>
      </c>
      <c r="E19" s="55">
        <v>2</v>
      </c>
      <c r="F19" s="55">
        <v>3.1</v>
      </c>
      <c r="G19" s="55">
        <f t="shared" si="0"/>
        <v>6.2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176</v>
      </c>
      <c r="D20" s="70" t="s">
        <v>29</v>
      </c>
      <c r="E20" s="55">
        <v>2</v>
      </c>
      <c r="F20" s="55">
        <v>7.7</v>
      </c>
      <c r="G20" s="55">
        <f t="shared" si="0"/>
        <v>15.4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174</v>
      </c>
      <c r="D21" s="70" t="s">
        <v>29</v>
      </c>
      <c r="E21" s="55">
        <v>4</v>
      </c>
      <c r="F21" s="55">
        <v>5.5</v>
      </c>
      <c r="G21" s="55">
        <f t="shared" si="0"/>
        <v>22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205</v>
      </c>
      <c r="D22" s="70" t="s">
        <v>29</v>
      </c>
      <c r="E22" s="55">
        <v>3</v>
      </c>
      <c r="F22" s="55">
        <v>60.5</v>
      </c>
      <c r="G22" s="55">
        <f t="shared" si="0"/>
        <v>181.5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186</v>
      </c>
      <c r="D23" s="70" t="s">
        <v>29</v>
      </c>
      <c r="E23" s="55">
        <v>1</v>
      </c>
      <c r="F23" s="55">
        <v>6.28</v>
      </c>
      <c r="G23" s="55">
        <f t="shared" si="0"/>
        <v>6.28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185</v>
      </c>
      <c r="D24" s="70" t="s">
        <v>29</v>
      </c>
      <c r="E24" s="55">
        <v>1</v>
      </c>
      <c r="F24" s="55">
        <v>31.9</v>
      </c>
      <c r="G24" s="55">
        <f t="shared" ref="G24:G25" si="1">E24*F24</f>
        <v>31.9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206</v>
      </c>
      <c r="D25" s="70" t="s">
        <v>29</v>
      </c>
      <c r="E25" s="55">
        <v>2</v>
      </c>
      <c r="F25" s="55">
        <f>13.2/2</f>
        <v>6.6</v>
      </c>
      <c r="G25" s="55">
        <f t="shared" si="1"/>
        <v>13.2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8" t="s">
        <v>78</v>
      </c>
      <c r="C32" s="139"/>
      <c r="D32" s="139"/>
      <c r="E32" s="139"/>
      <c r="F32" s="139"/>
      <c r="G32" s="140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138" t="s">
        <v>30</v>
      </c>
      <c r="C43" s="139"/>
      <c r="D43" s="139"/>
      <c r="E43" s="139"/>
      <c r="F43" s="139"/>
      <c r="G43" s="140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2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3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4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5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6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7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8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9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10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7lKWP4oJWUMXAnu2K/8B5YKvCtFwNriswLhRzuJyeLUEqvLz9lfQzO7EFj0of2mdjtL7Zphuxj9okayb6lyD2Q==" saltValue="wgvmjifaJAJMtdQ5p9uqoQ==" spinCount="100000" sheet="1" objects="1" scenarios="1" formatColumns="0" formatRows="0" sort="0" autoFilter="0"/>
  <mergeCells count="9">
    <mergeCell ref="B7:G7"/>
    <mergeCell ref="B32:G32"/>
    <mergeCell ref="B43:G4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32</xdr:row>
                    <xdr:rowOff>28575</xdr:rowOff>
                  </from>
                  <to>
                    <xdr:col>1</xdr:col>
                    <xdr:colOff>762000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32</xdr:row>
                    <xdr:rowOff>28575</xdr:rowOff>
                  </from>
                  <to>
                    <xdr:col>1</xdr:col>
                    <xdr:colOff>1533525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43</xdr:row>
                    <xdr:rowOff>28575</xdr:rowOff>
                  </from>
                  <to>
                    <xdr:col>1</xdr:col>
                    <xdr:colOff>771525</xdr:colOff>
                    <xdr:row>43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43</xdr:row>
                    <xdr:rowOff>28575</xdr:rowOff>
                  </from>
                  <to>
                    <xdr:col>1</xdr:col>
                    <xdr:colOff>1543050</xdr:colOff>
                    <xdr:row>43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D13" sqref="D13:L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PTB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33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87</v>
      </c>
      <c r="N12" s="90" t="s">
        <v>88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HOMIS_CASHIER</cp:lastModifiedBy>
  <cp:lastPrinted>2018-05-30T09:08:42Z</cp:lastPrinted>
  <dcterms:created xsi:type="dcterms:W3CDTF">2018-05-11T08:46:15Z</dcterms:created>
  <dcterms:modified xsi:type="dcterms:W3CDTF">2018-06-08T05:51:41Z</dcterms:modified>
</cp:coreProperties>
</file>