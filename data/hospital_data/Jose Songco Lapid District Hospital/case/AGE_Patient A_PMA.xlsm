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<sst xmlns="http://schemas.openxmlformats.org/spreadsheetml/2006/main" count="508" uniqueCount="207">
  <si>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</si>
  <si>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</si>
  <si>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</si>
  <si>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</si>
  <si>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</si>
  <si>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</si>
  <si>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</si>
  <si>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</si>
  <si>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</si>
  <si>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</si>
  <si>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</si>
  <si>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</si>
  <si>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</si>
  <si>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</si>
  <si>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</si>
  <si>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</si>
  <si>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</si>
  <si>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250mg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</si>
  <si>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</si>
  <si>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</si>
  <si>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</si>
  <si>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</si>
  <si>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</si>
  <si>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</si>
  <si>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</si>
  <si>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</si>
  <si>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</si>
  <si>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</si>
  <si>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</si>
  <si>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</si>
  <si>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</si>
  <si>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</si>
  <si>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</si>
  <si>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</si>
  <si>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</si>
  <si>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</si>
  <si>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</si>
  <si>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</si>
  <si>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</si>
  <si>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</si>
  <si>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</si>
  <si>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</si>
  <si>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</si>
  <si>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</si>
  <si>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</si>
  <si>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</si>
  <si>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</si>
  <si>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</si>
  <si>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</si>
  <si>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</si>
  <si>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</si>
  <si>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</si>
  <si>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</si>
  <si>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</si>
  <si>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</si>
  <si>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</si>
  <si>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</si>
  <si>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</si>
  <si>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</si>
  <si>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</si>
  <si>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</si>
  <si>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</si>
  <si>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</si>
  <si>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</si>
  <si>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</si>
  <si>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</si>
  <si>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</si>
  <si>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</si>
  <si>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</si>
  <si>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</si>
  <si>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</si>
  <si>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</si>
  <si>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</si>
  <si>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</si>
  <si>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</si>
  <si>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</si>
  <si>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</si>
  <si>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</si>
  <si>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</si>
  <si>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</si>
  <si>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</si>
  <si>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</si>
  <si>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</si>
  <si>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</si>
  <si>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</si>
  <si>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</si>
  <si>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</si>
  <si>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</si>
  <si>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</si>
  <si>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</si>
  <si>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</si>
  <si>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</si>
  <si>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</si>
  <si>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</si>
  <si>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</si>
  <si>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</si>
  <si>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</si>
  <si>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</si>
  <si>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</si>
  <si>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</si>
  <si>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</si>
  <si>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</si>
  <si>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</si>
  <si>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</si>
  <si>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</si>
  <si>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</si>
  <si>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</si>
  <si>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</si>
  <si>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</si>
  <si>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</si>
  <si>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</si>
  <si>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</si>
  <si>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</si>
  <si>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</si>
  <si>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</si>
  <si>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</si>
  <si>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</si>
  <si>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</si>
  <si>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</si>
  <si>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</si>
  <si>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</si>
  <si>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</si>
  <si>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</si>
  <si>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</si>
  <si>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</si>
  <si>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</si>
  <si>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</si>
  <si>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</si>
  <si>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</si>
  <si>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</si>
  <si>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</si>
  <si>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</si>
  <si>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</si>
  <si>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</si>
  <si>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</si>
  <si>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</si>
  <si>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</si>
  <si>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</si>
  <si>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</si>
  <si>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</si>
  <si>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</si>
  <si>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</si>
  <si>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</si>
  <si>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</si>
  <si>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</si>
  <si>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</si>
  <si>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</si>
  <si>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</si>
  <si>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</si>
  <si>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</si>
  <si>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</si>
  <si>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</si>
  <si>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</si>
  <si>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</si>
  <si>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</si>
  <si>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</si>
  <si>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</si>
  <si>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</si>
  <si>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</si>
  <si>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</si>
  <si>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</si>
  <si>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</si>
  <si>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</si>
  <si>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</si>
  <si>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</si>
  <si>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</si>
  <si>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</si>
  <si>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</si>
  <si>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</si>
  <si>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HEMA PACKAGE 1 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</si>
  <si>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</si>
  <si>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</si>
  <si>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</si>
  <si>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</si>
  <si>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</si>
  <si>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</si>
  <si>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Zinc Sulfate</t>
  </si>
  <si>
    <t>drops</t>
  </si>
  <si>
    <t>27.50mg/mL</t>
  </si>
  <si>
    <t>Lactobacillus Sporogenes</t>
  </si>
  <si>
    <t>bottle</t>
  </si>
  <si>
    <t>Ampicillin Sodium</t>
  </si>
  <si>
    <t>vial</t>
  </si>
  <si>
    <t>50g</t>
  </si>
  <si>
    <t>Lactated Ringer's Solution</t>
  </si>
  <si>
    <t>1000mL</t>
  </si>
  <si>
    <t>500mg</t>
  </si>
  <si>
    <t>5% Dextrose in 0.3% Sodium Chloride</t>
  </si>
  <si>
    <t>500mL</t>
  </si>
  <si>
    <t>Balanced Multiple Maintenance Solution</t>
  </si>
  <si>
    <t>Metronidazole</t>
  </si>
  <si>
    <t>500mg/100ml</t>
  </si>
  <si>
    <t>suspension</t>
  </si>
  <si>
    <t>125mg/mL</t>
  </si>
  <si>
    <t>Racecadotril</t>
  </si>
  <si>
    <t>sachet</t>
  </si>
  <si>
    <t>10mg</t>
  </si>
  <si>
    <t>Disposable Mask</t>
  </si>
  <si>
    <t>1cc/tbs</t>
  </si>
  <si>
    <t>3cc</t>
  </si>
  <si>
    <t>Clean Gloves</t>
  </si>
  <si>
    <t>Surgical Gauze</t>
  </si>
  <si>
    <t>IV Cath G. 24</t>
  </si>
  <si>
    <t>IV Cath G. 26</t>
  </si>
  <si>
    <t>Neonate - U.bag</t>
  </si>
  <si>
    <t>ID Bracelet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</si>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</sst>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2241.1999999999998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1214.28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250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/>
      <c r="E63" s="55">
        <v>60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494.52</v>
      </c>
      <c r="E64" s="55">
        <v>705.48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6000</v>
      </c>
      <c r="E71" s="59">
        <f>SUM(E60:E70)</f>
        <v>765.48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21" sqref="H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177</v>
      </c>
      <c r="E11" s="27" t="s">
        <v>178</v>
      </c>
      <c r="F11" s="55"/>
      <c r="G11" s="55">
        <v>6</v>
      </c>
      <c r="H11" s="55">
        <v>1</v>
      </c>
      <c r="I11" s="55">
        <v>92.4</v>
      </c>
      <c r="J11" s="55">
        <f>H11*I11</f>
        <v>92.4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 t="s">
        <v>183</v>
      </c>
      <c r="F12" s="55"/>
      <c r="G12" s="55">
        <v>6</v>
      </c>
      <c r="H12" s="55">
        <v>1</v>
      </c>
      <c r="I12" s="55">
        <v>399.3</v>
      </c>
      <c r="J12" s="55">
        <f t="shared" ref="J12:J26" si="0">H12*I12</f>
        <v>399.3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182</v>
      </c>
      <c r="E13" s="27" t="s">
        <v>17</v>
      </c>
      <c r="F13" s="55"/>
      <c r="G13" s="55">
        <v>6</v>
      </c>
      <c r="H13" s="55">
        <v>2</v>
      </c>
      <c r="I13" s="55">
        <v>20.350000000000001</v>
      </c>
      <c r="J13" s="55">
        <f t="shared" si="0"/>
        <v>40.700000000000003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180</v>
      </c>
      <c r="E14" s="27" t="s">
        <v>185</v>
      </c>
      <c r="F14" s="55"/>
      <c r="G14" s="55">
        <v>6</v>
      </c>
      <c r="H14" s="55">
        <v>1</v>
      </c>
      <c r="I14" s="55">
        <v>78.430000000000007</v>
      </c>
      <c r="J14" s="55">
        <f t="shared" si="0"/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182</v>
      </c>
      <c r="E15" s="27" t="s">
        <v>186</v>
      </c>
      <c r="F15" s="55"/>
      <c r="G15" s="55">
        <v>6</v>
      </c>
      <c r="H15" s="55">
        <v>11</v>
      </c>
      <c r="I15" s="55">
        <v>21.01</v>
      </c>
      <c r="J15" s="55">
        <f t="shared" si="0"/>
        <v>231.11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180</v>
      </c>
      <c r="E16" s="27" t="s">
        <v>188</v>
      </c>
      <c r="F16" s="55"/>
      <c r="G16" s="55">
        <v>6</v>
      </c>
      <c r="H16" s="55">
        <v>2</v>
      </c>
      <c r="I16" s="55">
        <v>78.430000000000007</v>
      </c>
      <c r="J16" s="55">
        <f t="shared" si="0"/>
        <v>156.86000000000001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180</v>
      </c>
      <c r="E17" s="27" t="s">
        <v>188</v>
      </c>
      <c r="F17" s="55"/>
      <c r="G17" s="55">
        <v>6</v>
      </c>
      <c r="H17" s="55">
        <v>4</v>
      </c>
      <c r="I17" s="55">
        <v>78.430000000000007</v>
      </c>
      <c r="J17" s="55">
        <f t="shared" si="0"/>
        <v>313.72000000000003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190</v>
      </c>
      <c r="D18" s="27" t="s">
        <v>182</v>
      </c>
      <c r="E18" s="27" t="s">
        <v>191</v>
      </c>
      <c r="F18" s="55"/>
      <c r="G18" s="55">
        <v>6</v>
      </c>
      <c r="H18" s="55">
        <v>3</v>
      </c>
      <c r="I18" s="55">
        <v>44</v>
      </c>
      <c r="J18" s="55">
        <f t="shared" si="0"/>
        <v>132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190</v>
      </c>
      <c r="D19" s="27" t="s">
        <v>192</v>
      </c>
      <c r="E19" s="27" t="s">
        <v>193</v>
      </c>
      <c r="F19" s="55"/>
      <c r="G19" s="55">
        <v>6</v>
      </c>
      <c r="H19" s="55">
        <v>1</v>
      </c>
      <c r="I19" s="55">
        <v>34.380000000000003</v>
      </c>
      <c r="J19" s="55">
        <f t="shared" si="0"/>
        <v>34.380000000000003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194</v>
      </c>
      <c r="D20" s="27" t="s">
        <v>195</v>
      </c>
      <c r="E20" s="27" t="s">
        <v>196</v>
      </c>
      <c r="F20" s="55"/>
      <c r="G20" s="55">
        <v>6</v>
      </c>
      <c r="H20" s="55">
        <v>14</v>
      </c>
      <c r="I20" s="55">
        <v>54.45</v>
      </c>
      <c r="J20" s="55">
        <f t="shared" si="0"/>
        <v>762.30000000000007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H20" sqref="H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197</v>
      </c>
      <c r="D16" s="70" t="s">
        <v>30</v>
      </c>
      <c r="E16" s="55">
        <v>4</v>
      </c>
      <c r="F16" s="55">
        <v>4.4000000000000004</v>
      </c>
      <c r="G16" s="55">
        <f>E16*F16</f>
        <v>17.600000000000001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198</v>
      </c>
      <c r="D17" s="70" t="s">
        <v>30</v>
      </c>
      <c r="E17" s="55">
        <v>4</v>
      </c>
      <c r="F17" s="55">
        <v>6.6</v>
      </c>
      <c r="G17" s="55">
        <f t="shared" ref="G17:G25" si="0">E17*F17</f>
        <v>26.4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199</v>
      </c>
      <c r="D18" s="70" t="s">
        <v>30</v>
      </c>
      <c r="E18" s="55">
        <v>25</v>
      </c>
      <c r="F18" s="55">
        <v>5.5</v>
      </c>
      <c r="G18" s="55">
        <f t="shared" si="0"/>
        <v>137.5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200</v>
      </c>
      <c r="D19" s="70" t="s">
        <v>30</v>
      </c>
      <c r="E19" s="55">
        <v>10</v>
      </c>
      <c r="F19" s="55">
        <v>3.1</v>
      </c>
      <c r="G19" s="55">
        <f t="shared" si="0"/>
        <v>31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201</v>
      </c>
      <c r="D20" s="70" t="s">
        <v>30</v>
      </c>
      <c r="E20" s="55">
        <v>10</v>
      </c>
      <c r="F20" s="55">
        <v>2.5299999999999998</v>
      </c>
      <c r="G20" s="55">
        <f t="shared" si="0"/>
        <v>25.299999999999997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202</v>
      </c>
      <c r="D21" s="70" t="s">
        <v>30</v>
      </c>
      <c r="E21" s="55">
        <v>3</v>
      </c>
      <c r="F21" s="55">
        <v>60.5</v>
      </c>
      <c r="G21" s="55">
        <f t="shared" si="0"/>
        <v>181.5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 t="s">
        <v>30</v>
      </c>
      <c r="E22" s="55">
        <v>3</v>
      </c>
      <c r="F22" s="55">
        <v>60.5</v>
      </c>
      <c r="G22" s="55">
        <f t="shared" si="0"/>
        <v>181.5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204</v>
      </c>
      <c r="D23" s="70" t="s">
        <v>30</v>
      </c>
      <c r="E23" s="55">
        <v>2</v>
      </c>
      <c r="F23" s="55">
        <v>6.6</v>
      </c>
      <c r="G23" s="55">
        <f t="shared" si="0"/>
        <v>13.2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205</v>
      </c>
      <c r="D24" s="70" t="s">
        <v>30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206</v>
      </c>
      <c r="D25" s="70" t="s">
        <v>30</v>
      </c>
      <c r="E25" s="55">
        <v>3</v>
      </c>
      <c r="F25" s="55">
        <v>198</v>
      </c>
      <c r="G25" s="55">
        <f t="shared" si="0"/>
        <v>594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31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2018-06-08T05:36:56Z</dcterms:modified>
</cp:coreProperties>
</file>