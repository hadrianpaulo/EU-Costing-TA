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MI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Drugs&amp;Med'!$B$2:$J$36</definedName>
  </definedNames>
  <calcPr calcId="152511"/>
</workbook>
</file>

<file path=xl/calcChain.xml><?xml version="1.0" encoding="utf-8"?>
<calcChain xmlns="http://schemas.openxmlformats.org/spreadsheetml/2006/main">
  <c r="G25" i="9" l="1"/>
  <c r="G24" i="9"/>
  <c r="G23" i="9"/>
  <c r="G22" i="9"/>
  <c r="F21" i="9"/>
  <c r="G21" i="9" s="1"/>
  <c r="G20" i="9"/>
  <c r="J31" i="2"/>
  <c r="G17" i="9" l="1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<sst xmlns="http://schemas.openxmlformats.org/spreadsheetml/2006/main" count="546" uniqueCount="231">
  <si>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</si>
  <si>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</si>
  <si>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</si>
  <si>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</si>
  <si>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</si>
  <si>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</si>
  <si>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</si>
  <si>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</si>
  <si>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</si>
  <si>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</si>
  <si>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</si>
  <si>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</si>
  <si>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</si>
  <si>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</si>
  <si>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</si>
  <si>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</si>
  <si>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</si>
  <si>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</si>
  <si>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</si>
  <si>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</si>
  <si>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</si>
  <si>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</si>
  <si>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</si>
  <si>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</si>
  <si>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</si>
  <si>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</si>
  <si>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</si>
  <si>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</si>
  <si>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</si>
  <si>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</si>
  <si>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</si>
  <si>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</si>
  <si>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</si>
  <si>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</si>
  <si>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</si>
  <si>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</si>
  <si>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</si>
  <si>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</si>
  <si>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</si>
  <si>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</si>
  <si>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</si>
  <si>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</si>
  <si>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</si>
  <si>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</si>
  <si>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</si>
  <si>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</si>
  <si>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</si>
  <si>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</si>
  <si>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</si>
  <si>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</si>
  <si>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</si>
  <si>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</si>
  <si>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</si>
  <si>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</si>
  <si>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</si>
  <si>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</si>
  <si>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</si>
  <si>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</si>
  <si>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</si>
  <si>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</si>
  <si>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</si>
  <si>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</si>
  <si>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</si>
  <si>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</si>
  <si>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</si>
  <si>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</si>
  <si>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</si>
  <si>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</si>
  <si>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</si>
  <si>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</si>
  <si>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</si>
  <si>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</si>
  <si>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</si>
  <si>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</si>
  <si>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</si>
  <si>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</si>
  <si>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</si>
  <si>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</si>
  <si>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</si>
  <si>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</si>
  <si>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</si>
  <si>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</si>
  <si>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</si>
  <si>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</si>
  <si>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</si>
  <si>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</si>
  <si>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</si>
  <si>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</si>
  <si>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</si>
  <si>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</si>
  <si>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</si>
  <si>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</si>
  <si>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</si>
  <si>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</si>
  <si>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</si>
  <si>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</si>
  <si>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</si>
  <si>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</si>
  <si>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</si>
  <si>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</si>
  <si>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</si>
  <si>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</si>
  <si>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</si>
  <si>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</si>
  <si>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</si>
  <si>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</si>
  <si>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</si>
  <si>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</si>
  <si>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</si>
  <si>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</si>
  <si>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</si>
  <si>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</si>
  <si>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</si>
  <si>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</si>
  <si>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</si>
  <si>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</si>
  <si>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</si>
  <si>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</si>
  <si>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</si>
  <si>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</si>
  <si>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</si>
  <si>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</si>
  <si>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</si>
  <si>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</si>
  <si>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</si>
  <si>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</si>
  <si>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</si>
  <si>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</si>
  <si>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</si>
  <si>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</si>
  <si>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</si>
  <si>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</si>
  <si>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</si>
  <si>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</si>
  <si>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</si>
  <si>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</si>
  <si>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</si>
  <si>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</si>
  <si>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</si>
  <si>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</si>
  <si>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</si>
  <si>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</si>
  <si>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</si>
  <si>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</si>
  <si>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</si>
  <si>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</si>
  <si>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</si>
  <si>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</si>
  <si>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</si>
  <si>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</si>
  <si>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</si>
  <si>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</si>
  <si>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</si>
  <si>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</si>
  <si>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</si>
  <si>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</si>
  <si>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</si>
  <si>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</si>
  <si>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</si>
  <si>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</si>
  <si>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</si>
  <si>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</si>
  <si>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</si>
  <si>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</si>
  <si>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</si>
  <si>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</si>
  <si>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</si>
  <si>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AMI</t>
  </si>
  <si>
    <t>I21.9</t>
  </si>
  <si>
    <t>Blood Chem 1 (FBS, BUN, CREA, BUA, LIPID PROFILE)</t>
  </si>
  <si>
    <t>Hema Package 1(CBC, Platelet Count)</t>
  </si>
  <si>
    <t>Troponin I</t>
  </si>
  <si>
    <t>Drugs and Medicines (cons)</t>
  </si>
  <si>
    <t>Medical Supplies (cons)</t>
  </si>
  <si>
    <t>Laboratory Exam</t>
  </si>
  <si>
    <t>ECG</t>
  </si>
  <si>
    <t>Garbage Fee</t>
  </si>
  <si>
    <t>Room and Board</t>
  </si>
  <si>
    <t>Professional Fee</t>
  </si>
  <si>
    <t>Clopidogrel</t>
  </si>
  <si>
    <t>Aspirin</t>
  </si>
  <si>
    <t>Esomeprazole</t>
  </si>
  <si>
    <t>Furosemide</t>
  </si>
  <si>
    <t>Lactulose</t>
  </si>
  <si>
    <t>Enoxaparin</t>
  </si>
  <si>
    <t>5% Dextrose in Water</t>
  </si>
  <si>
    <t>Captopril</t>
  </si>
  <si>
    <t>Isosorbide Dinitrate Sublingual</t>
  </si>
  <si>
    <t>Doxofylline</t>
  </si>
  <si>
    <t>tablets</t>
  </si>
  <si>
    <t>vial</t>
  </si>
  <si>
    <t>ampul</t>
  </si>
  <si>
    <t>bottle</t>
  </si>
  <si>
    <t>injectable</t>
  </si>
  <si>
    <t>75mg</t>
  </si>
  <si>
    <t>80mg</t>
  </si>
  <si>
    <t>40mg</t>
  </si>
  <si>
    <t>33g/5ml</t>
  </si>
  <si>
    <t>10mg/ml</t>
  </si>
  <si>
    <t>0.40mL</t>
  </si>
  <si>
    <t>1mg/ml</t>
  </si>
  <si>
    <t>500ml</t>
  </si>
  <si>
    <t>25mg</t>
  </si>
  <si>
    <t>5mg</t>
  </si>
  <si>
    <t>400mg</t>
  </si>
  <si>
    <t>Disposable Mask</t>
  </si>
  <si>
    <t>5cc</t>
  </si>
  <si>
    <t>3cc</t>
  </si>
  <si>
    <t>Micropore</t>
  </si>
  <si>
    <t>IV Cath G.22</t>
  </si>
  <si>
    <t>Macroset</t>
  </si>
  <si>
    <t>ID Bracelet</t>
  </si>
  <si>
    <t>Soluset</t>
  </si>
  <si>
    <t>Adult - O2 Can</t>
  </si>
  <si>
    <t>Electrolytes</t>
  </si>
  <si>
    <t>Trimetazidine</t>
  </si>
  <si>
    <t>35mg</t>
  </si>
  <si>
    <t>Tetanus Toxoid</t>
  </si>
  <si>
    <t>0.50ml</t>
  </si>
  <si>
    <t>Tramadol Hydrochloride</t>
  </si>
  <si>
    <t>50mg</t>
  </si>
  <si>
    <t>Losartan Potassium</t>
  </si>
  <si>
    <t>Pantoprazole</t>
  </si>
  <si>
    <t>Metropolol</t>
  </si>
  <si>
    <t>Atorvastatin</t>
  </si>
  <si>
    <t>Acetylcysteine Effervescent</t>
  </si>
  <si>
    <t>dispersable tablet</t>
  </si>
  <si>
    <t>600mg</t>
  </si>
  <si>
    <t>Morphine</t>
  </si>
  <si>
    <t>Isosorbide Dinitrate</t>
  </si>
  <si>
    <t>NG25/N25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</si>
</sst>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3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172</v>
      </c>
      <c r="D60" s="55">
        <v>11024.79</v>
      </c>
      <c r="E60" s="55">
        <v>2756.24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173</v>
      </c>
      <c r="D61" s="55">
        <v>361.77</v>
      </c>
      <c r="E61" s="55">
        <v>90.45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1843.44</v>
      </c>
      <c r="E63" s="55">
        <v>1576.56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/>
      <c r="E65" s="55">
        <v>200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/>
      <c r="E67" s="55">
        <v>50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5670</v>
      </c>
      <c r="E68" s="55">
        <v>1000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18900</v>
      </c>
      <c r="E71" s="59">
        <f>SUM(E60:E70)</f>
        <v>5673.25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cz/Y2CpA/vzBkhDjM+TiU3KQoi2Z6JTN7iMhtKZDiEIfthw8Ju5D25KifWCmMhvW//JoAXX/sg7/zE4ZAaWLNw==" saltValue="XBTbAA7S8oHw4jIH51P/jQ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6"/>
  <sheetViews>
    <sheetView topLeftCell="C9" workbookViewId="0">
      <selection activeCell="D33" sqref="D3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1406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AMI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189</v>
      </c>
      <c r="E11" s="27" t="s">
        <v>194</v>
      </c>
      <c r="F11" s="55"/>
      <c r="G11" s="55">
        <v>5</v>
      </c>
      <c r="H11" s="55">
        <v>13</v>
      </c>
      <c r="I11" s="55">
        <v>24.75</v>
      </c>
      <c r="J11" s="55">
        <f>H11*I11</f>
        <v>321.75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189</v>
      </c>
      <c r="E12" s="27" t="s">
        <v>195</v>
      </c>
      <c r="F12" s="55"/>
      <c r="G12" s="55">
        <v>5</v>
      </c>
      <c r="H12" s="55">
        <v>13</v>
      </c>
      <c r="I12" s="55">
        <v>2.75</v>
      </c>
      <c r="J12" s="55">
        <f t="shared" ref="J12:J31" si="0">H12*I12</f>
        <v>35.75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215</v>
      </c>
      <c r="D13" s="27" t="s">
        <v>189</v>
      </c>
      <c r="E13" s="27" t="s">
        <v>216</v>
      </c>
      <c r="F13" s="55"/>
      <c r="G13" s="55">
        <v>5</v>
      </c>
      <c r="H13" s="55">
        <v>10</v>
      </c>
      <c r="I13" s="55">
        <v>14.3</v>
      </c>
      <c r="J13" s="55">
        <f t="shared" si="0"/>
        <v>143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190</v>
      </c>
      <c r="E14" s="27" t="s">
        <v>196</v>
      </c>
      <c r="F14" s="55"/>
      <c r="G14" s="55">
        <v>5</v>
      </c>
      <c r="H14" s="55">
        <v>1</v>
      </c>
      <c r="I14" s="55">
        <v>856.9</v>
      </c>
      <c r="J14" s="55">
        <f t="shared" si="0"/>
        <v>856.9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217</v>
      </c>
      <c r="D15" s="27" t="s">
        <v>191</v>
      </c>
      <c r="E15" s="115" t="s">
        <v>218</v>
      </c>
      <c r="F15" s="55"/>
      <c r="G15" s="55">
        <v>5</v>
      </c>
      <c r="H15" s="55">
        <v>1</v>
      </c>
      <c r="I15" s="55">
        <v>115.5</v>
      </c>
      <c r="J15" s="55">
        <f t="shared" si="0"/>
        <v>115.5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219</v>
      </c>
      <c r="D16" s="27" t="s">
        <v>189</v>
      </c>
      <c r="E16" s="27" t="s">
        <v>220</v>
      </c>
      <c r="F16" s="55"/>
      <c r="G16" s="55">
        <v>5</v>
      </c>
      <c r="H16" s="55">
        <v>3</v>
      </c>
      <c r="I16" s="55">
        <v>4.95</v>
      </c>
      <c r="J16" s="55">
        <f t="shared" si="0"/>
        <v>14.850000000000001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183</v>
      </c>
      <c r="D17" s="27" t="s">
        <v>192</v>
      </c>
      <c r="E17" s="27" t="s">
        <v>197</v>
      </c>
      <c r="F17" s="55"/>
      <c r="G17" s="55">
        <v>5</v>
      </c>
      <c r="H17" s="55">
        <v>1</v>
      </c>
      <c r="I17" s="55">
        <v>247.5</v>
      </c>
      <c r="J17" s="55">
        <f t="shared" si="0"/>
        <v>247.5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182</v>
      </c>
      <c r="D18" s="27" t="s">
        <v>191</v>
      </c>
      <c r="E18" s="27" t="s">
        <v>198</v>
      </c>
      <c r="F18" s="55"/>
      <c r="G18" s="55">
        <v>5</v>
      </c>
      <c r="H18" s="55">
        <v>8</v>
      </c>
      <c r="I18" s="55">
        <v>20.9</v>
      </c>
      <c r="J18" s="55">
        <f t="shared" si="0"/>
        <v>167.2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182</v>
      </c>
      <c r="D19" s="27" t="s">
        <v>189</v>
      </c>
      <c r="E19" s="27" t="s">
        <v>196</v>
      </c>
      <c r="F19" s="55"/>
      <c r="G19" s="55">
        <v>5</v>
      </c>
      <c r="H19" s="55">
        <v>9</v>
      </c>
      <c r="I19" s="55">
        <v>1.65</v>
      </c>
      <c r="J19" s="55">
        <f t="shared" si="0"/>
        <v>14.85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221</v>
      </c>
      <c r="D20" s="27" t="s">
        <v>189</v>
      </c>
      <c r="E20" s="27" t="s">
        <v>220</v>
      </c>
      <c r="F20" s="55"/>
      <c r="G20" s="55">
        <v>5</v>
      </c>
      <c r="H20" s="55">
        <v>3</v>
      </c>
      <c r="I20" s="55">
        <v>7.7</v>
      </c>
      <c r="J20" s="55">
        <f t="shared" si="0"/>
        <v>23.1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222</v>
      </c>
      <c r="D21" s="27" t="s">
        <v>189</v>
      </c>
      <c r="E21" s="27" t="s">
        <v>196</v>
      </c>
      <c r="F21" s="55"/>
      <c r="G21" s="55">
        <v>5</v>
      </c>
      <c r="H21" s="55">
        <v>5</v>
      </c>
      <c r="I21" s="55">
        <v>149.6</v>
      </c>
      <c r="J21" s="55">
        <f t="shared" si="0"/>
        <v>748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184</v>
      </c>
      <c r="D22" s="27" t="s">
        <v>193</v>
      </c>
      <c r="E22" s="27" t="s">
        <v>199</v>
      </c>
      <c r="F22" s="55"/>
      <c r="G22" s="55">
        <v>5</v>
      </c>
      <c r="H22" s="55">
        <v>7</v>
      </c>
      <c r="I22" s="55">
        <v>1152.8</v>
      </c>
      <c r="J22" s="55">
        <f t="shared" si="0"/>
        <v>8069.5999999999995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223</v>
      </c>
      <c r="D23" s="27" t="s">
        <v>189</v>
      </c>
      <c r="E23" s="27" t="s">
        <v>220</v>
      </c>
      <c r="F23" s="55"/>
      <c r="G23" s="55">
        <v>5</v>
      </c>
      <c r="H23" s="55">
        <v>16</v>
      </c>
      <c r="I23" s="55">
        <v>4.4000000000000004</v>
      </c>
      <c r="J23" s="55">
        <f t="shared" si="0"/>
        <v>70.400000000000006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224</v>
      </c>
      <c r="D24" s="27" t="s">
        <v>189</v>
      </c>
      <c r="E24" s="27" t="s">
        <v>196</v>
      </c>
      <c r="F24" s="55"/>
      <c r="G24" s="55">
        <v>5</v>
      </c>
      <c r="H24" s="55">
        <v>13</v>
      </c>
      <c r="I24" s="55">
        <v>6.88</v>
      </c>
      <c r="J24" s="55">
        <f t="shared" si="0"/>
        <v>89.44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225</v>
      </c>
      <c r="D25" s="27" t="s">
        <v>226</v>
      </c>
      <c r="E25" s="27" t="s">
        <v>227</v>
      </c>
      <c r="F25" s="55"/>
      <c r="G25" s="55">
        <v>5</v>
      </c>
      <c r="H25" s="55">
        <v>8</v>
      </c>
      <c r="I25" s="55">
        <v>66</v>
      </c>
      <c r="J25" s="55">
        <f t="shared" si="0"/>
        <v>528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228</v>
      </c>
      <c r="D26" s="27" t="s">
        <v>191</v>
      </c>
      <c r="E26" s="27" t="s">
        <v>198</v>
      </c>
      <c r="F26" s="55"/>
      <c r="G26" s="55">
        <v>5</v>
      </c>
      <c r="H26" s="55">
        <v>1</v>
      </c>
      <c r="I26" s="55">
        <v>105.6</v>
      </c>
      <c r="J26" s="55">
        <f t="shared" si="0"/>
        <v>105.6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185</v>
      </c>
      <c r="D27" s="27" t="s">
        <v>192</v>
      </c>
      <c r="E27" s="27" t="s">
        <v>201</v>
      </c>
      <c r="F27" s="55"/>
      <c r="G27" s="55">
        <v>5</v>
      </c>
      <c r="H27" s="55">
        <v>3</v>
      </c>
      <c r="I27" s="55">
        <v>78.430000000000007</v>
      </c>
      <c r="J27" s="55">
        <f t="shared" si="0"/>
        <v>235.29000000000002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186</v>
      </c>
      <c r="D28" s="27" t="s">
        <v>189</v>
      </c>
      <c r="E28" s="27" t="s">
        <v>202</v>
      </c>
      <c r="F28" s="55"/>
      <c r="G28" s="55">
        <v>5</v>
      </c>
      <c r="H28" s="55">
        <v>16</v>
      </c>
      <c r="I28" s="55">
        <v>3.3</v>
      </c>
      <c r="J28" s="55">
        <f t="shared" si="0"/>
        <v>52.8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187</v>
      </c>
      <c r="D29" s="27" t="s">
        <v>189</v>
      </c>
      <c r="E29" s="27" t="s">
        <v>203</v>
      </c>
      <c r="F29" s="55"/>
      <c r="G29" s="55">
        <v>5</v>
      </c>
      <c r="H29" s="55">
        <v>21</v>
      </c>
      <c r="I29" s="55">
        <v>33</v>
      </c>
      <c r="J29" s="55">
        <f t="shared" si="0"/>
        <v>693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188</v>
      </c>
      <c r="D30" s="27" t="s">
        <v>189</v>
      </c>
      <c r="E30" s="27" t="s">
        <v>204</v>
      </c>
      <c r="F30" s="55"/>
      <c r="G30" s="55">
        <v>5</v>
      </c>
      <c r="H30" s="55">
        <v>5</v>
      </c>
      <c r="I30" s="55">
        <v>58.3</v>
      </c>
      <c r="J30" s="55">
        <f t="shared" si="0"/>
        <v>291.5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229</v>
      </c>
      <c r="D31" s="27" t="s">
        <v>191</v>
      </c>
      <c r="E31" s="27" t="s">
        <v>200</v>
      </c>
      <c r="F31" s="55"/>
      <c r="G31" s="55">
        <v>5</v>
      </c>
      <c r="H31" s="55">
        <v>1</v>
      </c>
      <c r="I31" s="55">
        <v>957</v>
      </c>
      <c r="J31" s="55">
        <f t="shared" si="0"/>
        <v>957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3">
      <c r="B35" s="42">
        <v>25</v>
      </c>
      <c r="C35" s="27"/>
      <c r="D35" s="27"/>
      <c r="E35" s="27"/>
      <c r="F35" s="55"/>
      <c r="G35" s="55"/>
      <c r="H35" s="55"/>
      <c r="I35" s="55"/>
      <c r="J35" s="55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ht="12.75" customHeight="1" x14ac:dyDescent="0.25">
      <c r="A36" s="33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</row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algorithmName="SHA-512" hashValue="dhnFjh9lBKEFP1xFHvej7Hh82l5Pq2bYAXhnebAy2G9FNWUyMjSfQbhJf2QkbiqgpZvXLS99bfCqCscemLHZyg==" saltValue="ce4nzdXhH9+VrN1TiUdJy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3" workbookViewId="0">
      <selection activeCell="D35" sqref="D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AMI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 t="s">
        <v>30</v>
      </c>
      <c r="E16" s="55">
        <v>1</v>
      </c>
      <c r="F16" s="55">
        <v>4.4000000000000004</v>
      </c>
      <c r="G16" s="55">
        <f>E16*F16</f>
        <v>4.4000000000000004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30</v>
      </c>
      <c r="E17" s="55">
        <v>6</v>
      </c>
      <c r="F17" s="55">
        <v>6.6</v>
      </c>
      <c r="G17" s="55">
        <f t="shared" ref="G17:G19" si="0">E17*F17</f>
        <v>39.599999999999994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30</v>
      </c>
      <c r="E18" s="55">
        <v>1</v>
      </c>
      <c r="F18" s="55">
        <v>5.5</v>
      </c>
      <c r="G18" s="55">
        <f t="shared" si="0"/>
        <v>5.5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230</v>
      </c>
      <c r="D19" s="70" t="s">
        <v>30</v>
      </c>
      <c r="E19" s="55">
        <v>1</v>
      </c>
      <c r="F19" s="55">
        <v>3.74</v>
      </c>
      <c r="G19" s="55">
        <f t="shared" si="0"/>
        <v>3.74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208</v>
      </c>
      <c r="D20" s="70" t="s">
        <v>29</v>
      </c>
      <c r="E20" s="55">
        <v>1</v>
      </c>
      <c r="F20" s="55">
        <v>59.4</v>
      </c>
      <c r="G20" s="55">
        <f t="shared" ref="G20:G25" si="1">E20*F20</f>
        <v>59.4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30</v>
      </c>
      <c r="E21" s="55">
        <v>1</v>
      </c>
      <c r="F21" s="55">
        <f>181.5/3</f>
        <v>60.5</v>
      </c>
      <c r="G21" s="55">
        <f t="shared" si="1"/>
        <v>60.5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210</v>
      </c>
      <c r="D22" s="70" t="s">
        <v>30</v>
      </c>
      <c r="E22" s="55">
        <v>1</v>
      </c>
      <c r="F22" s="55">
        <v>31.9</v>
      </c>
      <c r="G22" s="55">
        <f t="shared" si="1"/>
        <v>31.9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211</v>
      </c>
      <c r="D23" s="70" t="s">
        <v>30</v>
      </c>
      <c r="E23" s="55">
        <v>1</v>
      </c>
      <c r="F23" s="55">
        <v>6.28</v>
      </c>
      <c r="G23" s="55">
        <f t="shared" si="1"/>
        <v>6.28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212</v>
      </c>
      <c r="D24" s="70" t="s">
        <v>30</v>
      </c>
      <c r="E24" s="55">
        <v>1</v>
      </c>
      <c r="F24" s="55">
        <v>198</v>
      </c>
      <c r="G24" s="55">
        <f t="shared" si="1"/>
        <v>198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213</v>
      </c>
      <c r="D25" s="70" t="s">
        <v>30</v>
      </c>
      <c r="E25" s="55">
        <v>1</v>
      </c>
      <c r="F25" s="55">
        <v>42.9</v>
      </c>
      <c r="G25" s="55">
        <f t="shared" si="1"/>
        <v>42.9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137" t="s">
        <v>79</v>
      </c>
      <c r="C26" s="138"/>
      <c r="D26" s="138"/>
      <c r="E26" s="138"/>
      <c r="F26" s="138"/>
      <c r="G26" s="139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2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3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4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5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6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7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8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9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10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7" t="s">
        <v>31</v>
      </c>
      <c r="C37" s="138"/>
      <c r="D37" s="138"/>
      <c r="E37" s="138"/>
      <c r="F37" s="138"/>
      <c r="G37" s="139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algorithmName="SHA-512" hashValue="Z5VUhgElxnyeMdal2Bs6y3yUrcAki4yxQNXZQ8OKjTYhwFcwchReT2lJ4ZpUsPwp/Xj8BwfXDto9j0kMtpGa/w==" saltValue="L9fpxlqtvqppMgoDR4Z1gw==" spinCount="100000" sheet="1" objects="1" scenarios="1" formatColumns="0" formatRows="0" sort="0" autoFilter="0"/>
  <mergeCells count="9">
    <mergeCell ref="B7:G7"/>
    <mergeCell ref="B26:G26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D13" sqref="D13:K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AMI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2018-06-08T05:39:10Z</dcterms:modified>
</cp:coreProperties>
</file>