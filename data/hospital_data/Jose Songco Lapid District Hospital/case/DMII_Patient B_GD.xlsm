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DM II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9" i="9" l="1"/>
  <c r="G28" i="9"/>
  <c r="J12" i="2"/>
  <c r="J13" i="2"/>
  <c r="J14" i="2"/>
  <c r="J15" i="2"/>
  <c r="J16" i="2"/>
  <c r="J17" i="2"/>
  <c r="J18" i="2"/>
  <c r="J19" i="2"/>
  <c r="J20" i="2"/>
  <c r="J21" i="2"/>
  <c r="J22" i="2"/>
  <c r="J23" i="2"/>
  <c r="G20" i="9" l="1"/>
  <c r="G21" i="9"/>
  <c r="G23" i="9"/>
  <c r="G24" i="9"/>
  <c r="G25" i="9"/>
  <c r="G26" i="9"/>
  <c r="G27" i="9"/>
  <c r="F22" i="9"/>
  <c r="G22" i="9" s="1"/>
  <c r="F18" i="9"/>
  <c r="G18" i="9" s="1"/>
  <c r="F17" i="9"/>
  <c r="G17" i="9" s="1"/>
  <c r="F16" i="9"/>
  <c r="G16" i="9" s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<sst xmlns="http://schemas.openxmlformats.org/spreadsheetml/2006/main" count="530" uniqueCount="227">
  <si>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</si>
  <si>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</si>
  <si>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</si>
  <si>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</si>
  <si>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</si>
  <si>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</si>
  <si>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</si>
  <si>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</si>
  <si>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</si>
  <si>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</si>
  <si>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</si>
  <si>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</si>
  <si>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</si>
  <si>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</si>
  <si>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</si>
  <si>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</si>
  <si>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</si>
  <si>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</si>
  <si>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</si>
  <si>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</si>
  <si>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</si>
  <si>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</si>
  <si>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</si>
  <si>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</si>
  <si>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</si>
  <si>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</si>
  <si>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</si>
  <si>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</si>
  <si>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</si>
  <si>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</si>
  <si>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</si>
  <si>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</si>
  <si>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</si>
  <si>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</si>
  <si>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</si>
  <si>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</si>
  <si>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</si>
  <si>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</si>
  <si>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</si>
  <si>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</si>
  <si>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</si>
  <si>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</si>
  <si>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</si>
  <si>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</si>
  <si>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</si>
  <si>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</si>
  <si>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</si>
  <si>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</si>
  <si>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</si>
  <si>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</si>
  <si>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</si>
  <si>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</si>
  <si>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</si>
  <si>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</si>
  <si>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</si>
  <si>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</si>
  <si>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</si>
  <si>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</si>
  <si>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</si>
  <si>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</si>
  <si>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</si>
  <si>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</si>
  <si>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</si>
  <si>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</si>
  <si>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</si>
  <si>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</si>
  <si>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</si>
  <si>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</si>
  <si>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</si>
  <si>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</si>
  <si>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</si>
  <si>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</si>
  <si>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</si>
  <si>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</si>
  <si>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</si>
  <si>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</si>
  <si>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</si>
  <si>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</si>
  <si>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</si>
  <si>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</si>
  <si>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</si>
  <si>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</si>
  <si>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</si>
  <si>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</si>
  <si>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</si>
  <si>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</si>
  <si>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</si>
  <si>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</si>
  <si>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</si>
  <si>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</si>
  <si>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</si>
  <si>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</si>
  <si>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</si>
  <si>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</si>
  <si>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</si>
  <si>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</si>
  <si>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</si>
  <si>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</si>
  <si>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</si>
  <si>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</si>
  <si>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</si>
  <si>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</si>
  <si>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</si>
  <si>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</si>
  <si>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</si>
  <si>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</si>
  <si>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</si>
  <si>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</si>
  <si>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</si>
  <si>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</si>
  <si>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</si>
  <si>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</si>
  <si>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</si>
  <si>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</si>
  <si>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</si>
  <si>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</si>
  <si>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</si>
  <si>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</si>
  <si>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</si>
  <si>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</si>
  <si>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</si>
  <si>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</si>
  <si>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</si>
  <si>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</si>
  <si>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</si>
  <si>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</si>
  <si>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</si>
  <si>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</si>
  <si>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</si>
  <si>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</si>
  <si>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</si>
  <si>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</si>
  <si>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</si>
  <si>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</si>
  <si>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</si>
  <si>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</si>
  <si>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</si>
  <si>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</si>
  <si>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</si>
  <si>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</si>
  <si>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</si>
  <si>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</si>
  <si>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</si>
  <si>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</si>
  <si>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</si>
  <si>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</si>
  <si>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</si>
  <si>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</si>
  <si>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</si>
  <si>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</si>
  <si>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</si>
  <si>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</si>
  <si>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</si>
  <si>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</si>
  <si>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</si>
  <si>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</si>
  <si>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</si>
  <si>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</si>
  <si>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</si>
  <si>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</si>
  <si>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</si>
  <si>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</si>
  <si>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</si>
  <si>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</si>
  <si>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</si>
  <si>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</si>
  <si>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</si>
  <si>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E11.6</t>
  </si>
  <si>
    <t>RBS</t>
  </si>
  <si>
    <t>Hema Package 1(CBC,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</si>
  <si>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</si>
  <si>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</si>
  <si>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</si>
  <si>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</si>
  <si>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</si>
  <si>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</si>
  <si>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0.9% Sodium Chloride</t>
  </si>
  <si>
    <t>vial</t>
  </si>
  <si>
    <t>bottle</t>
  </si>
  <si>
    <t>500mg</t>
  </si>
  <si>
    <t>1000ml</t>
  </si>
  <si>
    <t>Disposable Mask</t>
  </si>
  <si>
    <t>Clean Gloves</t>
  </si>
  <si>
    <t>10cc</t>
  </si>
  <si>
    <t>3cc</t>
  </si>
  <si>
    <t>5cc</t>
  </si>
  <si>
    <t>Insulin Syringe</t>
  </si>
  <si>
    <t>Micropore</t>
  </si>
  <si>
    <t>Macroset</t>
  </si>
  <si>
    <t>IV Cath G.22</t>
  </si>
  <si>
    <t>ID Bracelet</t>
  </si>
  <si>
    <t>Soluset</t>
  </si>
  <si>
    <t>BUN</t>
  </si>
  <si>
    <t>Creatinine</t>
  </si>
  <si>
    <t>HGT Q8</t>
  </si>
  <si>
    <t>Electrolytes</t>
  </si>
  <si>
    <t>Urinalysis</t>
  </si>
  <si>
    <t>ECG</t>
  </si>
  <si>
    <t>Phospholipids</t>
  </si>
  <si>
    <t>Ferrous Fumarate</t>
  </si>
  <si>
    <t>Sulbactam/Ampicillin</t>
  </si>
  <si>
    <t>Metoclopramide</t>
  </si>
  <si>
    <t>Ceftriaxone Sodium</t>
  </si>
  <si>
    <t>Ranitidine Hydrochloride</t>
  </si>
  <si>
    <t>Calcium Carbonate</t>
  </si>
  <si>
    <t>Sodium Bicarbonate</t>
  </si>
  <si>
    <t>Ketoanalogues+Essential Amino Acids</t>
  </si>
  <si>
    <t>Sterile Water for Injection</t>
  </si>
  <si>
    <t>Pinene Capsule</t>
  </si>
  <si>
    <t>Vildagliptin</t>
  </si>
  <si>
    <t>capsule</t>
  </si>
  <si>
    <t>300mg</t>
  </si>
  <si>
    <t>200mg</t>
  </si>
  <si>
    <t>600mg</t>
  </si>
  <si>
    <t>750mg</t>
  </si>
  <si>
    <t>ampul</t>
  </si>
  <si>
    <t>5mg/2ml</t>
  </si>
  <si>
    <t>1g</t>
  </si>
  <si>
    <t>25mg/ml</t>
  </si>
  <si>
    <t>tablet</t>
  </si>
  <si>
    <t>650mg</t>
  </si>
  <si>
    <t>50ml</t>
  </si>
  <si>
    <t>31mg</t>
  </si>
  <si>
    <t>50mg</t>
  </si>
  <si>
    <t>NG25/N25</t>
  </si>
  <si>
    <t>IV Cath G.24</t>
  </si>
  <si>
    <t>DM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</si>
</sst>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226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194</v>
      </c>
      <c r="D38" s="23"/>
      <c r="E38" s="55">
        <v>3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47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56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170</v>
      </c>
      <c r="D63" s="55">
        <v>4782.04</v>
      </c>
      <c r="E63" s="55">
        <v>1195.5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171</v>
      </c>
      <c r="D64" s="55">
        <v>706.36</v>
      </c>
      <c r="E64" s="55">
        <v>176.59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172</v>
      </c>
      <c r="D65" s="55">
        <v>2336</v>
      </c>
      <c r="E65" s="55">
        <v>584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197</v>
      </c>
      <c r="D66" s="55">
        <v>160</v>
      </c>
      <c r="E66" s="55">
        <v>40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173</v>
      </c>
      <c r="D67" s="55">
        <v>24</v>
      </c>
      <c r="E67" s="55">
        <v>6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174</v>
      </c>
      <c r="D68" s="55">
        <v>480</v>
      </c>
      <c r="E68" s="55">
        <v>120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175</v>
      </c>
      <c r="D69" s="55">
        <v>3780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12268.4</v>
      </c>
      <c r="E74" s="59">
        <f>SUM(E63:E73)</f>
        <v>2122.09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Hx0256JHuTvW2y969vL7gdm/TkDXjmAe38YrNYRb3/QuxRMUyELM203Q8pxRDHA/1eYwGk+aIy6QVxmhZd3+ww==" saltValue="L+5xhwGJp5qXtWe1ssXwg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DM 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198</v>
      </c>
      <c r="D11" s="27" t="s">
        <v>210</v>
      </c>
      <c r="E11" s="27" t="s">
        <v>211</v>
      </c>
      <c r="F11" s="55"/>
      <c r="G11" s="55">
        <v>3</v>
      </c>
      <c r="H11" s="55">
        <v>4</v>
      </c>
      <c r="I11" s="55">
        <v>29.7</v>
      </c>
      <c r="J11" s="55">
        <f>H11*I11</f>
        <v>118.8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210</v>
      </c>
      <c r="E12" s="27" t="s">
        <v>212</v>
      </c>
      <c r="F12" s="55"/>
      <c r="G12" s="55">
        <v>3</v>
      </c>
      <c r="H12" s="55">
        <v>3</v>
      </c>
      <c r="I12" s="55">
        <v>2.42</v>
      </c>
      <c r="J12" s="55">
        <f t="shared" ref="J12:J23" si="0">H12*I12</f>
        <v>7.26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210</v>
      </c>
      <c r="E13" s="27" t="s">
        <v>214</v>
      </c>
      <c r="F13" s="55"/>
      <c r="G13" s="55">
        <v>3</v>
      </c>
      <c r="H13" s="55">
        <v>21</v>
      </c>
      <c r="I13" s="55">
        <v>99</v>
      </c>
      <c r="J13" s="55">
        <f t="shared" si="0"/>
        <v>2079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215</v>
      </c>
      <c r="E14" s="27" t="s">
        <v>216</v>
      </c>
      <c r="F14" s="55"/>
      <c r="G14" s="55">
        <v>3</v>
      </c>
      <c r="H14" s="55">
        <v>3</v>
      </c>
      <c r="I14" s="55">
        <v>18.7</v>
      </c>
      <c r="J14" s="55">
        <f t="shared" si="0"/>
        <v>56.099999999999994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177</v>
      </c>
      <c r="E15" s="27" t="s">
        <v>217</v>
      </c>
      <c r="F15" s="55"/>
      <c r="G15" s="55">
        <v>3</v>
      </c>
      <c r="H15" s="55">
        <v>3</v>
      </c>
      <c r="I15" s="55">
        <v>60.5</v>
      </c>
      <c r="J15" s="55">
        <f t="shared" si="0"/>
        <v>181.5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215</v>
      </c>
      <c r="E16" s="27" t="s">
        <v>218</v>
      </c>
      <c r="F16" s="55"/>
      <c r="G16" s="55">
        <v>3</v>
      </c>
      <c r="H16" s="55">
        <v>8</v>
      </c>
      <c r="I16" s="55">
        <v>31.9</v>
      </c>
      <c r="J16" s="55">
        <f t="shared" si="0"/>
        <v>255.2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178</v>
      </c>
      <c r="E17" s="27" t="s">
        <v>180</v>
      </c>
      <c r="F17" s="55"/>
      <c r="G17" s="55">
        <v>3</v>
      </c>
      <c r="H17" s="55">
        <v>5</v>
      </c>
      <c r="I17" s="55">
        <v>78.430000000000007</v>
      </c>
      <c r="J17" s="55">
        <f t="shared" si="0"/>
        <v>392.15000000000003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204</v>
      </c>
      <c r="D18" s="27" t="s">
        <v>219</v>
      </c>
      <c r="E18" s="27" t="s">
        <v>179</v>
      </c>
      <c r="F18" s="55"/>
      <c r="G18" s="55">
        <v>3</v>
      </c>
      <c r="H18" s="55">
        <v>6</v>
      </c>
      <c r="I18" s="55">
        <v>1.1000000000000001</v>
      </c>
      <c r="J18" s="55">
        <f t="shared" si="0"/>
        <v>6.6000000000000005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205</v>
      </c>
      <c r="D19" s="27" t="s">
        <v>219</v>
      </c>
      <c r="E19" s="27" t="s">
        <v>220</v>
      </c>
      <c r="F19" s="55"/>
      <c r="G19" s="55">
        <v>3</v>
      </c>
      <c r="H19" s="55">
        <v>6</v>
      </c>
      <c r="I19" s="55">
        <v>3.3</v>
      </c>
      <c r="J19" s="55">
        <f t="shared" si="0"/>
        <v>19.799999999999997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206</v>
      </c>
      <c r="D20" s="27" t="s">
        <v>219</v>
      </c>
      <c r="E20" s="27" t="s">
        <v>213</v>
      </c>
      <c r="F20" s="55"/>
      <c r="G20" s="55">
        <v>3</v>
      </c>
      <c r="H20" s="55">
        <v>32</v>
      </c>
      <c r="I20" s="55">
        <v>35.200000000000003</v>
      </c>
      <c r="J20" s="55">
        <f t="shared" si="0"/>
        <v>1126.4000000000001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207</v>
      </c>
      <c r="D21" s="27" t="s">
        <v>177</v>
      </c>
      <c r="E21" s="27" t="s">
        <v>221</v>
      </c>
      <c r="F21" s="55"/>
      <c r="G21" s="55">
        <v>3</v>
      </c>
      <c r="H21" s="55">
        <v>1</v>
      </c>
      <c r="I21" s="55">
        <v>38.5</v>
      </c>
      <c r="J21" s="55">
        <f t="shared" si="0"/>
        <v>38.5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208</v>
      </c>
      <c r="D22" s="27" t="s">
        <v>210</v>
      </c>
      <c r="E22" s="27" t="s">
        <v>222</v>
      </c>
      <c r="F22" s="55"/>
      <c r="G22" s="55">
        <v>3</v>
      </c>
      <c r="H22" s="55">
        <v>21</v>
      </c>
      <c r="I22" s="55">
        <v>31.62</v>
      </c>
      <c r="J22" s="55">
        <f t="shared" si="0"/>
        <v>664.02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209</v>
      </c>
      <c r="D23" s="27" t="s">
        <v>219</v>
      </c>
      <c r="E23" s="27" t="s">
        <v>223</v>
      </c>
      <c r="F23" s="55"/>
      <c r="G23" s="55">
        <v>3</v>
      </c>
      <c r="H23" s="55">
        <v>7</v>
      </c>
      <c r="I23" s="55">
        <v>42.35</v>
      </c>
      <c r="J23" s="55">
        <f t="shared" si="0"/>
        <v>296.45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8" workbookViewId="0">
      <selection activeCell="G16" sqref="G16: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13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30</v>
      </c>
      <c r="E16" s="55">
        <v>7</v>
      </c>
      <c r="F16" s="55">
        <f>13.2/3</f>
        <v>4.3999999999999995</v>
      </c>
      <c r="G16" s="55">
        <f>E16*F16</f>
        <v>30.799999999999997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30</v>
      </c>
      <c r="E17" s="55">
        <v>4</v>
      </c>
      <c r="F17" s="55">
        <f>12.4/4</f>
        <v>3.1</v>
      </c>
      <c r="G17" s="55">
        <f t="shared" ref="G17:G28" si="0">E17*F17</f>
        <v>12.4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30</v>
      </c>
      <c r="E18" s="55">
        <v>2</v>
      </c>
      <c r="F18" s="55">
        <f>15.4/2</f>
        <v>7.7</v>
      </c>
      <c r="G18" s="55">
        <f t="shared" si="0"/>
        <v>15.4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225</v>
      </c>
      <c r="D19" s="70" t="s">
        <v>30</v>
      </c>
      <c r="E19" s="55">
        <v>2</v>
      </c>
      <c r="F19" s="55">
        <v>60.5</v>
      </c>
      <c r="G19" s="55">
        <f t="shared" ref="G19" si="1">E19*F19</f>
        <v>121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30</v>
      </c>
      <c r="E20" s="55">
        <v>14</v>
      </c>
      <c r="F20" s="55">
        <v>5.5</v>
      </c>
      <c r="G20" s="55">
        <f t="shared" si="0"/>
        <v>77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30</v>
      </c>
      <c r="E21" s="55">
        <v>4</v>
      </c>
      <c r="F21" s="55">
        <v>6.6</v>
      </c>
      <c r="G21" s="55">
        <f t="shared" si="0"/>
        <v>26.4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186</v>
      </c>
      <c r="D22" s="70" t="s">
        <v>30</v>
      </c>
      <c r="E22" s="55">
        <v>3</v>
      </c>
      <c r="F22" s="55">
        <f>34.1/2</f>
        <v>17.05</v>
      </c>
      <c r="G22" s="55">
        <f t="shared" si="0"/>
        <v>51.150000000000006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187</v>
      </c>
      <c r="D23" s="70" t="s">
        <v>29</v>
      </c>
      <c r="E23" s="55">
        <v>1</v>
      </c>
      <c r="F23" s="55">
        <v>59.4</v>
      </c>
      <c r="G23" s="55">
        <f t="shared" si="0"/>
        <v>59.4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188</v>
      </c>
      <c r="D24" s="70" t="s">
        <v>30</v>
      </c>
      <c r="E24" s="55">
        <v>1</v>
      </c>
      <c r="F24" s="55">
        <v>31.9</v>
      </c>
      <c r="G24" s="55">
        <f t="shared" si="0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189</v>
      </c>
      <c r="D25" s="70" t="s">
        <v>30</v>
      </c>
      <c r="E25" s="55">
        <v>4</v>
      </c>
      <c r="F25" s="55">
        <v>60.5</v>
      </c>
      <c r="G25" s="55">
        <f t="shared" si="0"/>
        <v>242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30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191</v>
      </c>
      <c r="D27" s="70" t="s">
        <v>30</v>
      </c>
      <c r="E27" s="55">
        <v>1</v>
      </c>
      <c r="F27" s="55">
        <v>198</v>
      </c>
      <c r="G27" s="55">
        <f t="shared" si="0"/>
        <v>198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224</v>
      </c>
      <c r="D28" s="70" t="s">
        <v>30</v>
      </c>
      <c r="E28" s="55">
        <v>3</v>
      </c>
      <c r="F28" s="55">
        <v>3.74</v>
      </c>
      <c r="G28" s="55">
        <f t="shared" si="0"/>
        <v>11.22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136" t="s">
        <v>79</v>
      </c>
      <c r="C29" s="137"/>
      <c r="D29" s="137"/>
      <c r="E29" s="137"/>
      <c r="F29" s="137"/>
      <c r="G29" s="138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2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3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4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5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6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7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8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9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10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6" t="s">
        <v>31</v>
      </c>
      <c r="C40" s="137"/>
      <c r="D40" s="137"/>
      <c r="E40" s="137"/>
      <c r="F40" s="137"/>
      <c r="G40" s="138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algorithmName="SHA-512" hashValue="kGqFakRgAm+4Xxf2afvpQwtscB3AIzXw1/6Av5kLz9B8/YQfLkVpsbWMHKdG3kZ4w46CGX1dFhpX7RS3MAGNBA==" saltValue="jhV+mkxpcHIena6CybqU8A==" spinCount="100000" sheet="1" objects="1" scenarios="1" formatColumns="0" formatRows="0" sort="0" autoFilter="0"/>
  <mergeCells count="9">
    <mergeCell ref="B7:G7"/>
    <mergeCell ref="B29:G29"/>
    <mergeCell ref="B40:G4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2018-06-08T05:48:30Z</dcterms:modified>
</cp:coreProperties>
</file>