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3" i="9" l="1"/>
  <c r="J17" i="2"/>
  <c r="J16" i="2"/>
  <c r="J15" i="2"/>
  <c r="J11" i="2"/>
  <c r="G17" i="9" l="1"/>
  <c r="G18" i="9"/>
  <c r="G19" i="9"/>
  <c r="G20" i="9"/>
  <c r="G21" i="9"/>
  <c r="G22" i="9"/>
  <c r="G24" i="9"/>
  <c r="G25" i="9"/>
  <c r="G16" i="9"/>
  <c r="J12" i="2" l="1"/>
  <c r="J13" i="2"/>
  <c r="J14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<sst xmlns="http://schemas.openxmlformats.org/spreadsheetml/2006/main" count="499" uniqueCount="204">
  <si>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</si>
  <si>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</si>
  <si>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</si>
  <si>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</si>
  <si>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</si>
  <si>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</si>
  <si>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</si>
  <si>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</si>
  <si>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</si>
  <si>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</si>
  <si>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</si>
  <si>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</si>
  <si>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</si>
  <si>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</si>
  <si>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</si>
  <si>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</si>
  <si>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</si>
  <si>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</si>
  <si>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</si>
  <si>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</si>
  <si>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</si>
  <si>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</si>
  <si>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</si>
  <si>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</si>
  <si>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</si>
  <si>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</si>
  <si>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</si>
  <si>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</si>
  <si>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</si>
  <si>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</si>
  <si>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</si>
  <si>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</si>
  <si>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</si>
  <si>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</si>
  <si>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</si>
  <si>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</si>
  <si>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</si>
  <si>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</si>
  <si>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</si>
  <si>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</si>
  <si>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</si>
  <si>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</si>
  <si>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</si>
  <si>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</si>
  <si>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</si>
  <si>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</si>
  <si>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</si>
  <si>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</si>
  <si>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</si>
  <si>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</si>
  <si>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</si>
  <si>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</si>
  <si>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</si>
  <si>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</si>
  <si>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</si>
  <si>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</si>
  <si>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</si>
  <si>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</si>
  <si>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</si>
  <si>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</si>
  <si>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</si>
  <si>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</si>
  <si>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</si>
  <si>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</si>
  <si>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</si>
  <si>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</si>
  <si>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</si>
  <si>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</si>
  <si>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</si>
  <si>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</si>
  <si>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</si>
  <si>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</si>
  <si>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</si>
  <si>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</si>
  <si>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</si>
  <si>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</si>
  <si>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</si>
  <si>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</si>
  <si>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</si>
  <si>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</si>
  <si>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</si>
  <si>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</si>
  <si>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</si>
  <si>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</si>
  <si>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</si>
  <si>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</si>
  <si>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</si>
  <si>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</si>
  <si>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</si>
  <si>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</si>
  <si>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</si>
  <si>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</si>
  <si>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</si>
  <si>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</si>
  <si>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</si>
  <si>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</si>
  <si>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</si>
  <si>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</si>
  <si>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</si>
  <si>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</si>
  <si>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</si>
  <si>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</si>
  <si>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</si>
  <si>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</si>
  <si>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</si>
  <si>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</si>
  <si>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</si>
  <si>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</si>
  <si>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</si>
  <si>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</si>
  <si>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</si>
  <si>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</si>
  <si>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</si>
  <si>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</si>
  <si>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</si>
  <si>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</si>
  <si>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</si>
  <si>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</si>
  <si>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</si>
  <si>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</si>
  <si>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</si>
  <si>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</si>
  <si>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</si>
  <si>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</si>
  <si>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</si>
  <si>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</si>
  <si>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</si>
  <si>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</si>
  <si>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</si>
  <si>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</si>
  <si>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</si>
  <si>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</si>
  <si>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</si>
  <si>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</si>
  <si>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</si>
  <si>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</si>
  <si>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</si>
  <si>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</si>
  <si>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</si>
  <si>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</si>
  <si>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</si>
  <si>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</si>
  <si>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</si>
  <si>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</si>
  <si>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</si>
  <si>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</si>
  <si>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</si>
  <si>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</si>
  <si>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</si>
  <si>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</si>
  <si>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</si>
  <si>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</si>
  <si>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</si>
  <si>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</si>
  <si>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</si>
  <si>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</si>
  <si>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</si>
  <si>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</si>
  <si>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</si>
  <si>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</si>
  <si>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</si>
  <si>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</si>
  <si>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</si>
  <si>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</si>
  <si>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</si>
  <si>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</si>
  <si>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</si>
  <si>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</si>
  <si>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</si>
  <si>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</si>
  <si>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</si>
  <si>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</si>
  <si>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</si>
  <si>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</si>
  <si>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drops</t>
  </si>
  <si>
    <t>bottle</t>
  </si>
  <si>
    <t>vial</t>
  </si>
  <si>
    <t>Lactated Ringer's Solution</t>
  </si>
  <si>
    <t>Racecadotril</t>
  </si>
  <si>
    <t>sachet</t>
  </si>
  <si>
    <t>10mg</t>
  </si>
  <si>
    <t>Disposable Mask</t>
  </si>
  <si>
    <t>1cc/tbs</t>
  </si>
  <si>
    <t>3cc</t>
  </si>
  <si>
    <t>Clean Gloves</t>
  </si>
  <si>
    <t>Surgical Gauze</t>
  </si>
  <si>
    <t>IV Cath G. 24</t>
  </si>
  <si>
    <t>IV Cath G. 26</t>
  </si>
  <si>
    <t>ID Bracelet</t>
  </si>
  <si>
    <t>Soluset</t>
  </si>
  <si>
    <t>Urinalysis</t>
  </si>
  <si>
    <t>Cetirizine</t>
  </si>
  <si>
    <t>2.50mg/ml</t>
  </si>
  <si>
    <t>Amoxicillin Trihydrate</t>
  </si>
  <si>
    <t>100mg/mL</t>
  </si>
  <si>
    <t>1000ml</t>
  </si>
  <si>
    <t>Getamicin Sulfate</t>
  </si>
  <si>
    <t>ampul</t>
  </si>
  <si>
    <t>40mg/ml</t>
  </si>
  <si>
    <t>150mg/ml</t>
  </si>
  <si>
    <t>Paracetamol</t>
  </si>
  <si>
    <t>Sterile Water for Injection</t>
  </si>
  <si>
    <t>50mL</t>
  </si>
  <si>
    <t>Thermometer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</si>
</sst>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1339.58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769.88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>
        <v>30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4589.46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174</v>
      </c>
      <c r="E11" s="27" t="s">
        <v>192</v>
      </c>
      <c r="F11" s="55"/>
      <c r="G11" s="55">
        <v>3</v>
      </c>
      <c r="H11" s="55">
        <v>1</v>
      </c>
      <c r="I11" s="55">
        <v>253</v>
      </c>
      <c r="J11" s="55">
        <f>H11*I11</f>
        <v>253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174</v>
      </c>
      <c r="E12" s="27" t="s">
        <v>194</v>
      </c>
      <c r="F12" s="55"/>
      <c r="G12" s="55">
        <v>3</v>
      </c>
      <c r="H12" s="55">
        <v>2</v>
      </c>
      <c r="I12" s="55">
        <v>52.8</v>
      </c>
      <c r="J12" s="55">
        <f t="shared" ref="J12:J26" si="0">H12*I12</f>
        <v>105.6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175</v>
      </c>
      <c r="E13" s="27" t="s">
        <v>195</v>
      </c>
      <c r="F13" s="55"/>
      <c r="G13" s="55">
        <v>3</v>
      </c>
      <c r="H13" s="55">
        <v>2</v>
      </c>
      <c r="I13" s="55">
        <v>78.430000000000007</v>
      </c>
      <c r="J13" s="55">
        <f t="shared" si="0"/>
        <v>156.86000000000001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197</v>
      </c>
      <c r="E14" s="27" t="s">
        <v>198</v>
      </c>
      <c r="F14" s="55"/>
      <c r="G14" s="55">
        <v>3</v>
      </c>
      <c r="H14" s="55">
        <v>3</v>
      </c>
      <c r="I14" s="55">
        <v>23.1</v>
      </c>
      <c r="J14" s="55">
        <f t="shared" si="0"/>
        <v>69.300000000000011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179</v>
      </c>
      <c r="E15" s="27" t="s">
        <v>180</v>
      </c>
      <c r="F15" s="55"/>
      <c r="G15" s="55">
        <v>3</v>
      </c>
      <c r="H15" s="55">
        <v>12</v>
      </c>
      <c r="I15" s="55">
        <v>54.45</v>
      </c>
      <c r="J15" s="55">
        <f t="shared" ref="J15:J17" si="1">H15*I15</f>
        <v>653.40000000000009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 t="s">
        <v>197</v>
      </c>
      <c r="E16" s="27" t="s">
        <v>199</v>
      </c>
      <c r="F16" s="55"/>
      <c r="G16" s="55">
        <v>3</v>
      </c>
      <c r="H16" s="55">
        <v>2</v>
      </c>
      <c r="I16" s="55">
        <v>31.46</v>
      </c>
      <c r="J16" s="55">
        <f t="shared" si="1"/>
        <v>62.92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176</v>
      </c>
      <c r="E17" s="27" t="s">
        <v>202</v>
      </c>
      <c r="F17" s="55"/>
      <c r="G17" s="55">
        <v>3</v>
      </c>
      <c r="H17" s="55">
        <v>1</v>
      </c>
      <c r="I17" s="55">
        <v>38.5</v>
      </c>
      <c r="J17" s="55">
        <f t="shared" si="1"/>
        <v>38.5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G16" sqref="G16: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29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4</v>
      </c>
      <c r="F17" s="55">
        <v>6.6</v>
      </c>
      <c r="G17" s="55">
        <f t="shared" ref="G17:G25" si="0">E17*F17</f>
        <v>26.4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55">
        <v>15</v>
      </c>
      <c r="F18" s="55">
        <v>5.5</v>
      </c>
      <c r="G18" s="55">
        <f t="shared" si="0"/>
        <v>82.5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29</v>
      </c>
      <c r="E19" s="55">
        <v>10</v>
      </c>
      <c r="F19" s="55">
        <v>3.1</v>
      </c>
      <c r="G19" s="55">
        <f t="shared" si="0"/>
        <v>31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29</v>
      </c>
      <c r="E20" s="55">
        <v>10</v>
      </c>
      <c r="F20" s="55">
        <v>2.5299999999999998</v>
      </c>
      <c r="G20" s="55">
        <f t="shared" si="0"/>
        <v>25.299999999999997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186</v>
      </c>
      <c r="D21" s="70" t="s">
        <v>29</v>
      </c>
      <c r="E21" s="55">
        <v>1</v>
      </c>
      <c r="F21" s="55">
        <v>60.5</v>
      </c>
      <c r="G21" s="55">
        <f t="shared" si="0"/>
        <v>60.5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187</v>
      </c>
      <c r="D22" s="70" t="s">
        <v>29</v>
      </c>
      <c r="E22" s="55">
        <v>4</v>
      </c>
      <c r="F22" s="55">
        <v>60.5</v>
      </c>
      <c r="G22" s="55">
        <f t="shared" si="0"/>
        <v>242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203</v>
      </c>
      <c r="D23" s="70" t="s">
        <v>29</v>
      </c>
      <c r="E23" s="55">
        <v>1</v>
      </c>
      <c r="F23" s="55">
        <v>80.3</v>
      </c>
      <c r="G23" s="55">
        <f t="shared" ref="G23" si="1">E23*F23</f>
        <v>80.3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188</v>
      </c>
      <c r="D24" s="70" t="s">
        <v>29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189</v>
      </c>
      <c r="D25" s="70" t="s">
        <v>29</v>
      </c>
      <c r="E25" s="55">
        <v>1</v>
      </c>
      <c r="F25" s="55">
        <v>198</v>
      </c>
      <c r="G25" s="55">
        <f t="shared" si="0"/>
        <v>198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2018-06-08T05:37:27Z</dcterms:modified>
</cp:coreProperties>
</file>