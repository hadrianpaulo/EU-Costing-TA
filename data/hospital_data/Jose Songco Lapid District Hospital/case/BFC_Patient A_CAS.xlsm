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BFC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<sst xmlns="http://schemas.openxmlformats.org/spreadsheetml/2006/main" count="506" uniqueCount="209">
  <si>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</si>
  <si>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</si>
  <si>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</si>
  <si>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</si>
  <si>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</si>
  <si>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</si>
  <si>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</si>
  <si>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</si>
  <si>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</si>
  <si>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</si>
  <si>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</si>
  <si>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</si>
  <si>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</si>
  <si>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</si>
  <si>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</si>
  <si>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</si>
  <si>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</si>
  <si>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</si>
  <si>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</si>
  <si>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</si>
  <si>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</si>
  <si>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</si>
  <si>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</si>
  <si>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</si>
  <si>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</si>
  <si>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</si>
  <si>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</si>
  <si>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</si>
  <si>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</si>
  <si>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</si>
  <si>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</si>
  <si>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</si>
  <si>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</si>
  <si>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</si>
  <si>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</si>
  <si>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</si>
  <si>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</si>
  <si>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</si>
  <si>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</si>
  <si>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</si>
  <si>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</si>
  <si>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</si>
  <si>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</si>
  <si>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</si>
  <si>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</si>
  <si>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</si>
  <si>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</si>
  <si>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</si>
  <si>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</si>
  <si>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</si>
  <si>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</si>
  <si>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</si>
  <si>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</si>
  <si>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</si>
  <si>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</si>
  <si>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</si>
  <si>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</si>
  <si>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</si>
  <si>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</si>
  <si>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</si>
  <si>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</si>
  <si>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</si>
  <si>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</si>
  <si>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</si>
  <si>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</si>
  <si>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</si>
  <si>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</si>
  <si>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</si>
  <si>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</si>
  <si>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</si>
  <si>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</si>
  <si>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</si>
  <si>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</si>
  <si>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</si>
  <si>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</si>
  <si>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</si>
  <si>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</si>
  <si>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</si>
  <si>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</si>
  <si>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</si>
  <si>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</si>
  <si>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</si>
  <si>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</si>
  <si>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</si>
  <si>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</si>
  <si>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</si>
  <si>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</si>
  <si>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</si>
  <si>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</si>
  <si>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</si>
  <si>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</si>
  <si>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</si>
  <si>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</si>
  <si>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</si>
  <si>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</si>
  <si>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</si>
  <si>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</si>
  <si>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</si>
  <si>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</si>
  <si>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</si>
  <si>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</si>
  <si>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</si>
  <si>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</si>
  <si>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</si>
  <si>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</si>
  <si>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</si>
  <si>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</si>
  <si>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</si>
  <si>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</si>
  <si>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</si>
  <si>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</si>
  <si>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</si>
  <si>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</si>
  <si>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</si>
  <si>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</si>
  <si>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</si>
  <si>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</si>
  <si>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</si>
  <si>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</si>
  <si>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</si>
  <si>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</si>
  <si>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</si>
  <si>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</si>
  <si>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</si>
  <si>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</si>
  <si>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</si>
  <si>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</si>
  <si>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</si>
  <si>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</si>
  <si>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</si>
  <si>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</si>
  <si>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</si>
  <si>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</si>
  <si>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</si>
  <si>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</si>
  <si>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</si>
  <si>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</si>
  <si>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</si>
  <si>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</si>
  <si>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</si>
  <si>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</si>
  <si>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</si>
  <si>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</si>
  <si>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</si>
  <si>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</si>
  <si>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</si>
  <si>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</si>
  <si>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</si>
  <si>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</si>
  <si>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</si>
  <si>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</si>
  <si>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</si>
  <si>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</si>
  <si>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</si>
  <si>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</si>
  <si>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</si>
  <si>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</si>
  <si>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</si>
  <si>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</si>
  <si>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</si>
  <si>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</si>
  <si>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</si>
  <si>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</si>
  <si>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</si>
  <si>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</si>
  <si>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</si>
  <si>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</si>
  <si>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BFC</t>
  </si>
  <si>
    <t>R56.8</t>
  </si>
  <si>
    <t>Sodium</t>
  </si>
  <si>
    <t>Potassium</t>
  </si>
  <si>
    <t>Drugs and Medicines (cons)</t>
  </si>
  <si>
    <t>Medical Supplies (cons)</t>
  </si>
  <si>
    <t>Laboratory Exam</t>
  </si>
  <si>
    <t>Radiology</t>
  </si>
  <si>
    <t>Garbage Fee</t>
  </si>
  <si>
    <t>Room and Board</t>
  </si>
  <si>
    <t>Professional Fee</t>
  </si>
  <si>
    <t>Zinc Sulfate</t>
  </si>
  <si>
    <t>Ibuprofen</t>
  </si>
  <si>
    <t>Diazepam</t>
  </si>
  <si>
    <t>5% Dextrose in 0.3% Sodium Chloride</t>
  </si>
  <si>
    <t>Ampicillin Sodium</t>
  </si>
  <si>
    <t>Gentamicin Sulfate</t>
  </si>
  <si>
    <t>Paracetamol</t>
  </si>
  <si>
    <t>Cefaclor</t>
  </si>
  <si>
    <t>drops</t>
  </si>
  <si>
    <t>ampul</t>
  </si>
  <si>
    <t>bottle</t>
  </si>
  <si>
    <t>vial</t>
  </si>
  <si>
    <t>27.50mg/ml</t>
  </si>
  <si>
    <t>200mg/5ml</t>
  </si>
  <si>
    <t>5mg/ml</t>
  </si>
  <si>
    <t>500mg</t>
  </si>
  <si>
    <t>500ml</t>
  </si>
  <si>
    <t>40mg/ml</t>
  </si>
  <si>
    <t>150mg/ml</t>
  </si>
  <si>
    <t>50mg/ml</t>
  </si>
  <si>
    <t>Thermometer</t>
  </si>
  <si>
    <t>Disposable Mask</t>
  </si>
  <si>
    <t>1cc/tbs</t>
  </si>
  <si>
    <t>3cc</t>
  </si>
  <si>
    <t>Clean Gloves</t>
  </si>
  <si>
    <t>NG25/N25</t>
  </si>
  <si>
    <t>Micropore</t>
  </si>
  <si>
    <t>Pedia - O2 Can</t>
  </si>
  <si>
    <t>IV Cath G.24</t>
  </si>
  <si>
    <t>ID Bracelet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</si>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</sst>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1694.11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774.8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400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110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>
        <v>30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176</v>
      </c>
      <c r="D65" s="55">
        <v>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177</v>
      </c>
      <c r="D66" s="55">
        <v>2100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5708.91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BFC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186</v>
      </c>
      <c r="E11" s="27" t="s">
        <v>190</v>
      </c>
      <c r="F11" s="55"/>
      <c r="G11" s="55">
        <v>3</v>
      </c>
      <c r="H11" s="55">
        <v>1</v>
      </c>
      <c r="I11" s="55">
        <v>92.4</v>
      </c>
      <c r="J11" s="55">
        <f>H11*I11</f>
        <v>92.4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187</v>
      </c>
      <c r="E12" s="27" t="s">
        <v>191</v>
      </c>
      <c r="F12" s="55"/>
      <c r="G12" s="55">
        <v>3</v>
      </c>
      <c r="H12" s="55">
        <v>1</v>
      </c>
      <c r="I12" s="55">
        <v>105.6</v>
      </c>
      <c r="J12" s="55">
        <f t="shared" ref="J12:J18" si="0">H12*I12</f>
        <v>105.6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187</v>
      </c>
      <c r="E13" s="27" t="s">
        <v>192</v>
      </c>
      <c r="F13" s="55"/>
      <c r="G13" s="55">
        <v>3</v>
      </c>
      <c r="H13" s="55">
        <v>2</v>
      </c>
      <c r="I13" s="55">
        <v>132</v>
      </c>
      <c r="J13" s="55">
        <f t="shared" si="0"/>
        <v>264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188</v>
      </c>
      <c r="E14" s="27" t="s">
        <v>194</v>
      </c>
      <c r="F14" s="55"/>
      <c r="G14" s="55">
        <v>3</v>
      </c>
      <c r="H14" s="55">
        <v>5</v>
      </c>
      <c r="I14" s="55">
        <v>78.430000000000007</v>
      </c>
      <c r="J14" s="55">
        <f t="shared" si="0"/>
        <v>392.15000000000003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189</v>
      </c>
      <c r="E15" s="27" t="s">
        <v>193</v>
      </c>
      <c r="F15" s="55"/>
      <c r="G15" s="55">
        <v>3</v>
      </c>
      <c r="H15" s="55">
        <v>6</v>
      </c>
      <c r="I15" s="55">
        <v>21.01</v>
      </c>
      <c r="J15" s="55">
        <f t="shared" si="0"/>
        <v>126.06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187</v>
      </c>
      <c r="E16" s="27" t="s">
        <v>195</v>
      </c>
      <c r="F16" s="55"/>
      <c r="G16" s="55">
        <v>3</v>
      </c>
      <c r="H16" s="55">
        <v>3</v>
      </c>
      <c r="I16" s="55">
        <v>23.1</v>
      </c>
      <c r="J16" s="55">
        <f t="shared" si="0"/>
        <v>69.300000000000011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187</v>
      </c>
      <c r="E17" s="27" t="s">
        <v>196</v>
      </c>
      <c r="F17" s="55"/>
      <c r="G17" s="55">
        <v>3</v>
      </c>
      <c r="H17" s="55">
        <v>5</v>
      </c>
      <c r="I17" s="55">
        <v>31.46</v>
      </c>
      <c r="J17" s="55">
        <f t="shared" si="0"/>
        <v>157.30000000000001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185</v>
      </c>
      <c r="D18" s="27" t="s">
        <v>186</v>
      </c>
      <c r="E18" s="27" t="s">
        <v>197</v>
      </c>
      <c r="F18" s="55"/>
      <c r="G18" s="55">
        <v>3</v>
      </c>
      <c r="H18" s="55">
        <v>1</v>
      </c>
      <c r="I18" s="55">
        <v>487.3</v>
      </c>
      <c r="J18" s="55">
        <f t="shared" si="0"/>
        <v>487.3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" workbookViewId="0">
      <selection activeCell="G16" sqref="G16:G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BFC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198</v>
      </c>
      <c r="D16" s="70" t="s">
        <v>30</v>
      </c>
      <c r="E16" s="55">
        <v>1</v>
      </c>
      <c r="F16" s="55">
        <v>80.3</v>
      </c>
      <c r="G16" s="55">
        <f>E16*F16</f>
        <v>80.3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199</v>
      </c>
      <c r="D17" s="70" t="s">
        <v>30</v>
      </c>
      <c r="E17" s="55">
        <v>9</v>
      </c>
      <c r="F17" s="55">
        <v>4.4000000000000004</v>
      </c>
      <c r="G17" s="55">
        <f t="shared" ref="G17:G26" si="0">E17*F17</f>
        <v>39.6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200</v>
      </c>
      <c r="D18" s="70" t="s">
        <v>30</v>
      </c>
      <c r="E18" s="55">
        <v>9</v>
      </c>
      <c r="F18" s="55">
        <v>6.6</v>
      </c>
      <c r="G18" s="55">
        <f t="shared" si="0"/>
        <v>59.4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201</v>
      </c>
      <c r="D19" s="70" t="s">
        <v>30</v>
      </c>
      <c r="E19" s="55">
        <v>20</v>
      </c>
      <c r="F19" s="55">
        <v>5.5</v>
      </c>
      <c r="G19" s="55">
        <f t="shared" si="0"/>
        <v>110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202</v>
      </c>
      <c r="D20" s="70" t="s">
        <v>30</v>
      </c>
      <c r="E20" s="55">
        <v>14</v>
      </c>
      <c r="F20" s="55">
        <v>3.1</v>
      </c>
      <c r="G20" s="55">
        <f t="shared" si="0"/>
        <v>43.4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203</v>
      </c>
      <c r="D21" s="70" t="s">
        <v>30</v>
      </c>
      <c r="E21" s="55">
        <v>3</v>
      </c>
      <c r="F21" s="55">
        <v>3.74</v>
      </c>
      <c r="G21" s="55">
        <f t="shared" si="0"/>
        <v>11.22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204</v>
      </c>
      <c r="D22" s="70" t="s">
        <v>29</v>
      </c>
      <c r="E22" s="55">
        <v>1</v>
      </c>
      <c r="F22" s="55">
        <v>59.4</v>
      </c>
      <c r="G22" s="55">
        <f t="shared" si="0"/>
        <v>59.4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205</v>
      </c>
      <c r="D23" s="70" t="s">
        <v>30</v>
      </c>
      <c r="E23" s="55">
        <v>1</v>
      </c>
      <c r="F23" s="55">
        <v>46.2</v>
      </c>
      <c r="G23" s="55">
        <f t="shared" si="0"/>
        <v>46.2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206</v>
      </c>
      <c r="D24" s="70" t="s">
        <v>30</v>
      </c>
      <c r="E24" s="55">
        <v>2</v>
      </c>
      <c r="F24" s="55">
        <v>60.5</v>
      </c>
      <c r="G24" s="55">
        <f t="shared" si="0"/>
        <v>121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207</v>
      </c>
      <c r="D25" s="70" t="s">
        <v>30</v>
      </c>
      <c r="E25" s="55">
        <v>1</v>
      </c>
      <c r="F25" s="55">
        <v>6.28</v>
      </c>
      <c r="G25" s="55">
        <f t="shared" si="0"/>
        <v>6.28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208</v>
      </c>
      <c r="D26" s="70" t="s">
        <v>30</v>
      </c>
      <c r="E26" s="55">
        <v>1</v>
      </c>
      <c r="F26" s="55">
        <v>198</v>
      </c>
      <c r="G26" s="55">
        <f t="shared" si="0"/>
        <v>198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79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31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BFC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2018-06-08T05:39:59Z</dcterms:modified>
</cp:coreProperties>
</file>