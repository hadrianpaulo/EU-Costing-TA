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CAP MR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Supplies_Medical'!$C$15:$C$52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Drugs&amp;Med'!$B$2:$J$35</definedName>
  </definedNames>
  <calcPr calcId="152511"/>
</workbook>
</file>

<file path=xl/calcChain.xml><?xml version="1.0" encoding="utf-8"?>
<calcChain xmlns="http://schemas.openxmlformats.org/spreadsheetml/2006/main">
  <c r="G20" i="9" l="1"/>
  <c r="G27" i="9"/>
  <c r="G26" i="9"/>
  <c r="G24" i="9" l="1"/>
  <c r="G23" i="9"/>
  <c r="G22" i="9"/>
  <c r="G21" i="9"/>
  <c r="G19" i="9"/>
  <c r="G18" i="9"/>
  <c r="G17" i="9"/>
  <c r="J34" i="2" l="1"/>
  <c r="J27" i="2"/>
  <c r="G25" i="9" l="1"/>
  <c r="J33" i="2"/>
  <c r="J32" i="2"/>
  <c r="J31" i="2"/>
  <c r="J30" i="2"/>
  <c r="J29" i="2"/>
  <c r="J28" i="2"/>
  <c r="G16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<sst xmlns="http://schemas.openxmlformats.org/spreadsheetml/2006/main" count="526" uniqueCount="225">
  <si>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</si>
  <si>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</si>
  <si>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</si>
  <si>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</si>
  <si>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</si>
  <si>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</si>
  <si>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</si>
  <si>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</si>
  <si>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</si>
  <si>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</si>
  <si>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</si>
  <si>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</si>
  <si>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</si>
  <si>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</si>
  <si>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</si>
  <si>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</si>
  <si>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</si>
  <si>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</si>
  <si>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</si>
  <si>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</si>
  <si>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</si>
  <si>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</si>
  <si>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</si>
  <si>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</si>
  <si>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</si>
  <si>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</si>
  <si>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</si>
  <si>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</si>
  <si>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</si>
  <si>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</si>
  <si>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</si>
  <si>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</si>
  <si>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</si>
  <si>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</si>
  <si>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</si>
  <si>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</si>
  <si>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</si>
  <si>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</si>
  <si>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</si>
  <si>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</si>
  <si>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</si>
  <si>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</si>
  <si>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</si>
  <si>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</si>
  <si>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</si>
  <si>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</si>
  <si>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</si>
  <si>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</si>
  <si>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</si>
  <si>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</si>
  <si>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</si>
  <si>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</si>
  <si>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</si>
  <si>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</si>
  <si>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</si>
  <si>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</si>
  <si>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</si>
  <si>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</si>
  <si>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</si>
  <si>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</si>
  <si>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</si>
  <si>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</si>
  <si>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</si>
  <si>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</si>
  <si>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</si>
  <si>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</si>
  <si>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</si>
  <si>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</si>
  <si>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</si>
  <si>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</si>
  <si>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</si>
  <si>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</si>
  <si>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</si>
  <si>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</si>
  <si>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</si>
  <si>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</si>
  <si>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</si>
  <si>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</si>
  <si>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</si>
  <si>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</si>
  <si>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</si>
  <si>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</si>
  <si>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</si>
  <si>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</si>
  <si>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</si>
  <si>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</si>
  <si>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</si>
  <si>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</si>
  <si>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</si>
  <si>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</si>
  <si>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</si>
  <si>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</si>
  <si>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</si>
  <si>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</si>
  <si>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</si>
  <si>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</si>
  <si>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</si>
  <si>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</si>
  <si>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</si>
  <si>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</si>
  <si>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</si>
  <si>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</si>
  <si>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</si>
  <si>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</si>
  <si>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</si>
  <si>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</si>
  <si>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</si>
  <si>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</si>
  <si>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</si>
  <si>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</si>
  <si>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</si>
  <si>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</si>
  <si>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</si>
  <si>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</si>
  <si>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</si>
  <si>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</si>
  <si>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</si>
  <si>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</si>
  <si>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</si>
  <si>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</si>
  <si>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</si>
  <si>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</si>
  <si>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</si>
  <si>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</si>
  <si>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</si>
  <si>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</si>
  <si>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</si>
  <si>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</si>
  <si>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</si>
  <si>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</si>
  <si>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</si>
  <si>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</si>
  <si>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</si>
  <si>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</si>
  <si>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</si>
  <si>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</si>
  <si>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</si>
  <si>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</si>
  <si>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</si>
  <si>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</si>
  <si>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</si>
  <si>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</si>
  <si>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</si>
  <si>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</si>
  <si>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</si>
  <si>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</si>
  <si>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</si>
  <si>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</si>
  <si>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</si>
  <si>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</si>
  <si>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</si>
  <si>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</si>
  <si>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</si>
  <si>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</si>
  <si>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</si>
  <si>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</si>
  <si>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</si>
  <si>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</si>
  <si>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</si>
  <si>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</si>
  <si>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</si>
  <si>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</si>
  <si>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</si>
  <si>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</si>
  <si>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</si>
  <si>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</si>
  <si>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Drugs and Medicines (cons)</t>
  </si>
  <si>
    <t>Medical Supplies (cons)</t>
  </si>
  <si>
    <t>Laboratory Exam</t>
  </si>
  <si>
    <t>Garbage Fee</t>
  </si>
  <si>
    <t>Room and Board</t>
  </si>
  <si>
    <t>Professional Fee</t>
  </si>
  <si>
    <t>bottle</t>
  </si>
  <si>
    <t>vial</t>
  </si>
  <si>
    <t>500mg</t>
  </si>
  <si>
    <t>Disposable Mask</t>
  </si>
  <si>
    <t>1cc/tbs</t>
  </si>
  <si>
    <t>3cc</t>
  </si>
  <si>
    <t>Clean Gloves</t>
  </si>
  <si>
    <t>Surgical Gauze</t>
  </si>
  <si>
    <t>IV Cath G. 24</t>
  </si>
  <si>
    <t>ID Bracelet</t>
  </si>
  <si>
    <t>CAP MR</t>
  </si>
  <si>
    <t>J18.92</t>
  </si>
  <si>
    <t>Radiology</t>
  </si>
  <si>
    <t>Urinalysis</t>
  </si>
  <si>
    <t>Chest  X-Ray</t>
  </si>
  <si>
    <t>BMMS</t>
  </si>
  <si>
    <t>ampul</t>
  </si>
  <si>
    <t>syrup</t>
  </si>
  <si>
    <t>500ml</t>
  </si>
  <si>
    <t>Hema Package 1(CBC, Platelet Count)</t>
  </si>
  <si>
    <t>Dengue Ns1Ag</t>
  </si>
  <si>
    <t xml:space="preserve">Drugs and Medicines </t>
  </si>
  <si>
    <t>Acetylcysteine</t>
  </si>
  <si>
    <t>Cefoxitin</t>
  </si>
  <si>
    <t>Montelukast</t>
  </si>
  <si>
    <t>Metoclopramide</t>
  </si>
  <si>
    <t>Cetirizine</t>
  </si>
  <si>
    <t>Ranitidine Hydrochloride</t>
  </si>
  <si>
    <t>Loratidine</t>
  </si>
  <si>
    <t>D5LRS</t>
  </si>
  <si>
    <t>Salbutamol Sulfate</t>
  </si>
  <si>
    <t>sachet</t>
  </si>
  <si>
    <t>tablet</t>
  </si>
  <si>
    <t>nebule</t>
  </si>
  <si>
    <t>100mg</t>
  </si>
  <si>
    <t>1g</t>
  </si>
  <si>
    <t>4mg</t>
  </si>
  <si>
    <t>5mg/2ml</t>
  </si>
  <si>
    <t>10mg</t>
  </si>
  <si>
    <t>25mg/ml</t>
  </si>
  <si>
    <t>5mg/5ml</t>
  </si>
  <si>
    <t>1000ml</t>
  </si>
  <si>
    <t>1mg/ml</t>
  </si>
  <si>
    <t>Hydrocortisone Sodium Succinate</t>
  </si>
  <si>
    <t>250mg</t>
  </si>
  <si>
    <t>Clarithromycin</t>
  </si>
  <si>
    <t>Ipratropium Bromide 500mg+Salbutamol 25mg</t>
  </si>
  <si>
    <t>Thermometer</t>
  </si>
  <si>
    <t>5cc</t>
  </si>
  <si>
    <t>10cc</t>
  </si>
  <si>
    <t>NG25/N25</t>
  </si>
  <si>
    <t>Neb Kit</t>
  </si>
  <si>
    <t>kit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</si>
</sst>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31</xdr:row>
          <xdr:rowOff>28575</xdr:rowOff>
        </xdr:from>
        <xdr:to>
          <xdr:col>1</xdr:col>
          <xdr:colOff>762000</xdr:colOff>
          <xdr:row>31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31</xdr:row>
          <xdr:rowOff>28575</xdr:rowOff>
        </xdr:from>
        <xdr:to>
          <xdr:col>1</xdr:col>
          <xdr:colOff>1533525</xdr:colOff>
          <xdr:row>31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</xdr:row>
          <xdr:rowOff>28575</xdr:rowOff>
        </xdr:from>
        <xdr:to>
          <xdr:col>1</xdr:col>
          <xdr:colOff>771525</xdr:colOff>
          <xdr:row>42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42</xdr:row>
          <xdr:rowOff>28575</xdr:rowOff>
        </xdr:from>
        <xdr:to>
          <xdr:col>1</xdr:col>
          <xdr:colOff>1543050</xdr:colOff>
          <xdr:row>42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1" zoomScaleNormal="100" workbookViewId="0">
      <selection activeCell="D67" sqref="D6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182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192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186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46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47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55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57</v>
      </c>
      <c r="C59" s="17" t="s">
        <v>53</v>
      </c>
      <c r="D59" s="17" t="s">
        <v>58</v>
      </c>
      <c r="E59" s="18" t="s">
        <v>59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6969.38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>
        <v>595.78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193</v>
      </c>
      <c r="D62" s="55">
        <v>120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168</v>
      </c>
      <c r="D63" s="55">
        <v>300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184</v>
      </c>
      <c r="D64" s="55">
        <v>290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169</v>
      </c>
      <c r="D65" s="55">
        <v>40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170</v>
      </c>
      <c r="D66" s="55">
        <v>800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171</v>
      </c>
      <c r="D67" s="55">
        <v>4500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13615.16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M4AI1vIqd7HHTCckTxcH/HsiNq8niu/zT7UVgj0SER2LtQgAn8Aw2QyKObqDPYV2wzwjwoKYDNgkQUHujwlDQA==" saltValue="8Wq96t4Rj6IsBfkkQZiojA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5"/>
  <sheetViews>
    <sheetView topLeftCell="A5" workbookViewId="0">
      <selection activeCell="G11" sqref="G11:G2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8.8554687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MR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24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194</v>
      </c>
      <c r="D11" s="27" t="s">
        <v>203</v>
      </c>
      <c r="E11" s="27" t="s">
        <v>206</v>
      </c>
      <c r="F11" s="55"/>
      <c r="G11" s="55">
        <v>4</v>
      </c>
      <c r="H11" s="55">
        <v>15</v>
      </c>
      <c r="I11" s="55">
        <v>20.350000000000001</v>
      </c>
      <c r="J11" s="55">
        <f>H11*I11</f>
        <v>305.25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195</v>
      </c>
      <c r="D12" s="27" t="s">
        <v>173</v>
      </c>
      <c r="E12" s="27" t="s">
        <v>207</v>
      </c>
      <c r="F12" s="55"/>
      <c r="G12" s="55">
        <v>4</v>
      </c>
      <c r="H12" s="55">
        <v>5</v>
      </c>
      <c r="I12" s="55">
        <v>825</v>
      </c>
      <c r="J12" s="55">
        <f t="shared" ref="J12:J33" si="0">H12*I12</f>
        <v>4125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196</v>
      </c>
      <c r="D13" s="27" t="s">
        <v>204</v>
      </c>
      <c r="E13" s="27" t="s">
        <v>208</v>
      </c>
      <c r="F13" s="55"/>
      <c r="G13" s="55">
        <v>4</v>
      </c>
      <c r="H13" s="55">
        <v>7</v>
      </c>
      <c r="I13" s="55">
        <v>21.56</v>
      </c>
      <c r="J13" s="55">
        <f t="shared" si="0"/>
        <v>150.91999999999999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197</v>
      </c>
      <c r="D14" s="27" t="s">
        <v>188</v>
      </c>
      <c r="E14" s="27" t="s">
        <v>209</v>
      </c>
      <c r="F14" s="55"/>
      <c r="G14" s="55">
        <v>4</v>
      </c>
      <c r="H14" s="55">
        <v>3</v>
      </c>
      <c r="I14" s="55">
        <v>18.7</v>
      </c>
      <c r="J14" s="55">
        <f t="shared" si="0"/>
        <v>56.099999999999994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198</v>
      </c>
      <c r="D15" s="27" t="s">
        <v>204</v>
      </c>
      <c r="E15" s="27" t="s">
        <v>210</v>
      </c>
      <c r="F15" s="55"/>
      <c r="G15" s="55">
        <v>4</v>
      </c>
      <c r="H15" s="55">
        <v>7</v>
      </c>
      <c r="I15" s="55">
        <v>2.75</v>
      </c>
      <c r="J15" s="55">
        <f t="shared" si="0"/>
        <v>19.25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199</v>
      </c>
      <c r="D16" s="27" t="s">
        <v>188</v>
      </c>
      <c r="E16" s="27" t="s">
        <v>211</v>
      </c>
      <c r="F16" s="55"/>
      <c r="G16" s="55">
        <v>4</v>
      </c>
      <c r="H16" s="55">
        <v>4</v>
      </c>
      <c r="I16" s="55">
        <v>31.9</v>
      </c>
      <c r="J16" s="55">
        <f t="shared" si="0"/>
        <v>127.6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2:20" ht="12.75" customHeight="1" x14ac:dyDescent="0.3">
      <c r="B17" s="42">
        <v>7</v>
      </c>
      <c r="C17" s="27" t="s">
        <v>200</v>
      </c>
      <c r="D17" s="27" t="s">
        <v>189</v>
      </c>
      <c r="E17" s="27" t="s">
        <v>212</v>
      </c>
      <c r="F17" s="55"/>
      <c r="G17" s="55">
        <v>4</v>
      </c>
      <c r="H17" s="55">
        <v>1</v>
      </c>
      <c r="I17" s="55">
        <v>140.80000000000001</v>
      </c>
      <c r="J17" s="55">
        <f t="shared" si="0"/>
        <v>140.80000000000001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2:20" ht="12.75" customHeight="1" x14ac:dyDescent="0.3">
      <c r="B18" s="42">
        <v>8</v>
      </c>
      <c r="C18" s="27" t="s">
        <v>201</v>
      </c>
      <c r="D18" s="27" t="s">
        <v>172</v>
      </c>
      <c r="E18" s="27" t="s">
        <v>213</v>
      </c>
      <c r="F18" s="55"/>
      <c r="G18" s="55">
        <v>4</v>
      </c>
      <c r="H18" s="55">
        <v>5</v>
      </c>
      <c r="I18" s="55">
        <v>78.430000000000007</v>
      </c>
      <c r="J18" s="55">
        <f t="shared" si="0"/>
        <v>392.15000000000003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2:20" ht="12.75" customHeight="1" x14ac:dyDescent="0.3">
      <c r="B19" s="42">
        <v>9</v>
      </c>
      <c r="C19" s="27" t="s">
        <v>202</v>
      </c>
      <c r="D19" s="27" t="s">
        <v>205</v>
      </c>
      <c r="E19" s="27" t="s">
        <v>214</v>
      </c>
      <c r="F19" s="55"/>
      <c r="G19" s="55">
        <v>4</v>
      </c>
      <c r="H19" s="55">
        <v>1</v>
      </c>
      <c r="I19" s="55">
        <v>12.65</v>
      </c>
      <c r="J19" s="55">
        <f t="shared" si="0"/>
        <v>12.65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2:20" ht="12.75" customHeight="1" x14ac:dyDescent="0.3">
      <c r="B20" s="42">
        <v>10</v>
      </c>
      <c r="C20" s="27" t="s">
        <v>215</v>
      </c>
      <c r="D20" s="27" t="s">
        <v>173</v>
      </c>
      <c r="E20" s="27" t="s">
        <v>216</v>
      </c>
      <c r="F20" s="55"/>
      <c r="G20" s="55">
        <v>4</v>
      </c>
      <c r="H20" s="55">
        <v>2</v>
      </c>
      <c r="I20" s="55">
        <v>81.400000000000006</v>
      </c>
      <c r="J20" s="55">
        <f t="shared" si="0"/>
        <v>162.80000000000001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2:20" ht="12.75" customHeight="1" x14ac:dyDescent="0.3">
      <c r="B21" s="42">
        <v>11</v>
      </c>
      <c r="C21" s="27" t="s">
        <v>187</v>
      </c>
      <c r="D21" s="27" t="s">
        <v>172</v>
      </c>
      <c r="E21" s="27" t="s">
        <v>190</v>
      </c>
      <c r="F21" s="55"/>
      <c r="G21" s="55">
        <v>4</v>
      </c>
      <c r="H21" s="55">
        <v>1</v>
      </c>
      <c r="I21" s="55">
        <v>78.430000000000007</v>
      </c>
      <c r="J21" s="55">
        <f t="shared" si="0"/>
        <v>78.430000000000007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2:20" ht="12.75" customHeight="1" x14ac:dyDescent="0.3">
      <c r="B22" s="42">
        <v>12</v>
      </c>
      <c r="C22" s="27" t="s">
        <v>217</v>
      </c>
      <c r="D22" s="27" t="s">
        <v>204</v>
      </c>
      <c r="E22" s="27" t="s">
        <v>174</v>
      </c>
      <c r="F22" s="55"/>
      <c r="G22" s="55">
        <v>4</v>
      </c>
      <c r="H22" s="55">
        <v>7</v>
      </c>
      <c r="I22" s="55">
        <v>9.7899999999999991</v>
      </c>
      <c r="J22" s="55">
        <f t="shared" si="0"/>
        <v>68.53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2:20" ht="12.75" customHeight="1" x14ac:dyDescent="0.3">
      <c r="B23" s="42">
        <v>13</v>
      </c>
      <c r="C23" s="27" t="s">
        <v>218</v>
      </c>
      <c r="D23" s="27" t="s">
        <v>205</v>
      </c>
      <c r="E23" s="27" t="s">
        <v>174</v>
      </c>
      <c r="F23" s="55"/>
      <c r="G23" s="55">
        <v>4</v>
      </c>
      <c r="H23" s="55">
        <v>39</v>
      </c>
      <c r="I23" s="55">
        <v>34.1</v>
      </c>
      <c r="J23" s="55">
        <f t="shared" si="0"/>
        <v>1329.9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2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2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2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2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0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2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>
        <f t="shared" si="0"/>
        <v>0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2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>
        <f t="shared" si="0"/>
        <v>0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2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>
        <f t="shared" si="0"/>
        <v>0</v>
      </c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>
        <f t="shared" si="0"/>
        <v>0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.75" customHeight="1" x14ac:dyDescent="0.3">
      <c r="B32" s="42">
        <v>22</v>
      </c>
      <c r="C32" s="27"/>
      <c r="D32" s="27"/>
      <c r="E32" s="27"/>
      <c r="F32" s="55"/>
      <c r="G32" s="55"/>
      <c r="H32" s="55"/>
      <c r="I32" s="55"/>
      <c r="J32" s="55">
        <f t="shared" si="0"/>
        <v>0</v>
      </c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1:20" ht="12.75" customHeight="1" x14ac:dyDescent="0.3">
      <c r="B33" s="42">
        <v>23</v>
      </c>
      <c r="C33" s="27"/>
      <c r="D33" s="27"/>
      <c r="E33" s="27"/>
      <c r="F33" s="55"/>
      <c r="G33" s="55"/>
      <c r="H33" s="55"/>
      <c r="I33" s="55"/>
      <c r="J33" s="55">
        <f t="shared" si="0"/>
        <v>0</v>
      </c>
      <c r="K33" s="34"/>
      <c r="L33" s="34"/>
      <c r="M33" s="34"/>
      <c r="N33" s="34"/>
      <c r="O33" s="34"/>
      <c r="P33" s="34"/>
      <c r="Q33" s="34"/>
      <c r="R33" s="34"/>
      <c r="S33" s="34"/>
      <c r="T33" s="34"/>
    </row>
    <row r="34" spans="1:20" ht="12.75" customHeight="1" x14ac:dyDescent="0.3">
      <c r="B34" s="42">
        <v>24</v>
      </c>
      <c r="C34" s="27"/>
      <c r="D34" s="27"/>
      <c r="E34" s="27"/>
      <c r="F34" s="55"/>
      <c r="G34" s="55"/>
      <c r="H34" s="55"/>
      <c r="I34" s="55"/>
      <c r="J34" s="55">
        <f t="shared" ref="J34" si="1">H34*I34</f>
        <v>0</v>
      </c>
      <c r="K34" s="34"/>
      <c r="L34" s="34"/>
      <c r="M34" s="34"/>
      <c r="N34" s="34"/>
      <c r="O34" s="34"/>
      <c r="P34" s="34"/>
      <c r="Q34" s="34"/>
      <c r="R34" s="34"/>
      <c r="S34" s="34"/>
      <c r="T34" s="34"/>
    </row>
    <row r="35" spans="1:20" ht="12.75" customHeight="1" x14ac:dyDescent="0.25">
      <c r="A35" s="33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</row>
    <row r="36" spans="1:20" ht="15.75" customHeight="1" x14ac:dyDescent="0.25"/>
    <row r="37" spans="1:20" ht="15.75" customHeight="1" x14ac:dyDescent="0.25"/>
    <row r="38" spans="1:20" ht="15.75" customHeight="1" x14ac:dyDescent="0.25"/>
    <row r="39" spans="1:20" ht="15.75" customHeight="1" x14ac:dyDescent="0.25"/>
    <row r="40" spans="1:20" ht="15.75" customHeight="1" x14ac:dyDescent="0.25"/>
    <row r="41" spans="1:20" ht="15.75" customHeight="1" x14ac:dyDescent="0.25"/>
    <row r="42" spans="1:20" ht="15.75" customHeight="1" x14ac:dyDescent="0.25"/>
    <row r="43" spans="1:20" ht="15.75" customHeight="1" x14ac:dyDescent="0.25"/>
    <row r="44" spans="1:20" ht="15.75" customHeight="1" x14ac:dyDescent="0.25"/>
    <row r="45" spans="1:20" ht="15.75" customHeight="1" x14ac:dyDescent="0.25"/>
    <row r="46" spans="1:20" ht="15.75" customHeight="1" x14ac:dyDescent="0.25"/>
    <row r="47" spans="1:20" ht="15.75" customHeight="1" x14ac:dyDescent="0.25"/>
    <row r="48" spans="1:2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</sheetData>
  <sheetProtection algorithmName="SHA-512" hashValue="yaXWZVoorQfPDAtqK467GB7puOvs1vsuo3iJccbk1kXOywri5aVRgNs/rx7vmzI3bo7OzZxSWzgY9mU8QW70Rg==" saltValue="dJ6Zwdg3OZ5EdSZKTtIrV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4">
      <formula1>0</formula1>
    </dataValidation>
  </dataValidations>
  <pageMargins left="0.7" right="0.7" top="0.75" bottom="0.75" header="0" footer="0"/>
  <pageSetup paperSize="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6"/>
  <sheetViews>
    <sheetView topLeftCell="A13" workbookViewId="0">
      <selection activeCell="G16" sqref="G16:G2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175</v>
      </c>
      <c r="D16" s="70" t="s">
        <v>29</v>
      </c>
      <c r="E16" s="55">
        <v>2</v>
      </c>
      <c r="F16" s="55">
        <v>4.4000000000000004</v>
      </c>
      <c r="G16" s="55">
        <f>E16*F16</f>
        <v>8.8000000000000007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29</v>
      </c>
      <c r="E17" s="55">
        <v>7</v>
      </c>
      <c r="F17" s="55">
        <v>5.5</v>
      </c>
      <c r="G17" s="55">
        <f t="shared" ref="G17:G24" si="0">E17*F17</f>
        <v>38.5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29</v>
      </c>
      <c r="E18" s="55">
        <v>6</v>
      </c>
      <c r="F18" s="55">
        <v>3.1</v>
      </c>
      <c r="G18" s="55">
        <f t="shared" si="0"/>
        <v>18.600000000000001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179</v>
      </c>
      <c r="D19" s="70" t="s">
        <v>29</v>
      </c>
      <c r="E19" s="55">
        <v>10</v>
      </c>
      <c r="F19" s="55">
        <v>2.5299999999999998</v>
      </c>
      <c r="G19" s="55">
        <f t="shared" si="0"/>
        <v>25.299999999999997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222</v>
      </c>
      <c r="D20" s="70" t="s">
        <v>29</v>
      </c>
      <c r="E20" s="55">
        <v>5</v>
      </c>
      <c r="F20" s="55">
        <v>3.74</v>
      </c>
      <c r="G20" s="55">
        <f t="shared" si="0"/>
        <v>18.700000000000003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176</v>
      </c>
      <c r="D21" s="70" t="s">
        <v>29</v>
      </c>
      <c r="E21" s="55">
        <v>2</v>
      </c>
      <c r="F21" s="55">
        <v>6.6</v>
      </c>
      <c r="G21" s="55">
        <f t="shared" si="0"/>
        <v>13.2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223</v>
      </c>
      <c r="D22" s="70" t="s">
        <v>224</v>
      </c>
      <c r="E22" s="55">
        <v>1</v>
      </c>
      <c r="F22" s="55">
        <v>70.400000000000006</v>
      </c>
      <c r="G22" s="55">
        <f t="shared" si="0"/>
        <v>70.400000000000006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180</v>
      </c>
      <c r="D23" s="70" t="s">
        <v>29</v>
      </c>
      <c r="E23" s="55">
        <v>4</v>
      </c>
      <c r="F23" s="55">
        <v>60.5</v>
      </c>
      <c r="G23" s="55">
        <f t="shared" si="0"/>
        <v>242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181</v>
      </c>
      <c r="D24" s="70" t="s">
        <v>29</v>
      </c>
      <c r="E24" s="55">
        <v>1</v>
      </c>
      <c r="F24" s="55">
        <v>6.28</v>
      </c>
      <c r="G24" s="55">
        <f t="shared" si="0"/>
        <v>6.28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219</v>
      </c>
      <c r="D25" s="70" t="s">
        <v>29</v>
      </c>
      <c r="E25" s="55">
        <v>1</v>
      </c>
      <c r="F25" s="55">
        <v>80.3</v>
      </c>
      <c r="G25" s="55">
        <f t="shared" ref="G25:G27" si="1">E25*F25</f>
        <v>80.3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220</v>
      </c>
      <c r="D26" s="70" t="s">
        <v>29</v>
      </c>
      <c r="E26" s="55">
        <v>10</v>
      </c>
      <c r="F26" s="55">
        <v>6.6</v>
      </c>
      <c r="G26" s="55">
        <f t="shared" si="1"/>
        <v>66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221</v>
      </c>
      <c r="D27" s="70" t="s">
        <v>29</v>
      </c>
      <c r="E27" s="55">
        <v>1</v>
      </c>
      <c r="F27" s="55">
        <v>7.7</v>
      </c>
      <c r="G27" s="55">
        <f t="shared" si="1"/>
        <v>7.7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136" t="s">
        <v>78</v>
      </c>
      <c r="C31" s="137"/>
      <c r="D31" s="137"/>
      <c r="E31" s="137"/>
      <c r="F31" s="137"/>
      <c r="G31" s="138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2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3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4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5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6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7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8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9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10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136" t="s">
        <v>30</v>
      </c>
      <c r="C42" s="137"/>
      <c r="D42" s="137"/>
      <c r="E42" s="137"/>
      <c r="F42" s="137"/>
      <c r="G42" s="138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2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3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4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5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6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7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8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9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10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A53" s="44"/>
      <c r="B53" s="39"/>
      <c r="C53" s="44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</sheetData>
  <sheetProtection algorithmName="SHA-512" hashValue="VlI8DTDn1RTnOH/74TSzT2+P8rkr0UiJJg7gY8PTFCnfnajtorKXmKxIpcBXqHLiWv1yU3CcEIQsYogrKo+6pg==" saltValue="9jsCLkU2LC1kmnWWkKWMNg==" spinCount="100000" sheet="1" objects="1" scenarios="1" formatColumns="0" formatRows="0" sort="0" autoFilter="0"/>
  <mergeCells count="9">
    <mergeCell ref="B7:G7"/>
    <mergeCell ref="B31:G31"/>
    <mergeCell ref="B42:G4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31</xdr:row>
                    <xdr:rowOff>28575</xdr:rowOff>
                  </from>
                  <to>
                    <xdr:col>1</xdr:col>
                    <xdr:colOff>762000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31</xdr:row>
                    <xdr:rowOff>28575</xdr:rowOff>
                  </from>
                  <to>
                    <xdr:col>1</xdr:col>
                    <xdr:colOff>1533525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42</xdr:row>
                    <xdr:rowOff>28575</xdr:rowOff>
                  </from>
                  <to>
                    <xdr:col>1</xdr:col>
                    <xdr:colOff>771525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42</xdr:row>
                    <xdr:rowOff>28575</xdr:rowOff>
                  </from>
                  <to>
                    <xdr:col>1</xdr:col>
                    <xdr:colOff>1543050</xdr:colOff>
                    <xdr:row>42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3" sqref="D13:L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87</v>
      </c>
      <c r="N12" s="90" t="s">
        <v>88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cp:lastPrinted>2018-05-30T09:08:42Z</cp:lastPrinted>
  <dcterms:created xsi:type="dcterms:W3CDTF">2018-05-11T08:46:15Z</dcterms:created>
  <dcterms:modified xsi:type="dcterms:W3CDTF">2018-06-08T05:42:29Z</dcterms:modified>
</cp:coreProperties>
</file>