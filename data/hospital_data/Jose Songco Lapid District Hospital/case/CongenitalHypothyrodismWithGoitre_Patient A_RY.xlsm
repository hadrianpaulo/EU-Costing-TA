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Congenital Hypothyrodism with goitr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25" i="9"/>
  <c r="G26" i="9"/>
  <c r="G16" i="9"/>
  <c r="J12" i="2"/>
  <c r="J13" i="2"/>
  <c r="J14" i="2"/>
  <c r="J15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<sst xmlns="http://schemas.openxmlformats.org/spreadsheetml/2006/main" count="504" uniqueCount="207">
  <si>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</si>
  <si>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</si>
  <si>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</si>
  <si>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</si>
  <si>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</si>
  <si>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</si>
  <si>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</si>
  <si>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</si>
  <si>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</si>
  <si>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</si>
  <si>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</si>
  <si>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</si>
  <si>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</si>
  <si>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</si>
  <si>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</si>
  <si>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</si>
  <si>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</si>
  <si>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</si>
  <si>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</si>
  <si>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</si>
  <si>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</si>
  <si>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</si>
  <si>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</si>
  <si>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</si>
  <si>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</si>
  <si>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</si>
  <si>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</si>
  <si>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</si>
  <si>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</si>
  <si>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</si>
  <si>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</si>
  <si>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</si>
  <si>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</si>
  <si>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</si>
  <si>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</si>
  <si>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</si>
  <si>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</si>
  <si>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</si>
  <si>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</si>
  <si>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</si>
  <si>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</si>
  <si>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</si>
  <si>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</si>
  <si>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</si>
  <si>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</si>
  <si>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</si>
  <si>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</si>
  <si>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</si>
  <si>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</si>
  <si>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</si>
  <si>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</si>
  <si>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</si>
  <si>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</si>
  <si>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</si>
  <si>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</si>
  <si>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</si>
  <si>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</si>
  <si>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</si>
  <si>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</si>
  <si>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</si>
  <si>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</si>
  <si>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</si>
  <si>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</si>
  <si>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</si>
  <si>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</si>
  <si>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</si>
  <si>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</si>
  <si>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</si>
  <si>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</si>
  <si>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</si>
  <si>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</si>
  <si>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</si>
  <si>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</si>
  <si>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</si>
  <si>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</si>
  <si>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</si>
  <si>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</si>
  <si>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</si>
  <si>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</si>
  <si>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</si>
  <si>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</si>
  <si>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</si>
  <si>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</si>
  <si>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</si>
  <si>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</si>
  <si>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</si>
  <si>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</si>
  <si>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</si>
  <si>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</si>
  <si>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</si>
  <si>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</si>
  <si>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</si>
  <si>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</si>
  <si>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</si>
  <si>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</si>
  <si>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</si>
  <si>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</si>
  <si>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</si>
  <si>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</si>
  <si>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</si>
  <si>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</si>
  <si>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</si>
  <si>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</si>
  <si>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</si>
  <si>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</si>
  <si>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</si>
  <si>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</si>
  <si>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</si>
  <si>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</si>
  <si>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</si>
  <si>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</si>
  <si>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</si>
  <si>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</si>
  <si>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</si>
  <si>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</si>
  <si>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</si>
  <si>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</si>
  <si>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</si>
  <si>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</si>
  <si>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</si>
  <si>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</si>
  <si>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</si>
  <si>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</si>
  <si>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</si>
  <si>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</si>
  <si>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</si>
  <si>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</si>
  <si>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</si>
  <si>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</si>
  <si>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</si>
  <si>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</si>
  <si>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</si>
  <si>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</si>
  <si>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</si>
  <si>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</si>
  <si>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</si>
  <si>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</si>
  <si>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</si>
  <si>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</si>
  <si>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</si>
  <si>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</si>
  <si>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</si>
  <si>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</si>
  <si>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</si>
  <si>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</si>
  <si>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</si>
  <si>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</si>
  <si>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</si>
  <si>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</si>
  <si>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</si>
  <si>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</si>
  <si>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</si>
  <si>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</si>
  <si>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</si>
  <si>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</si>
  <si>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</si>
  <si>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</si>
  <si>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</si>
  <si>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</si>
  <si>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</si>
  <si>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</si>
  <si>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</si>
  <si>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</si>
  <si>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</si>
  <si>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</si>
  <si>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</si>
  <si>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Congenital Hypothyroidism w/ Goitre</t>
  </si>
  <si>
    <t>E03.0</t>
  </si>
  <si>
    <t>RBS</t>
  </si>
  <si>
    <t>Blood Chem 1(FBS, BUN, Crea, BUA, Lipid Profile)</t>
  </si>
  <si>
    <t>SGPT/ALT</t>
  </si>
  <si>
    <t>SGOT/AST</t>
  </si>
  <si>
    <t>Hema Package 1(CBC, Platelet Count)</t>
  </si>
  <si>
    <t>Troponin I</t>
  </si>
  <si>
    <t>Electrolytes</t>
  </si>
  <si>
    <t>Chest X-Ray</t>
  </si>
  <si>
    <t>ECG</t>
  </si>
  <si>
    <t>Drugs and Medicines (cons)</t>
  </si>
  <si>
    <t>Medical Supplies (cons)</t>
  </si>
  <si>
    <t>Laboratory Exam</t>
  </si>
  <si>
    <t>Radiology</t>
  </si>
  <si>
    <t>Garbage Fee</t>
  </si>
  <si>
    <t>Room and Board</t>
  </si>
  <si>
    <t>Professional Fee</t>
  </si>
  <si>
    <t>Trimetazidine</t>
  </si>
  <si>
    <t>Clopidogrel</t>
  </si>
  <si>
    <t>Propanolol Hydrochloride</t>
  </si>
  <si>
    <t>Amino Acid 9.12%</t>
  </si>
  <si>
    <t>0.9% Sodium Chloride</t>
  </si>
  <si>
    <t>tablet</t>
  </si>
  <si>
    <t>ampul</t>
  </si>
  <si>
    <t>bottle</t>
  </si>
  <si>
    <t>35mg</t>
  </si>
  <si>
    <t>75mg</t>
  </si>
  <si>
    <t>40mg</t>
  </si>
  <si>
    <t>1000ml</t>
  </si>
  <si>
    <t>Disposable Mask</t>
  </si>
  <si>
    <t>3cc</t>
  </si>
  <si>
    <t>5cc</t>
  </si>
  <si>
    <t>10cc</t>
  </si>
  <si>
    <t>Clean Gloves</t>
  </si>
  <si>
    <t>Insulin Syringe</t>
  </si>
  <si>
    <t>NG25/N25</t>
  </si>
  <si>
    <t>Surgical Gauze</t>
  </si>
  <si>
    <t>Macroset</t>
  </si>
  <si>
    <t>IV Cath G.20</t>
  </si>
  <si>
    <t>ID Bracelet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</si>
</sst>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0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zoomScaleNormal="100" workbookViewId="0">
      <selection activeCell="D71" sqref="D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54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45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172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174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 t="s">
        <v>175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 t="s">
        <v>176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46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47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55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57</v>
      </c>
      <c r="C62" s="17" t="s">
        <v>53</v>
      </c>
      <c r="D62" s="17" t="s">
        <v>58</v>
      </c>
      <c r="E62" s="18" t="s">
        <v>59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177</v>
      </c>
      <c r="D63" s="55">
        <v>911.02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178</v>
      </c>
      <c r="D64" s="55">
        <v>413.07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179</v>
      </c>
      <c r="D65" s="55">
        <v>3370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180</v>
      </c>
      <c r="D66" s="55">
        <v>160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176</v>
      </c>
      <c r="D67" s="55">
        <v>200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181</v>
      </c>
      <c r="D68" s="55">
        <v>20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182</v>
      </c>
      <c r="D69" s="55">
        <v>400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 t="s">
        <v>183</v>
      </c>
      <c r="D70" s="55">
        <v>2970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8444.09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algorithmName="SHA-512" hashValue="Dxez2O8dk3o812ENVXF1TQiRd7HkuLWeHNyJPJFJidOOP4SohCvZxIwJNbhLwVHbBVMo2Fpe08J1vx0njuV1Aw==" saltValue="nA11A+KivGn4abnaAkhfBA==" spinCount="100000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:J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Congenital Hypothyroidism w/ Goitre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27" t="s">
        <v>189</v>
      </c>
      <c r="E11" s="27" t="s">
        <v>192</v>
      </c>
      <c r="F11" s="55"/>
      <c r="G11" s="55">
        <v>2</v>
      </c>
      <c r="H11" s="55">
        <v>6</v>
      </c>
      <c r="I11" s="55">
        <v>14.3</v>
      </c>
      <c r="J11" s="55">
        <f>H11*I11</f>
        <v>85.800000000000011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189</v>
      </c>
      <c r="E12" s="27" t="s">
        <v>193</v>
      </c>
      <c r="F12" s="55"/>
      <c r="G12" s="55">
        <v>2</v>
      </c>
      <c r="H12" s="55">
        <v>3</v>
      </c>
      <c r="I12" s="55">
        <v>24.75</v>
      </c>
      <c r="J12" s="55">
        <f t="shared" ref="J12:J15" si="0">H12*I12</f>
        <v>74.25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189</v>
      </c>
      <c r="E13" s="27" t="s">
        <v>194</v>
      </c>
      <c r="F13" s="55"/>
      <c r="G13" s="55">
        <v>2</v>
      </c>
      <c r="H13" s="55">
        <v>13</v>
      </c>
      <c r="I13" s="55">
        <v>2.75</v>
      </c>
      <c r="J13" s="55">
        <f t="shared" si="0"/>
        <v>35.75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190</v>
      </c>
      <c r="E14" s="115">
        <v>0.05</v>
      </c>
      <c r="F14" s="55"/>
      <c r="G14" s="55">
        <v>2</v>
      </c>
      <c r="H14" s="55">
        <v>1</v>
      </c>
      <c r="I14" s="55">
        <v>401.5</v>
      </c>
      <c r="J14" s="55">
        <f t="shared" si="0"/>
        <v>401.5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191</v>
      </c>
      <c r="E15" s="27" t="s">
        <v>195</v>
      </c>
      <c r="F15" s="55"/>
      <c r="G15" s="55">
        <v>2</v>
      </c>
      <c r="H15" s="55">
        <v>4</v>
      </c>
      <c r="I15" s="55">
        <v>78.430000000000007</v>
      </c>
      <c r="J15" s="55">
        <f t="shared" si="0"/>
        <v>313.72000000000003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" workbookViewId="0">
      <selection activeCell="G16" sqref="G16:G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Congenital Hypothyroidism w/ Goitre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196</v>
      </c>
      <c r="D16" s="70" t="s">
        <v>29</v>
      </c>
      <c r="E16" s="55">
        <v>8</v>
      </c>
      <c r="F16" s="55">
        <v>4.4000000000000004</v>
      </c>
      <c r="G16" s="55">
        <f>E16*F16</f>
        <v>35.200000000000003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197</v>
      </c>
      <c r="D17" s="70" t="s">
        <v>29</v>
      </c>
      <c r="E17" s="55">
        <v>5</v>
      </c>
      <c r="F17" s="55">
        <v>5.5</v>
      </c>
      <c r="G17" s="55">
        <f t="shared" ref="G17:G26" si="0">E17*F17</f>
        <v>27.5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198</v>
      </c>
      <c r="D18" s="70" t="s">
        <v>29</v>
      </c>
      <c r="E18" s="55">
        <v>5</v>
      </c>
      <c r="F18" s="55">
        <v>6.6</v>
      </c>
      <c r="G18" s="55">
        <f t="shared" si="0"/>
        <v>33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199</v>
      </c>
      <c r="D19" s="70" t="s">
        <v>29</v>
      </c>
      <c r="E19" s="55">
        <v>1</v>
      </c>
      <c r="F19" s="55">
        <v>7.7</v>
      </c>
      <c r="G19" s="55">
        <f t="shared" si="0"/>
        <v>7.7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200</v>
      </c>
      <c r="D20" s="70" t="s">
        <v>29</v>
      </c>
      <c r="E20" s="55">
        <v>6</v>
      </c>
      <c r="F20" s="55">
        <v>3.1</v>
      </c>
      <c r="G20" s="55">
        <f t="shared" si="0"/>
        <v>18.600000000000001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201</v>
      </c>
      <c r="D21" s="70" t="s">
        <v>29</v>
      </c>
      <c r="E21" s="55">
        <v>1</v>
      </c>
      <c r="F21" s="55">
        <v>17.05</v>
      </c>
      <c r="G21" s="55">
        <f t="shared" si="0"/>
        <v>17.05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202</v>
      </c>
      <c r="D22" s="70" t="s">
        <v>29</v>
      </c>
      <c r="E22" s="55">
        <v>1</v>
      </c>
      <c r="F22" s="55">
        <v>3.74</v>
      </c>
      <c r="G22" s="55">
        <f t="shared" si="0"/>
        <v>3.74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203</v>
      </c>
      <c r="D23" s="70" t="s">
        <v>29</v>
      </c>
      <c r="E23" s="55">
        <v>20</v>
      </c>
      <c r="F23" s="55">
        <v>2.5299999999999998</v>
      </c>
      <c r="G23" s="55">
        <f t="shared" si="0"/>
        <v>50.599999999999994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204</v>
      </c>
      <c r="D24" s="70" t="s">
        <v>29</v>
      </c>
      <c r="E24" s="55">
        <v>1</v>
      </c>
      <c r="F24" s="55">
        <v>31.9</v>
      </c>
      <c r="G24" s="55">
        <f t="shared" si="0"/>
        <v>31.9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205</v>
      </c>
      <c r="D25" s="70" t="s">
        <v>29</v>
      </c>
      <c r="E25" s="55">
        <v>3</v>
      </c>
      <c r="F25" s="55">
        <v>60.5</v>
      </c>
      <c r="G25" s="55">
        <f t="shared" si="0"/>
        <v>181.5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206</v>
      </c>
      <c r="D26" s="70" t="s">
        <v>29</v>
      </c>
      <c r="E26" s="55">
        <v>1</v>
      </c>
      <c r="F26" s="55">
        <v>6.28</v>
      </c>
      <c r="G26" s="55">
        <f t="shared" si="0"/>
        <v>6.28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L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Congenital Hypothyroidism w/ Goitre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2018-06-08T05:45:04Z</dcterms:modified>
</cp:coreProperties>
</file>