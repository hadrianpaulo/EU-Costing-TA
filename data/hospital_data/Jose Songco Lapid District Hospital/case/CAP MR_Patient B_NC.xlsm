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24" i="9" l="1"/>
  <c r="G23" i="9"/>
  <c r="G22" i="9"/>
  <c r="G21" i="9"/>
  <c r="G20" i="9"/>
  <c r="G19" i="9"/>
  <c r="G18" i="9"/>
  <c r="G17" i="9"/>
  <c r="J34" i="2" l="1"/>
  <c r="J27" i="2"/>
  <c r="G25" i="9" l="1"/>
  <c r="J33" i="2"/>
  <c r="J32" i="2"/>
  <c r="J31" i="2"/>
  <c r="J30" i="2"/>
  <c r="J29" i="2"/>
  <c r="J28" i="2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<sst xmlns="http://schemas.openxmlformats.org/spreadsheetml/2006/main" count="506" uniqueCount="210">
  <si>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</si>
  <si>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</si>
  <si>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</si>
  <si>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</si>
  <si>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</si>
  <si>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</si>
  <si>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</si>
  <si>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</si>
  <si>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</si>
  <si>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</si>
  <si>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</si>
  <si>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</si>
  <si>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</si>
  <si>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</si>
  <si>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</si>
  <si>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</si>
  <si>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</si>
  <si>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</si>
  <si>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</si>
  <si>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</si>
  <si>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</si>
  <si>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</si>
  <si>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</si>
  <si>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</si>
  <si>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</si>
  <si>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</si>
  <si>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</si>
  <si>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</si>
  <si>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</si>
  <si>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</si>
  <si>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</si>
  <si>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</si>
  <si>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</si>
  <si>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</si>
  <si>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</si>
  <si>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</si>
  <si>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</si>
  <si>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</si>
  <si>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</si>
  <si>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</si>
  <si>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</si>
  <si>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</si>
  <si>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</si>
  <si>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</si>
  <si>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</si>
  <si>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</si>
  <si>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</si>
  <si>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</si>
  <si>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</si>
  <si>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</si>
  <si>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</si>
  <si>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</si>
  <si>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</si>
  <si>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</si>
  <si>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</si>
  <si>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</si>
  <si>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</si>
  <si>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</si>
  <si>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</si>
  <si>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</si>
  <si>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</si>
  <si>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</si>
  <si>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</si>
  <si>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</si>
  <si>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</si>
  <si>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</si>
  <si>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</si>
  <si>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</si>
  <si>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</si>
  <si>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</si>
  <si>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</si>
  <si>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</si>
  <si>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</si>
  <si>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</si>
  <si>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</si>
  <si>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</si>
  <si>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</si>
  <si>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</si>
  <si>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</si>
  <si>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</si>
  <si>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</si>
  <si>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</si>
  <si>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</si>
  <si>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</si>
  <si>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</si>
  <si>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</si>
  <si>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</si>
  <si>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</si>
  <si>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</si>
  <si>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</si>
  <si>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</si>
  <si>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</si>
  <si>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</si>
  <si>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</si>
  <si>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</si>
  <si>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</si>
  <si>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</si>
  <si>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</si>
  <si>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</si>
  <si>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</si>
  <si>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</si>
  <si>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</si>
  <si>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</si>
  <si>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</si>
  <si>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</si>
  <si>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</si>
  <si>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</si>
  <si>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</si>
  <si>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</si>
  <si>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</si>
  <si>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</si>
  <si>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</si>
  <si>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</si>
  <si>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</si>
  <si>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</si>
  <si>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</si>
  <si>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</si>
  <si>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</si>
  <si>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</si>
  <si>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</si>
  <si>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</si>
  <si>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</si>
  <si>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</si>
  <si>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</si>
  <si>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</si>
  <si>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</si>
  <si>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</si>
  <si>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</si>
  <si>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</si>
  <si>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</si>
  <si>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</si>
  <si>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</si>
  <si>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</si>
  <si>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</si>
  <si>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</si>
  <si>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</si>
  <si>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</si>
  <si>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</si>
  <si>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</si>
  <si>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</si>
  <si>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</si>
  <si>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</si>
  <si>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</si>
  <si>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</si>
  <si>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</si>
  <si>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</si>
  <si>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</si>
  <si>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</si>
  <si>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</si>
  <si>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</si>
  <si>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</si>
  <si>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</si>
  <si>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</si>
  <si>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</si>
  <si>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</si>
  <si>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</si>
  <si>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</si>
  <si>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</si>
  <si>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</si>
  <si>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</si>
  <si>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</si>
  <si>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</si>
  <si>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</si>
  <si>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</si>
  <si>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</si>
  <si>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</si>
  <si>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</si>
  <si>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</si>
  <si>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</si>
  <si>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</si>
  <si>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</si>
  <si>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</si>
  <si>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</si>
  <si>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</si>
  <si>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</si>
  <si>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500mg</t>
  </si>
  <si>
    <t>Disposable Mask</t>
  </si>
  <si>
    <t>1cc/tbs</t>
  </si>
  <si>
    <t>3cc</t>
  </si>
  <si>
    <t>Clean Gloves</t>
  </si>
  <si>
    <t>Surgical Gauze</t>
  </si>
  <si>
    <t>IV Cath G. 24</t>
  </si>
  <si>
    <t>ID Bracelet</t>
  </si>
  <si>
    <t>Micropore</t>
  </si>
  <si>
    <t>CAP MR</t>
  </si>
  <si>
    <t>J18.92</t>
  </si>
  <si>
    <t>Radiology</t>
  </si>
  <si>
    <t>Sterile Water for Injection</t>
  </si>
  <si>
    <t>Urinalysis</t>
  </si>
  <si>
    <t>Fecalysis</t>
  </si>
  <si>
    <t>Chest  X-Ray</t>
  </si>
  <si>
    <t>Microset</t>
  </si>
  <si>
    <t>Ibuprofen</t>
  </si>
  <si>
    <t>Metronidazole</t>
  </si>
  <si>
    <t>Ampicillin Sodium</t>
  </si>
  <si>
    <t>5% Dextrose in 0.3% Sodium Chloride</t>
  </si>
  <si>
    <t>Paracetamol</t>
  </si>
  <si>
    <t>Diphenhydramine HCI</t>
  </si>
  <si>
    <t>Zinc Sulfate</t>
  </si>
  <si>
    <t>BMMS</t>
  </si>
  <si>
    <t>suspension</t>
  </si>
  <si>
    <t>ampul</t>
  </si>
  <si>
    <t>syrup</t>
  </si>
  <si>
    <t>500ml</t>
  </si>
  <si>
    <t>200mg/5ml</t>
  </si>
  <si>
    <t>125mg/ml</t>
  </si>
  <si>
    <t>150mg/ml</t>
  </si>
  <si>
    <t>50mg/ml</t>
  </si>
  <si>
    <t>55mg/5ml</t>
  </si>
  <si>
    <t>50ml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</si>
</sst>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4" zoomScaleNormal="100" workbookViewId="0">
      <selection activeCell="C31" sqref="C3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998.98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588.08000000000004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186</v>
      </c>
      <c r="D63" s="55">
        <v>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30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7067.0599999999995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M4AI1vIqd7HHTCckTxcH/HsiNq8niu/zT7UVgj0SER2LtQgAn8Aw2QyKObqDPYV2wzwjwoKYDNgkQUHujwlDQA==" saltValue="8Wq96t4Rj6IsBfkkQZioj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A2" workbookViewId="0">
      <selection activeCell="J11" sqref="J11: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200</v>
      </c>
      <c r="E11" s="27" t="s">
        <v>204</v>
      </c>
      <c r="F11" s="55"/>
      <c r="G11" s="55">
        <v>3</v>
      </c>
      <c r="H11" s="55">
        <v>1</v>
      </c>
      <c r="I11" s="55">
        <v>105.6</v>
      </c>
      <c r="J11" s="55">
        <f>H11*I11</f>
        <v>105.6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200</v>
      </c>
      <c r="E12" s="27" t="s">
        <v>205</v>
      </c>
      <c r="F12" s="55"/>
      <c r="G12" s="55">
        <v>3</v>
      </c>
      <c r="H12" s="55">
        <v>3</v>
      </c>
      <c r="I12" s="55">
        <v>34.380000000000003</v>
      </c>
      <c r="J12" s="55">
        <f t="shared" ref="J12:J33" si="0">H12*I12</f>
        <v>103.14000000000001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174</v>
      </c>
      <c r="E13" s="27" t="s">
        <v>175</v>
      </c>
      <c r="F13" s="55"/>
      <c r="G13" s="55">
        <v>3</v>
      </c>
      <c r="H13" s="55">
        <v>6</v>
      </c>
      <c r="I13" s="55">
        <v>21.01</v>
      </c>
      <c r="J13" s="55">
        <f t="shared" si="0"/>
        <v>126.06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173</v>
      </c>
      <c r="E14" s="27" t="s">
        <v>203</v>
      </c>
      <c r="F14" s="55"/>
      <c r="G14" s="55">
        <v>3</v>
      </c>
      <c r="H14" s="55">
        <v>3</v>
      </c>
      <c r="I14" s="55">
        <v>78.430000000000007</v>
      </c>
      <c r="J14" s="55">
        <f t="shared" si="0"/>
        <v>235.29000000000002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201</v>
      </c>
      <c r="E15" s="27" t="s">
        <v>206</v>
      </c>
      <c r="F15" s="55"/>
      <c r="G15" s="55">
        <v>3</v>
      </c>
      <c r="H15" s="55">
        <v>1</v>
      </c>
      <c r="I15" s="55">
        <v>31.46</v>
      </c>
      <c r="J15" s="55">
        <f t="shared" si="0"/>
        <v>31.46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201</v>
      </c>
      <c r="E16" s="27" t="s">
        <v>207</v>
      </c>
      <c r="F16" s="55"/>
      <c r="G16" s="55">
        <v>3</v>
      </c>
      <c r="H16" s="55">
        <v>1</v>
      </c>
      <c r="I16" s="55">
        <v>143</v>
      </c>
      <c r="J16" s="55">
        <f t="shared" si="0"/>
        <v>143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198</v>
      </c>
      <c r="D17" s="27" t="s">
        <v>202</v>
      </c>
      <c r="E17" s="27" t="s">
        <v>208</v>
      </c>
      <c r="F17" s="55"/>
      <c r="G17" s="55">
        <v>3</v>
      </c>
      <c r="H17" s="55">
        <v>1</v>
      </c>
      <c r="I17" s="55">
        <v>137.5</v>
      </c>
      <c r="J17" s="55">
        <f t="shared" si="0"/>
        <v>137.5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187</v>
      </c>
      <c r="D18" s="27" t="s">
        <v>174</v>
      </c>
      <c r="E18" s="27" t="s">
        <v>209</v>
      </c>
      <c r="F18" s="55"/>
      <c r="G18" s="55">
        <v>3</v>
      </c>
      <c r="H18" s="55">
        <v>1</v>
      </c>
      <c r="I18" s="55">
        <v>38.5</v>
      </c>
      <c r="J18" s="55">
        <f t="shared" si="0"/>
        <v>38.5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199</v>
      </c>
      <c r="D19" s="27" t="s">
        <v>203</v>
      </c>
      <c r="E19" s="27" t="s">
        <v>203</v>
      </c>
      <c r="F19" s="55"/>
      <c r="G19" s="55">
        <v>3</v>
      </c>
      <c r="H19" s="55">
        <v>1</v>
      </c>
      <c r="I19" s="55">
        <v>78.430000000000007</v>
      </c>
      <c r="J19" s="55">
        <f t="shared" si="0"/>
        <v>78.430000000000007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0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0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0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0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1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3"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30</v>
      </c>
      <c r="E17" s="55">
        <v>8</v>
      </c>
      <c r="F17" s="55">
        <v>5.5</v>
      </c>
      <c r="G17" s="55">
        <f t="shared" ref="G17:G24" si="0">E17*F17</f>
        <v>44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30</v>
      </c>
      <c r="E18" s="55">
        <v>6</v>
      </c>
      <c r="F18" s="55">
        <v>3.1</v>
      </c>
      <c r="G18" s="55">
        <f t="shared" si="0"/>
        <v>18.600000000000001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30</v>
      </c>
      <c r="E19" s="55">
        <v>10</v>
      </c>
      <c r="F19" s="55">
        <v>2.5299999999999998</v>
      </c>
      <c r="G19" s="55">
        <f t="shared" si="0"/>
        <v>25.299999999999997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29</v>
      </c>
      <c r="E20" s="55">
        <v>1</v>
      </c>
      <c r="F20" s="55">
        <v>59.4</v>
      </c>
      <c r="G20" s="55">
        <f t="shared" si="0"/>
        <v>59.4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30</v>
      </c>
      <c r="E21" s="55">
        <v>3</v>
      </c>
      <c r="F21" s="55">
        <v>6.6</v>
      </c>
      <c r="G21" s="55">
        <f t="shared" si="0"/>
        <v>19.799999999999997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191</v>
      </c>
      <c r="D22" s="70" t="s">
        <v>30</v>
      </c>
      <c r="E22" s="55">
        <v>1</v>
      </c>
      <c r="F22" s="55">
        <v>34.1</v>
      </c>
      <c r="G22" s="55">
        <f t="shared" si="0"/>
        <v>34.1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181</v>
      </c>
      <c r="D23" s="70" t="s">
        <v>30</v>
      </c>
      <c r="E23" s="55">
        <v>6</v>
      </c>
      <c r="F23" s="55">
        <v>60.5</v>
      </c>
      <c r="G23" s="55">
        <f t="shared" si="0"/>
        <v>363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182</v>
      </c>
      <c r="D24" s="70" t="s">
        <v>30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ref="G25" si="1">E25*F25</f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79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31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VlI8DTDn1RTnOH/74TSzT2+P8rkr0UiJJg7gY8PTFCnfnajtorKXmKxIpcBXqHLiWv1yU3CcEIQsYogrKo+6pg==" saltValue="9jsCLkU2LC1kmnWWkKWMN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2018-06-08T05:40:33Z</dcterms:modified>
</cp:coreProperties>
</file>