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DM II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2" i="9" l="1"/>
  <c r="G21" i="9"/>
  <c r="F20" i="9"/>
  <c r="G20" i="9" s="1"/>
  <c r="G19" i="9"/>
  <c r="G18" i="9"/>
  <c r="G17" i="9"/>
  <c r="J12" i="2" l="1"/>
  <c r="J13" i="2"/>
  <c r="J14" i="2"/>
  <c r="J15" i="2"/>
  <c r="J16" i="2"/>
  <c r="J17" i="2"/>
  <c r="J18" i="2"/>
  <c r="J19" i="2"/>
  <c r="J20" i="2"/>
  <c r="J21" i="2"/>
  <c r="J22" i="2"/>
  <c r="J23" i="2"/>
  <c r="F16" i="9" l="1"/>
  <c r="G16" i="9" s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<sst xmlns="http://schemas.openxmlformats.org/spreadsheetml/2006/main" count="493" uniqueCount="200">
  <si>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</si>
  <si>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</si>
  <si>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</si>
  <si>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</si>
  <si>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</si>
  <si>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</si>
  <si>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</si>
  <si>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</si>
  <si>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</si>
  <si>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</si>
  <si>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</si>
  <si>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</si>
  <si>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</si>
  <si>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</si>
  <si>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</si>
  <si>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</si>
  <si>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</si>
  <si>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</si>
  <si>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</si>
  <si>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</si>
  <si>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</si>
  <si>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</si>
  <si>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</si>
  <si>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</si>
  <si>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</si>
  <si>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</si>
  <si>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</si>
  <si>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</si>
  <si>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</si>
  <si>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</si>
  <si>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</si>
  <si>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</si>
  <si>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</si>
  <si>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</si>
  <si>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</si>
  <si>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</si>
  <si>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</si>
  <si>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</si>
  <si>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</si>
  <si>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</si>
  <si>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</si>
  <si>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</si>
  <si>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</si>
  <si>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</si>
  <si>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</si>
  <si>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</si>
  <si>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</si>
  <si>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</si>
  <si>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</si>
  <si>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</si>
  <si>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</si>
  <si>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</si>
  <si>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</si>
  <si>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</si>
  <si>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</si>
  <si>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</si>
  <si>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</si>
  <si>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</si>
  <si>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</si>
  <si>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</si>
  <si>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</si>
  <si>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</si>
  <si>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</si>
  <si>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</si>
  <si>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</si>
  <si>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</si>
  <si>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</si>
  <si>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</si>
  <si>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</si>
  <si>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</si>
  <si>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</si>
  <si>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</si>
  <si>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</si>
  <si>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</si>
  <si>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</si>
  <si>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</si>
  <si>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</si>
  <si>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</si>
  <si>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</si>
  <si>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</si>
  <si>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</si>
  <si>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</si>
  <si>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</si>
  <si>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</si>
  <si>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</si>
  <si>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</si>
  <si>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</si>
  <si>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</si>
  <si>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</si>
  <si>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</si>
  <si>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</si>
  <si>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</si>
  <si>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</si>
  <si>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</si>
  <si>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</si>
  <si>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</si>
  <si>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</si>
  <si>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</si>
  <si>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</si>
  <si>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</si>
  <si>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</si>
  <si>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</si>
  <si>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</si>
  <si>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</si>
  <si>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</si>
  <si>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</si>
  <si>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</si>
  <si>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</si>
  <si>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</si>
  <si>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</si>
  <si>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</si>
  <si>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</si>
  <si>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</si>
  <si>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</si>
  <si>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</si>
  <si>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</si>
  <si>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</si>
  <si>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</si>
  <si>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</si>
  <si>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</si>
  <si>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</si>
  <si>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</si>
  <si>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</si>
  <si>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</si>
  <si>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</si>
  <si>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</si>
  <si>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</si>
  <si>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</si>
  <si>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</si>
  <si>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</si>
  <si>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</si>
  <si>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</si>
  <si>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</si>
  <si>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</si>
  <si>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</si>
  <si>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</si>
  <si>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</si>
  <si>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</si>
  <si>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</si>
  <si>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</si>
  <si>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</si>
  <si>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</si>
  <si>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</si>
  <si>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</si>
  <si>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</si>
  <si>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</si>
  <si>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</si>
  <si>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</si>
  <si>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</si>
  <si>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</si>
  <si>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</si>
  <si>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</si>
  <si>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</si>
  <si>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</si>
  <si>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</si>
  <si>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</si>
  <si>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</si>
  <si>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</si>
  <si>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</si>
  <si>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</si>
  <si>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</si>
  <si>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</si>
  <si>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</si>
  <si>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</si>
  <si>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</si>
  <si>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</si>
  <si>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E11.6</t>
  </si>
  <si>
    <t>RBS</t>
  </si>
  <si>
    <t>Hema Package 1(CBC,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</si>
  <si>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</si>
  <si>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</si>
  <si>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</si>
  <si>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</si>
  <si>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</si>
  <si>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</si>
  <si>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0.9% Sodium Chloride</t>
  </si>
  <si>
    <t>bottle</t>
  </si>
  <si>
    <t>1000ml</t>
  </si>
  <si>
    <t>Disposable Mask</t>
  </si>
  <si>
    <t>3cc</t>
  </si>
  <si>
    <t>5cc</t>
  </si>
  <si>
    <t>Insulin Syringe</t>
  </si>
  <si>
    <t>Macroset</t>
  </si>
  <si>
    <t>ID Bracelet</t>
  </si>
  <si>
    <t>Ranitidine Hydrochloride</t>
  </si>
  <si>
    <t>Vildagliptin</t>
  </si>
  <si>
    <t>ampul</t>
  </si>
  <si>
    <t>25mg/ml</t>
  </si>
  <si>
    <t>tablet</t>
  </si>
  <si>
    <t>50mg</t>
  </si>
  <si>
    <t>IV Cath G.24</t>
  </si>
  <si>
    <t>DM II</t>
  </si>
  <si>
    <t>HGT Q6</t>
  </si>
  <si>
    <t>Radiology</t>
  </si>
  <si>
    <t>Clopidogrel</t>
  </si>
  <si>
    <t>Trimetazidine</t>
  </si>
  <si>
    <t>Atorvastatin</t>
  </si>
  <si>
    <t>75mg</t>
  </si>
  <si>
    <t>35mg</t>
  </si>
  <si>
    <t>40mg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</si>
</sst>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D76" sqref="D7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46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47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55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57</v>
      </c>
      <c r="C62" s="17" t="s">
        <v>53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169</v>
      </c>
      <c r="D63" s="55">
        <v>1062.7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170</v>
      </c>
      <c r="D64" s="55">
        <v>471.58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171</v>
      </c>
      <c r="D65" s="55">
        <v>1600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193</v>
      </c>
      <c r="D66" s="55">
        <v>160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173</v>
      </c>
      <c r="D68" s="55">
        <v>200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174</v>
      </c>
      <c r="D69" s="55">
        <v>3780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7284.28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Hx0256JHuTvW2y969vL7gdm/TkDXjmAe38YrNYRb3/QuxRMUyELM203Q8pxRDHA/1eYwGk+aIy6QVxmhZd3+ww==" saltValue="L+5xhwGJp5qXtWe1ssXwg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DM 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188</v>
      </c>
      <c r="E11" s="27" t="s">
        <v>197</v>
      </c>
      <c r="F11" s="55"/>
      <c r="G11" s="55">
        <v>1</v>
      </c>
      <c r="H11" s="55">
        <v>2</v>
      </c>
      <c r="I11" s="55">
        <v>24.75</v>
      </c>
      <c r="J11" s="55">
        <f>H11*I11</f>
        <v>49.5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188</v>
      </c>
      <c r="E12" s="27" t="s">
        <v>198</v>
      </c>
      <c r="F12" s="55"/>
      <c r="G12" s="55">
        <v>1</v>
      </c>
      <c r="H12" s="55">
        <v>4</v>
      </c>
      <c r="I12" s="55">
        <v>14.3</v>
      </c>
      <c r="J12" s="55">
        <f t="shared" ref="J12:J23" si="0">H12*I12</f>
        <v>57.2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186</v>
      </c>
      <c r="E13" s="27" t="s">
        <v>187</v>
      </c>
      <c r="F13" s="55"/>
      <c r="G13" s="55">
        <v>1</v>
      </c>
      <c r="H13" s="55">
        <v>3</v>
      </c>
      <c r="I13" s="55">
        <v>31.9</v>
      </c>
      <c r="J13" s="55">
        <f t="shared" si="0"/>
        <v>95.699999999999989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176</v>
      </c>
      <c r="E14" s="27" t="s">
        <v>177</v>
      </c>
      <c r="F14" s="55"/>
      <c r="G14" s="55">
        <v>1</v>
      </c>
      <c r="H14" s="55">
        <v>1</v>
      </c>
      <c r="I14" s="55">
        <v>78.430000000000007</v>
      </c>
      <c r="J14" s="55">
        <f t="shared" si="0"/>
        <v>78.430000000000007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188</v>
      </c>
      <c r="E15" s="27" t="s">
        <v>199</v>
      </c>
      <c r="F15" s="55"/>
      <c r="G15" s="55">
        <v>1</v>
      </c>
      <c r="H15" s="55">
        <v>9</v>
      </c>
      <c r="I15" s="55">
        <v>6.88</v>
      </c>
      <c r="J15" s="55">
        <f t="shared" si="0"/>
        <v>61.92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188</v>
      </c>
      <c r="E16" s="27" t="s">
        <v>189</v>
      </c>
      <c r="F16" s="55"/>
      <c r="G16" s="55">
        <v>1</v>
      </c>
      <c r="H16" s="55">
        <v>17</v>
      </c>
      <c r="I16" s="55">
        <v>42.35</v>
      </c>
      <c r="J16" s="55">
        <f t="shared" si="0"/>
        <v>719.95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8"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13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29</v>
      </c>
      <c r="E16" s="55">
        <v>4</v>
      </c>
      <c r="F16" s="55">
        <f>13.2/3</f>
        <v>4.3999999999999995</v>
      </c>
      <c r="G16" s="55">
        <f>E16*F16</f>
        <v>17.599999999999998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29</v>
      </c>
      <c r="E17" s="55">
        <v>4</v>
      </c>
      <c r="F17" s="55">
        <v>60.5</v>
      </c>
      <c r="G17" s="55">
        <f t="shared" ref="G17:G22" si="0">E17*F17</f>
        <v>242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29</v>
      </c>
      <c r="E18" s="55">
        <v>6</v>
      </c>
      <c r="F18" s="55">
        <v>5.5</v>
      </c>
      <c r="G18" s="55">
        <f t="shared" si="0"/>
        <v>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29</v>
      </c>
      <c r="E19" s="55">
        <v>1</v>
      </c>
      <c r="F19" s="55">
        <v>6.6</v>
      </c>
      <c r="G19" s="55">
        <f t="shared" si="0"/>
        <v>6.6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29</v>
      </c>
      <c r="E20" s="55">
        <v>6</v>
      </c>
      <c r="F20" s="55">
        <f>34.1/2</f>
        <v>17.05</v>
      </c>
      <c r="G20" s="55">
        <f t="shared" si="0"/>
        <v>102.30000000000001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 t="s">
        <v>29</v>
      </c>
      <c r="E21" s="55">
        <v>2</v>
      </c>
      <c r="F21" s="55">
        <v>31.9</v>
      </c>
      <c r="G21" s="55">
        <f t="shared" si="0"/>
        <v>63.8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29</v>
      </c>
      <c r="E22" s="55">
        <v>1</v>
      </c>
      <c r="F22" s="55">
        <v>6.28</v>
      </c>
      <c r="G22" s="55">
        <f t="shared" si="0"/>
        <v>6.28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136" t="s">
        <v>78</v>
      </c>
      <c r="C29" s="137"/>
      <c r="D29" s="137"/>
      <c r="E29" s="137"/>
      <c r="F29" s="137"/>
      <c r="G29" s="138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2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3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4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5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6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7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8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9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10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6" t="s">
        <v>30</v>
      </c>
      <c r="C40" s="137"/>
      <c r="D40" s="137"/>
      <c r="E40" s="137"/>
      <c r="F40" s="137"/>
      <c r="G40" s="138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algorithmName="SHA-512" hashValue="kGqFakRgAm+4Xxf2afvpQwtscB3AIzXw1/6Av5kLz9B8/YQfLkVpsbWMHKdG3kZ4w46CGX1dFhpX7RS3MAGNBA==" saltValue="jhV+mkxpcHIena6CybqU8A==" spinCount="100000" sheet="1" objects="1" scenarios="1" formatColumns="0" formatRows="0" sort="0" autoFilter="0"/>
  <mergeCells count="9">
    <mergeCell ref="B7:G7"/>
    <mergeCell ref="B29:G29"/>
    <mergeCell ref="B40:G4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4" sqref="D13:K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DM 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2018-06-08T05:48:45Z</dcterms:modified>
</cp:coreProperties>
</file>