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J12" i="2"/>
  <c r="J13" i="2"/>
  <c r="J14" i="2"/>
  <c r="J15" i="2"/>
  <c r="J16" i="2"/>
  <c r="J17" i="2"/>
  <c r="J11" i="2"/>
  <c r="J34" i="2" l="1"/>
  <c r="J27" i="2"/>
  <c r="J33" i="2" l="1"/>
  <c r="J32" i="2"/>
  <c r="J31" i="2"/>
  <c r="J30" i="2"/>
  <c r="J29" i="2"/>
  <c r="J28" i="2"/>
  <c r="J21" i="2" l="1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<sst xmlns="http://schemas.openxmlformats.org/spreadsheetml/2006/main" count="505" uniqueCount="210">
  <si>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</si>
  <si>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</si>
  <si>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</si>
  <si>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</si>
  <si>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</si>
  <si>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</si>
  <si>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</si>
  <si>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</si>
  <si>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</si>
  <si>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</si>
  <si>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</si>
  <si>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</si>
  <si>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</si>
  <si>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</si>
  <si>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</si>
  <si>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</si>
  <si>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</si>
  <si>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</si>
  <si>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</si>
  <si>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</si>
  <si>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</si>
  <si>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</si>
  <si>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</si>
  <si>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</si>
  <si>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</si>
  <si>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</si>
  <si>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</si>
  <si>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</si>
  <si>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</si>
  <si>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</si>
  <si>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</si>
  <si>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</si>
  <si>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</si>
  <si>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</si>
  <si>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</si>
  <si>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</si>
  <si>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</si>
  <si>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</si>
  <si>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</si>
  <si>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</si>
  <si>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</si>
  <si>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</si>
  <si>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</si>
  <si>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</si>
  <si>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</si>
  <si>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</si>
  <si>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</si>
  <si>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</si>
  <si>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</si>
  <si>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</si>
  <si>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</si>
  <si>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</si>
  <si>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</si>
  <si>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</si>
  <si>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</si>
  <si>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</si>
  <si>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</si>
  <si>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</si>
  <si>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</si>
  <si>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</si>
  <si>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</si>
  <si>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</si>
  <si>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</si>
  <si>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</si>
  <si>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</si>
  <si>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</si>
  <si>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</si>
  <si>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</si>
  <si>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</si>
  <si>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</si>
  <si>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</si>
  <si>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</si>
  <si>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</si>
  <si>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</si>
  <si>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</si>
  <si>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</si>
  <si>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</si>
  <si>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</si>
  <si>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</si>
  <si>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</si>
  <si>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</si>
  <si>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</si>
  <si>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</si>
  <si>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</si>
  <si>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</si>
  <si>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</si>
  <si>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</si>
  <si>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</si>
  <si>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</si>
  <si>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</si>
  <si>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</si>
  <si>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</si>
  <si>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</si>
  <si>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</si>
  <si>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</si>
  <si>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</si>
  <si>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</si>
  <si>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</si>
  <si>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</si>
  <si>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</si>
  <si>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</si>
  <si>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</si>
  <si>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</si>
  <si>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</si>
  <si>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</si>
  <si>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</si>
  <si>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</si>
  <si>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</si>
  <si>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</si>
  <si>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</si>
  <si>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</si>
  <si>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</si>
  <si>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</si>
  <si>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</si>
  <si>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</si>
  <si>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</si>
  <si>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</si>
  <si>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</si>
  <si>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</si>
  <si>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</si>
  <si>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</si>
  <si>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</si>
  <si>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</si>
  <si>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</si>
  <si>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</si>
  <si>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</si>
  <si>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</si>
  <si>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</si>
  <si>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</si>
  <si>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</si>
  <si>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</si>
  <si>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</si>
  <si>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</si>
  <si>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</si>
  <si>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</si>
  <si>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</si>
  <si>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</si>
  <si>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</si>
  <si>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</si>
  <si>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</si>
  <si>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</si>
  <si>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</si>
  <si>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</si>
  <si>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</si>
  <si>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</si>
  <si>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</si>
  <si>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</si>
  <si>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</si>
  <si>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</si>
  <si>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</si>
  <si>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</si>
  <si>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</si>
  <si>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</si>
  <si>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</si>
  <si>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</si>
  <si>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</si>
  <si>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</si>
  <si>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</si>
  <si>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</si>
  <si>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</si>
  <si>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</si>
  <si>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</si>
  <si>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</si>
  <si>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</si>
  <si>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</si>
  <si>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</si>
  <si>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</si>
  <si>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</si>
  <si>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</si>
  <si>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</si>
  <si>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</si>
  <si>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</si>
  <si>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</si>
  <si>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</si>
  <si>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3cc</t>
  </si>
  <si>
    <t>5cc</t>
  </si>
  <si>
    <t>10cc</t>
  </si>
  <si>
    <t>Clean Gloves</t>
  </si>
  <si>
    <t>CAP MR</t>
  </si>
  <si>
    <t>J18.92</t>
  </si>
  <si>
    <t>Radiology</t>
  </si>
  <si>
    <t>ampul</t>
  </si>
  <si>
    <t>Hema Package 1(CBC, Platelet Count)</t>
  </si>
  <si>
    <t>CHEST PA</t>
  </si>
  <si>
    <t>0.9% Sodium Chloride</t>
  </si>
  <si>
    <t>1000.00ml</t>
  </si>
  <si>
    <t>URINALYSIS</t>
  </si>
  <si>
    <t>Cefoxitin</t>
  </si>
  <si>
    <t>1.00g%</t>
  </si>
  <si>
    <t>5ml</t>
  </si>
  <si>
    <t>oral</t>
  </si>
  <si>
    <t>Ibuprofen</t>
  </si>
  <si>
    <t>Cotrimoxazole Forte</t>
  </si>
  <si>
    <t>tablet</t>
  </si>
  <si>
    <t>800.00mg</t>
  </si>
  <si>
    <t xml:space="preserve">Paracetamol </t>
  </si>
  <si>
    <t>150.00mg/ml</t>
  </si>
  <si>
    <t>Sterile Water</t>
  </si>
  <si>
    <t>50.00ml</t>
  </si>
  <si>
    <t>Zinc Sulfate</t>
  </si>
  <si>
    <t>syrup</t>
  </si>
  <si>
    <t>55.00mg</t>
  </si>
  <si>
    <t>Disposable Mask</t>
  </si>
  <si>
    <t>1cc/TBS</t>
  </si>
  <si>
    <t>NG25</t>
  </si>
  <si>
    <t>THERMOMETER</t>
  </si>
  <si>
    <t>Surgical Gauze</t>
  </si>
  <si>
    <t>Macroset</t>
  </si>
  <si>
    <t>IV CATH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</si>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</sst>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0"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62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63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54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45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183</v>
      </c>
      <c r="D41" s="23"/>
      <c r="E41" s="55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46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55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>
        <v>8609.7000000000007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>
        <v>460.16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180</v>
      </c>
      <c r="D65" s="55"/>
      <c r="E65" s="55"/>
      <c r="F65" s="55">
        <v>290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169</v>
      </c>
      <c r="D66" s="55"/>
      <c r="E66" s="55"/>
      <c r="F66" s="55">
        <v>70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170</v>
      </c>
      <c r="D67" s="55">
        <v>1130.1400000000001</v>
      </c>
      <c r="E67" s="55"/>
      <c r="F67" s="55">
        <v>269.86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171</v>
      </c>
      <c r="D68" s="55">
        <v>4500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0</v>
      </c>
      <c r="F73" s="59">
        <f>SUM(F62:F72)</f>
        <v>629.86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B5" workbookViewId="0">
      <selection activeCell="E13" sqref="E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66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173</v>
      </c>
      <c r="E11" s="115" t="s">
        <v>188</v>
      </c>
      <c r="F11" s="55"/>
      <c r="G11" s="55">
        <v>7</v>
      </c>
      <c r="H11" s="55">
        <v>9</v>
      </c>
      <c r="I11" s="55">
        <v>825</v>
      </c>
      <c r="J11" s="55">
        <f>H11*I11</f>
        <v>7425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190</v>
      </c>
      <c r="E12" s="27" t="s">
        <v>189</v>
      </c>
      <c r="F12" s="55"/>
      <c r="G12" s="55"/>
      <c r="H12" s="55">
        <v>1</v>
      </c>
      <c r="I12" s="55">
        <v>105.6</v>
      </c>
      <c r="J12" s="55">
        <f t="shared" ref="J12:J17" si="0">H12*I12</f>
        <v>105.6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6" t="s">
        <v>184</v>
      </c>
      <c r="D13" s="27" t="s">
        <v>172</v>
      </c>
      <c r="E13" s="115" t="s">
        <v>185</v>
      </c>
      <c r="F13" s="55"/>
      <c r="G13" s="55"/>
      <c r="H13" s="55">
        <v>8</v>
      </c>
      <c r="I13" s="55">
        <v>78.430000000000007</v>
      </c>
      <c r="J13" s="55">
        <f t="shared" si="0"/>
        <v>627.44000000000005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193</v>
      </c>
      <c r="E14" s="27" t="s">
        <v>194</v>
      </c>
      <c r="F14" s="55"/>
      <c r="G14" s="55"/>
      <c r="H14" s="55">
        <v>7</v>
      </c>
      <c r="I14" s="55">
        <v>2.42</v>
      </c>
      <c r="J14" s="55">
        <f t="shared" si="0"/>
        <v>16.939999999999998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181</v>
      </c>
      <c r="E15" s="27" t="s">
        <v>196</v>
      </c>
      <c r="F15" s="55"/>
      <c r="G15" s="55"/>
      <c r="H15" s="55">
        <v>7</v>
      </c>
      <c r="I15" s="55">
        <v>31.46</v>
      </c>
      <c r="J15" s="55">
        <f t="shared" si="0"/>
        <v>220.22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173</v>
      </c>
      <c r="E16" s="27" t="s">
        <v>198</v>
      </c>
      <c r="F16" s="55"/>
      <c r="G16" s="55"/>
      <c r="H16" s="55">
        <v>2</v>
      </c>
      <c r="I16" s="55">
        <v>38.5</v>
      </c>
      <c r="J16" s="55">
        <f t="shared" si="0"/>
        <v>77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199</v>
      </c>
      <c r="D17" s="27" t="s">
        <v>200</v>
      </c>
      <c r="E17" s="27" t="s">
        <v>201</v>
      </c>
      <c r="F17" s="55"/>
      <c r="G17" s="55"/>
      <c r="H17" s="55">
        <v>1</v>
      </c>
      <c r="I17" s="55">
        <v>137.5</v>
      </c>
      <c r="J17" s="55">
        <f t="shared" si="0"/>
        <v>137.5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ref="J21:J33" si="1">H21*I21</f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D18" sqref="D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71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74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/>
      <c r="E16" s="55">
        <v>1</v>
      </c>
      <c r="F16" s="55">
        <v>80.3</v>
      </c>
      <c r="G16" s="55"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29</v>
      </c>
      <c r="E17" s="55">
        <v>6</v>
      </c>
      <c r="F17" s="55">
        <v>4.4000000000000004</v>
      </c>
      <c r="G17" s="55">
        <f t="shared" ref="G17:G27" si="0">E17*F17</f>
        <v>26.400000000000002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18</v>
      </c>
      <c r="F18" s="55">
        <v>6.6</v>
      </c>
      <c r="G18" s="55">
        <f t="shared" si="0"/>
        <v>118.8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29</v>
      </c>
      <c r="E19" s="55">
        <v>12</v>
      </c>
      <c r="F19" s="55">
        <v>3.1</v>
      </c>
      <c r="G19" s="55">
        <f t="shared" si="0"/>
        <v>37.200000000000003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1</v>
      </c>
      <c r="F20" s="55">
        <v>7.7</v>
      </c>
      <c r="G20" s="55">
        <f t="shared" si="0"/>
        <v>7.7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174</v>
      </c>
      <c r="D21" s="70" t="s">
        <v>29</v>
      </c>
      <c r="E21" s="55">
        <v>7</v>
      </c>
      <c r="F21" s="55">
        <v>5.5</v>
      </c>
      <c r="G21" s="55">
        <f t="shared" si="0"/>
        <v>38.5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 t="s">
        <v>29</v>
      </c>
      <c r="E22" s="55">
        <v>3</v>
      </c>
      <c r="F22" s="55">
        <v>6.6</v>
      </c>
      <c r="G22" s="55">
        <f t="shared" si="0"/>
        <v>19.799999999999997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204</v>
      </c>
      <c r="D23" s="70" t="s">
        <v>29</v>
      </c>
      <c r="E23" s="55">
        <v>1</v>
      </c>
      <c r="F23" s="55">
        <v>7.48</v>
      </c>
      <c r="G23" s="55">
        <f t="shared" si="0"/>
        <v>7.48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206</v>
      </c>
      <c r="D24" s="70" t="s">
        <v>29</v>
      </c>
      <c r="E24" s="55">
        <v>10</v>
      </c>
      <c r="F24" s="55">
        <v>2.5299999999999998</v>
      </c>
      <c r="G24" s="55">
        <f t="shared" si="0"/>
        <v>25.299999999999997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207</v>
      </c>
      <c r="D25" s="70" t="s">
        <v>29</v>
      </c>
      <c r="E25" s="55">
        <v>1</v>
      </c>
      <c r="F25" s="55">
        <v>31.9</v>
      </c>
      <c r="G25" s="55">
        <f t="shared" si="0"/>
        <v>31.9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208</v>
      </c>
      <c r="D26" s="70" t="s">
        <v>29</v>
      </c>
      <c r="E26" s="55">
        <v>1</v>
      </c>
      <c r="F26" s="55">
        <v>60.5</v>
      </c>
      <c r="G26" s="55">
        <f t="shared" si="0"/>
        <v>60.5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209</v>
      </c>
      <c r="D27" s="70" t="s">
        <v>29</v>
      </c>
      <c r="E27" s="55">
        <v>1</v>
      </c>
      <c r="F27" s="55">
        <v>6.28</v>
      </c>
      <c r="G27" s="55">
        <f t="shared" si="0"/>
        <v>6.28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8" t="s">
        <v>78</v>
      </c>
      <c r="C32" s="139"/>
      <c r="D32" s="139"/>
      <c r="E32" s="139"/>
      <c r="F32" s="139"/>
      <c r="G32" s="140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8" t="s">
        <v>30</v>
      </c>
      <c r="C43" s="139"/>
      <c r="D43" s="139"/>
      <c r="E43" s="139"/>
      <c r="F43" s="139"/>
      <c r="G43" s="140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7lKWP4oJWUMXAnu2K/8B5YKvCtFwNriswLhRzuJyeLUEqvLz9lfQzO7EFj0of2mdjtL7Zphuxj9okayb6lyD2Q==" saltValue="wgvmjifaJAJMtdQ5p9uq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33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2018-06-08T05:43:32Z</dcterms:modified>
</cp:coreProperties>
</file>