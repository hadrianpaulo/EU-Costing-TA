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0" windowWidth="15525" windowHeight="7050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comments1.xml><?xml version="1.0" encoding="utf-8"?>
<comments xmlns="http://schemas.openxmlformats.org/spreadsheetml/2006/main">
  <authors>
    <author>julienne</author>
  </authors>
  <commentList>
    <comment ref="B28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<sst xmlns="http://schemas.openxmlformats.org/spreadsheetml/2006/main" count="216" uniqueCount="136">
  <si>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</si>
  <si>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</si>
  <si>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</si>
  <si>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</si>
  <si>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</si>
  <si>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</si>
  <si>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</si>
  <si>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</si>
  <si>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</si>
  <si>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</si>
  <si>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</si>
  <si>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</si>
  <si>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</si>
  <si>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</si>
  <si>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</si>
  <si>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</si>
  <si>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</si>
  <si>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</si>
  <si>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</si>
  <si>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</si>
  <si>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</si>
  <si>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</si>
  <si>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</si>
  <si>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</si>
  <si>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</si>
  <si>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</si>
  <si>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</si>
  <si>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</si>
  <si>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</si>
  <si>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</si>
  <si>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</si>
  <si>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</si>
  <si>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</si>
  <si>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</si>
  <si>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</si>
  <si>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</si>
  <si>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</si>
  <si>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</si>
  <si>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</si>
  <si>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</si>
  <si>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</si>
  <si>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</si>
  <si>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</si>
  <si>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</si>
  <si>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</si>
  <si>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</si>
  <si>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</si>
  <si>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</si>
  <si>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</si>
  <si>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</si>
  <si>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</si>
  <si>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</si>
  <si>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</si>
  <si>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</si>
  <si>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</si>
  <si>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</si>
  <si>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</si>
  <si>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</si>
  <si>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</si>
  <si>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</si>
  <si>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</si>
  <si>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</si>
  <si>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</si>
  <si>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</si>
  <si>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</si>
  <si>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</si>
  <si>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</si>
  <si>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</si>
  <si>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</si>
  <si>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</si>
  <si>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</si>
  <si>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</si>
  <si>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</si>
  <si>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</si>
  <si>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</si>
  <si>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</si>
  <si>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</si>
  <si>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</si>
  <si>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</si>
  <si>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</si>
  <si>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</si>
  <si>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</si>
  <si>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</si>
  <si>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</si>
  <si>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</si>
  <si>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</si>
  <si>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</si>
  <si>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</si>
  <si>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</si>
  <si>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</si>
  <si>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</si>
  <si>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</si>
  <si>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</si>
  <si>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</si>
  <si>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</si>
  <si>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</si>
  <si>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</si>
  <si>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</si>
  <si>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</si>
  <si>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</si>
  <si>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</si>
  <si>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</si>
  <si>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</si>
  <si>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</si>
  <si>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</si>
  <si>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</si>
  <si>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</si>
  <si>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</si>
  <si>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</si>
  <si>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</si>
  <si>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</si>
  <si>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E.D.LIM MAT. &amp; GEN. HOSP.</t>
  </si>
  <si>
    <t>SAN VICENTE APALIT, PAMPANGA</t>
  </si>
  <si>
    <t>LEVEL 1</t>
  </si>
  <si>
    <t>SINGLE-PROPRIETIRSHIP</t>
  </si>
  <si>
    <t>newborn</t>
  </si>
  <si>
    <t>A09.9</t>
  </si>
  <si>
    <t>DELIVERY</t>
  </si>
  <si>
    <t>DENGUE</t>
  </si>
  <si>
    <t>PNEUMONIA,MR</t>
  </si>
  <si>
    <t>AGE W/ MOD. DHN</t>
  </si>
  <si>
    <t>GASTRITIS</t>
  </si>
  <si>
    <t>UTI</t>
  </si>
  <si>
    <t>AVITAMINOSIS</t>
  </si>
  <si>
    <t>AURI</t>
  </si>
  <si>
    <t>HPN</t>
  </si>
  <si>
    <t>BACTEROEMIA</t>
  </si>
  <si>
    <t>A97.0</t>
  </si>
  <si>
    <t>J18.92</t>
  </si>
  <si>
    <t>K29.1</t>
  </si>
  <si>
    <t>N39.0</t>
  </si>
  <si>
    <t>E56.9</t>
  </si>
  <si>
    <t>J06.9</t>
  </si>
  <si>
    <t>I10.9</t>
  </si>
  <si>
    <t>A49.0</t>
  </si>
  <si>
    <t>NEWBORN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</si>
</sst>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3</xdr:col>
          <xdr:colOff>0</xdr:colOff>
          <xdr:row>8</xdr:row>
          <xdr:rowOff>161925</xdr:rowOff>
        </xdr:to>
        <xdr:sp macro="" textlink="">
          <xdr:nvSpPr>
            <xdr:cNvPr id="1027" name="SelectIIandII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abSelected="1" zoomScale="80" zoomScaleNormal="80" workbookViewId="0">
      <selection activeCell="V60" sqref="V60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customWidth="1"/>
    <col min="15" max="17" width="9.5703125" style="4" customWidth="1"/>
    <col min="18" max="23" width="9.5703125" style="2" customWidth="1"/>
    <col min="24" max="32" width="9.5703125" style="4" customWidth="1"/>
    <col min="33" max="35" width="9.5703125" style="2" customWidth="1"/>
    <col min="36" max="36" width="2.140625" style="2" customWidth="1"/>
    <col min="37" max="46" width="9.5703125" style="2" hidden="1" customWidth="1"/>
    <col min="47" max="51" width="9.5703125" style="4" hidden="1" customWidth="1"/>
    <col min="52" max="56" width="9.5703125" style="2" hidden="1" customWidth="1"/>
    <col min="57" max="65" width="9.5703125" style="4" hidden="1" customWidth="1"/>
    <col min="66" max="72" width="9.5703125" style="2" hidden="1" customWidth="1"/>
    <col min="73" max="73" width="10.5703125" style="4" customWidth="1"/>
    <col min="74" max="16384" width="8.7109375" style="2"/>
  </cols>
  <sheetData>
    <row r="2" spans="1:85" s="11" customFormat="1" ht="14.25" customHeight="1" x14ac:dyDescent="0.35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ht="14.1" x14ac:dyDescent="0.3">
      <c r="B4" s="15" t="s">
        <v>27</v>
      </c>
      <c r="C4" s="16"/>
    </row>
    <row r="5" spans="1:85" ht="14.1" x14ac:dyDescent="0.3">
      <c r="B5" s="17" t="s">
        <v>25</v>
      </c>
      <c r="C5" s="18"/>
    </row>
    <row r="6" spans="1:85" ht="14.1" x14ac:dyDescent="0.3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2016</v>
      </c>
    </row>
    <row r="8" spans="1:85" s="23" customFormat="1" ht="14.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ht="14.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ht="14.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ht="14.1" x14ac:dyDescent="0.3">
      <c r="B11" s="21" t="s">
        <v>15</v>
      </c>
      <c r="C11" s="22"/>
    </row>
    <row r="12" spans="1:85" x14ac:dyDescent="0.3">
      <c r="B12" s="3" t="s">
        <v>0</v>
      </c>
      <c r="C12" s="12" t="s">
        <v>111</v>
      </c>
      <c r="BU12" s="44"/>
    </row>
    <row r="13" spans="1:85" x14ac:dyDescent="0.3">
      <c r="B13" s="3" t="s">
        <v>1</v>
      </c>
      <c r="C13" s="12" t="s">
        <v>112</v>
      </c>
      <c r="BU13" s="47"/>
    </row>
    <row r="14" spans="1:85" ht="14.1" x14ac:dyDescent="0.3">
      <c r="B14" s="3" t="s">
        <v>2</v>
      </c>
      <c r="C14" s="12"/>
    </row>
    <row r="15" spans="1:85" x14ac:dyDescent="0.3">
      <c r="B15" s="3" t="s">
        <v>3</v>
      </c>
      <c r="C15" s="12" t="s">
        <v>113</v>
      </c>
    </row>
    <row r="16" spans="1:85" x14ac:dyDescent="0.3">
      <c r="B16" s="3" t="s">
        <v>4</v>
      </c>
      <c r="C16" s="12" t="s">
        <v>114</v>
      </c>
    </row>
    <row r="17" spans="2:3" ht="14.1" x14ac:dyDescent="0.3">
      <c r="B17" s="3" t="s">
        <v>5</v>
      </c>
      <c r="C17" s="14">
        <v>17</v>
      </c>
    </row>
    <row r="18" spans="2:3" ht="14.1" x14ac:dyDescent="0.3">
      <c r="B18" s="3" t="s">
        <v>6</v>
      </c>
      <c r="C18" s="14">
        <v>24</v>
      </c>
    </row>
    <row r="20" spans="2:3" ht="14.1" x14ac:dyDescent="0.3">
      <c r="B20" s="21" t="s">
        <v>21</v>
      </c>
      <c r="C20" s="21"/>
    </row>
    <row r="21" spans="2:3" ht="14.1" x14ac:dyDescent="0.3">
      <c r="B21" s="6" t="s">
        <v>7</v>
      </c>
      <c r="C21" s="14">
        <v>24</v>
      </c>
    </row>
    <row r="22" spans="2:3" ht="14.1" x14ac:dyDescent="0.3">
      <c r="B22" s="6" t="s">
        <v>8</v>
      </c>
      <c r="C22" s="14">
        <v>17</v>
      </c>
    </row>
    <row r="23" spans="2:3" ht="14.1" x14ac:dyDescent="0.3">
      <c r="B23" s="6" t="s">
        <v>9</v>
      </c>
      <c r="C23" s="14">
        <v>3911</v>
      </c>
    </row>
    <row r="24" spans="2:3" ht="14.1" x14ac:dyDescent="0.3">
      <c r="B24" s="6" t="s">
        <v>22</v>
      </c>
      <c r="C24" s="14">
        <v>398</v>
      </c>
    </row>
    <row r="25" spans="2:3" ht="14.1" x14ac:dyDescent="0.3">
      <c r="B25" s="6" t="s">
        <v>10</v>
      </c>
      <c r="C25" s="14">
        <v>2451</v>
      </c>
    </row>
    <row r="26" spans="2:3" ht="14.1" x14ac:dyDescent="0.3">
      <c r="B26" s="6" t="s">
        <v>11</v>
      </c>
      <c r="C26" s="14">
        <v>2451</v>
      </c>
    </row>
    <row r="27" spans="2:3" x14ac:dyDescent="0.3">
      <c r="B27" s="6" t="s">
        <v>12</v>
      </c>
      <c r="C27" s="14">
        <v>8</v>
      </c>
    </row>
    <row r="28" spans="2:3" x14ac:dyDescent="0.3">
      <c r="B28" s="6" t="s">
        <v>28</v>
      </c>
      <c r="C28" s="14">
        <v>6799</v>
      </c>
    </row>
    <row r="29" spans="2:3" ht="17.25" customHeight="1" x14ac:dyDescent="0.3">
      <c r="B29" s="6" t="s">
        <v>13</v>
      </c>
      <c r="C29" s="34">
        <f>IFERROR(C28/C21,"Calculated automatically")</f>
        <v>283.29166666666669</v>
      </c>
    </row>
    <row r="30" spans="2:3" ht="16.5" customHeight="1" x14ac:dyDescent="0.3">
      <c r="B30" s="6" t="s">
        <v>14</v>
      </c>
      <c r="C30" s="35">
        <f>IFERROR(C28/(C26+C27),"Calculated automatically")</f>
        <v>2.7649450996339975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/>
    </row>
    <row r="34" spans="2:72" x14ac:dyDescent="0.3">
      <c r="B34" s="42" t="s">
        <v>79</v>
      </c>
      <c r="C34" s="12">
        <v>11</v>
      </c>
    </row>
    <row r="35" spans="2:72" x14ac:dyDescent="0.3">
      <c r="B35" s="42" t="s">
        <v>80</v>
      </c>
      <c r="C35" s="12">
        <v>190</v>
      </c>
    </row>
    <row r="36" spans="2:72" x14ac:dyDescent="0.3">
      <c r="B36" s="42" t="s">
        <v>81</v>
      </c>
      <c r="C36" s="12"/>
    </row>
    <row r="37" spans="2:72" x14ac:dyDescent="0.3">
      <c r="B37" s="42" t="s">
        <v>82</v>
      </c>
      <c r="C37" s="12"/>
    </row>
    <row r="38" spans="2:72" x14ac:dyDescent="0.3">
      <c r="B38" s="42" t="s">
        <v>83</v>
      </c>
      <c r="C38" s="12">
        <v>29103</v>
      </c>
    </row>
    <row r="39" spans="2:72" x14ac:dyDescent="0.3">
      <c r="B39" s="42" t="s">
        <v>84</v>
      </c>
      <c r="C39" s="12">
        <v>1985</v>
      </c>
    </row>
    <row r="40" spans="2:72" x14ac:dyDescent="0.3">
      <c r="B40" s="42" t="s">
        <v>85</v>
      </c>
      <c r="C40" s="12"/>
    </row>
    <row r="41" spans="2:72" x14ac:dyDescent="0.3">
      <c r="B41" s="42" t="s">
        <v>86</v>
      </c>
      <c r="C41" s="12"/>
    </row>
    <row r="42" spans="2:72" x14ac:dyDescent="0.3">
      <c r="B42" s="42" t="s">
        <v>87</v>
      </c>
      <c r="C42" s="12"/>
    </row>
    <row r="43" spans="2:72" x14ac:dyDescent="0.3">
      <c r="B43" s="42" t="s">
        <v>88</v>
      </c>
      <c r="C43" s="12"/>
    </row>
    <row r="44" spans="2:72" x14ac:dyDescent="0.3">
      <c r="B44" s="42" t="s">
        <v>89</v>
      </c>
      <c r="C44" s="12">
        <v>313</v>
      </c>
    </row>
    <row r="45" spans="2:72" x14ac:dyDescent="0.3">
      <c r="B45" s="42" t="s">
        <v>90</v>
      </c>
      <c r="C45" s="12"/>
    </row>
    <row r="47" spans="2:72" x14ac:dyDescent="0.3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 x14ac:dyDescent="0.3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68.75" thickBot="1" x14ac:dyDescent="0.35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12">
        <v>44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>
        <v>34</v>
      </c>
      <c r="Z50" s="14"/>
      <c r="AA50" s="14"/>
      <c r="AB50" s="14">
        <v>10</v>
      </c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>
        <v>34</v>
      </c>
      <c r="BF50" s="14"/>
      <c r="BG50" s="14"/>
      <c r="BH50" s="14">
        <v>10</v>
      </c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>
        <v>44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>
        <v>34</v>
      </c>
      <c r="Z51" s="14"/>
      <c r="AA51" s="14"/>
      <c r="AB51" s="14">
        <v>10</v>
      </c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>
        <v>34</v>
      </c>
      <c r="BF51" s="14"/>
      <c r="BG51" s="14"/>
      <c r="BH51" s="14">
        <v>10</v>
      </c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12">
        <v>2507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>
        <v>241</v>
      </c>
      <c r="X52" s="14">
        <v>12</v>
      </c>
      <c r="Y52" s="14">
        <v>1060</v>
      </c>
      <c r="Z52" s="14">
        <v>941</v>
      </c>
      <c r="AA52" s="14">
        <v>12</v>
      </c>
      <c r="AB52" s="14">
        <v>241</v>
      </c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>
        <v>241</v>
      </c>
      <c r="BD52" s="14">
        <v>12</v>
      </c>
      <c r="BE52" s="14">
        <v>1060</v>
      </c>
      <c r="BF52" s="14">
        <v>941</v>
      </c>
      <c r="BG52" s="14">
        <v>12</v>
      </c>
      <c r="BH52" s="14">
        <v>241</v>
      </c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12">
        <v>2507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>
        <v>241</v>
      </c>
      <c r="X53" s="14">
        <v>12</v>
      </c>
      <c r="Y53" s="14">
        <v>1060</v>
      </c>
      <c r="Z53" s="14">
        <v>941</v>
      </c>
      <c r="AA53" s="14">
        <v>12</v>
      </c>
      <c r="AB53" s="14">
        <v>241</v>
      </c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>
        <v>241</v>
      </c>
      <c r="BD53" s="14">
        <v>12</v>
      </c>
      <c r="BE53" s="14">
        <v>1060</v>
      </c>
      <c r="BF53" s="14">
        <v>941</v>
      </c>
      <c r="BG53" s="14">
        <v>12</v>
      </c>
      <c r="BH53" s="14">
        <v>241</v>
      </c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3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J29" sqref="J29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5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4.1" x14ac:dyDescent="0.3"/>
    <row r="4" spans="1:15" s="2" customFormat="1" ht="25.5" customHeight="1" x14ac:dyDescent="0.3">
      <c r="B4" s="62" t="s">
        <v>94</v>
      </c>
      <c r="C4" s="63"/>
      <c r="D4" s="64" t="s">
        <v>96</v>
      </c>
      <c r="E4" s="64"/>
    </row>
    <row r="5" spans="1:15" s="2" customFormat="1" ht="16.5" x14ac:dyDescent="0.3">
      <c r="B5" s="17" t="s">
        <v>95</v>
      </c>
      <c r="C5" s="18"/>
      <c r="D5" s="64"/>
      <c r="E5" s="64"/>
    </row>
    <row r="6" spans="1:15" s="2" customFormat="1" ht="16.5" x14ac:dyDescent="0.3">
      <c r="B6" s="48" t="s">
        <v>30</v>
      </c>
      <c r="C6" s="49"/>
      <c r="D6" s="64"/>
      <c r="E6" s="64"/>
    </row>
    <row r="7" spans="1:15" s="2" customFormat="1" ht="16.5" x14ac:dyDescent="0.3">
      <c r="B7" s="33" t="s">
        <v>32</v>
      </c>
      <c r="C7" s="13">
        <v>2016</v>
      </c>
      <c r="D7" s="64"/>
      <c r="E7" s="64"/>
    </row>
    <row r="9" spans="1:15" ht="15" customHeight="1" x14ac:dyDescent="0.2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 x14ac:dyDescent="0.2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3"/>
    <row r="12" spans="1:15" s="28" customFormat="1" ht="16.5" x14ac:dyDescent="0.3">
      <c r="B12" s="37" t="s">
        <v>44</v>
      </c>
      <c r="C12" s="14"/>
      <c r="D12" s="14">
        <v>1060</v>
      </c>
      <c r="E12" s="14">
        <v>1052</v>
      </c>
      <c r="F12" s="14">
        <v>8</v>
      </c>
      <c r="G12" s="14">
        <v>3.5</v>
      </c>
    </row>
    <row r="13" spans="1:15" s="28" customFormat="1" ht="16.5" x14ac:dyDescent="0.3">
      <c r="B13" s="37" t="s">
        <v>38</v>
      </c>
      <c r="C13" s="14"/>
      <c r="D13" s="14">
        <v>941</v>
      </c>
      <c r="E13" s="14">
        <v>940</v>
      </c>
      <c r="F13" s="14">
        <v>1</v>
      </c>
      <c r="G13" s="14">
        <v>2.6</v>
      </c>
    </row>
    <row r="14" spans="1:15" s="28" customFormat="1" ht="16.5" x14ac:dyDescent="0.3">
      <c r="B14" s="37" t="s">
        <v>39</v>
      </c>
      <c r="C14" s="14"/>
      <c r="D14" s="14">
        <v>12</v>
      </c>
      <c r="E14" s="14">
        <v>12</v>
      </c>
      <c r="F14" s="14">
        <v>0</v>
      </c>
      <c r="G14" s="14">
        <v>6</v>
      </c>
    </row>
    <row r="15" spans="1:15" s="28" customFormat="1" ht="16.5" x14ac:dyDescent="0.3">
      <c r="B15" s="37" t="s">
        <v>45</v>
      </c>
      <c r="C15" s="14"/>
      <c r="D15" s="14">
        <v>241</v>
      </c>
      <c r="E15" s="14">
        <v>241</v>
      </c>
      <c r="F15" s="14">
        <v>0</v>
      </c>
      <c r="G15" s="14">
        <v>5</v>
      </c>
    </row>
    <row r="16" spans="1:15" s="28" customFormat="1" ht="14.45" x14ac:dyDescent="0.35">
      <c r="B16" s="37" t="s">
        <v>40</v>
      </c>
      <c r="C16" s="14"/>
      <c r="D16" s="14"/>
      <c r="E16" s="14"/>
      <c r="F16" s="14"/>
      <c r="G16" s="14"/>
    </row>
    <row r="17" spans="2:7" s="28" customFormat="1" ht="16.5" x14ac:dyDescent="0.3">
      <c r="B17" s="39" t="s">
        <v>115</v>
      </c>
      <c r="C17" s="14"/>
      <c r="D17" s="14">
        <v>191</v>
      </c>
      <c r="E17" s="14">
        <v>186</v>
      </c>
      <c r="F17" s="14">
        <v>5</v>
      </c>
      <c r="G17" s="14">
        <v>5</v>
      </c>
    </row>
    <row r="18" spans="2:7" ht="3.4" customHeight="1" x14ac:dyDescent="0.3"/>
    <row r="19" spans="2:7" ht="14.1" hidden="1" x14ac:dyDescent="0.3">
      <c r="B19" s="38" t="s">
        <v>44</v>
      </c>
      <c r="C19" s="14"/>
      <c r="D19" s="14">
        <v>1060</v>
      </c>
      <c r="E19" s="14">
        <v>1052</v>
      </c>
      <c r="F19" s="14">
        <v>8</v>
      </c>
      <c r="G19" s="14">
        <v>3.5</v>
      </c>
    </row>
    <row r="20" spans="2:7" ht="14.1" hidden="1" x14ac:dyDescent="0.3">
      <c r="B20" s="38" t="s">
        <v>38</v>
      </c>
      <c r="C20" s="14"/>
      <c r="D20" s="14">
        <v>941</v>
      </c>
      <c r="E20" s="14">
        <v>940</v>
      </c>
      <c r="F20" s="14">
        <v>1</v>
      </c>
      <c r="G20" s="14">
        <v>2.6</v>
      </c>
    </row>
    <row r="21" spans="2:7" ht="14.1" hidden="1" x14ac:dyDescent="0.3">
      <c r="B21" s="38" t="s">
        <v>39</v>
      </c>
      <c r="C21" s="14"/>
      <c r="D21" s="14">
        <v>12</v>
      </c>
      <c r="E21" s="14">
        <v>12</v>
      </c>
      <c r="F21" s="14">
        <v>0</v>
      </c>
      <c r="G21" s="14">
        <v>6</v>
      </c>
    </row>
    <row r="22" spans="2:7" ht="14.1" hidden="1" x14ac:dyDescent="0.3">
      <c r="B22" s="38" t="s">
        <v>45</v>
      </c>
      <c r="C22" s="14"/>
      <c r="D22" s="14">
        <v>241</v>
      </c>
      <c r="E22" s="14">
        <v>241</v>
      </c>
      <c r="F22" s="14">
        <v>0</v>
      </c>
      <c r="G22" s="14">
        <v>5</v>
      </c>
    </row>
    <row r="23" spans="2:7" ht="14.1" hidden="1" x14ac:dyDescent="0.3">
      <c r="B23" s="38" t="s">
        <v>40</v>
      </c>
      <c r="C23" s="14"/>
      <c r="D23" s="14"/>
      <c r="E23" s="14"/>
      <c r="F23" s="14"/>
      <c r="G23" s="14"/>
    </row>
    <row r="24" spans="2:7" ht="14.1" hidden="1" x14ac:dyDescent="0.3">
      <c r="B24" s="38" t="s">
        <v>46</v>
      </c>
      <c r="C24" s="14"/>
      <c r="D24" s="14"/>
      <c r="E24" s="14"/>
      <c r="F24" s="14"/>
      <c r="G24" s="14"/>
    </row>
    <row r="25" spans="2:7" ht="14.1" hidden="1" x14ac:dyDescent="0.3">
      <c r="B25" s="38" t="s">
        <v>47</v>
      </c>
      <c r="C25" s="14"/>
      <c r="D25" s="14"/>
      <c r="E25" s="14"/>
      <c r="F25" s="14"/>
      <c r="G25" s="14"/>
    </row>
    <row r="26" spans="2:7" ht="14.1" hidden="1" x14ac:dyDescent="0.3">
      <c r="B26" s="38" t="s">
        <v>48</v>
      </c>
      <c r="C26" s="14"/>
      <c r="D26" s="14"/>
      <c r="E26" s="14"/>
      <c r="F26" s="14"/>
      <c r="G26" s="14"/>
    </row>
    <row r="27" spans="2:7" ht="14.1" hidden="1" x14ac:dyDescent="0.3">
      <c r="B27" s="38" t="s">
        <v>49</v>
      </c>
      <c r="C27" s="14"/>
      <c r="D27" s="14"/>
      <c r="E27" s="14"/>
      <c r="F27" s="14"/>
      <c r="G27" s="14"/>
    </row>
    <row r="28" spans="2:7" ht="16.5" hidden="1" x14ac:dyDescent="0.3">
      <c r="B28" s="39" t="s">
        <v>115</v>
      </c>
      <c r="C28" s="14"/>
      <c r="D28" s="14">
        <v>191</v>
      </c>
      <c r="E28" s="14">
        <v>186</v>
      </c>
      <c r="F28" s="14">
        <v>5</v>
      </c>
      <c r="G28" s="14">
        <v>5</v>
      </c>
    </row>
  </sheetData>
  <sheetProtection password="C2E9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23"/>
  <sheetViews>
    <sheetView zoomScale="80" zoomScaleNormal="80" workbookViewId="0">
      <selection activeCell="J26" sqref="J26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customWidth="1"/>
    <col min="21" max="21" width="1.5703125" style="2" customWidth="1"/>
    <col min="22" max="37" width="9.5703125" style="2" hidden="1" customWidth="1"/>
    <col min="38" max="16384" width="8.7109375" style="2"/>
  </cols>
  <sheetData>
    <row r="2" spans="2:37" ht="14.1" x14ac:dyDescent="0.3">
      <c r="B2" s="1" t="s">
        <v>24</v>
      </c>
    </row>
    <row r="4" spans="2:37" ht="14.1" hidden="1" outlineLevel="1" x14ac:dyDescent="0.3">
      <c r="B4" s="2" t="s">
        <v>75</v>
      </c>
      <c r="C4" s="2">
        <v>10</v>
      </c>
    </row>
    <row r="5" spans="2:37" ht="14.1" collapsed="1" x14ac:dyDescent="0.3">
      <c r="B5" s="15" t="s">
        <v>37</v>
      </c>
      <c r="C5" s="30"/>
      <c r="D5" s="30"/>
      <c r="E5" s="30"/>
      <c r="F5" s="30"/>
      <c r="G5" s="30"/>
    </row>
    <row r="6" spans="2:37" ht="14.1" x14ac:dyDescent="0.3">
      <c r="B6" s="17" t="s">
        <v>29</v>
      </c>
      <c r="C6" s="31"/>
      <c r="D6" s="31"/>
      <c r="E6" s="31"/>
      <c r="F6" s="31"/>
      <c r="G6" s="31"/>
    </row>
    <row r="7" spans="2:37" ht="14.1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2016</v>
      </c>
      <c r="D8" s="31"/>
      <c r="E8" s="31"/>
      <c r="F8" s="31"/>
      <c r="G8" s="31"/>
    </row>
    <row r="9" spans="2:37" ht="14.1" x14ac:dyDescent="0.3">
      <c r="B9" s="19" t="s">
        <v>42</v>
      </c>
      <c r="C9" s="31"/>
      <c r="D9" s="31"/>
      <c r="E9" s="31"/>
      <c r="F9" s="31"/>
      <c r="G9" s="31"/>
    </row>
    <row r="10" spans="2:37" ht="14.1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112.5" x14ac:dyDescent="0.3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135</v>
      </c>
    </row>
    <row r="14" spans="2:37" x14ac:dyDescent="0.3">
      <c r="B14" s="3">
        <v>1</v>
      </c>
      <c r="C14" s="12" t="s">
        <v>120</v>
      </c>
      <c r="D14" s="12" t="s">
        <v>116</v>
      </c>
      <c r="E14" s="12"/>
      <c r="F14" s="12"/>
      <c r="G14" s="14">
        <v>954</v>
      </c>
      <c r="I14" s="14">
        <v>143</v>
      </c>
      <c r="J14" s="14">
        <v>620</v>
      </c>
      <c r="K14" s="14"/>
      <c r="L14" s="14"/>
      <c r="M14" s="14">
        <v>191</v>
      </c>
      <c r="N14" s="14"/>
      <c r="O14" s="14"/>
      <c r="P14" s="14"/>
      <c r="Q14" s="14"/>
      <c r="R14" s="14"/>
      <c r="S14" s="14"/>
      <c r="T14" s="14"/>
      <c r="V14" s="14">
        <v>233</v>
      </c>
      <c r="W14" s="14">
        <v>433</v>
      </c>
      <c r="X14" s="14"/>
      <c r="Y14" s="14"/>
      <c r="Z14" s="14">
        <v>288</v>
      </c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118</v>
      </c>
      <c r="D15" s="12" t="s">
        <v>127</v>
      </c>
      <c r="E15" s="12"/>
      <c r="F15" s="12"/>
      <c r="G15" s="14">
        <v>824</v>
      </c>
      <c r="I15" s="14">
        <v>272</v>
      </c>
      <c r="J15" s="14">
        <v>370</v>
      </c>
      <c r="K15" s="14"/>
      <c r="L15" s="14"/>
      <c r="M15" s="14">
        <v>182</v>
      </c>
      <c r="N15" s="14"/>
      <c r="O15" s="14"/>
      <c r="P15" s="14"/>
      <c r="Q15" s="14"/>
      <c r="R15" s="14"/>
      <c r="S15" s="14"/>
      <c r="T15" s="14"/>
      <c r="V15" s="14">
        <v>222</v>
      </c>
      <c r="W15" s="14">
        <v>361</v>
      </c>
      <c r="X15" s="14"/>
      <c r="Y15" s="14"/>
      <c r="Z15" s="14">
        <v>241</v>
      </c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 t="s">
        <v>119</v>
      </c>
      <c r="D16" s="12" t="s">
        <v>128</v>
      </c>
      <c r="E16" s="12"/>
      <c r="F16" s="12"/>
      <c r="G16" s="14">
        <v>800</v>
      </c>
      <c r="I16" s="14">
        <v>200</v>
      </c>
      <c r="J16" s="14">
        <v>480</v>
      </c>
      <c r="K16" s="14"/>
      <c r="L16" s="14"/>
      <c r="M16" s="14">
        <v>120</v>
      </c>
      <c r="N16" s="14"/>
      <c r="O16" s="14"/>
      <c r="P16" s="14"/>
      <c r="Q16" s="14"/>
      <c r="R16" s="14"/>
      <c r="S16" s="14"/>
      <c r="T16" s="14"/>
      <c r="V16" s="14">
        <v>213</v>
      </c>
      <c r="W16" s="14">
        <v>391</v>
      </c>
      <c r="X16" s="14"/>
      <c r="Y16" s="14"/>
      <c r="Z16" s="14">
        <v>196</v>
      </c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 t="s">
        <v>117</v>
      </c>
      <c r="D17" s="12">
        <v>59514</v>
      </c>
      <c r="E17" s="12"/>
      <c r="F17" s="12"/>
      <c r="G17" s="14">
        <v>401</v>
      </c>
      <c r="I17" s="14"/>
      <c r="J17" s="14"/>
      <c r="K17" s="14"/>
      <c r="L17" s="14">
        <v>276</v>
      </c>
      <c r="M17" s="14">
        <v>125</v>
      </c>
      <c r="N17" s="14"/>
      <c r="O17" s="14"/>
      <c r="P17" s="14"/>
      <c r="Q17" s="14"/>
      <c r="R17" s="14"/>
      <c r="S17" s="14"/>
      <c r="T17" s="14"/>
      <c r="V17" s="14">
        <v>222</v>
      </c>
      <c r="W17" s="14"/>
      <c r="X17" s="14"/>
      <c r="Y17" s="14"/>
      <c r="Z17" s="14">
        <v>179</v>
      </c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x14ac:dyDescent="0.3">
      <c r="B18" s="3">
        <v>5</v>
      </c>
      <c r="C18" s="12" t="s">
        <v>121</v>
      </c>
      <c r="D18" s="12" t="s">
        <v>129</v>
      </c>
      <c r="E18" s="12"/>
      <c r="F18" s="12"/>
      <c r="G18" s="14">
        <v>441</v>
      </c>
      <c r="I18" s="14">
        <v>123</v>
      </c>
      <c r="J18" s="14">
        <v>220</v>
      </c>
      <c r="K18" s="14"/>
      <c r="L18" s="14"/>
      <c r="M18" s="14">
        <v>98</v>
      </c>
      <c r="N18" s="14"/>
      <c r="O18" s="14"/>
      <c r="P18" s="14"/>
      <c r="Q18" s="14"/>
      <c r="R18" s="14"/>
      <c r="S18" s="14"/>
      <c r="T18" s="14"/>
      <c r="V18" s="14">
        <v>202</v>
      </c>
      <c r="W18" s="14">
        <v>109</v>
      </c>
      <c r="X18" s="14"/>
      <c r="Y18" s="14">
        <v>42</v>
      </c>
      <c r="Z18" s="14">
        <v>88</v>
      </c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x14ac:dyDescent="0.3">
      <c r="B19" s="3">
        <v>6</v>
      </c>
      <c r="C19" s="12" t="s">
        <v>122</v>
      </c>
      <c r="D19" s="12" t="s">
        <v>130</v>
      </c>
      <c r="E19" s="12"/>
      <c r="F19" s="12"/>
      <c r="G19" s="14">
        <v>327</v>
      </c>
      <c r="I19" s="14">
        <v>80</v>
      </c>
      <c r="J19" s="14">
        <v>196</v>
      </c>
      <c r="K19" s="14"/>
      <c r="L19" s="14"/>
      <c r="M19" s="14">
        <v>51</v>
      </c>
      <c r="N19" s="14"/>
      <c r="O19" s="14"/>
      <c r="P19" s="14"/>
      <c r="Q19" s="14"/>
      <c r="R19" s="14"/>
      <c r="S19" s="14"/>
      <c r="T19" s="14"/>
      <c r="V19" s="14">
        <v>167</v>
      </c>
      <c r="W19" s="14">
        <v>111</v>
      </c>
      <c r="X19" s="14"/>
      <c r="Y19" s="14"/>
      <c r="Z19" s="14">
        <v>49</v>
      </c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 t="s">
        <v>123</v>
      </c>
      <c r="D20" s="12" t="s">
        <v>131</v>
      </c>
      <c r="E20" s="12"/>
      <c r="F20" s="12"/>
      <c r="G20" s="14">
        <v>250</v>
      </c>
      <c r="I20" s="14">
        <v>162</v>
      </c>
      <c r="J20" s="14"/>
      <c r="K20" s="14"/>
      <c r="L20" s="14"/>
      <c r="M20" s="14">
        <v>88</v>
      </c>
      <c r="N20" s="14"/>
      <c r="O20" s="14"/>
      <c r="P20" s="14"/>
      <c r="Q20" s="14"/>
      <c r="R20" s="14"/>
      <c r="S20" s="14"/>
      <c r="T20" s="14"/>
      <c r="V20" s="14">
        <v>187</v>
      </c>
      <c r="W20" s="14"/>
      <c r="X20" s="14"/>
      <c r="Y20" s="14"/>
      <c r="Z20" s="14">
        <v>63</v>
      </c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x14ac:dyDescent="0.3">
      <c r="B21" s="3">
        <v>8</v>
      </c>
      <c r="C21" s="12" t="s">
        <v>124</v>
      </c>
      <c r="D21" s="12" t="s">
        <v>132</v>
      </c>
      <c r="E21" s="12"/>
      <c r="F21" s="12"/>
      <c r="G21" s="14">
        <v>291</v>
      </c>
      <c r="I21" s="14">
        <v>76</v>
      </c>
      <c r="J21" s="14">
        <v>179</v>
      </c>
      <c r="K21" s="14"/>
      <c r="L21" s="14"/>
      <c r="M21" s="14">
        <v>36</v>
      </c>
      <c r="N21" s="14"/>
      <c r="O21" s="14"/>
      <c r="P21" s="14"/>
      <c r="Q21" s="14"/>
      <c r="R21" s="14"/>
      <c r="S21" s="14"/>
      <c r="T21" s="14"/>
      <c r="V21" s="14">
        <v>146</v>
      </c>
      <c r="W21" s="14">
        <v>87</v>
      </c>
      <c r="X21" s="14"/>
      <c r="Y21" s="14"/>
      <c r="Z21" s="14">
        <v>58</v>
      </c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x14ac:dyDescent="0.3">
      <c r="B22" s="3">
        <v>9</v>
      </c>
      <c r="C22" s="12" t="s">
        <v>125</v>
      </c>
      <c r="D22" s="12" t="s">
        <v>133</v>
      </c>
      <c r="E22" s="12"/>
      <c r="F22" s="12"/>
      <c r="G22" s="14">
        <v>267</v>
      </c>
      <c r="I22" s="14">
        <v>174</v>
      </c>
      <c r="J22" s="14"/>
      <c r="K22" s="14"/>
      <c r="L22" s="14"/>
      <c r="M22" s="14">
        <v>93</v>
      </c>
      <c r="N22" s="14"/>
      <c r="O22" s="14"/>
      <c r="P22" s="14"/>
      <c r="Q22" s="14"/>
      <c r="R22" s="14"/>
      <c r="S22" s="14"/>
      <c r="T22" s="14"/>
      <c r="V22" s="14">
        <v>187</v>
      </c>
      <c r="W22" s="14"/>
      <c r="X22" s="14"/>
      <c r="Y22" s="14"/>
      <c r="Z22" s="14">
        <v>80</v>
      </c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 t="s">
        <v>126</v>
      </c>
      <c r="D23" s="12" t="s">
        <v>134</v>
      </c>
      <c r="E23" s="12"/>
      <c r="F23" s="12"/>
      <c r="G23" s="14">
        <v>220</v>
      </c>
      <c r="I23" s="14">
        <v>36</v>
      </c>
      <c r="J23" s="14">
        <v>120</v>
      </c>
      <c r="K23" s="14"/>
      <c r="L23" s="14"/>
      <c r="M23" s="14">
        <v>64</v>
      </c>
      <c r="N23" s="14"/>
      <c r="O23" s="14"/>
      <c r="P23" s="14"/>
      <c r="Q23" s="14"/>
      <c r="R23" s="14"/>
      <c r="S23" s="14"/>
      <c r="T23" s="14"/>
      <c r="V23" s="14">
        <v>56</v>
      </c>
      <c r="W23" s="14">
        <v>143</v>
      </c>
      <c r="X23" s="14"/>
      <c r="Y23" s="14"/>
      <c r="Z23" s="14">
        <v>21</v>
      </c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</sheetData>
  <sheetProtection password="C2E9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3 I14:T23 V14:AK23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2018-04-04T01:58:18Z</dcterms:created>
  <dcterms:modified xsi:type="dcterms:W3CDTF">2018-08-31T04:23:05Z</dcterms:modified>
</cp:coreProperties>
</file>