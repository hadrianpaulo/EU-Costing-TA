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4" i="2" l="1"/>
  <c r="J12" i="2"/>
  <c r="J11" i="2"/>
  <c r="J13" i="2"/>
  <c r="G17" i="9" l="1"/>
  <c r="G18" i="9"/>
  <c r="G19" i="9"/>
  <c r="G20" i="9"/>
  <c r="G16" i="9"/>
  <c r="J22" i="2" l="1"/>
  <c r="J21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<sst xmlns="http://schemas.openxmlformats.org/spreadsheetml/2006/main" count="470" uniqueCount="185">
  <si>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</si>
  <si>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</si>
  <si>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</si>
  <si>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</si>
  <si>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</si>
  <si>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</si>
  <si>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</si>
  <si>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</si>
  <si>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</si>
  <si>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</si>
  <si>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</si>
  <si>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</si>
  <si>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</si>
  <si>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</si>
  <si>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</si>
  <si>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</si>
  <si>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</si>
  <si>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</si>
  <si>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</si>
  <si>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</si>
  <si>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</si>
  <si>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</si>
  <si>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</si>
  <si>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</si>
  <si>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</si>
  <si>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</si>
  <si>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</si>
  <si>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</si>
  <si>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</si>
  <si>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</si>
  <si>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</si>
  <si>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</si>
  <si>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</si>
  <si>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</si>
  <si>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</si>
  <si>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</si>
  <si>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</si>
  <si>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</si>
  <si>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</si>
  <si>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</si>
  <si>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</si>
  <si>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</si>
  <si>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</si>
  <si>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</si>
  <si>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</si>
  <si>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</si>
  <si>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</si>
  <si>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</si>
  <si>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</si>
  <si>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</si>
  <si>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</si>
  <si>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</si>
  <si>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</si>
  <si>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</si>
  <si>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</si>
  <si>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</si>
  <si>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</si>
  <si>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</si>
  <si>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</si>
  <si>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</si>
  <si>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</si>
  <si>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</si>
  <si>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</si>
  <si>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</si>
  <si>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</si>
  <si>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</si>
  <si>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</si>
  <si>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</si>
  <si>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</si>
  <si>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</si>
  <si>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</si>
  <si>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</si>
  <si>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</si>
  <si>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</si>
  <si>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</si>
  <si>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</si>
  <si>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</si>
  <si>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</si>
  <si>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</si>
  <si>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</si>
  <si>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</si>
  <si>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</si>
  <si>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</si>
  <si>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</si>
  <si>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</si>
  <si>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</si>
  <si>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</si>
  <si>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</si>
  <si>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</si>
  <si>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</si>
  <si>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</si>
  <si>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</si>
  <si>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</si>
  <si>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</si>
  <si>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</si>
  <si>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</si>
  <si>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</si>
  <si>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</si>
  <si>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</si>
  <si>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</si>
  <si>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</si>
  <si>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</si>
  <si>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</si>
  <si>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</si>
  <si>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</si>
  <si>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</si>
  <si>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</si>
  <si>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</si>
  <si>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</si>
  <si>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</si>
  <si>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</si>
  <si>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</si>
  <si>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</si>
  <si>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</si>
  <si>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</si>
  <si>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</si>
  <si>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</si>
  <si>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</si>
  <si>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</si>
  <si>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</si>
  <si>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</si>
  <si>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</si>
  <si>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</si>
  <si>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</si>
  <si>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</si>
  <si>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</si>
  <si>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</si>
  <si>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</si>
  <si>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</si>
  <si>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</si>
  <si>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</si>
  <si>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</si>
  <si>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</si>
  <si>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</si>
  <si>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</si>
  <si>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</si>
  <si>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</si>
  <si>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</si>
  <si>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</si>
  <si>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</si>
  <si>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</si>
  <si>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</si>
  <si>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</si>
  <si>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</si>
  <si>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</si>
  <si>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</si>
  <si>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</si>
  <si>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</si>
  <si>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</si>
  <si>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</si>
  <si>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</si>
  <si>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</si>
  <si>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</si>
  <si>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</si>
  <si>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</si>
  <si>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</si>
  <si>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</si>
  <si>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</si>
  <si>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</si>
  <si>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</si>
  <si>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</si>
  <si>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</si>
  <si>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</si>
  <si>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</si>
  <si>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</si>
  <si>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</si>
  <si>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</si>
  <si>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</si>
  <si>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</si>
  <si>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</si>
  <si>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</si>
  <si>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</si>
  <si>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</si>
  <si>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ue</t>
  </si>
  <si>
    <t>cbc/pc</t>
  </si>
  <si>
    <t>pf</t>
  </si>
  <si>
    <t>syringe 3cc</t>
  </si>
  <si>
    <t>ivf</t>
  </si>
  <si>
    <t>paracetamol</t>
  </si>
  <si>
    <t>d50.3nacl</t>
  </si>
  <si>
    <t>ceftriaxone</t>
  </si>
  <si>
    <t>Acute Bacterial Infection</t>
  </si>
  <si>
    <t>a49.9</t>
  </si>
  <si>
    <t>1g,</t>
  </si>
  <si>
    <t>lactolose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</si>
</sst>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topLeftCell="A24" zoomScaleNormal="100" workbookViewId="0">
      <selection activeCell="E32" sqref="E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3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4200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1800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2905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175</v>
      </c>
      <c r="D65" s="55"/>
      <c r="E65" s="55"/>
      <c r="F65" s="55">
        <v>830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6000</v>
      </c>
      <c r="E73" s="59">
        <f>SUM(E62:E72)</f>
        <v>0</v>
      </c>
      <c r="F73" s="59">
        <f>SUM(F62:F72)</f>
        <v>3735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C23" sqref="C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Bacterial Infection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167</v>
      </c>
      <c r="E11" s="27" t="s">
        <v>183</v>
      </c>
      <c r="F11" s="55">
        <v>3</v>
      </c>
      <c r="G11" s="55"/>
      <c r="H11" s="55">
        <v>5</v>
      </c>
      <c r="I11" s="55">
        <v>470</v>
      </c>
      <c r="J11" s="55">
        <f t="shared" ref="J11:J22" si="0">H11*I11</f>
        <v>2350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167</v>
      </c>
      <c r="E12" s="27"/>
      <c r="F12" s="55"/>
      <c r="G12" s="55"/>
      <c r="H12" s="55">
        <v>3</v>
      </c>
      <c r="I12" s="55">
        <v>100</v>
      </c>
      <c r="J12" s="55">
        <f t="shared" si="0"/>
        <v>300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/>
      <c r="E13" s="27"/>
      <c r="F13" s="55"/>
      <c r="G13" s="55"/>
      <c r="H13" s="55">
        <v>1</v>
      </c>
      <c r="I13" s="55">
        <v>160</v>
      </c>
      <c r="J13" s="55">
        <f t="shared" si="0"/>
        <v>160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177</v>
      </c>
      <c r="E14" s="27"/>
      <c r="F14" s="55"/>
      <c r="G14" s="55"/>
      <c r="H14" s="55">
        <v>2</v>
      </c>
      <c r="I14" s="55">
        <v>200</v>
      </c>
      <c r="J14" s="55">
        <f t="shared" si="0"/>
        <v>400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46" workbookViewId="0">
      <selection activeCell="F25" sqref="F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Bacterial Infection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1</v>
      </c>
      <c r="F17" s="55">
        <v>170</v>
      </c>
      <c r="G17" s="55">
        <f t="shared" ref="G17:G20" si="0">E17*F17</f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176</v>
      </c>
      <c r="D20" s="115"/>
      <c r="E20" s="115">
        <v>24</v>
      </c>
      <c r="F20" s="55">
        <v>10</v>
      </c>
      <c r="G20" s="55">
        <f t="shared" si="0"/>
        <v>240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/>
      <c r="D21" s="115"/>
      <c r="E21" s="11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1" workbookViewId="0">
      <selection activeCell="H31" sqref="H31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Bacterial Infection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75</v>
      </c>
      <c r="E13" s="55"/>
      <c r="F13" s="55"/>
      <c r="G13" s="55">
        <v>75</v>
      </c>
      <c r="H13" s="55"/>
      <c r="I13" s="55"/>
      <c r="J13" s="55"/>
      <c r="K13" s="55"/>
      <c r="L13" s="55"/>
      <c r="M13" s="55"/>
      <c r="N13" s="55"/>
      <c r="P13" s="88">
        <f>SUM(D13:N13)</f>
        <v>150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270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270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75</v>
      </c>
      <c r="E30" s="88">
        <f t="shared" si="1"/>
        <v>0</v>
      </c>
      <c r="F30" s="88">
        <f t="shared" si="1"/>
        <v>0</v>
      </c>
      <c r="G30" s="88">
        <f t="shared" si="1"/>
        <v>345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2018-08-23T13:08:19Z</dcterms:modified>
</cp:coreProperties>
</file>