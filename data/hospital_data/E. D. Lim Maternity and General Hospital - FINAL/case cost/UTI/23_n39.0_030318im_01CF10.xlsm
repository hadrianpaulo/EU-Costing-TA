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3" i="2" l="1"/>
  <c r="J22" i="2" l="1"/>
  <c r="J21" i="2"/>
  <c r="J20" i="2"/>
  <c r="J12" i="2" l="1"/>
  <c r="J14" i="2"/>
  <c r="J15" i="2"/>
  <c r="J16" i="2"/>
  <c r="J17" i="2"/>
  <c r="J18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<sst xmlns="http://schemas.openxmlformats.org/spreadsheetml/2006/main" count="478" uniqueCount="192">
  <si>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</si>
  <si>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</si>
  <si>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</si>
  <si>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</si>
  <si>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</si>
  <si>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</si>
  <si>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</si>
  <si>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</si>
  <si>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</si>
  <si>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</si>
  <si>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</si>
  <si>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</si>
  <si>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</si>
  <si>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</si>
  <si>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</si>
  <si>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</si>
  <si>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</si>
  <si>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</si>
  <si>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</si>
  <si>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</si>
  <si>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</si>
  <si>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</si>
  <si>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</si>
  <si>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</si>
  <si>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</si>
  <si>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</si>
  <si>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</si>
  <si>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</si>
  <si>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</si>
  <si>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</si>
  <si>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</si>
  <si>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</si>
  <si>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</si>
  <si>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</si>
  <si>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</si>
  <si>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</si>
  <si>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</si>
  <si>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</si>
  <si>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</si>
  <si>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</si>
  <si>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</si>
  <si>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</si>
  <si>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</si>
  <si>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</si>
  <si>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</si>
  <si>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</si>
  <si>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</si>
  <si>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</si>
  <si>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</si>
  <si>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</si>
  <si>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</si>
  <si>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</si>
  <si>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</si>
  <si>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</si>
  <si>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</si>
  <si>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</si>
  <si>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</si>
  <si>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</si>
  <si>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</si>
  <si>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</si>
  <si>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</si>
  <si>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</si>
  <si>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</si>
  <si>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</si>
  <si>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</si>
  <si>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</si>
  <si>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</si>
  <si>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</si>
  <si>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</si>
  <si>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</si>
  <si>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</si>
  <si>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</si>
  <si>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</si>
  <si>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</si>
  <si>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</si>
  <si>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</si>
  <si>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</si>
  <si>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</si>
  <si>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</si>
  <si>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</si>
  <si>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</si>
  <si>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</si>
  <si>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</si>
  <si>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</si>
  <si>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</si>
  <si>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</si>
  <si>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</si>
  <si>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</si>
  <si>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</si>
  <si>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</si>
  <si>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</si>
  <si>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</si>
  <si>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</si>
  <si>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</si>
  <si>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</si>
  <si>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</si>
  <si>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</si>
  <si>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</si>
  <si>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</si>
  <si>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</si>
  <si>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</si>
  <si>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</si>
  <si>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</si>
  <si>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</si>
  <si>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</si>
  <si>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</si>
  <si>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</si>
  <si>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</si>
  <si>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</si>
  <si>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</si>
  <si>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</si>
  <si>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</si>
  <si>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</si>
  <si>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</si>
  <si>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</si>
  <si>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</si>
  <si>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</si>
  <si>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</si>
  <si>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</si>
  <si>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</si>
  <si>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</si>
  <si>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</si>
  <si>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</si>
  <si>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</si>
  <si>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</si>
  <si>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</si>
  <si>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</si>
  <si>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</si>
  <si>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</si>
  <si>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</si>
  <si>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</si>
  <si>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</si>
  <si>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</si>
  <si>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</si>
  <si>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</si>
  <si>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</si>
  <si>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</si>
  <si>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</si>
  <si>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</si>
  <si>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</si>
  <si>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</si>
  <si>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</si>
  <si>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</si>
  <si>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</si>
  <si>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</si>
  <si>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</si>
  <si>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</si>
  <si>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</si>
  <si>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</si>
  <si>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</si>
  <si>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</si>
  <si>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</si>
  <si>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</si>
  <si>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</si>
  <si>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</si>
  <si>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</si>
  <si>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</si>
  <si>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</si>
  <si>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</si>
  <si>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</si>
  <si>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</si>
  <si>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</si>
  <si>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</si>
  <si>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</si>
  <si>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</si>
  <si>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</si>
  <si>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</si>
  <si>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</si>
  <si>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cap</t>
  </si>
  <si>
    <t>splint</t>
  </si>
  <si>
    <t>vacoset</t>
  </si>
  <si>
    <t>abbocath</t>
  </si>
  <si>
    <t>micropore</t>
  </si>
  <si>
    <t>administration of medicine</t>
  </si>
  <si>
    <t>UTI</t>
  </si>
  <si>
    <t>n39.0</t>
  </si>
  <si>
    <t>ue</t>
  </si>
  <si>
    <t>cbc/pc</t>
  </si>
  <si>
    <t>fe</t>
  </si>
  <si>
    <t>pf</t>
  </si>
  <si>
    <t>neurobexol (home meds)</t>
  </si>
  <si>
    <t>cefuroxime</t>
  </si>
  <si>
    <t>750mg</t>
  </si>
  <si>
    <t>hyoscine</t>
  </si>
  <si>
    <t>ranitidine</t>
  </si>
  <si>
    <t>omeprazole</t>
  </si>
  <si>
    <t>paracetamol</t>
  </si>
  <si>
    <t>d5lrs</t>
  </si>
  <si>
    <t>syringe 3cc</t>
  </si>
  <si>
    <t>vial</t>
  </si>
  <si>
    <t>tab</t>
  </si>
  <si>
    <t>iv fluid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</si>
</sst>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E32" sqref="E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4.5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20" t="s">
        <v>19</v>
      </c>
      <c r="C38" s="121"/>
      <c r="D38" s="118"/>
      <c r="E38" s="121"/>
      <c r="F38" s="119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20" t="s">
        <v>44</v>
      </c>
      <c r="C43" s="121"/>
      <c r="D43" s="118"/>
      <c r="E43" s="121"/>
      <c r="F43" s="119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7" t="s">
        <v>53</v>
      </c>
      <c r="C45" s="118"/>
      <c r="D45" s="118"/>
      <c r="E45" s="118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7" t="s">
        <v>20</v>
      </c>
      <c r="C50" s="118"/>
      <c r="D50" s="118"/>
      <c r="E50" s="118"/>
      <c r="F50" s="119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162</v>
      </c>
      <c r="D60" s="55">
        <v>5250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163</v>
      </c>
      <c r="D61" s="55">
        <v>2250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166</v>
      </c>
      <c r="D62" s="55"/>
      <c r="E62" s="55"/>
      <c r="F62" s="55">
        <v>6190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179</v>
      </c>
      <c r="D63" s="55"/>
      <c r="E63" s="55"/>
      <c r="F63" s="55">
        <v>550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7500</v>
      </c>
      <c r="E71" s="59">
        <f>SUM(E60:E70)</f>
        <v>0</v>
      </c>
      <c r="F71" s="59">
        <f>SUM(F60:F70)</f>
        <v>6740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D24" sqref="D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168</v>
      </c>
      <c r="E11" s="27"/>
      <c r="F11" s="55"/>
      <c r="G11" s="55"/>
      <c r="H11" s="55">
        <v>10</v>
      </c>
      <c r="I11" s="55">
        <v>7</v>
      </c>
      <c r="J11" s="55">
        <f>H11*I11</f>
        <v>70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189</v>
      </c>
      <c r="E12" s="27" t="s">
        <v>182</v>
      </c>
      <c r="F12" s="55">
        <v>3</v>
      </c>
      <c r="G12" s="55"/>
      <c r="H12" s="55">
        <v>10</v>
      </c>
      <c r="I12" s="55">
        <v>280</v>
      </c>
      <c r="J12" s="55">
        <f t="shared" ref="J12:J22" si="0">H12*I12</f>
        <v>2800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167</v>
      </c>
      <c r="E13" s="27"/>
      <c r="F13" s="55">
        <v>2</v>
      </c>
      <c r="G13" s="55"/>
      <c r="H13" s="55">
        <v>6</v>
      </c>
      <c r="I13" s="55">
        <v>280</v>
      </c>
      <c r="J13" s="55">
        <f t="shared" si="0"/>
        <v>1680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167</v>
      </c>
      <c r="E14" s="27"/>
      <c r="F14" s="55">
        <v>3</v>
      </c>
      <c r="G14" s="55"/>
      <c r="H14" s="55">
        <v>10</v>
      </c>
      <c r="I14" s="55">
        <v>150</v>
      </c>
      <c r="J14" s="55">
        <f t="shared" si="0"/>
        <v>1500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185</v>
      </c>
      <c r="D15" s="27" t="s">
        <v>189</v>
      </c>
      <c r="E15" s="27"/>
      <c r="F15" s="55">
        <v>1</v>
      </c>
      <c r="G15" s="55"/>
      <c r="H15" s="55">
        <v>2</v>
      </c>
      <c r="I15" s="55">
        <v>420</v>
      </c>
      <c r="J15" s="55">
        <f t="shared" si="0"/>
        <v>840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186</v>
      </c>
      <c r="D16" s="27" t="s">
        <v>190</v>
      </c>
      <c r="E16" s="27"/>
      <c r="F16" s="55">
        <v>6</v>
      </c>
      <c r="G16" s="55"/>
      <c r="H16" s="55">
        <v>6</v>
      </c>
      <c r="I16" s="55">
        <v>5</v>
      </c>
      <c r="J16" s="55">
        <f t="shared" si="0"/>
        <v>30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187</v>
      </c>
      <c r="D17" s="27" t="s">
        <v>191</v>
      </c>
      <c r="E17" s="27"/>
      <c r="F17" s="55"/>
      <c r="G17" s="55"/>
      <c r="H17" s="55">
        <v>3</v>
      </c>
      <c r="I17" s="55">
        <v>280</v>
      </c>
      <c r="J17" s="55">
        <f t="shared" si="0"/>
        <v>840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workbookViewId="0">
      <selection activeCell="G21" sqref="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171</v>
      </c>
      <c r="D16" s="115"/>
      <c r="E16" s="115">
        <v>1</v>
      </c>
      <c r="F16" s="55">
        <v>170</v>
      </c>
      <c r="G16" s="55">
        <v>170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170</v>
      </c>
      <c r="D17" s="115"/>
      <c r="E17" s="115">
        <v>1</v>
      </c>
      <c r="F17" s="55">
        <v>170</v>
      </c>
      <c r="G17" s="55"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169</v>
      </c>
      <c r="D18" s="115"/>
      <c r="E18" s="11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172</v>
      </c>
      <c r="D19" s="115"/>
      <c r="E19" s="115">
        <v>1</v>
      </c>
      <c r="F19" s="55">
        <v>70</v>
      </c>
      <c r="G19" s="55"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188</v>
      </c>
      <c r="D20" s="115"/>
      <c r="E20" s="115">
        <v>28</v>
      </c>
      <c r="F20" s="55">
        <v>10</v>
      </c>
      <c r="G20" s="55">
        <v>280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5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40</v>
      </c>
      <c r="E13" s="55"/>
      <c r="F13" s="55"/>
      <c r="G13" s="55">
        <v>100</v>
      </c>
      <c r="H13" s="55"/>
      <c r="I13" s="55"/>
      <c r="J13" s="55"/>
      <c r="K13" s="55"/>
      <c r="L13" s="55"/>
      <c r="M13" s="55"/>
      <c r="N13" s="55"/>
      <c r="P13" s="88">
        <f>SUM(D13:N13)</f>
        <v>140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173</v>
      </c>
      <c r="D14" s="55"/>
      <c r="E14" s="55"/>
      <c r="F14" s="55"/>
      <c r="G14" s="55">
        <v>120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40</v>
      </c>
      <c r="E30" s="88">
        <f t="shared" si="1"/>
        <v>0</v>
      </c>
      <c r="F30" s="88">
        <f t="shared" si="1"/>
        <v>0</v>
      </c>
      <c r="G30" s="88">
        <f t="shared" si="1"/>
        <v>220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2018-08-23T13:30:56Z</dcterms:modified>
</cp:coreProperties>
</file>