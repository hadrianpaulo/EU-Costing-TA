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3" i="2"/>
  <c r="J11" i="2"/>
  <c r="J22" i="2" l="1"/>
  <c r="J21" i="2"/>
  <c r="J20" i="2"/>
  <c r="J12" i="2" l="1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<sst xmlns="http://schemas.openxmlformats.org/spreadsheetml/2006/main" count="476" uniqueCount="191">
  <si>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</si>
  <si>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</si>
  <si>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</si>
  <si>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</si>
  <si>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</si>
  <si>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</si>
  <si>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</si>
  <si>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</si>
  <si>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</si>
  <si>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</si>
  <si>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</si>
  <si>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</si>
  <si>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</si>
  <si>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</si>
  <si>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</si>
  <si>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</si>
  <si>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</si>
  <si>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</si>
  <si>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</si>
  <si>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</si>
  <si>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</si>
  <si>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</si>
  <si>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</si>
  <si>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</si>
  <si>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</si>
  <si>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</si>
  <si>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</si>
  <si>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</si>
  <si>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</si>
  <si>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</si>
  <si>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</si>
  <si>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</si>
  <si>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</si>
  <si>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</si>
  <si>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</si>
  <si>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</si>
  <si>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</si>
  <si>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</si>
  <si>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</si>
  <si>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</si>
  <si>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</si>
  <si>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</si>
  <si>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</si>
  <si>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</si>
  <si>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</si>
  <si>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</si>
  <si>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</si>
  <si>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</si>
  <si>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</si>
  <si>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</si>
  <si>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</si>
  <si>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</si>
  <si>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</si>
  <si>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</si>
  <si>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</si>
  <si>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</si>
  <si>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</si>
  <si>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</si>
  <si>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</si>
  <si>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</si>
  <si>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</si>
  <si>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</si>
  <si>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</si>
  <si>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</si>
  <si>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</si>
  <si>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</si>
  <si>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</si>
  <si>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</si>
  <si>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</si>
  <si>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</si>
  <si>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</si>
  <si>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</si>
  <si>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</si>
  <si>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</si>
  <si>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</si>
  <si>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</si>
  <si>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</si>
  <si>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</si>
  <si>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</si>
  <si>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</si>
  <si>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</si>
  <si>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</si>
  <si>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</si>
  <si>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</si>
  <si>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</si>
  <si>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</si>
  <si>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</si>
  <si>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</si>
  <si>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</si>
  <si>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</si>
  <si>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</si>
  <si>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</si>
  <si>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</si>
  <si>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</si>
  <si>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</si>
  <si>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</si>
  <si>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</si>
  <si>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</si>
  <si>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</si>
  <si>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</si>
  <si>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</si>
  <si>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</si>
  <si>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</si>
  <si>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</si>
  <si>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</si>
  <si>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</si>
  <si>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</si>
  <si>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</si>
  <si>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</si>
  <si>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</si>
  <si>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</si>
  <si>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</si>
  <si>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</si>
  <si>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</si>
  <si>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</si>
  <si>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</si>
  <si>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</si>
  <si>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</si>
  <si>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</si>
  <si>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</si>
  <si>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</si>
  <si>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</si>
  <si>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</si>
  <si>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</si>
  <si>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</si>
  <si>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</si>
  <si>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</si>
  <si>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</si>
  <si>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</si>
  <si>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</si>
  <si>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</si>
  <si>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</si>
  <si>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</si>
  <si>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</si>
  <si>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</si>
  <si>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</si>
  <si>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</si>
  <si>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</si>
  <si>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</si>
  <si>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</si>
  <si>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</si>
  <si>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</si>
  <si>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</si>
  <si>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</si>
  <si>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</si>
  <si>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</si>
  <si>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</si>
  <si>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</si>
  <si>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</si>
  <si>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</si>
  <si>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</si>
  <si>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</si>
  <si>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</si>
  <si>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</si>
  <si>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</si>
  <si>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</si>
  <si>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</si>
  <si>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</si>
  <si>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</si>
  <si>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</si>
  <si>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</si>
  <si>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</si>
  <si>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</si>
  <si>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</si>
  <si>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</si>
  <si>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</si>
  <si>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</si>
  <si>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</si>
  <si>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</si>
  <si>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</si>
  <si>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</si>
  <si>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</si>
  <si>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</si>
  <si>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n39.0</t>
  </si>
  <si>
    <t>ue</t>
  </si>
  <si>
    <t>cbc/pc</t>
  </si>
  <si>
    <t>pf</t>
  </si>
  <si>
    <t>cefuroxime</t>
  </si>
  <si>
    <t>750mg</t>
  </si>
  <si>
    <t>paracetamol</t>
  </si>
  <si>
    <t>syringe 3cc</t>
  </si>
  <si>
    <t>UTI; BPPV</t>
  </si>
  <si>
    <t>h81.1</t>
  </si>
  <si>
    <t>total cholesterol</t>
  </si>
  <si>
    <t>IgG</t>
  </si>
  <si>
    <t>IgM</t>
  </si>
  <si>
    <t>fbs</t>
  </si>
  <si>
    <t>tab</t>
  </si>
  <si>
    <t xml:space="preserve">cinnarizine </t>
  </si>
  <si>
    <t>PNSS</t>
  </si>
  <si>
    <t>iv fluid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</si>
</sst>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24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5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0" t="s">
        <v>19</v>
      </c>
      <c r="C41" s="121"/>
      <c r="D41" s="118"/>
      <c r="E41" s="121"/>
      <c r="F41" s="119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0" t="s">
        <v>44</v>
      </c>
      <c r="C46" s="121"/>
      <c r="D46" s="118"/>
      <c r="E46" s="121"/>
      <c r="F46" s="119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7" t="s">
        <v>53</v>
      </c>
      <c r="C48" s="118"/>
      <c r="D48" s="118"/>
      <c r="E48" s="118"/>
      <c r="F48" s="119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7" t="s">
        <v>20</v>
      </c>
      <c r="C53" s="118"/>
      <c r="D53" s="118"/>
      <c r="E53" s="118"/>
      <c r="F53" s="11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162</v>
      </c>
      <c r="D63" s="55">
        <v>5250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163</v>
      </c>
      <c r="D64" s="55">
        <v>2250</v>
      </c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166</v>
      </c>
      <c r="D65" s="55"/>
      <c r="E65" s="55"/>
      <c r="F65" s="55">
        <v>6290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176</v>
      </c>
      <c r="D66" s="55"/>
      <c r="E66" s="55"/>
      <c r="F66" s="55">
        <v>750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7500</v>
      </c>
      <c r="E74" s="59">
        <f>SUM(E63:E73)</f>
        <v>0</v>
      </c>
      <c r="F74" s="59">
        <f>SUM(F63:F73)</f>
        <v>7040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Normal="100" workbookViewId="0">
      <selection activeCell="C18" sqref="C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UTI; BPPV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187</v>
      </c>
      <c r="E11" s="27"/>
      <c r="F11" s="55"/>
      <c r="G11" s="55"/>
      <c r="H11" s="55">
        <v>14</v>
      </c>
      <c r="I11" s="55">
        <v>5</v>
      </c>
      <c r="J11" s="55">
        <f t="shared" ref="J11:J22" si="0">H11*I11</f>
        <v>70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167</v>
      </c>
      <c r="E12" s="27" t="s">
        <v>178</v>
      </c>
      <c r="F12" s="55">
        <v>3</v>
      </c>
      <c r="G12" s="55"/>
      <c r="H12" s="55">
        <v>13</v>
      </c>
      <c r="I12" s="55">
        <v>280</v>
      </c>
      <c r="J12" s="55">
        <f t="shared" si="0"/>
        <v>3640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187</v>
      </c>
      <c r="E13" s="27"/>
      <c r="F13" s="55">
        <v>3</v>
      </c>
      <c r="G13" s="55"/>
      <c r="H13" s="55">
        <v>12</v>
      </c>
      <c r="I13" s="55">
        <v>10</v>
      </c>
      <c r="J13" s="55">
        <f t="shared" si="0"/>
        <v>120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190</v>
      </c>
      <c r="E14" s="27"/>
      <c r="F14" s="55"/>
      <c r="G14" s="55"/>
      <c r="H14" s="55">
        <v>5</v>
      </c>
      <c r="I14" s="55">
        <v>280</v>
      </c>
      <c r="J14" s="55">
        <f t="shared" si="0"/>
        <v>1400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22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UTI; BPPV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170</v>
      </c>
      <c r="G16" s="55">
        <v>170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180</v>
      </c>
      <c r="D20" s="115"/>
      <c r="E20" s="115">
        <v>14</v>
      </c>
      <c r="F20" s="55">
        <v>10</v>
      </c>
      <c r="G20" s="55">
        <v>140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5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UTI; BPPV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50</v>
      </c>
      <c r="E13" s="55"/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50</v>
      </c>
      <c r="E30" s="88">
        <f t="shared" si="1"/>
        <v>0</v>
      </c>
      <c r="F30" s="88">
        <f t="shared" si="1"/>
        <v>0</v>
      </c>
      <c r="G30" s="88">
        <f t="shared" si="1"/>
        <v>220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2018-08-23T13:31:31Z</dcterms:modified>
</cp:coreProperties>
</file>