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7" i="2" l="1"/>
  <c r="J12" i="2"/>
  <c r="J16" i="2" l="1"/>
  <c r="J22" i="2" l="1"/>
  <c r="J21" i="2"/>
  <c r="J20" i="2"/>
  <c r="J14" i="2" l="1"/>
  <c r="J15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<sst xmlns="http://schemas.openxmlformats.org/spreadsheetml/2006/main" count="478" uniqueCount="189">
  <si>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</si>
  <si>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</si>
  <si>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</si>
  <si>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</si>
  <si>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</si>
  <si>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</si>
  <si>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</si>
  <si>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</si>
  <si>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</si>
  <si>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</si>
  <si>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</si>
  <si>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</si>
  <si>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</si>
  <si>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</si>
  <si>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</si>
  <si>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</si>
  <si>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</si>
  <si>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</si>
  <si>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</si>
  <si>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</si>
  <si>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</si>
  <si>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</si>
  <si>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</si>
  <si>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</si>
  <si>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</si>
  <si>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</si>
  <si>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</si>
  <si>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</si>
  <si>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</si>
  <si>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</si>
  <si>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</si>
  <si>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</si>
  <si>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</si>
  <si>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</si>
  <si>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</si>
  <si>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</si>
  <si>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</si>
  <si>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</si>
  <si>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</si>
  <si>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</si>
  <si>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</si>
  <si>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</si>
  <si>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</si>
  <si>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</si>
  <si>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</si>
  <si>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</si>
  <si>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</si>
  <si>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</si>
  <si>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</si>
  <si>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</si>
  <si>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</si>
  <si>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</si>
  <si>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</si>
  <si>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</si>
  <si>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</si>
  <si>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</si>
  <si>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</si>
  <si>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</si>
  <si>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</si>
  <si>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</si>
  <si>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</si>
  <si>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</si>
  <si>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</si>
  <si>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</si>
  <si>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</si>
  <si>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</si>
  <si>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</si>
  <si>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</si>
  <si>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</si>
  <si>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</si>
  <si>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</si>
  <si>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</si>
  <si>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</si>
  <si>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</si>
  <si>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</si>
  <si>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</si>
  <si>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</si>
  <si>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</si>
  <si>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</si>
  <si>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</si>
  <si>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</si>
  <si>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</si>
  <si>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</si>
  <si>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</si>
  <si>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</si>
  <si>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</si>
  <si>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</si>
  <si>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</si>
  <si>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</si>
  <si>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</si>
  <si>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</si>
  <si>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</si>
  <si>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</si>
  <si>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</si>
  <si>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</si>
  <si>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</si>
  <si>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</si>
  <si>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</si>
  <si>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</si>
  <si>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</si>
  <si>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</si>
  <si>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</si>
  <si>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</si>
  <si>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</si>
  <si>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</si>
  <si>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</si>
  <si>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</si>
  <si>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</si>
  <si>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</si>
  <si>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</si>
  <si>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</si>
  <si>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</si>
  <si>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</si>
  <si>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</si>
  <si>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</si>
  <si>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</si>
  <si>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</si>
  <si>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</si>
  <si>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</si>
  <si>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</si>
  <si>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</si>
  <si>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</si>
  <si>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</si>
  <si>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</si>
  <si>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</si>
  <si>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</si>
  <si>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</si>
  <si>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</si>
  <si>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</si>
  <si>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</si>
  <si>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</si>
  <si>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</si>
  <si>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</si>
  <si>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</si>
  <si>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</si>
  <si>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</si>
  <si>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</si>
  <si>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</si>
  <si>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</si>
  <si>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</si>
  <si>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</si>
  <si>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</si>
  <si>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</si>
  <si>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</si>
  <si>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</si>
  <si>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</si>
  <si>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</si>
  <si>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</si>
  <si>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</si>
  <si>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</si>
  <si>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</si>
  <si>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</si>
  <si>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</si>
  <si>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</si>
  <si>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</si>
  <si>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</si>
  <si>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</si>
  <si>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</si>
  <si>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</si>
  <si>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</si>
  <si>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</si>
  <si>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</si>
  <si>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</si>
  <si>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</si>
  <si>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</si>
  <si>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</si>
  <si>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</si>
  <si>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</si>
  <si>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</si>
  <si>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</si>
  <si>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</si>
  <si>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</si>
  <si>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</si>
  <si>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</si>
  <si>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</si>
  <si>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</si>
  <si>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syringe 3cc</t>
  </si>
  <si>
    <t>chest xray</t>
  </si>
  <si>
    <t>cefuroxime</t>
  </si>
  <si>
    <t>hydrocortisone</t>
  </si>
  <si>
    <t>750mg</t>
  </si>
  <si>
    <t>ivf</t>
  </si>
  <si>
    <t>DFS</t>
  </si>
  <si>
    <t>a97.0</t>
  </si>
  <si>
    <t>metsil</t>
  </si>
  <si>
    <t>multivit</t>
  </si>
  <si>
    <t>paracetamol</t>
  </si>
  <si>
    <t>syrup</t>
  </si>
  <si>
    <t>d50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</si>
</sst>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24" zoomScaleNormal="100" workbookViewId="0">
      <selection activeCell="I36" sqref="I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7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7000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3000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7620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1050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10000</v>
      </c>
      <c r="E73" s="59">
        <f>SUM(E62:E72)</f>
        <v>0</v>
      </c>
      <c r="F73" s="59">
        <f>SUM(F62:F72)</f>
        <v>8670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9" sqref="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DFS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167</v>
      </c>
      <c r="E11" s="27" t="s">
        <v>180</v>
      </c>
      <c r="F11" s="55">
        <v>2</v>
      </c>
      <c r="G11" s="55"/>
      <c r="H11" s="55">
        <v>6</v>
      </c>
      <c r="I11" s="55">
        <v>280</v>
      </c>
      <c r="J11" s="55">
        <f>H11*I11</f>
        <v>1680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187</v>
      </c>
      <c r="E12" s="27"/>
      <c r="F12" s="55">
        <v>1</v>
      </c>
      <c r="G12" s="55"/>
      <c r="H12" s="55">
        <v>1</v>
      </c>
      <c r="I12" s="55">
        <v>140</v>
      </c>
      <c r="J12" s="55">
        <f>H12*I12</f>
        <v>140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167</v>
      </c>
      <c r="E13" s="27">
        <v>300</v>
      </c>
      <c r="F13" s="55"/>
      <c r="G13" s="55"/>
      <c r="H13" s="55">
        <v>2</v>
      </c>
      <c r="I13" s="55">
        <v>100</v>
      </c>
      <c r="J13" s="55"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187</v>
      </c>
      <c r="E14" s="27"/>
      <c r="F14" s="55"/>
      <c r="G14" s="55"/>
      <c r="H14" s="55">
        <v>1</v>
      </c>
      <c r="I14" s="55">
        <v>140</v>
      </c>
      <c r="J14" s="55">
        <f t="shared" ref="J14:J22" si="0">H14*I14</f>
        <v>140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181</v>
      </c>
      <c r="E15" s="27"/>
      <c r="F15" s="55"/>
      <c r="G15" s="55"/>
      <c r="H15" s="55">
        <v>5</v>
      </c>
      <c r="I15" s="55">
        <v>350</v>
      </c>
      <c r="J15" s="55">
        <f t="shared" si="0"/>
        <v>1750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179</v>
      </c>
      <c r="D16" s="27" t="s">
        <v>167</v>
      </c>
      <c r="E16" s="27"/>
      <c r="F16" s="55"/>
      <c r="G16" s="55"/>
      <c r="H16" s="55">
        <v>6</v>
      </c>
      <c r="I16" s="55">
        <v>240</v>
      </c>
      <c r="J16" s="55">
        <f t="shared" si="0"/>
        <v>1440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187</v>
      </c>
      <c r="E17" s="27"/>
      <c r="F17" s="55"/>
      <c r="G17" s="55"/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37" workbookViewId="0">
      <selection activeCell="G24" sqref="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13</v>
      </c>
      <c r="F16" s="55">
        <v>170</v>
      </c>
      <c r="G16" s="55">
        <v>2600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176</v>
      </c>
      <c r="D20" s="115"/>
      <c r="E20" s="115">
        <v>26</v>
      </c>
      <c r="F20" s="55">
        <v>10</v>
      </c>
      <c r="G20" s="55">
        <v>260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D13" sqref="D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135</v>
      </c>
      <c r="E13" s="55"/>
      <c r="F13" s="55"/>
      <c r="G13" s="55">
        <v>135</v>
      </c>
      <c r="H13" s="55"/>
      <c r="I13" s="55"/>
      <c r="J13" s="55"/>
      <c r="K13" s="55"/>
      <c r="L13" s="55"/>
      <c r="M13" s="55"/>
      <c r="N13" s="55"/>
      <c r="P13" s="88">
        <f>SUM(D13:N13)</f>
        <v>270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480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480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135</v>
      </c>
      <c r="E30" s="88">
        <f t="shared" si="1"/>
        <v>0</v>
      </c>
      <c r="F30" s="88">
        <f t="shared" si="1"/>
        <v>0</v>
      </c>
      <c r="G30" s="88">
        <f t="shared" si="1"/>
        <v>615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2018-08-23T13:28:11Z</dcterms:modified>
</cp:coreProperties>
</file>