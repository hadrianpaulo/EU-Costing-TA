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5" i="2" l="1"/>
  <c r="G17" i="9" l="1"/>
  <c r="G18" i="9"/>
  <c r="G19" i="9"/>
  <c r="G20" i="9"/>
  <c r="G16" i="9"/>
  <c r="J11" i="2"/>
  <c r="J12" i="2"/>
  <c r="J13" i="2"/>
  <c r="J14" i="2"/>
  <c r="J17" i="2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<sst xmlns="http://schemas.openxmlformats.org/spreadsheetml/2006/main" count="476" uniqueCount="189">
  <si>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</si>
  <si>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</si>
  <si>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</si>
  <si>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</si>
  <si>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</si>
  <si>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</si>
  <si>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</si>
  <si>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</si>
  <si>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</si>
  <si>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</si>
  <si>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</si>
  <si>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</si>
  <si>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</si>
  <si>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</si>
  <si>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</si>
  <si>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</si>
  <si>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</si>
  <si>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</si>
  <si>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</si>
  <si>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</si>
  <si>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</si>
  <si>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</si>
  <si>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</si>
  <si>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</si>
  <si>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</si>
  <si>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</si>
  <si>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</si>
  <si>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</si>
  <si>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</si>
  <si>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</si>
  <si>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</si>
  <si>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</si>
  <si>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</si>
  <si>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</si>
  <si>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</si>
  <si>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</si>
  <si>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</si>
  <si>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</si>
  <si>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</si>
  <si>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</si>
  <si>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</si>
  <si>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</si>
  <si>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</si>
  <si>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</si>
  <si>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</si>
  <si>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</si>
  <si>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</si>
  <si>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</si>
  <si>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</si>
  <si>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</si>
  <si>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</si>
  <si>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</si>
  <si>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</si>
  <si>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</si>
  <si>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</si>
  <si>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</si>
  <si>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</si>
  <si>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</si>
  <si>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</si>
  <si>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</si>
  <si>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</si>
  <si>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</si>
  <si>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</si>
  <si>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</si>
  <si>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</si>
  <si>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</si>
  <si>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</si>
  <si>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</si>
  <si>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</si>
  <si>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</si>
  <si>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</si>
  <si>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</si>
  <si>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</si>
  <si>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</si>
  <si>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</si>
  <si>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</si>
  <si>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</si>
  <si>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</si>
  <si>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</si>
  <si>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</si>
  <si>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</si>
  <si>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</si>
  <si>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</si>
  <si>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</si>
  <si>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</si>
  <si>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</si>
  <si>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</si>
  <si>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</si>
  <si>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</si>
  <si>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</si>
  <si>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</si>
  <si>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</si>
  <si>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</si>
  <si>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</si>
  <si>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</si>
  <si>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</si>
  <si>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</si>
  <si>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</si>
  <si>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</si>
  <si>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</si>
  <si>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</si>
  <si>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</si>
  <si>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</si>
  <si>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</si>
  <si>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</si>
  <si>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</si>
  <si>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</si>
  <si>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</si>
  <si>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</si>
  <si>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</si>
  <si>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</si>
  <si>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</si>
  <si>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</si>
  <si>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</si>
  <si>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</si>
  <si>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</si>
  <si>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</si>
  <si>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</si>
  <si>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</si>
  <si>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</si>
  <si>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</si>
  <si>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</si>
  <si>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</si>
  <si>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</si>
  <si>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</si>
  <si>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</si>
  <si>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</si>
  <si>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</si>
  <si>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</si>
  <si>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</si>
  <si>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</si>
  <si>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</si>
  <si>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</si>
  <si>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</si>
  <si>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</si>
  <si>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</si>
  <si>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</si>
  <si>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</si>
  <si>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</si>
  <si>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</si>
  <si>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</si>
  <si>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</si>
  <si>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</si>
  <si>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</si>
  <si>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</si>
  <si>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</si>
  <si>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</si>
  <si>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</si>
  <si>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</si>
  <si>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</si>
  <si>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</si>
  <si>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</si>
  <si>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</si>
  <si>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</si>
  <si>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</si>
  <si>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</si>
  <si>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</si>
  <si>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</si>
  <si>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</si>
  <si>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</si>
  <si>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</si>
  <si>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</si>
  <si>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</si>
  <si>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</si>
  <si>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</si>
  <si>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</si>
  <si>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</si>
  <si>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</si>
  <si>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</si>
  <si>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</si>
  <si>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</si>
  <si>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</si>
  <si>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</si>
  <si>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</si>
  <si>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</si>
  <si>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</si>
  <si>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d5lrs</t>
  </si>
  <si>
    <t>syringe 3cc</t>
  </si>
  <si>
    <t>tab</t>
  </si>
  <si>
    <t>chest xray</t>
  </si>
  <si>
    <t>cefuroxime</t>
  </si>
  <si>
    <t>750mg</t>
  </si>
  <si>
    <t>ivf</t>
  </si>
  <si>
    <t>DFS</t>
  </si>
  <si>
    <t>a97.0</t>
  </si>
  <si>
    <t>ascorbic acid</t>
  </si>
  <si>
    <t>paracetamol</t>
  </si>
  <si>
    <t>250mg</t>
  </si>
  <si>
    <t>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</si>
</sst>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27" zoomScaleNormal="100" workbookViewId="0">
      <selection activeCell="K43" sqref="K4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5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179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11080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900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11980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5" sqref="J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180</v>
      </c>
      <c r="D11" s="27" t="s">
        <v>167</v>
      </c>
      <c r="E11" s="27" t="s">
        <v>181</v>
      </c>
      <c r="F11" s="55">
        <v>3</v>
      </c>
      <c r="G11" s="55"/>
      <c r="H11" s="55">
        <v>16</v>
      </c>
      <c r="I11" s="55">
        <v>330</v>
      </c>
      <c r="J11" s="55">
        <f t="shared" ref="J11:J22" si="0">H11*I11</f>
        <v>5280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178</v>
      </c>
      <c r="E12" s="27"/>
      <c r="F12" s="55">
        <v>1</v>
      </c>
      <c r="G12" s="55"/>
      <c r="H12" s="55">
        <v>10</v>
      </c>
      <c r="I12" s="55">
        <v>6</v>
      </c>
      <c r="J12" s="55">
        <f t="shared" si="0"/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167</v>
      </c>
      <c r="E13" s="27"/>
      <c r="F13" s="55"/>
      <c r="G13" s="55"/>
      <c r="H13" s="55">
        <v>2</v>
      </c>
      <c r="I13" s="55">
        <v>100</v>
      </c>
      <c r="J13" s="55">
        <f t="shared" si="0"/>
        <v>200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182</v>
      </c>
      <c r="E14" s="27"/>
      <c r="F14" s="55"/>
      <c r="G14" s="55"/>
      <c r="H14" s="55">
        <v>5</v>
      </c>
      <c r="I14" s="55">
        <v>330</v>
      </c>
      <c r="J14" s="55">
        <f t="shared" si="0"/>
        <v>1650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178</v>
      </c>
      <c r="E15" s="27" t="s">
        <v>187</v>
      </c>
      <c r="F15" s="55">
        <v>3</v>
      </c>
      <c r="G15" s="55"/>
      <c r="H15" s="55">
        <v>2</v>
      </c>
      <c r="I15" s="55">
        <v>25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19"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177</v>
      </c>
      <c r="D20" s="115"/>
      <c r="E20" s="115">
        <v>18</v>
      </c>
      <c r="F20" s="55">
        <v>10</v>
      </c>
      <c r="G20" s="55">
        <f t="shared" si="0"/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188</v>
      </c>
      <c r="D21" s="115"/>
      <c r="E21" s="115"/>
      <c r="F21" s="55"/>
      <c r="G21" s="55">
        <v>1000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L20" sqref="L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105</v>
      </c>
      <c r="E13" s="55"/>
      <c r="F13" s="55"/>
      <c r="G13" s="55">
        <v>90</v>
      </c>
      <c r="H13" s="55"/>
      <c r="I13" s="55"/>
      <c r="J13" s="55"/>
      <c r="K13" s="55"/>
      <c r="L13" s="55"/>
      <c r="M13" s="55">
        <v>50</v>
      </c>
      <c r="N13" s="55"/>
      <c r="P13" s="88">
        <f>SUM(D13:N13)</f>
        <v>245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300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300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105</v>
      </c>
      <c r="E30" s="88">
        <f t="shared" si="1"/>
        <v>0</v>
      </c>
      <c r="F30" s="88">
        <f t="shared" si="1"/>
        <v>0</v>
      </c>
      <c r="G30" s="88">
        <f t="shared" si="1"/>
        <v>390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50</v>
      </c>
      <c r="N30" s="88">
        <f t="shared" si="1"/>
        <v>0</v>
      </c>
      <c r="P30" s="89">
        <f>SUM(P13:P22)</f>
        <v>545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2018-08-23T13:25:34Z</dcterms:modified>
</cp:coreProperties>
</file>