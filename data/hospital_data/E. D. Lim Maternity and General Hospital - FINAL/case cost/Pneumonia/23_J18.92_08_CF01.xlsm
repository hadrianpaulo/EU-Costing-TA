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21" i="2"/>
  <c r="J22" i="2"/>
  <c r="J23" i="2"/>
  <c r="J24" i="2"/>
  <c r="J25" i="2"/>
  <c r="J26" i="2"/>
  <c r="J13" i="2" l="1"/>
  <c r="J14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<sst xmlns="http://schemas.openxmlformats.org/spreadsheetml/2006/main" count="497" uniqueCount="204">
  <si>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</si>
  <si>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</si>
  <si>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</si>
  <si>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</si>
  <si>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</si>
  <si>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</si>
  <si>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</si>
  <si>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</si>
  <si>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</si>
  <si>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</si>
  <si>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</si>
  <si>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</si>
  <si>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</si>
  <si>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</si>
  <si>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</si>
  <si>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</si>
  <si>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</si>
  <si>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</si>
  <si>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</si>
  <si>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</si>
  <si>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</si>
  <si>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</si>
  <si>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</si>
  <si>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</si>
  <si>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</si>
  <si>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</si>
  <si>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</si>
  <si>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</si>
  <si>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</si>
  <si>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</si>
  <si>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</si>
  <si>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</si>
  <si>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</si>
  <si>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</si>
  <si>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</si>
  <si>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</si>
  <si>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</si>
  <si>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</si>
  <si>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</si>
  <si>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</si>
  <si>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</si>
  <si>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</si>
  <si>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</si>
  <si>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</si>
  <si>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</si>
  <si>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</si>
  <si>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</si>
  <si>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</si>
  <si>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</si>
  <si>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</si>
  <si>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</si>
  <si>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</si>
  <si>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</si>
  <si>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</si>
  <si>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</si>
  <si>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</si>
  <si>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</si>
  <si>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</si>
  <si>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</si>
  <si>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</si>
  <si>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</si>
  <si>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</si>
  <si>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</si>
  <si>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</si>
  <si>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</si>
  <si>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</si>
  <si>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</si>
  <si>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</si>
  <si>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</si>
  <si>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</si>
  <si>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</si>
  <si>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</si>
  <si>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</si>
  <si>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</si>
  <si>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</si>
  <si>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</si>
  <si>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</si>
  <si>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</si>
  <si>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</si>
  <si>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</si>
  <si>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</si>
  <si>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</si>
  <si>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</si>
  <si>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</si>
  <si>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</si>
  <si>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</si>
  <si>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</si>
  <si>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</si>
  <si>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</si>
  <si>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</si>
  <si>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</si>
  <si>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</si>
  <si>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</si>
  <si>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</si>
  <si>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</si>
  <si>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</si>
  <si>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</si>
  <si>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</si>
  <si>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</si>
  <si>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</si>
  <si>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</si>
  <si>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</si>
  <si>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</si>
  <si>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</si>
  <si>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</si>
  <si>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</si>
  <si>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</si>
  <si>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</si>
  <si>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</si>
  <si>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</si>
  <si>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</si>
  <si>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</si>
  <si>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</si>
  <si>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</si>
  <si>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</si>
  <si>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</si>
  <si>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</si>
  <si>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</si>
  <si>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</si>
  <si>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</si>
  <si>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</si>
  <si>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</si>
  <si>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</si>
  <si>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</si>
  <si>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</si>
  <si>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</si>
  <si>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</si>
  <si>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</si>
  <si>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</si>
  <si>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</si>
  <si>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</si>
  <si>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</si>
  <si>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</si>
  <si>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</si>
  <si>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</si>
  <si>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</si>
  <si>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</si>
  <si>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</si>
  <si>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</si>
  <si>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</si>
  <si>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</si>
  <si>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</si>
  <si>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</si>
  <si>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</si>
  <si>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</si>
  <si>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</si>
  <si>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</si>
  <si>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</si>
  <si>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</si>
  <si>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</si>
  <si>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</si>
  <si>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</si>
  <si>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</si>
  <si>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</si>
  <si>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</si>
  <si>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</si>
  <si>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</si>
  <si>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</si>
  <si>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</si>
  <si>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</si>
  <si>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</si>
  <si>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</si>
  <si>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</si>
  <si>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</si>
  <si>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</si>
  <si>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</si>
  <si>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</si>
  <si>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ue</t>
  </si>
  <si>
    <t>cefuroxime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</si>
  <si>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</si>
  <si>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</si>
  <si>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</si>
  <si>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</si>
  <si>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</si>
  <si>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</si>
  <si>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</si>
  <si>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</si>
  <si>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</si>
  <si>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</si>
  <si>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</si>
  <si>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</si>
  <si>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</si>
  <si>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HYDROCORTISONE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</si>
  <si>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</si>
  <si>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</si>
  <si>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</si>
  <si>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</si>
  <si>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</si>
  <si>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</si>
  <si>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</si>
  <si>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iv</t>
  </si>
  <si>
    <t>nebulizing kit</t>
  </si>
  <si>
    <t>cordex</t>
  </si>
  <si>
    <t>tab</t>
  </si>
  <si>
    <t>giacillin</t>
  </si>
  <si>
    <t>cap</t>
  </si>
  <si>
    <t>neurobexol</t>
  </si>
  <si>
    <t>omeprazole</t>
  </si>
  <si>
    <t>terbutaline</t>
  </si>
  <si>
    <t>combivent</t>
  </si>
  <si>
    <t>pnss</t>
  </si>
  <si>
    <t>o2</t>
  </si>
  <si>
    <t>o2 cannula</t>
  </si>
  <si>
    <t>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</si>
</sst>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5" zoomScaleNormal="100" workbookViewId="0">
      <selection activeCell="F74" sqref="F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172</v>
      </c>
      <c r="D63" s="55"/>
      <c r="E63" s="55">
        <v>4210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/>
      <c r="E64" s="55">
        <v>1925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/>
      <c r="E65" s="55"/>
      <c r="F65" s="55">
        <v>1350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6135</v>
      </c>
      <c r="F71" s="59">
        <f>SUM(F60:F70)</f>
        <v>1850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F30" sqref="F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178</v>
      </c>
      <c r="E11" s="27" t="s">
        <v>179</v>
      </c>
      <c r="F11" s="55">
        <v>3</v>
      </c>
      <c r="G11" s="55">
        <v>4.5</v>
      </c>
      <c r="H11" s="55">
        <v>11</v>
      </c>
      <c r="I11" s="55">
        <v>280</v>
      </c>
      <c r="J11" s="55">
        <f>H11*I11</f>
        <v>3080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/>
      <c r="F12" s="55">
        <v>3</v>
      </c>
      <c r="G12" s="55">
        <v>3</v>
      </c>
      <c r="H12" s="55">
        <v>8</v>
      </c>
      <c r="I12" s="55">
        <v>100</v>
      </c>
      <c r="J12" s="55">
        <f t="shared" ref="J12:J26" si="0">H12*I12</f>
        <v>800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174</v>
      </c>
      <c r="E13" s="27"/>
      <c r="F13" s="55">
        <v>3</v>
      </c>
      <c r="G13" s="55"/>
      <c r="H13" s="55">
        <v>14</v>
      </c>
      <c r="I13" s="55">
        <v>240</v>
      </c>
      <c r="J13" s="55">
        <f t="shared" si="0"/>
        <v>3360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195</v>
      </c>
      <c r="E14" s="27"/>
      <c r="F14" s="55">
        <v>1</v>
      </c>
      <c r="G14" s="55"/>
      <c r="H14" s="55">
        <v>7</v>
      </c>
      <c r="I14" s="55">
        <v>10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/>
      <c r="E16" s="27"/>
      <c r="F16" s="55"/>
      <c r="G16" s="55"/>
      <c r="H16" s="55">
        <v>5</v>
      </c>
      <c r="I16" s="55">
        <v>280</v>
      </c>
      <c r="J16" s="55">
        <f t="shared" si="0"/>
        <v>1400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190</v>
      </c>
      <c r="E17" s="27"/>
      <c r="F17" s="55"/>
      <c r="G17" s="55"/>
      <c r="H17" s="55">
        <v>1</v>
      </c>
      <c r="I17" s="55">
        <v>250</v>
      </c>
      <c r="J17" s="55">
        <f t="shared" si="0"/>
        <v>250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193</v>
      </c>
      <c r="E18" s="27"/>
      <c r="F18" s="55"/>
      <c r="G18" s="55"/>
      <c r="H18" s="55">
        <v>9</v>
      </c>
      <c r="I18" s="55">
        <v>10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195</v>
      </c>
      <c r="E19" s="27"/>
      <c r="F19" s="55"/>
      <c r="G19" s="55"/>
      <c r="H19" s="55">
        <v>9</v>
      </c>
      <c r="I19" s="55">
        <v>10</v>
      </c>
      <c r="J19" s="55">
        <f t="shared" si="0"/>
        <v>90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197</v>
      </c>
      <c r="D20" s="27" t="s">
        <v>193</v>
      </c>
      <c r="E20" s="27"/>
      <c r="F20" s="55"/>
      <c r="G20" s="55"/>
      <c r="H20" s="55">
        <v>3</v>
      </c>
      <c r="I20" s="55">
        <v>25</v>
      </c>
      <c r="J20" s="55">
        <f t="shared" si="0"/>
        <v>75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199</v>
      </c>
      <c r="D21" s="27" t="s">
        <v>181</v>
      </c>
      <c r="E21" s="27"/>
      <c r="F21" s="55"/>
      <c r="G21" s="55"/>
      <c r="H21" s="55">
        <v>9</v>
      </c>
      <c r="I21" s="55">
        <v>180</v>
      </c>
      <c r="J21" s="55">
        <f t="shared" si="0"/>
        <v>1620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28" sqref="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188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188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188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188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188</v>
      </c>
      <c r="E20" s="55">
        <v>27</v>
      </c>
      <c r="F20" s="55">
        <v>10</v>
      </c>
      <c r="G20" s="55">
        <v>270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188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203</v>
      </c>
      <c r="E22" s="55"/>
      <c r="F22" s="55">
        <v>800</v>
      </c>
      <c r="G22" s="55">
        <v>800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202</v>
      </c>
      <c r="D23" s="70" t="s">
        <v>29</v>
      </c>
      <c r="E23" s="55">
        <v>1</v>
      </c>
      <c r="F23" s="55">
        <v>250</v>
      </c>
      <c r="G23" s="55">
        <v>250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20" sqref="G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400</v>
      </c>
      <c r="H13" s="55"/>
      <c r="I13" s="55"/>
      <c r="J13" s="55"/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189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700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2018-08-24T10:52:10Z</dcterms:modified>
</cp:coreProperties>
</file>