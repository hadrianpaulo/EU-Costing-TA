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3" i="2" l="1"/>
  <c r="J14" i="2"/>
  <c r="J15" i="2"/>
  <c r="J12" i="2" l="1"/>
  <c r="J16" i="2"/>
  <c r="J17" i="2"/>
  <c r="J18" i="2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<sst xmlns="http://schemas.openxmlformats.org/spreadsheetml/2006/main" count="486" uniqueCount="198">
  <si>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</si>
  <si>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</si>
  <si>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</si>
  <si>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</si>
  <si>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</si>
  <si>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</si>
  <si>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</si>
  <si>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</si>
  <si>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</si>
  <si>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</si>
  <si>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</si>
  <si>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</si>
  <si>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</si>
  <si>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</si>
  <si>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</si>
  <si>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</si>
  <si>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</si>
  <si>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</si>
  <si>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</si>
  <si>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</si>
  <si>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</si>
  <si>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</si>
  <si>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</si>
  <si>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</si>
  <si>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</si>
  <si>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</si>
  <si>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</si>
  <si>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</si>
  <si>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</si>
  <si>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</si>
  <si>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</si>
  <si>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</si>
  <si>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</si>
  <si>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</si>
  <si>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</si>
  <si>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</si>
  <si>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</si>
  <si>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</si>
  <si>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</si>
  <si>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</si>
  <si>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</si>
  <si>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</si>
  <si>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</si>
  <si>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</si>
  <si>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</si>
  <si>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</si>
  <si>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</si>
  <si>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</si>
  <si>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</si>
  <si>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</si>
  <si>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</si>
  <si>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</si>
  <si>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</si>
  <si>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</si>
  <si>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</si>
  <si>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</si>
  <si>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</si>
  <si>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</si>
  <si>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</si>
  <si>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</si>
  <si>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</si>
  <si>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</si>
  <si>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</si>
  <si>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</si>
  <si>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</si>
  <si>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</si>
  <si>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</si>
  <si>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</si>
  <si>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</si>
  <si>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</si>
  <si>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</si>
  <si>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</si>
  <si>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</si>
  <si>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</si>
  <si>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</si>
  <si>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</si>
  <si>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</si>
  <si>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</si>
  <si>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</si>
  <si>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</si>
  <si>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</si>
  <si>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</si>
  <si>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</si>
  <si>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</si>
  <si>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</si>
  <si>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</si>
  <si>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</si>
  <si>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</si>
  <si>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</si>
  <si>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</si>
  <si>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</si>
  <si>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</si>
  <si>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</si>
  <si>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</si>
  <si>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</si>
  <si>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</si>
  <si>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</si>
  <si>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</si>
  <si>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</si>
  <si>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</si>
  <si>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</si>
  <si>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</si>
  <si>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</si>
  <si>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</si>
  <si>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</si>
  <si>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</si>
  <si>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</si>
  <si>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</si>
  <si>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</si>
  <si>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</si>
  <si>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</si>
  <si>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</si>
  <si>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</si>
  <si>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</si>
  <si>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</si>
  <si>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</si>
  <si>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</si>
  <si>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</si>
  <si>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</si>
  <si>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</si>
  <si>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</si>
  <si>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</si>
  <si>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</si>
  <si>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</si>
  <si>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</si>
  <si>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</si>
  <si>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</si>
  <si>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</si>
  <si>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</si>
  <si>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</si>
  <si>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</si>
  <si>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</si>
  <si>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</si>
  <si>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</si>
  <si>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</si>
  <si>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</si>
  <si>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</si>
  <si>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</si>
  <si>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</si>
  <si>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</si>
  <si>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</si>
  <si>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</si>
  <si>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</si>
  <si>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</si>
  <si>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</si>
  <si>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</si>
  <si>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</si>
  <si>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</si>
  <si>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</si>
  <si>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</si>
  <si>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</si>
  <si>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</si>
  <si>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</si>
  <si>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</si>
  <si>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</si>
  <si>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</si>
  <si>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</si>
  <si>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</si>
  <si>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</si>
  <si>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</si>
  <si>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</si>
  <si>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</si>
  <si>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</si>
  <si>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</si>
  <si>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</si>
  <si>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cbc</t>
  </si>
  <si>
    <t>xray</t>
  </si>
  <si>
    <t>cefuroxime</t>
  </si>
  <si>
    <t>PF</t>
  </si>
  <si>
    <t>CR (HOSP0</t>
  </si>
  <si>
    <t>CR (PF)</t>
  </si>
  <si>
    <t>SENIOR DISC.</t>
  </si>
  <si>
    <t>HOSPITAL</t>
  </si>
  <si>
    <t>IV</t>
  </si>
  <si>
    <t>J18.92</t>
  </si>
  <si>
    <t>PNEUMONIA, MOD. RISK</t>
  </si>
  <si>
    <t>12% VAT DISC.</t>
  </si>
  <si>
    <t>AMP</t>
  </si>
  <si>
    <t>750MG</t>
  </si>
  <si>
    <t xml:space="preserve">SALBUTAMOL </t>
  </si>
  <si>
    <t>NEBULE</t>
  </si>
  <si>
    <t>VACOSET</t>
  </si>
  <si>
    <t>ABBOCATH</t>
  </si>
  <si>
    <t>SPLINT</t>
  </si>
  <si>
    <t>MICROPORE</t>
  </si>
  <si>
    <t>SYRINGE 3CC</t>
  </si>
  <si>
    <t>PC</t>
  </si>
  <si>
    <t>ADMINISTRATION OF MEDICINE</t>
  </si>
  <si>
    <t>syrup</t>
  </si>
  <si>
    <t>ambroxol</t>
  </si>
  <si>
    <t>aeknil</t>
  </si>
  <si>
    <t>iv</t>
  </si>
  <si>
    <t>pediatric Ward</t>
  </si>
  <si>
    <t>nebulizing kit</t>
  </si>
  <si>
    <t>susp</t>
  </si>
  <si>
    <t>cefalexin</t>
  </si>
  <si>
    <t>hydrocortisone</t>
  </si>
  <si>
    <t>d50 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</si>
</sst>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42" zoomScaleNormal="100" workbookViewId="0">
      <selection activeCell="F69" sqref="F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192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169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170</v>
      </c>
      <c r="D61" s="55">
        <v>4500</v>
      </c>
      <c r="E61" s="55">
        <v>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/>
      <c r="E62" s="55"/>
      <c r="F62" s="55">
        <v>500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171</v>
      </c>
      <c r="D63" s="55"/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176</v>
      </c>
      <c r="D64" s="55"/>
      <c r="E64" s="55">
        <v>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172</v>
      </c>
      <c r="D65" s="55"/>
      <c r="E65" s="55"/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0</v>
      </c>
      <c r="F71" s="59">
        <f>SUM(F60:F70)</f>
        <v>500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20" sqref="H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PNEUMONIA, MOD. RISK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167</v>
      </c>
      <c r="D11" s="27" t="s">
        <v>177</v>
      </c>
      <c r="E11" s="27" t="s">
        <v>178</v>
      </c>
      <c r="F11" s="55">
        <v>3</v>
      </c>
      <c r="G11" s="55">
        <v>4.5</v>
      </c>
      <c r="H11" s="55">
        <v>3</v>
      </c>
      <c r="I11" s="55">
        <v>280</v>
      </c>
      <c r="J11" s="55">
        <f>H11*I11</f>
        <v>840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180</v>
      </c>
      <c r="E12" s="27"/>
      <c r="F12" s="55">
        <v>3</v>
      </c>
      <c r="G12" s="55">
        <v>3</v>
      </c>
      <c r="H12" s="55">
        <v>16</v>
      </c>
      <c r="I12" s="55">
        <v>100</v>
      </c>
      <c r="J12" s="55">
        <f t="shared" ref="J12:J19" si="0">H12*I12</f>
        <v>1600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196</v>
      </c>
      <c r="D13" s="27" t="s">
        <v>173</v>
      </c>
      <c r="E13" s="27"/>
      <c r="F13" s="55">
        <v>3</v>
      </c>
      <c r="G13" s="55"/>
      <c r="H13" s="55">
        <v>4</v>
      </c>
      <c r="I13" s="55">
        <v>180</v>
      </c>
      <c r="J13" s="55">
        <f t="shared" si="0"/>
        <v>720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195</v>
      </c>
      <c r="D14" s="27" t="s">
        <v>194</v>
      </c>
      <c r="E14" s="27"/>
      <c r="F14" s="55">
        <v>1</v>
      </c>
      <c r="G14" s="55"/>
      <c r="H14" s="55">
        <v>1</v>
      </c>
      <c r="I14" s="55">
        <v>140</v>
      </c>
      <c r="J14" s="55">
        <f t="shared" si="0"/>
        <v>140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188</v>
      </c>
      <c r="E15" s="27"/>
      <c r="F15" s="55">
        <v>3</v>
      </c>
      <c r="G15" s="55"/>
      <c r="H15" s="55">
        <v>1</v>
      </c>
      <c r="I15" s="55">
        <v>140</v>
      </c>
      <c r="J15" s="55">
        <f t="shared" si="0"/>
        <v>140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197</v>
      </c>
      <c r="D16" s="27"/>
      <c r="E16" s="27"/>
      <c r="F16" s="55"/>
      <c r="G16" s="55"/>
      <c r="H16" s="55">
        <v>4</v>
      </c>
      <c r="I16" s="55">
        <v>250</v>
      </c>
      <c r="J16" s="55">
        <f t="shared" si="0"/>
        <v>1000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190</v>
      </c>
      <c r="D17" s="27" t="s">
        <v>191</v>
      </c>
      <c r="E17" s="27"/>
      <c r="F17" s="55"/>
      <c r="G17" s="55"/>
      <c r="H17" s="55">
        <v>2</v>
      </c>
      <c r="I17" s="55">
        <v>100</v>
      </c>
      <c r="J17" s="55">
        <f t="shared" si="0"/>
        <v>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46" workbookViewId="0">
      <selection activeCell="G25" sqref="G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181</v>
      </c>
      <c r="D16" s="70" t="s">
        <v>186</v>
      </c>
      <c r="E16" s="55">
        <v>1</v>
      </c>
      <c r="F16" s="55">
        <v>200</v>
      </c>
      <c r="G16" s="55"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186</v>
      </c>
      <c r="E17" s="55">
        <v>1</v>
      </c>
      <c r="F17" s="55">
        <v>200</v>
      </c>
      <c r="G17" s="55"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186</v>
      </c>
      <c r="E18" s="5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184</v>
      </c>
      <c r="D19" s="70" t="s">
        <v>186</v>
      </c>
      <c r="E19" s="55">
        <v>1</v>
      </c>
      <c r="F19" s="55">
        <v>100</v>
      </c>
      <c r="G19" s="55"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185</v>
      </c>
      <c r="D20" s="70" t="s">
        <v>186</v>
      </c>
      <c r="E20" s="55">
        <v>19</v>
      </c>
      <c r="F20" s="55">
        <v>10</v>
      </c>
      <c r="G20" s="55">
        <v>190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193</v>
      </c>
      <c r="D21" s="70" t="s">
        <v>186</v>
      </c>
      <c r="E21" s="55">
        <v>1</v>
      </c>
      <c r="F21" s="55">
        <v>250</v>
      </c>
      <c r="G21" s="55"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PNEUMONIA, MOD. RISK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100</v>
      </c>
      <c r="E13" s="55"/>
      <c r="F13" s="55"/>
      <c r="G13" s="55">
        <v>300</v>
      </c>
      <c r="H13" s="55"/>
      <c r="I13" s="55"/>
      <c r="J13" s="55"/>
      <c r="K13" s="55"/>
      <c r="L13" s="55"/>
      <c r="M13" s="55"/>
      <c r="N13" s="55"/>
      <c r="P13" s="88">
        <f>SUM(D13:N13)</f>
        <v>400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187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100</v>
      </c>
      <c r="E30" s="88">
        <f t="shared" si="1"/>
        <v>0</v>
      </c>
      <c r="F30" s="88">
        <f t="shared" si="1"/>
        <v>0</v>
      </c>
      <c r="G30" s="88">
        <f t="shared" si="1"/>
        <v>600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2018-08-24T12:09:08Z</dcterms:modified>
</cp:coreProperties>
</file>