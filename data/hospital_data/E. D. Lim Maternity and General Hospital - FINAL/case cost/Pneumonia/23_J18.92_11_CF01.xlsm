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7" i="2" l="1"/>
  <c r="J15" i="2"/>
  <c r="J23" i="2" l="1"/>
  <c r="J24" i="2"/>
  <c r="J25" i="2"/>
  <c r="J26" i="2"/>
  <c r="J13" i="2" l="1"/>
  <c r="J14" i="2"/>
  <c r="J12" i="2" l="1"/>
  <c r="J16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<sst xmlns="http://schemas.openxmlformats.org/spreadsheetml/2006/main" count="490" uniqueCount="199">
  <si>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</si>
  <si>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</si>
  <si>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</si>
  <si>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</si>
  <si>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</si>
  <si>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</si>
  <si>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</si>
  <si>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</si>
  <si>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</si>
  <si>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</si>
  <si>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</si>
  <si>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</si>
  <si>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</si>
  <si>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</si>
  <si>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</si>
  <si>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</si>
  <si>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</si>
  <si>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</si>
  <si>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</si>
  <si>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</si>
  <si>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</si>
  <si>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</si>
  <si>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</si>
  <si>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</si>
  <si>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</si>
  <si>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</si>
  <si>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</si>
  <si>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</si>
  <si>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</si>
  <si>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</si>
  <si>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</si>
  <si>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</si>
  <si>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</si>
  <si>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</si>
  <si>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</si>
  <si>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</si>
  <si>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</si>
  <si>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</si>
  <si>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</si>
  <si>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</si>
  <si>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</si>
  <si>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</si>
  <si>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</si>
  <si>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</si>
  <si>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</si>
  <si>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</si>
  <si>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</si>
  <si>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</si>
  <si>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</si>
  <si>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</si>
  <si>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</si>
  <si>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</si>
  <si>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</si>
  <si>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</si>
  <si>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</si>
  <si>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</si>
  <si>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</si>
  <si>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</si>
  <si>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</si>
  <si>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</si>
  <si>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</si>
  <si>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</si>
  <si>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</si>
  <si>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</si>
  <si>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</si>
  <si>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</si>
  <si>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</si>
  <si>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</si>
  <si>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</si>
  <si>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</si>
  <si>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</si>
  <si>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</si>
  <si>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</si>
  <si>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</si>
  <si>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</si>
  <si>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</si>
  <si>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</si>
  <si>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</si>
  <si>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</si>
  <si>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</si>
  <si>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</si>
  <si>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</si>
  <si>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</si>
  <si>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</si>
  <si>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</si>
  <si>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</si>
  <si>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</si>
  <si>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</si>
  <si>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</si>
  <si>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</si>
  <si>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</si>
  <si>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</si>
  <si>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</si>
  <si>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</si>
  <si>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</si>
  <si>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</si>
  <si>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</si>
  <si>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</si>
  <si>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</si>
  <si>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</si>
  <si>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</si>
  <si>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</si>
  <si>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</si>
  <si>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</si>
  <si>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</si>
  <si>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</si>
  <si>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</si>
  <si>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</si>
  <si>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</si>
  <si>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</si>
  <si>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</si>
  <si>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</si>
  <si>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</si>
  <si>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</si>
  <si>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</si>
  <si>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</si>
  <si>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</si>
  <si>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</si>
  <si>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</si>
  <si>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</si>
  <si>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</si>
  <si>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</si>
  <si>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</si>
  <si>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</si>
  <si>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</si>
  <si>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</si>
  <si>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</si>
  <si>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</si>
  <si>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</si>
  <si>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</si>
  <si>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</si>
  <si>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</si>
  <si>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</si>
  <si>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</si>
  <si>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</si>
  <si>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</si>
  <si>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</si>
  <si>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</si>
  <si>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</si>
  <si>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</si>
  <si>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</si>
  <si>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</si>
  <si>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</si>
  <si>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</si>
  <si>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</si>
  <si>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</si>
  <si>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</si>
  <si>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</si>
  <si>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</si>
  <si>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</si>
  <si>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</si>
  <si>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</si>
  <si>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</si>
  <si>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</si>
  <si>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</si>
  <si>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</si>
  <si>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</si>
  <si>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</si>
  <si>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</si>
  <si>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</si>
  <si>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</si>
  <si>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</si>
  <si>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</si>
  <si>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</si>
  <si>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</si>
  <si>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</si>
  <si>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</si>
  <si>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PF</t>
  </si>
  <si>
    <t>CR (HOSP0</t>
  </si>
  <si>
    <t>CR (PF)</t>
  </si>
  <si>
    <t>SENIOR DISC.</t>
  </si>
  <si>
    <t>HOSPITAL</t>
  </si>
  <si>
    <t>IV</t>
  </si>
  <si>
    <t>J18.92</t>
  </si>
  <si>
    <t>PNEUMONIA, MOD. RISK</t>
  </si>
  <si>
    <t>12% VAT DISC.</t>
  </si>
  <si>
    <t>AMP</t>
  </si>
  <si>
    <t xml:space="preserve">SALBUTAMOL </t>
  </si>
  <si>
    <t>NEBULE</t>
  </si>
  <si>
    <t>HYDROCORTISONE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</si>
  <si>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</si>
  <si>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</si>
  <si>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</si>
  <si>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</si>
  <si>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</si>
  <si>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</si>
  <si>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</si>
  <si>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nebulizing kit</t>
  </si>
  <si>
    <t>cordex</t>
  </si>
  <si>
    <t>tab</t>
  </si>
  <si>
    <t>cap</t>
  </si>
  <si>
    <t>neurobexol</t>
  </si>
  <si>
    <t>pnss</t>
  </si>
  <si>
    <t>fbs</t>
  </si>
  <si>
    <t>choloesterol</t>
  </si>
  <si>
    <t>cefuroxime</t>
  </si>
  <si>
    <t>750mg</t>
  </si>
  <si>
    <t>neurobion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</si>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</sst>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E74" sqref="E7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/>
      <c r="E62" s="55"/>
      <c r="F62" s="55">
        <v>640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170</v>
      </c>
      <c r="D63" s="55"/>
      <c r="E63" s="55">
        <v>4000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/>
      <c r="E64" s="55">
        <v>1560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/>
      <c r="E65" s="55"/>
      <c r="F65" s="55">
        <v>380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5560</v>
      </c>
      <c r="F71" s="59">
        <f>SUM(F60:F70)</f>
        <v>1020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7" sqref="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195</v>
      </c>
      <c r="D11" s="27" t="s">
        <v>176</v>
      </c>
      <c r="E11" s="27" t="s">
        <v>196</v>
      </c>
      <c r="F11" s="55">
        <v>3</v>
      </c>
      <c r="G11" s="55">
        <v>4.5</v>
      </c>
      <c r="H11" s="55">
        <v>11</v>
      </c>
      <c r="I11" s="55">
        <v>330</v>
      </c>
      <c r="J11" s="55">
        <f>H11*I11</f>
        <v>3630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178</v>
      </c>
      <c r="E12" s="27"/>
      <c r="F12" s="55">
        <v>3</v>
      </c>
      <c r="G12" s="55">
        <v>3</v>
      </c>
      <c r="H12" s="55">
        <v>14</v>
      </c>
      <c r="I12" s="55">
        <v>100</v>
      </c>
      <c r="J12" s="55">
        <f t="shared" ref="J12:J26" si="0">H12*I12</f>
        <v>1400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172</v>
      </c>
      <c r="E13" s="27"/>
      <c r="F13" s="55">
        <v>3</v>
      </c>
      <c r="G13" s="55"/>
      <c r="H13" s="55">
        <v>14</v>
      </c>
      <c r="I13" s="55">
        <v>240</v>
      </c>
      <c r="J13" s="55">
        <f t="shared" si="0"/>
        <v>3360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190</v>
      </c>
      <c r="E14" s="27"/>
      <c r="F14" s="55">
        <v>1</v>
      </c>
      <c r="G14" s="55"/>
      <c r="H14" s="55">
        <v>7</v>
      </c>
      <c r="I14" s="55">
        <v>10</v>
      </c>
      <c r="J14" s="55">
        <f t="shared" si="0"/>
        <v>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198</v>
      </c>
      <c r="E15" s="27"/>
      <c r="F15" s="55"/>
      <c r="G15" s="55"/>
      <c r="H15" s="55">
        <v>2</v>
      </c>
      <c r="I15" s="55">
        <v>330</v>
      </c>
      <c r="J15" s="55">
        <f t="shared" si="0"/>
        <v>660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/>
      <c r="E16" s="27"/>
      <c r="F16" s="55"/>
      <c r="G16" s="55"/>
      <c r="H16" s="55">
        <v>5</v>
      </c>
      <c r="I16" s="55">
        <v>280</v>
      </c>
      <c r="J16" s="55">
        <f t="shared" si="0"/>
        <v>1400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189</v>
      </c>
      <c r="E17" s="27"/>
      <c r="F17" s="55"/>
      <c r="G17" s="55"/>
      <c r="H17" s="55">
        <v>6</v>
      </c>
      <c r="I17" s="55">
        <v>25</v>
      </c>
      <c r="J17" s="55">
        <f t="shared" si="0"/>
        <v>150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189</v>
      </c>
      <c r="E18" s="27"/>
      <c r="F18" s="55"/>
      <c r="G18" s="55"/>
      <c r="H18" s="55">
        <v>9</v>
      </c>
      <c r="I18" s="55">
        <v>10</v>
      </c>
      <c r="J18" s="55">
        <f t="shared" si="0"/>
        <v>90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8" workbookViewId="0">
      <selection activeCell="C22" sqref="C22: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185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185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185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185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185</v>
      </c>
      <c r="E20" s="55">
        <v>13</v>
      </c>
      <c r="F20" s="55">
        <v>10</v>
      </c>
      <c r="G20" s="55">
        <v>130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187</v>
      </c>
      <c r="D21" s="70" t="s">
        <v>185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20" sqref="G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400</v>
      </c>
      <c r="H13" s="55"/>
      <c r="I13" s="55"/>
      <c r="J13" s="55"/>
      <c r="K13" s="55"/>
      <c r="L13" s="55"/>
      <c r="M13" s="55"/>
      <c r="N13" s="55"/>
      <c r="P13" s="88">
        <f>SUM(D13:N13)</f>
        <v>500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186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700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2018-08-24T11:59:15Z</dcterms:modified>
</cp:coreProperties>
</file>