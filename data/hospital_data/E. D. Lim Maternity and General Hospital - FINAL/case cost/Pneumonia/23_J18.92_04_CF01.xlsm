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5" i="2" l="1"/>
  <c r="J12" i="2" l="1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<sst xmlns="http://schemas.openxmlformats.org/spreadsheetml/2006/main" count="488" uniqueCount="198">
  <si>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</si>
  <si>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</si>
  <si>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</si>
  <si>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</si>
  <si>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</si>
  <si>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</si>
  <si>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</si>
  <si>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</si>
  <si>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</si>
  <si>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</si>
  <si>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</si>
  <si>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</si>
  <si>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</si>
  <si>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</si>
  <si>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</si>
  <si>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</si>
  <si>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</si>
  <si>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</si>
  <si>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</si>
  <si>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</si>
  <si>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</si>
  <si>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</si>
  <si>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</si>
  <si>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</si>
  <si>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</si>
  <si>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</si>
  <si>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</si>
  <si>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</si>
  <si>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</si>
  <si>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</si>
  <si>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</si>
  <si>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</si>
  <si>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</si>
  <si>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</si>
  <si>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</si>
  <si>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</si>
  <si>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</si>
  <si>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</si>
  <si>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</si>
  <si>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</si>
  <si>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</si>
  <si>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</si>
  <si>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</si>
  <si>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</si>
  <si>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</si>
  <si>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</si>
  <si>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</si>
  <si>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</si>
  <si>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</si>
  <si>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</si>
  <si>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</si>
  <si>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</si>
  <si>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</si>
  <si>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</si>
  <si>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</si>
  <si>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</si>
  <si>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</si>
  <si>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</si>
  <si>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</si>
  <si>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</si>
  <si>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</si>
  <si>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</si>
  <si>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</si>
  <si>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</si>
  <si>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</si>
  <si>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</si>
  <si>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</si>
  <si>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</si>
  <si>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</si>
  <si>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</si>
  <si>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</si>
  <si>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</si>
  <si>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</si>
  <si>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</si>
  <si>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</si>
  <si>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</si>
  <si>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</si>
  <si>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</si>
  <si>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</si>
  <si>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</si>
  <si>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</si>
  <si>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</si>
  <si>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</si>
  <si>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</si>
  <si>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</si>
  <si>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</si>
  <si>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</si>
  <si>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</si>
  <si>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</si>
  <si>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</si>
  <si>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</si>
  <si>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</si>
  <si>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</si>
  <si>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</si>
  <si>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</si>
  <si>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</si>
  <si>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</si>
  <si>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</si>
  <si>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</si>
  <si>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</si>
  <si>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</si>
  <si>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</si>
  <si>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</si>
  <si>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</si>
  <si>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</si>
  <si>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</si>
  <si>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</si>
  <si>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</si>
  <si>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</si>
  <si>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</si>
  <si>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</si>
  <si>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</si>
  <si>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</si>
  <si>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</si>
  <si>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</si>
  <si>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</si>
  <si>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</si>
  <si>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</si>
  <si>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</si>
  <si>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</si>
  <si>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</si>
  <si>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</si>
  <si>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</si>
  <si>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</si>
  <si>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</si>
  <si>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</si>
  <si>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</si>
  <si>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</si>
  <si>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</si>
  <si>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</si>
  <si>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</si>
  <si>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</si>
  <si>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</si>
  <si>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</si>
  <si>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</si>
  <si>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</si>
  <si>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</si>
  <si>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</si>
  <si>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</si>
  <si>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</si>
  <si>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</si>
  <si>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</si>
  <si>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</si>
  <si>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</si>
  <si>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</si>
  <si>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</si>
  <si>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</si>
  <si>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</si>
  <si>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</si>
  <si>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</si>
  <si>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</si>
  <si>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</si>
  <si>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</si>
  <si>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</si>
  <si>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</si>
  <si>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</si>
  <si>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</si>
  <si>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</si>
  <si>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</si>
  <si>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</si>
  <si>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</si>
  <si>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</si>
  <si>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</si>
  <si>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</si>
  <si>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</si>
  <si>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</si>
  <si>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</si>
  <si>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PF</t>
  </si>
  <si>
    <t>CR (HOSP0</t>
  </si>
  <si>
    <t>CR (PF)</t>
  </si>
  <si>
    <t>HOSPITAL</t>
  </si>
  <si>
    <t>J18.92</t>
  </si>
  <si>
    <t>PNEUMONIA, MOD. RISK</t>
  </si>
  <si>
    <t>AMP</t>
  </si>
  <si>
    <t xml:space="preserve">SALBUTAMOL </t>
  </si>
  <si>
    <t>NEBULE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</si>
  <si>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</si>
  <si>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</si>
  <si>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</si>
  <si>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</si>
  <si>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</si>
  <si>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</si>
  <si>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</si>
  <si>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syrup</t>
  </si>
  <si>
    <t>ambroxol</t>
  </si>
  <si>
    <t>iv</t>
  </si>
  <si>
    <t>pediatric Ward</t>
  </si>
  <si>
    <t>nebulizing kit</t>
  </si>
  <si>
    <t>multivitamins</t>
  </si>
  <si>
    <t xml:space="preserve">paracetamol </t>
  </si>
  <si>
    <t>pwd DISC.</t>
  </si>
  <si>
    <t>pf pwd disc</t>
  </si>
  <si>
    <t>ceftriaxone</t>
  </si>
  <si>
    <t>1gm</t>
  </si>
  <si>
    <t>pnss</t>
  </si>
  <si>
    <t>d5lr</t>
  </si>
  <si>
    <t>d5nm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</si>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</sst>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45" zoomScaleNormal="100" workbookViewId="0">
      <selection activeCell="F68" sqref="F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186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/>
      <c r="E62" s="55"/>
      <c r="F62" s="55">
        <v>1300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190</v>
      </c>
      <c r="D63" s="55"/>
      <c r="E63" s="55">
        <v>2650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191</v>
      </c>
      <c r="D64" s="55"/>
      <c r="E64" s="55">
        <v>1450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170</v>
      </c>
      <c r="D65" s="55"/>
      <c r="E65" s="55"/>
      <c r="F65" s="55">
        <v>140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4100</v>
      </c>
      <c r="F71" s="59">
        <f>SUM(F60:F70)</f>
        <v>1440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22" sqref="H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173</v>
      </c>
      <c r="E11" s="27" t="s">
        <v>193</v>
      </c>
      <c r="F11" s="55">
        <v>3</v>
      </c>
      <c r="G11" s="55">
        <v>4</v>
      </c>
      <c r="H11" s="55">
        <v>5</v>
      </c>
      <c r="I11" s="55">
        <v>450</v>
      </c>
      <c r="J11" s="55">
        <f>H11*I11</f>
        <v>2250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175</v>
      </c>
      <c r="E12" s="27"/>
      <c r="F12" s="55">
        <v>3</v>
      </c>
      <c r="G12" s="55">
        <v>3</v>
      </c>
      <c r="H12" s="55">
        <v>13</v>
      </c>
      <c r="I12" s="55">
        <v>100</v>
      </c>
      <c r="J12" s="55">
        <f t="shared" ref="J12:J19" si="0">H12*I12</f>
        <v>1300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195</v>
      </c>
      <c r="D13" s="27"/>
      <c r="E13" s="27"/>
      <c r="F13" s="55"/>
      <c r="G13" s="55"/>
      <c r="H13" s="55">
        <v>4</v>
      </c>
      <c r="I13" s="55">
        <v>250</v>
      </c>
      <c r="J13" s="55">
        <v>1000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183</v>
      </c>
      <c r="E14" s="27"/>
      <c r="F14" s="55">
        <v>1</v>
      </c>
      <c r="G14" s="55"/>
      <c r="H14" s="55">
        <v>1</v>
      </c>
      <c r="I14" s="55">
        <v>160</v>
      </c>
      <c r="J14" s="55">
        <v>160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183</v>
      </c>
      <c r="E15" s="27"/>
      <c r="F15" s="55">
        <v>3</v>
      </c>
      <c r="G15" s="55"/>
      <c r="H15" s="55">
        <v>1</v>
      </c>
      <c r="I15" s="55">
        <v>140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/>
      <c r="E16" s="27"/>
      <c r="F16" s="55"/>
      <c r="G16" s="55"/>
      <c r="H16" s="55">
        <v>1</v>
      </c>
      <c r="I16" s="55">
        <v>250</v>
      </c>
      <c r="J16" s="55">
        <f t="shared" si="0"/>
        <v>250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185</v>
      </c>
      <c r="E17" s="27"/>
      <c r="F17" s="55"/>
      <c r="G17" s="55"/>
      <c r="H17" s="55">
        <v>2</v>
      </c>
      <c r="I17" s="55">
        <v>120</v>
      </c>
      <c r="J17" s="55">
        <f t="shared" si="0"/>
        <v>240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196</v>
      </c>
      <c r="D18" s="27"/>
      <c r="E18" s="27"/>
      <c r="F18" s="55"/>
      <c r="G18" s="55"/>
      <c r="H18" s="55">
        <v>1</v>
      </c>
      <c r="I18" s="55">
        <v>350</v>
      </c>
      <c r="J18" s="55">
        <f t="shared" si="0"/>
        <v>350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8" sqref="G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181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181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181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181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 t="s">
        <v>181</v>
      </c>
      <c r="E20" s="55">
        <v>10</v>
      </c>
      <c r="F20" s="55">
        <v>10</v>
      </c>
      <c r="G20" s="55"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187</v>
      </c>
      <c r="D21" s="70" t="s">
        <v>181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197</v>
      </c>
      <c r="D22" s="70" t="s">
        <v>29</v>
      </c>
      <c r="E22" s="55">
        <v>1</v>
      </c>
      <c r="F22" s="55">
        <v>250</v>
      </c>
      <c r="G22" s="55">
        <v>250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30" sqref="G3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400</v>
      </c>
      <c r="H13" s="55"/>
      <c r="I13" s="55"/>
      <c r="J13" s="55"/>
      <c r="K13" s="55"/>
      <c r="L13" s="55"/>
      <c r="M13" s="55"/>
      <c r="N13" s="55"/>
      <c r="P13" s="88">
        <f>SUM(D13:N13)</f>
        <v>500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182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700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2018-08-24T05:14:24Z</dcterms:modified>
</cp:coreProperties>
</file>