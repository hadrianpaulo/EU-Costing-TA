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21" i="2" l="1"/>
  <c r="J22" i="2"/>
  <c r="J23" i="2"/>
  <c r="J24" i="2"/>
  <c r="J25" i="2"/>
  <c r="J26" i="2"/>
  <c r="J13" i="2" l="1"/>
  <c r="J14" i="2"/>
  <c r="J12" i="2" l="1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<sst xmlns="http://schemas.openxmlformats.org/spreadsheetml/2006/main" count="493" uniqueCount="201">
  <si>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</si>
  <si>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</si>
  <si>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</si>
  <si>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</si>
  <si>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</si>
  <si>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</si>
  <si>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</si>
  <si>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</si>
  <si>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</si>
  <si>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</si>
  <si>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</si>
  <si>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</si>
  <si>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</si>
  <si>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</si>
  <si>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</si>
  <si>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</si>
  <si>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</si>
  <si>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</si>
  <si>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</si>
  <si>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</si>
  <si>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</si>
  <si>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</si>
  <si>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</si>
  <si>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</si>
  <si>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</si>
  <si>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</si>
  <si>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</si>
  <si>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</si>
  <si>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</si>
  <si>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</si>
  <si>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</si>
  <si>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</si>
  <si>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</si>
  <si>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</si>
  <si>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</si>
  <si>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</si>
  <si>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</si>
  <si>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</si>
  <si>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</si>
  <si>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</si>
  <si>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</si>
  <si>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</si>
  <si>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</si>
  <si>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</si>
  <si>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</si>
  <si>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</si>
  <si>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</si>
  <si>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</si>
  <si>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</si>
  <si>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</si>
  <si>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</si>
  <si>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</si>
  <si>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</si>
  <si>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</si>
  <si>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</si>
  <si>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</si>
  <si>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</si>
  <si>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</si>
  <si>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</si>
  <si>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</si>
  <si>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</si>
  <si>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</si>
  <si>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</si>
  <si>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</si>
  <si>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</si>
  <si>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</si>
  <si>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</si>
  <si>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</si>
  <si>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</si>
  <si>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</si>
  <si>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</si>
  <si>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</si>
  <si>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</si>
  <si>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</si>
  <si>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</si>
  <si>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</si>
  <si>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</si>
  <si>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</si>
  <si>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</si>
  <si>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</si>
  <si>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</si>
  <si>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</si>
  <si>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</si>
  <si>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</si>
  <si>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</si>
  <si>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</si>
  <si>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</si>
  <si>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</si>
  <si>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</si>
  <si>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</si>
  <si>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</si>
  <si>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</si>
  <si>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</si>
  <si>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</si>
  <si>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</si>
  <si>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</si>
  <si>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</si>
  <si>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</si>
  <si>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</si>
  <si>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</si>
  <si>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</si>
  <si>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</si>
  <si>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</si>
  <si>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</si>
  <si>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</si>
  <si>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</si>
  <si>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</si>
  <si>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</si>
  <si>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</si>
  <si>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</si>
  <si>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</si>
  <si>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</si>
  <si>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</si>
  <si>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</si>
  <si>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</si>
  <si>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</si>
  <si>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</si>
  <si>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</si>
  <si>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</si>
  <si>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</si>
  <si>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</si>
  <si>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</si>
  <si>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</si>
  <si>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</si>
  <si>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</si>
  <si>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</si>
  <si>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</si>
  <si>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</si>
  <si>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</si>
  <si>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</si>
  <si>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</si>
  <si>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</si>
  <si>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</si>
  <si>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</si>
  <si>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</si>
  <si>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</si>
  <si>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</si>
  <si>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</si>
  <si>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</si>
  <si>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</si>
  <si>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</si>
  <si>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</si>
  <si>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</si>
  <si>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</si>
  <si>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</si>
  <si>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</si>
  <si>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</si>
  <si>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</si>
  <si>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</si>
  <si>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</si>
  <si>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</si>
  <si>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</si>
  <si>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</si>
  <si>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</si>
  <si>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</si>
  <si>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</si>
  <si>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</si>
  <si>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</si>
  <si>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</si>
  <si>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</si>
  <si>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</si>
  <si>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</si>
  <si>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</si>
  <si>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</si>
  <si>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</si>
  <si>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</t>
  </si>
  <si>
    <t>xray</t>
  </si>
  <si>
    <t>ue</t>
  </si>
  <si>
    <t>PF</t>
  </si>
  <si>
    <t>CR (HOSP0</t>
  </si>
  <si>
    <t>CR (PF)</t>
  </si>
  <si>
    <t>SENIOR DISC.</t>
  </si>
  <si>
    <t>HOSPITAL</t>
  </si>
  <si>
    <t>IV</t>
  </si>
  <si>
    <t>J18.92</t>
  </si>
  <si>
    <t>PNEUMONIA, MOD. RISK</t>
  </si>
  <si>
    <t>12% VAT DISC.</t>
  </si>
  <si>
    <t>AMP</t>
  </si>
  <si>
    <t xml:space="preserve">SALBUTAMOL </t>
  </si>
  <si>
    <t>NEBULE</t>
  </si>
  <si>
    <t>HYDROCORTISONE</t>
  </si>
  <si>
    <t>VACOSET</t>
  </si>
  <si>
    <t>ABBOCATH</t>
  </si>
  <si>
    <t>SPLINT</t>
  </si>
  <si>
    <t>MICROPORE</t>
  </si>
  <si>
    <t>SYRINGE 3CC</t>
  </si>
  <si>
    <t>PC</t>
  </si>
  <si>
    <t>ADMINISTRATION OF MEDICINE</t>
  </si>
  <si>
    <t>iv</t>
  </si>
  <si>
    <t>nebulizing kit</t>
  </si>
  <si>
    <t>cordex</t>
  </si>
  <si>
    <t>tab</t>
  </si>
  <si>
    <t>cap</t>
  </si>
  <si>
    <t>neurobexol</t>
  </si>
  <si>
    <t>terbutaline</t>
  </si>
  <si>
    <t>combivent</t>
  </si>
  <si>
    <t>pnss</t>
  </si>
  <si>
    <t>ceftriaxone</t>
  </si>
  <si>
    <t>1gm</t>
  </si>
  <si>
    <t>soluset</t>
  </si>
  <si>
    <t>heplock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</si>
</sst>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60" zoomScaleNormal="100" workbookViewId="0">
      <selection activeCell="F74" sqref="F7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29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169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170</v>
      </c>
      <c r="D61" s="55">
        <v>4500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/>
      <c r="E62" s="55"/>
      <c r="F62" s="55">
        <v>500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171</v>
      </c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176</v>
      </c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172</v>
      </c>
      <c r="D65" s="55"/>
      <c r="E65" s="55"/>
      <c r="F65" s="55">
        <v>4590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0</v>
      </c>
      <c r="F71" s="59">
        <f>SUM(F60:F70)</f>
        <v>5090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E28" sqref="E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PNEUMONIA, MOD. RISK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197</v>
      </c>
      <c r="D11" s="27" t="s">
        <v>177</v>
      </c>
      <c r="E11" s="27" t="s">
        <v>198</v>
      </c>
      <c r="F11" s="55">
        <v>3</v>
      </c>
      <c r="G11" s="55">
        <v>4.5</v>
      </c>
      <c r="H11" s="55">
        <v>9</v>
      </c>
      <c r="I11" s="55">
        <v>420</v>
      </c>
      <c r="J11" s="55">
        <f>H11*I11</f>
        <v>3780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179</v>
      </c>
      <c r="E12" s="27"/>
      <c r="F12" s="55">
        <v>3</v>
      </c>
      <c r="G12" s="55">
        <v>3</v>
      </c>
      <c r="H12" s="55">
        <v>19</v>
      </c>
      <c r="I12" s="55">
        <v>100</v>
      </c>
      <c r="J12" s="55">
        <f t="shared" ref="J12:J26" si="0">H12*I12</f>
        <v>1900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173</v>
      </c>
      <c r="E13" s="27"/>
      <c r="F13" s="55">
        <v>3</v>
      </c>
      <c r="G13" s="55"/>
      <c r="H13" s="55">
        <v>6</v>
      </c>
      <c r="I13" s="55">
        <v>240</v>
      </c>
      <c r="J13" s="55">
        <f t="shared" si="0"/>
        <v>1440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192</v>
      </c>
      <c r="E14" s="27"/>
      <c r="F14" s="55">
        <v>1</v>
      </c>
      <c r="G14" s="55"/>
      <c r="H14" s="55">
        <v>7</v>
      </c>
      <c r="I14" s="55">
        <v>10</v>
      </c>
      <c r="J14" s="55">
        <f t="shared" si="0"/>
        <v>70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/>
      <c r="E16" s="27"/>
      <c r="F16" s="55"/>
      <c r="G16" s="55"/>
      <c r="H16" s="55">
        <v>7</v>
      </c>
      <c r="I16" s="55">
        <v>280</v>
      </c>
      <c r="J16" s="55">
        <f t="shared" si="0"/>
        <v>1960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194</v>
      </c>
      <c r="D17" s="27" t="s">
        <v>188</v>
      </c>
      <c r="E17" s="27"/>
      <c r="F17" s="55"/>
      <c r="G17" s="55"/>
      <c r="H17" s="55">
        <v>2</v>
      </c>
      <c r="I17" s="55">
        <v>250</v>
      </c>
      <c r="J17" s="55">
        <f t="shared" si="0"/>
        <v>500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190</v>
      </c>
      <c r="D18" s="27" t="s">
        <v>191</v>
      </c>
      <c r="E18" s="27"/>
      <c r="F18" s="55"/>
      <c r="G18" s="55"/>
      <c r="H18" s="55">
        <v>9</v>
      </c>
      <c r="I18" s="55">
        <v>10</v>
      </c>
      <c r="J18" s="55">
        <f t="shared" si="0"/>
        <v>90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195</v>
      </c>
      <c r="D21" s="27" t="s">
        <v>179</v>
      </c>
      <c r="E21" s="27"/>
      <c r="F21" s="55"/>
      <c r="G21" s="55"/>
      <c r="H21" s="55">
        <v>4</v>
      </c>
      <c r="I21" s="55">
        <v>180</v>
      </c>
      <c r="J21" s="55">
        <f t="shared" si="0"/>
        <v>720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F30" sqref="F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181</v>
      </c>
      <c r="D16" s="70" t="s">
        <v>186</v>
      </c>
      <c r="E16" s="55">
        <v>1</v>
      </c>
      <c r="F16" s="55">
        <v>200</v>
      </c>
      <c r="G16" s="55"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186</v>
      </c>
      <c r="E17" s="55">
        <v>1</v>
      </c>
      <c r="F17" s="55">
        <v>200</v>
      </c>
      <c r="G17" s="55"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186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184</v>
      </c>
      <c r="D19" s="70" t="s">
        <v>186</v>
      </c>
      <c r="E19" s="55">
        <v>1</v>
      </c>
      <c r="F19" s="55">
        <v>100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185</v>
      </c>
      <c r="D20" s="70" t="s">
        <v>186</v>
      </c>
      <c r="E20" s="55">
        <v>27</v>
      </c>
      <c r="F20" s="55">
        <v>10</v>
      </c>
      <c r="G20" s="55">
        <v>270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189</v>
      </c>
      <c r="D21" s="70" t="s">
        <v>186</v>
      </c>
      <c r="E21" s="55">
        <v>1</v>
      </c>
      <c r="F21" s="55">
        <v>250</v>
      </c>
      <c r="G21" s="55"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200</v>
      </c>
      <c r="D22" s="70" t="s">
        <v>29</v>
      </c>
      <c r="E22" s="55">
        <v>1</v>
      </c>
      <c r="F22" s="55">
        <v>200</v>
      </c>
      <c r="G22" s="55">
        <v>200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199</v>
      </c>
      <c r="D23" s="70" t="s">
        <v>29</v>
      </c>
      <c r="E23" s="55">
        <v>1</v>
      </c>
      <c r="F23" s="55">
        <v>250</v>
      </c>
      <c r="G23" s="55">
        <v>250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G20" sqref="G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100</v>
      </c>
      <c r="E13" s="55"/>
      <c r="F13" s="55"/>
      <c r="G13" s="55">
        <v>400</v>
      </c>
      <c r="H13" s="55"/>
      <c r="I13" s="55"/>
      <c r="J13" s="55"/>
      <c r="K13" s="55"/>
      <c r="L13" s="55"/>
      <c r="M13" s="55"/>
      <c r="N13" s="55"/>
      <c r="P13" s="88">
        <f>SUM(D13:N13)</f>
        <v>500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187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100</v>
      </c>
      <c r="E30" s="88">
        <f t="shared" si="1"/>
        <v>0</v>
      </c>
      <c r="F30" s="88">
        <f t="shared" si="1"/>
        <v>0</v>
      </c>
      <c r="G30" s="88">
        <f t="shared" si="1"/>
        <v>700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800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2018-08-24T08:23:06Z</dcterms:modified>
</cp:coreProperties>
</file>