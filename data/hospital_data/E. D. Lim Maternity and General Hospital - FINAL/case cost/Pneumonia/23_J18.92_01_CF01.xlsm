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14" i="2"/>
  <c r="J15" i="2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<sst xmlns="http://schemas.openxmlformats.org/spreadsheetml/2006/main" count="488" uniqueCount="199">
  <si>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</si>
  <si>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</si>
  <si>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</si>
  <si>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</si>
  <si>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</si>
  <si>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</si>
  <si>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</si>
  <si>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</si>
  <si>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</si>
  <si>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</si>
  <si>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</si>
  <si>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</si>
  <si>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</si>
  <si>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</si>
  <si>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</si>
  <si>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</si>
  <si>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</si>
  <si>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</si>
  <si>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</si>
  <si>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</si>
  <si>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</si>
  <si>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</si>
  <si>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</si>
  <si>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</si>
  <si>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</si>
  <si>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</si>
  <si>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</si>
  <si>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</si>
  <si>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</si>
  <si>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</si>
  <si>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</si>
  <si>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</si>
  <si>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</si>
  <si>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</si>
  <si>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</si>
  <si>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</si>
  <si>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</si>
  <si>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</si>
  <si>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</si>
  <si>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</si>
  <si>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</si>
  <si>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</si>
  <si>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</si>
  <si>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</si>
  <si>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</si>
  <si>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</si>
  <si>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</si>
  <si>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</si>
  <si>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</si>
  <si>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</si>
  <si>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</si>
  <si>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</si>
  <si>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</si>
  <si>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</si>
  <si>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</si>
  <si>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</si>
  <si>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</si>
  <si>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</si>
  <si>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</si>
  <si>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</si>
  <si>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</si>
  <si>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</si>
  <si>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</si>
  <si>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</si>
  <si>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</si>
  <si>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</si>
  <si>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</si>
  <si>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</si>
  <si>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</si>
  <si>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</si>
  <si>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</si>
  <si>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</si>
  <si>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</si>
  <si>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</si>
  <si>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</si>
  <si>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</si>
  <si>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</si>
  <si>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</si>
  <si>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</si>
  <si>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</si>
  <si>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</si>
  <si>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</si>
  <si>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</si>
  <si>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</si>
  <si>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</si>
  <si>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</si>
  <si>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</si>
  <si>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</si>
  <si>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</si>
  <si>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</si>
  <si>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</si>
  <si>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</si>
  <si>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</si>
  <si>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</si>
  <si>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</si>
  <si>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</si>
  <si>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</si>
  <si>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</si>
  <si>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</si>
  <si>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</si>
  <si>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</si>
  <si>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</si>
  <si>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</si>
  <si>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</si>
  <si>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</si>
  <si>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</si>
  <si>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</si>
  <si>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</si>
  <si>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</si>
  <si>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</si>
  <si>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</si>
  <si>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</si>
  <si>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</si>
  <si>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</si>
  <si>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</si>
  <si>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</si>
  <si>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</si>
  <si>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</si>
  <si>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</si>
  <si>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</si>
  <si>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</si>
  <si>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</si>
  <si>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</si>
  <si>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</si>
  <si>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</si>
  <si>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</si>
  <si>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</si>
  <si>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</si>
  <si>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</si>
  <si>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</si>
  <si>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</si>
  <si>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</si>
  <si>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</si>
  <si>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</si>
  <si>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</si>
  <si>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</si>
  <si>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</si>
  <si>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</si>
  <si>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</si>
  <si>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</si>
  <si>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</si>
  <si>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</si>
  <si>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</si>
  <si>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</si>
  <si>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</si>
  <si>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</si>
  <si>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</si>
  <si>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</si>
  <si>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</si>
  <si>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</si>
  <si>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</si>
  <si>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</si>
  <si>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</si>
  <si>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</si>
  <si>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</si>
  <si>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</si>
  <si>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</si>
  <si>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</si>
  <si>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</si>
  <si>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</si>
  <si>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</si>
  <si>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</si>
  <si>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</si>
  <si>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</si>
  <si>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</si>
  <si>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</si>
  <si>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</si>
  <si>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</si>
  <si>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cefuroxime</t>
  </si>
  <si>
    <t>PF</t>
  </si>
  <si>
    <t>CR (HOSP0</t>
  </si>
  <si>
    <t>CR (PF)</t>
  </si>
  <si>
    <t>SENIOR DISC.</t>
  </si>
  <si>
    <t>HOSPITAL</t>
  </si>
  <si>
    <t>IV</t>
  </si>
  <si>
    <t>J18.92</t>
  </si>
  <si>
    <t>PNEUMONIA, MOD. RISK</t>
  </si>
  <si>
    <t>12% VAT DISC.</t>
  </si>
  <si>
    <t>AMP</t>
  </si>
  <si>
    <t>750MG</t>
  </si>
  <si>
    <t xml:space="preserve">SALBUTAMOL </t>
  </si>
  <si>
    <t>NEBULE</t>
  </si>
  <si>
    <t>HYDROCORTISONE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</si>
  <si>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</si>
  <si>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</si>
  <si>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</si>
  <si>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</si>
  <si>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</si>
  <si>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</si>
  <si>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</si>
  <si>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multivitamin</t>
  </si>
  <si>
    <t>syrup</t>
  </si>
  <si>
    <t>ambroxol</t>
  </si>
  <si>
    <t>d50</t>
  </si>
  <si>
    <t>aeknil</t>
  </si>
  <si>
    <t>iv</t>
  </si>
  <si>
    <t>nebulizing kit</t>
  </si>
  <si>
    <t>fbs</t>
  </si>
  <si>
    <t>pediatric 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</si>
</sst>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24" zoomScaleNormal="100" workbookViewId="0">
      <selection activeCell="F70" sqref="F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198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197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177</v>
      </c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/>
      <c r="E65" s="55"/>
      <c r="F65" s="55">
        <v>430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930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24" sqref="F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178</v>
      </c>
      <c r="E11" s="27" t="s">
        <v>179</v>
      </c>
      <c r="F11" s="55">
        <v>3</v>
      </c>
      <c r="G11" s="55">
        <v>4.5</v>
      </c>
      <c r="H11" s="55">
        <v>8</v>
      </c>
      <c r="I11" s="55">
        <v>280</v>
      </c>
      <c r="J11" s="55">
        <f>H11*I11</f>
        <v>2240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/>
      <c r="F12" s="55">
        <v>3</v>
      </c>
      <c r="G12" s="55">
        <v>3</v>
      </c>
      <c r="H12" s="55">
        <v>11</v>
      </c>
      <c r="I12" s="55">
        <v>100</v>
      </c>
      <c r="J12" s="55">
        <f t="shared" ref="J12:J19" si="0">H12*I12</f>
        <v>1100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174</v>
      </c>
      <c r="E13" s="27"/>
      <c r="F13" s="55">
        <v>3</v>
      </c>
      <c r="G13" s="55"/>
      <c r="H13" s="55">
        <v>1</v>
      </c>
      <c r="I13" s="55">
        <v>240</v>
      </c>
      <c r="J13" s="55">
        <f t="shared" si="0"/>
        <v>240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191</v>
      </c>
      <c r="E14" s="27"/>
      <c r="F14" s="55">
        <v>1</v>
      </c>
      <c r="G14" s="55"/>
      <c r="H14" s="55">
        <v>1</v>
      </c>
      <c r="I14" s="55">
        <v>140</v>
      </c>
      <c r="J14" s="55">
        <f t="shared" si="0"/>
        <v>140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191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/>
      <c r="E16" s="27"/>
      <c r="F16" s="55"/>
      <c r="G16" s="55"/>
      <c r="H16" s="55">
        <v>2</v>
      </c>
      <c r="I16" s="55">
        <v>250</v>
      </c>
      <c r="J16" s="55">
        <f t="shared" si="0"/>
        <v>500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195</v>
      </c>
      <c r="E17" s="27"/>
      <c r="F17" s="55"/>
      <c r="G17" s="55"/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188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188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188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188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188</v>
      </c>
      <c r="E20" s="55">
        <v>18</v>
      </c>
      <c r="F20" s="55">
        <v>10</v>
      </c>
      <c r="G20" s="55"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196</v>
      </c>
      <c r="D21" s="70" t="s">
        <v>188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189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2018-08-24T10:54:45Z</dcterms:modified>
</cp:coreProperties>
</file>