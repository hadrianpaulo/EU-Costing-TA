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2" i="2" l="1"/>
  <c r="J15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<sst xmlns="http://schemas.openxmlformats.org/spreadsheetml/2006/main" count="474" uniqueCount="189">
  <si>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</si>
  <si>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</si>
  <si>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</si>
  <si>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</si>
  <si>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</si>
  <si>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</si>
  <si>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</si>
  <si>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</si>
  <si>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</si>
  <si>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</si>
  <si>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</si>
  <si>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</si>
  <si>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</si>
  <si>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</si>
  <si>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</si>
  <si>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</si>
  <si>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</si>
  <si>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</si>
  <si>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</si>
  <si>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</si>
  <si>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</si>
  <si>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</si>
  <si>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</si>
  <si>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</si>
  <si>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</si>
  <si>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</si>
  <si>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</si>
  <si>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</si>
  <si>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</si>
  <si>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</si>
  <si>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</si>
  <si>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</si>
  <si>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</si>
  <si>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</si>
  <si>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</si>
  <si>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</si>
  <si>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</si>
  <si>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</si>
  <si>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</si>
  <si>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</si>
  <si>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</si>
  <si>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</si>
  <si>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</si>
  <si>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</si>
  <si>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</si>
  <si>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</si>
  <si>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</si>
  <si>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</si>
  <si>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</si>
  <si>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</si>
  <si>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</si>
  <si>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</si>
  <si>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</si>
  <si>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</si>
  <si>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</si>
  <si>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</si>
  <si>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</si>
  <si>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</si>
  <si>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</si>
  <si>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</si>
  <si>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</si>
  <si>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</si>
  <si>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</si>
  <si>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</si>
  <si>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</si>
  <si>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</si>
  <si>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</si>
  <si>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</si>
  <si>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</si>
  <si>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</si>
  <si>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</si>
  <si>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</si>
  <si>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</si>
  <si>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</si>
  <si>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</si>
  <si>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</si>
  <si>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</si>
  <si>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</si>
  <si>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</si>
  <si>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</si>
  <si>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</si>
  <si>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</si>
  <si>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</si>
  <si>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</si>
  <si>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</si>
  <si>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</si>
  <si>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</si>
  <si>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</si>
  <si>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</si>
  <si>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</si>
  <si>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</si>
  <si>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</si>
  <si>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</si>
  <si>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</si>
  <si>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</si>
  <si>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</si>
  <si>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</si>
  <si>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</si>
  <si>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</si>
  <si>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</si>
  <si>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</si>
  <si>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</si>
  <si>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</si>
  <si>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</si>
  <si>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</si>
  <si>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</si>
  <si>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</si>
  <si>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</si>
  <si>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</si>
  <si>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</si>
  <si>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</si>
  <si>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</si>
  <si>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</si>
  <si>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</si>
  <si>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</si>
  <si>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</si>
  <si>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</si>
  <si>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</si>
  <si>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</si>
  <si>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</si>
  <si>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</si>
  <si>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</si>
  <si>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</si>
  <si>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</si>
  <si>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</si>
  <si>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</si>
  <si>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</si>
  <si>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</si>
  <si>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</si>
  <si>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</si>
  <si>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</si>
  <si>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</si>
  <si>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</si>
  <si>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</si>
  <si>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</si>
  <si>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</si>
  <si>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</si>
  <si>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</si>
  <si>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</si>
  <si>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</si>
  <si>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</si>
  <si>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</si>
  <si>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</si>
  <si>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</si>
  <si>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</si>
  <si>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</si>
  <si>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</si>
  <si>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</si>
  <si>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</si>
  <si>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</si>
  <si>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</si>
  <si>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</si>
  <si>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</si>
  <si>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</si>
  <si>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</si>
  <si>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</si>
  <si>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</si>
  <si>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</si>
  <si>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</si>
  <si>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</si>
  <si>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</si>
  <si>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</si>
  <si>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</si>
  <si>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</si>
  <si>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</si>
  <si>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</si>
  <si>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</si>
  <si>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</si>
  <si>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</si>
  <si>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</si>
  <si>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</si>
  <si>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</si>
  <si>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</si>
  <si>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</si>
  <si>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</si>
  <si>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</si>
  <si>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ranitidine</t>
  </si>
  <si>
    <t>syringe 3cc</t>
  </si>
  <si>
    <t>cefuroxime</t>
  </si>
  <si>
    <t>750mg</t>
  </si>
  <si>
    <t>ivf</t>
  </si>
  <si>
    <t>fe</t>
  </si>
  <si>
    <t>gastro-aide</t>
  </si>
  <si>
    <t>AGE with mod. DHN</t>
  </si>
  <si>
    <t>a09.9</t>
  </si>
  <si>
    <t>e86.1</t>
  </si>
  <si>
    <t>1000ml</t>
  </si>
  <si>
    <t>sachet</t>
  </si>
  <si>
    <t>d50.3nacl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</si>
</sst>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18" zoomScaleNormal="100" workbookViewId="0">
      <selection activeCell="H30" sqref="H3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6340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600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6940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0" sqref="C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167</v>
      </c>
      <c r="E11" s="27" t="s">
        <v>179</v>
      </c>
      <c r="F11" s="55">
        <v>3</v>
      </c>
      <c r="G11" s="55"/>
      <c r="H11" s="55">
        <v>6</v>
      </c>
      <c r="I11" s="55">
        <v>330</v>
      </c>
      <c r="J11" s="55">
        <f t="shared" ref="J11:J22" si="0">H11*I11</f>
        <v>1980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3</v>
      </c>
      <c r="G12" s="55"/>
      <c r="H12" s="55">
        <v>4</v>
      </c>
      <c r="I12" s="55">
        <v>200</v>
      </c>
      <c r="J12" s="55">
        <f t="shared" si="0"/>
        <v>800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187</v>
      </c>
      <c r="E13" s="27"/>
      <c r="F13" s="55">
        <v>1</v>
      </c>
      <c r="G13" s="55"/>
      <c r="H13" s="55">
        <v>3</v>
      </c>
      <c r="I13" s="55">
        <v>50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180</v>
      </c>
      <c r="E15" s="27" t="s">
        <v>186</v>
      </c>
      <c r="F15" s="55"/>
      <c r="G15" s="55"/>
      <c r="H15" s="55">
        <v>2</v>
      </c>
      <c r="I15" s="55">
        <v>400</v>
      </c>
      <c r="J15" s="55">
        <f t="shared" si="0"/>
        <v>800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25"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9</v>
      </c>
      <c r="F16" s="55">
        <v>200</v>
      </c>
      <c r="G16" s="55">
        <f>E16*F16</f>
        <v>1800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18</v>
      </c>
      <c r="F20" s="55">
        <v>10</v>
      </c>
      <c r="G20" s="55">
        <f t="shared" si="0"/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C25" sqref="C25:C2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375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2018-08-23T13:15:38Z</dcterms:modified>
</cp:coreProperties>
</file>