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1" i="2" l="1"/>
  <c r="J12" i="2"/>
  <c r="J13" i="2"/>
  <c r="J14" i="2"/>
  <c r="J15" i="2"/>
  <c r="J16" i="2"/>
  <c r="G17" i="9" l="1"/>
  <c r="G18" i="9"/>
  <c r="G19" i="9"/>
  <c r="G20" i="9"/>
  <c r="G16" i="9"/>
  <c r="J17" i="2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<sst xmlns="http://schemas.openxmlformats.org/spreadsheetml/2006/main" count="482" uniqueCount="194">
  <si>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</si>
  <si>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</si>
  <si>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</si>
  <si>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</si>
  <si>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</si>
  <si>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</si>
  <si>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</si>
  <si>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</si>
  <si>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</si>
  <si>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</si>
  <si>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</si>
  <si>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</si>
  <si>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</si>
  <si>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</si>
  <si>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</si>
  <si>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</si>
  <si>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</si>
  <si>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</si>
  <si>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</si>
  <si>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</si>
  <si>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</si>
  <si>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</si>
  <si>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</si>
  <si>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</si>
  <si>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</si>
  <si>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</si>
  <si>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</si>
  <si>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</si>
  <si>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</si>
  <si>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</si>
  <si>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</si>
  <si>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</si>
  <si>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</si>
  <si>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</si>
  <si>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</si>
  <si>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</si>
  <si>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</si>
  <si>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</si>
  <si>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</si>
  <si>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</si>
  <si>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</si>
  <si>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</si>
  <si>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</si>
  <si>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</si>
  <si>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</si>
  <si>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</si>
  <si>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</si>
  <si>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</si>
  <si>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</si>
  <si>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</si>
  <si>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</si>
  <si>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</si>
  <si>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</si>
  <si>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</si>
  <si>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</si>
  <si>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</si>
  <si>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</si>
  <si>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</si>
  <si>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</si>
  <si>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</si>
  <si>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</si>
  <si>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</si>
  <si>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</si>
  <si>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</si>
  <si>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</si>
  <si>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</si>
  <si>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</si>
  <si>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</si>
  <si>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</si>
  <si>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</si>
  <si>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</si>
  <si>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</si>
  <si>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</si>
  <si>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</si>
  <si>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</si>
  <si>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</si>
  <si>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</si>
  <si>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</si>
  <si>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</si>
  <si>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</si>
  <si>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</si>
  <si>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</si>
  <si>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</si>
  <si>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</si>
  <si>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</si>
  <si>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</si>
  <si>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</si>
  <si>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</si>
  <si>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</si>
  <si>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</si>
  <si>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</si>
  <si>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</si>
  <si>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</si>
  <si>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</si>
  <si>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</si>
  <si>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</si>
  <si>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</si>
  <si>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</si>
  <si>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</si>
  <si>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</si>
  <si>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</si>
  <si>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</si>
  <si>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</si>
  <si>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</si>
  <si>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</si>
  <si>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</si>
  <si>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</si>
  <si>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</si>
  <si>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</si>
  <si>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</si>
  <si>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</si>
  <si>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</si>
  <si>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</si>
  <si>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</si>
  <si>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</si>
  <si>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</si>
  <si>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</si>
  <si>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</si>
  <si>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</si>
  <si>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</si>
  <si>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</si>
  <si>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</si>
  <si>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</si>
  <si>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</si>
  <si>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</si>
  <si>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</si>
  <si>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</si>
  <si>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</si>
  <si>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</si>
  <si>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</si>
  <si>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</si>
  <si>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</si>
  <si>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</si>
  <si>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</si>
  <si>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</si>
  <si>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</si>
  <si>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</si>
  <si>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</si>
  <si>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</si>
  <si>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</si>
  <si>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</si>
  <si>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</si>
  <si>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</si>
  <si>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</si>
  <si>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</si>
  <si>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</si>
  <si>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</si>
  <si>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</si>
  <si>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</si>
  <si>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</si>
  <si>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</si>
  <si>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</si>
  <si>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</si>
  <si>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</si>
  <si>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</si>
  <si>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</si>
  <si>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</si>
  <si>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</si>
  <si>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</si>
  <si>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</si>
  <si>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</si>
  <si>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</si>
  <si>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</si>
  <si>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</si>
  <si>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</si>
  <si>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</si>
  <si>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</si>
  <si>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</si>
  <si>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cap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</si>
  <si>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</si>
  <si>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</si>
  <si>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</si>
  <si>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</si>
  <si>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</si>
  <si>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</si>
  <si>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</si>
  <si>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</si>
  <si>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</si>
  <si>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tab</t>
  </si>
  <si>
    <t>cefuroxime</t>
  </si>
  <si>
    <t>750mg</t>
  </si>
  <si>
    <t>ivf</t>
  </si>
  <si>
    <t>d5lr</t>
  </si>
  <si>
    <t>fe</t>
  </si>
  <si>
    <t>metronidazole</t>
  </si>
  <si>
    <t>gastro-aide</t>
  </si>
  <si>
    <t>paracetamol</t>
  </si>
  <si>
    <t>AGE with mod. DHN</t>
  </si>
  <si>
    <t>a09.9</t>
  </si>
  <si>
    <t>e86.1</t>
  </si>
  <si>
    <t xml:space="preserve">paracetamol </t>
  </si>
  <si>
    <t>500mg</t>
  </si>
  <si>
    <t>1000ml</t>
  </si>
  <si>
    <t>rapiron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</si>
</sst>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I28" sqref="I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4050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176</v>
      </c>
      <c r="D65" s="55"/>
      <c r="E65" s="55"/>
      <c r="F65" s="55">
        <v>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4250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1" sqref="H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167</v>
      </c>
      <c r="E11" s="27" t="s">
        <v>180</v>
      </c>
      <c r="F11" s="55">
        <v>3</v>
      </c>
      <c r="G11" s="55"/>
      <c r="H11" s="55">
        <v>9</v>
      </c>
      <c r="I11" s="55">
        <v>280</v>
      </c>
      <c r="J11" s="55">
        <f t="shared" ref="J11:J22" si="0">H11*I11</f>
        <v>2520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178</v>
      </c>
      <c r="E12" s="27"/>
      <c r="F12" s="55">
        <v>1</v>
      </c>
      <c r="G12" s="55"/>
      <c r="H12" s="55">
        <v>1</v>
      </c>
      <c r="I12" s="55">
        <v>10</v>
      </c>
      <c r="J12" s="55">
        <f t="shared" si="0"/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168</v>
      </c>
      <c r="E13" s="27"/>
      <c r="F13" s="55">
        <v>1</v>
      </c>
      <c r="G13" s="55"/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178</v>
      </c>
      <c r="E14" s="27" t="s">
        <v>191</v>
      </c>
      <c r="F14" s="55"/>
      <c r="G14" s="55"/>
      <c r="H14" s="55">
        <v>1</v>
      </c>
      <c r="I14" s="55">
        <v>10</v>
      </c>
      <c r="J14" s="55">
        <f t="shared" si="0"/>
        <v>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181</v>
      </c>
      <c r="E15" s="27" t="s">
        <v>191</v>
      </c>
      <c r="F15" s="55">
        <v>1</v>
      </c>
      <c r="G15" s="55"/>
      <c r="H15" s="55">
        <v>9</v>
      </c>
      <c r="I15" s="55">
        <v>140</v>
      </c>
      <c r="J15" s="55">
        <f t="shared" si="0"/>
        <v>1260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181</v>
      </c>
      <c r="E16" s="27" t="s">
        <v>192</v>
      </c>
      <c r="F16" s="55"/>
      <c r="G16" s="55"/>
      <c r="H16" s="55">
        <v>3</v>
      </c>
      <c r="I16" s="55">
        <v>280</v>
      </c>
      <c r="J16" s="55">
        <f t="shared" si="0"/>
        <v>840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167</v>
      </c>
      <c r="E17" s="27"/>
      <c r="F17" s="55"/>
      <c r="G17" s="55"/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6"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171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170</v>
      </c>
      <c r="D17" s="115"/>
      <c r="E17" s="115">
        <v>2</v>
      </c>
      <c r="F17" s="55">
        <v>170</v>
      </c>
      <c r="G17" s="55">
        <f t="shared" ref="G17:G20" si="0">E17*F17</f>
        <v>340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169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172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190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2018-08-23T13:17:37Z</dcterms:modified>
</cp:coreProperties>
</file>