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4" i="2" l="1"/>
  <c r="J15" i="2"/>
  <c r="J11" i="2"/>
  <c r="J12" i="2"/>
  <c r="J13" i="2"/>
  <c r="G17" i="9" l="1"/>
  <c r="G18" i="9"/>
  <c r="G19" i="9"/>
  <c r="G20" i="9"/>
  <c r="G16" i="9"/>
  <c r="J22" i="2" l="1"/>
  <c r="J21" i="2"/>
  <c r="J20" i="2"/>
  <c r="J18" i="2" l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<sst xmlns="http://schemas.openxmlformats.org/spreadsheetml/2006/main" count="476" uniqueCount="191">
  <si>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</si>
  <si>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</si>
  <si>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</si>
  <si>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</si>
  <si>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</si>
  <si>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</si>
  <si>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</si>
  <si>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</si>
  <si>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</si>
  <si>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</si>
  <si>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</si>
  <si>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</si>
  <si>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</si>
  <si>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</si>
  <si>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</si>
  <si>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</si>
  <si>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</si>
  <si>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</si>
  <si>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</si>
  <si>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</si>
  <si>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</si>
  <si>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</si>
  <si>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</si>
  <si>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</si>
  <si>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</si>
  <si>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</si>
  <si>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</si>
  <si>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</si>
  <si>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</si>
  <si>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</si>
  <si>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</si>
  <si>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</si>
  <si>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</si>
  <si>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</si>
  <si>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</si>
  <si>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</si>
  <si>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</si>
  <si>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</si>
  <si>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</si>
  <si>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</si>
  <si>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</si>
  <si>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</si>
  <si>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</si>
  <si>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</si>
  <si>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</si>
  <si>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</si>
  <si>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</si>
  <si>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</si>
  <si>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</si>
  <si>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</si>
  <si>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</si>
  <si>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</si>
  <si>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</si>
  <si>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</si>
  <si>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</si>
  <si>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</si>
  <si>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</si>
  <si>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</si>
  <si>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</si>
  <si>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</si>
  <si>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</si>
  <si>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</si>
  <si>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</si>
  <si>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</si>
  <si>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</si>
  <si>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</si>
  <si>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</si>
  <si>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</si>
  <si>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</si>
  <si>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</si>
  <si>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</si>
  <si>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</si>
  <si>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</si>
  <si>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</si>
  <si>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</si>
  <si>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</si>
  <si>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</si>
  <si>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</si>
  <si>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</si>
  <si>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</si>
  <si>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</si>
  <si>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</si>
  <si>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</si>
  <si>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</si>
  <si>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</si>
  <si>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</si>
  <si>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</si>
  <si>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</si>
  <si>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</si>
  <si>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</si>
  <si>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</si>
  <si>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</si>
  <si>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</si>
  <si>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</si>
  <si>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</si>
  <si>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</si>
  <si>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</si>
  <si>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</si>
  <si>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</si>
  <si>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</si>
  <si>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</si>
  <si>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</si>
  <si>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</si>
  <si>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</si>
  <si>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</si>
  <si>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</si>
  <si>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</si>
  <si>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</si>
  <si>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</si>
  <si>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</si>
  <si>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</si>
  <si>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</si>
  <si>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</si>
  <si>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</si>
  <si>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</si>
  <si>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</si>
  <si>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</si>
  <si>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</si>
  <si>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</si>
  <si>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</si>
  <si>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</si>
  <si>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</si>
  <si>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</si>
  <si>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</si>
  <si>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</si>
  <si>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</si>
  <si>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</si>
  <si>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</si>
  <si>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</si>
  <si>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</si>
  <si>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</si>
  <si>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</si>
  <si>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</si>
  <si>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</si>
  <si>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</si>
  <si>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</si>
  <si>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</si>
  <si>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</si>
  <si>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</si>
  <si>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</si>
  <si>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</si>
  <si>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</si>
  <si>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</si>
  <si>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</si>
  <si>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</si>
  <si>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</si>
  <si>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</si>
  <si>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</si>
  <si>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</si>
  <si>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</si>
  <si>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</si>
  <si>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</si>
  <si>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</si>
  <si>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</si>
  <si>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</si>
  <si>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</si>
  <si>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</si>
  <si>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</si>
  <si>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</si>
  <si>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</si>
  <si>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</si>
  <si>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</si>
  <si>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</si>
  <si>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</si>
  <si>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</si>
  <si>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</si>
  <si>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</si>
  <si>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</si>
  <si>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</si>
  <si>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</si>
  <si>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</si>
  <si>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</si>
  <si>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</si>
  <si>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</si>
  <si>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</si>
  <si>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</si>
  <si>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ranitidine</t>
  </si>
  <si>
    <t>syringe 3cc</t>
  </si>
  <si>
    <t>cefuroxime</t>
  </si>
  <si>
    <t>750mg</t>
  </si>
  <si>
    <t>ivf</t>
  </si>
  <si>
    <t>fe</t>
  </si>
  <si>
    <t>gastro-aide</t>
  </si>
  <si>
    <t>syrup</t>
  </si>
  <si>
    <t>AGE with mod. DHN</t>
  </si>
  <si>
    <t>a09.9</t>
  </si>
  <si>
    <t>e86.1</t>
  </si>
  <si>
    <t>1000ml</t>
  </si>
  <si>
    <t>sachet</t>
  </si>
  <si>
    <t>chlorphenamine maleate</t>
  </si>
  <si>
    <t>d50.3nacl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</si>
</sst>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J19" sqref="J1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2930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200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3130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167</v>
      </c>
      <c r="E11" s="27" t="s">
        <v>179</v>
      </c>
      <c r="F11" s="55">
        <v>3</v>
      </c>
      <c r="G11" s="55"/>
      <c r="H11" s="55">
        <v>6</v>
      </c>
      <c r="I11" s="55">
        <v>280</v>
      </c>
      <c r="J11" s="55">
        <f t="shared" ref="J11:J22" si="0">H11*I11</f>
        <v>1680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167</v>
      </c>
      <c r="E12" s="27"/>
      <c r="F12" s="55">
        <v>1</v>
      </c>
      <c r="G12" s="55"/>
      <c r="H12" s="55">
        <v>4</v>
      </c>
      <c r="I12" s="55">
        <v>150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188</v>
      </c>
      <c r="E13" s="27"/>
      <c r="F13" s="55">
        <v>1</v>
      </c>
      <c r="G13" s="55"/>
      <c r="H13" s="55">
        <v>4</v>
      </c>
      <c r="I13" s="55">
        <v>50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183</v>
      </c>
      <c r="E14" s="27"/>
      <c r="F14" s="55">
        <v>3</v>
      </c>
      <c r="G14" s="55"/>
      <c r="H14" s="55">
        <v>1</v>
      </c>
      <c r="I14" s="55">
        <v>160</v>
      </c>
      <c r="J14" s="55">
        <f t="shared" si="0"/>
        <v>160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180</v>
      </c>
      <c r="E15" s="27" t="s">
        <v>187</v>
      </c>
      <c r="F15" s="55"/>
      <c r="G15" s="55"/>
      <c r="H15" s="55">
        <v>2</v>
      </c>
      <c r="I15" s="55">
        <v>280</v>
      </c>
      <c r="J15" s="55">
        <f t="shared" si="0"/>
        <v>560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19" workbookViewId="0">
      <selection activeCell="E28" sqref="E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2</v>
      </c>
      <c r="F16" s="55">
        <v>200</v>
      </c>
      <c r="G16" s="55">
        <f>E16*F16</f>
        <v>400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19</v>
      </c>
      <c r="F20" s="55">
        <v>10</v>
      </c>
      <c r="G20" s="55">
        <f t="shared" si="0"/>
        <v>190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60</v>
      </c>
      <c r="E13" s="55"/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190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60</v>
      </c>
      <c r="E30" s="88">
        <f t="shared" si="1"/>
        <v>0</v>
      </c>
      <c r="F30" s="88">
        <f t="shared" si="1"/>
        <v>0</v>
      </c>
      <c r="G30" s="88">
        <f t="shared" si="1"/>
        <v>250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2018-08-23T13:16:32Z</dcterms:modified>
</cp:coreProperties>
</file>