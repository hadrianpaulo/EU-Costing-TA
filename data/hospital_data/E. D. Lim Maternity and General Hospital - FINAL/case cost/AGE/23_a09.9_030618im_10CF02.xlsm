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7" i="2" l="1"/>
  <c r="J16" i="2"/>
  <c r="J12" i="2"/>
  <c r="J15" i="2"/>
  <c r="J11" i="2"/>
  <c r="J13" i="2"/>
  <c r="G17" i="9" l="1"/>
  <c r="G18" i="9"/>
  <c r="G19" i="9"/>
  <c r="G20" i="9"/>
  <c r="G16" i="9"/>
  <c r="J22" i="2" l="1"/>
  <c r="J21" i="2"/>
  <c r="J20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<sst xmlns="http://schemas.openxmlformats.org/spreadsheetml/2006/main" count="480" uniqueCount="193">
  <si>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</si>
  <si>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</si>
  <si>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</si>
  <si>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</si>
  <si>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</si>
  <si>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</si>
  <si>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</si>
  <si>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</si>
  <si>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</si>
  <si>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</si>
  <si>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</si>
  <si>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</si>
  <si>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</si>
  <si>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</si>
  <si>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</si>
  <si>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</si>
  <si>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</si>
  <si>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</si>
  <si>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</si>
  <si>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</si>
  <si>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</si>
  <si>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</si>
  <si>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</si>
  <si>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</si>
  <si>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</si>
  <si>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</si>
  <si>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</si>
  <si>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</si>
  <si>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</si>
  <si>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</si>
  <si>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</si>
  <si>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</si>
  <si>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</si>
  <si>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</si>
  <si>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</si>
  <si>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</si>
  <si>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</si>
  <si>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</si>
  <si>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</si>
  <si>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</si>
  <si>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</si>
  <si>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</si>
  <si>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</si>
  <si>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</si>
  <si>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</si>
  <si>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</si>
  <si>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</si>
  <si>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</si>
  <si>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</si>
  <si>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</si>
  <si>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</si>
  <si>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</si>
  <si>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</si>
  <si>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</si>
  <si>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</si>
  <si>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</si>
  <si>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</si>
  <si>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</si>
  <si>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</si>
  <si>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</si>
  <si>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</si>
  <si>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</si>
  <si>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</si>
  <si>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</si>
  <si>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</si>
  <si>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</si>
  <si>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</si>
  <si>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</si>
  <si>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</si>
  <si>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</si>
  <si>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</si>
  <si>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</si>
  <si>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</si>
  <si>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</si>
  <si>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</si>
  <si>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</si>
  <si>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</si>
  <si>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</si>
  <si>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</si>
  <si>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</si>
  <si>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</si>
  <si>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</si>
  <si>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</si>
  <si>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</si>
  <si>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</si>
  <si>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</si>
  <si>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</si>
  <si>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</si>
  <si>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</si>
  <si>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</si>
  <si>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</si>
  <si>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</si>
  <si>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</si>
  <si>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</si>
  <si>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</si>
  <si>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</si>
  <si>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</si>
  <si>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</si>
  <si>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</si>
  <si>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</si>
  <si>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</si>
  <si>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</si>
  <si>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</si>
  <si>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</si>
  <si>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</si>
  <si>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</si>
  <si>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</si>
  <si>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</si>
  <si>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</si>
  <si>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</si>
  <si>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</si>
  <si>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</si>
  <si>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</si>
  <si>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</si>
  <si>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</si>
  <si>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</si>
  <si>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</si>
  <si>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</si>
  <si>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</si>
  <si>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</si>
  <si>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</si>
  <si>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</si>
  <si>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</si>
  <si>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</si>
  <si>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</si>
  <si>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</si>
  <si>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</si>
  <si>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</si>
  <si>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</si>
  <si>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</si>
  <si>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</si>
  <si>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</si>
  <si>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</si>
  <si>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</si>
  <si>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</si>
  <si>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</si>
  <si>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</si>
  <si>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</si>
  <si>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</si>
  <si>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</si>
  <si>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</si>
  <si>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</si>
  <si>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</si>
  <si>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</si>
  <si>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</si>
  <si>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</si>
  <si>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</si>
  <si>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</si>
  <si>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</si>
  <si>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</si>
  <si>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</si>
  <si>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</si>
  <si>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</si>
  <si>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</si>
  <si>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</si>
  <si>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</si>
  <si>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</si>
  <si>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</si>
  <si>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</si>
  <si>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</si>
  <si>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</si>
  <si>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</si>
  <si>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</si>
  <si>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</si>
  <si>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</si>
  <si>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</si>
  <si>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</si>
  <si>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</si>
  <si>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splint</t>
  </si>
  <si>
    <t>vacoset</t>
  </si>
  <si>
    <t>abbocath</t>
  </si>
  <si>
    <t>micropore</t>
  </si>
  <si>
    <t>administration of medicine</t>
  </si>
  <si>
    <t>ue</t>
  </si>
  <si>
    <t>cbc/pc</t>
  </si>
  <si>
    <t>pf</t>
  </si>
  <si>
    <t>hyoscine</t>
  </si>
  <si>
    <t>ranitidine</t>
  </si>
  <si>
    <t>omeprazole</t>
  </si>
  <si>
    <t>syringe 3cc</t>
  </si>
  <si>
    <t>tab</t>
  </si>
  <si>
    <t>cefuroxime</t>
  </si>
  <si>
    <t>750mg</t>
  </si>
  <si>
    <t>ivf</t>
  </si>
  <si>
    <t>pnss</t>
  </si>
  <si>
    <t>fe</t>
  </si>
  <si>
    <t>gastro-aide</t>
  </si>
  <si>
    <t>paracetamol</t>
  </si>
  <si>
    <t>AGE with mod. DHN</t>
  </si>
  <si>
    <t>a09.9</t>
  </si>
  <si>
    <t>e86.1</t>
  </si>
  <si>
    <t>1000ml</t>
  </si>
  <si>
    <t>sachet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</si>
</sst>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topLeftCell="A12" zoomScaleNormal="100" workbookViewId="0">
      <selection activeCell="E32" sqref="E3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190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3.5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173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185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0" t="s">
        <v>19</v>
      </c>
      <c r="C40" s="121"/>
      <c r="D40" s="118"/>
      <c r="E40" s="121"/>
      <c r="F40" s="119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20" t="s">
        <v>44</v>
      </c>
      <c r="C45" s="121"/>
      <c r="D45" s="118"/>
      <c r="E45" s="121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45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7" t="s">
        <v>53</v>
      </c>
      <c r="C47" s="118"/>
      <c r="D47" s="118"/>
      <c r="E47" s="118"/>
      <c r="F47" s="119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7" t="s">
        <v>20</v>
      </c>
      <c r="C52" s="118"/>
      <c r="D52" s="118"/>
      <c r="E52" s="118"/>
      <c r="F52" s="119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55</v>
      </c>
      <c r="C61" s="17" t="s">
        <v>51</v>
      </c>
      <c r="D61" s="17" t="s">
        <v>56</v>
      </c>
      <c r="E61" s="18" t="s">
        <v>57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162</v>
      </c>
      <c r="D62" s="55">
        <v>4200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163</v>
      </c>
      <c r="D63" s="55">
        <v>1800</v>
      </c>
      <c r="E63" s="55">
        <v>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 t="s">
        <v>166</v>
      </c>
      <c r="D64" s="55"/>
      <c r="E64" s="55"/>
      <c r="F64" s="55">
        <v>8300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 t="s">
        <v>175</v>
      </c>
      <c r="D65" s="55"/>
      <c r="E65" s="55"/>
      <c r="F65" s="55">
        <v>650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6000</v>
      </c>
      <c r="E73" s="59">
        <f>SUM(E62:E72)</f>
        <v>0</v>
      </c>
      <c r="F73" s="59">
        <f>SUM(F62:F72)</f>
        <v>8950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J17" sqref="J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AGE with mod. DHN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181</v>
      </c>
      <c r="D11" s="27" t="s">
        <v>167</v>
      </c>
      <c r="E11" s="27" t="s">
        <v>182</v>
      </c>
      <c r="F11" s="55">
        <v>3</v>
      </c>
      <c r="G11" s="55"/>
      <c r="H11" s="55">
        <v>10</v>
      </c>
      <c r="I11" s="55">
        <v>280</v>
      </c>
      <c r="J11" s="55">
        <f t="shared" ref="J11:J22" si="0">H11*I11</f>
        <v>2800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176</v>
      </c>
      <c r="D12" s="27" t="s">
        <v>167</v>
      </c>
      <c r="E12" s="27"/>
      <c r="F12" s="55">
        <v>3</v>
      </c>
      <c r="G12" s="55"/>
      <c r="H12" s="55">
        <v>8</v>
      </c>
      <c r="I12" s="55">
        <v>280</v>
      </c>
      <c r="J12" s="55">
        <f t="shared" si="0"/>
        <v>2240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186</v>
      </c>
      <c r="D13" s="27" t="s">
        <v>192</v>
      </c>
      <c r="E13" s="27"/>
      <c r="F13" s="55">
        <v>1</v>
      </c>
      <c r="G13" s="55"/>
      <c r="H13" s="55">
        <v>3</v>
      </c>
      <c r="I13" s="55">
        <v>50</v>
      </c>
      <c r="J13" s="55">
        <f t="shared" si="0"/>
        <v>150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180</v>
      </c>
      <c r="E14" s="27"/>
      <c r="F14" s="55"/>
      <c r="G14" s="55"/>
      <c r="H14" s="55">
        <v>2</v>
      </c>
      <c r="I14" s="55">
        <v>10</v>
      </c>
      <c r="J14" s="55">
        <v>20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183</v>
      </c>
      <c r="E15" s="27" t="s">
        <v>191</v>
      </c>
      <c r="F15" s="55"/>
      <c r="G15" s="55"/>
      <c r="H15" s="55">
        <v>5</v>
      </c>
      <c r="I15" s="55">
        <v>280</v>
      </c>
      <c r="J15" s="55">
        <f t="shared" si="0"/>
        <v>1400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177</v>
      </c>
      <c r="D16" s="27" t="s">
        <v>167</v>
      </c>
      <c r="E16" s="27"/>
      <c r="F16" s="55"/>
      <c r="G16" s="55"/>
      <c r="H16" s="55">
        <v>2</v>
      </c>
      <c r="I16" s="55">
        <v>150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178</v>
      </c>
      <c r="D17" s="27" t="s">
        <v>167</v>
      </c>
      <c r="E17" s="27"/>
      <c r="F17" s="55">
        <v>1</v>
      </c>
      <c r="G17" s="55"/>
      <c r="H17" s="55">
        <v>3</v>
      </c>
      <c r="I17" s="55">
        <v>420</v>
      </c>
      <c r="J17" s="55">
        <f t="shared" si="0"/>
        <v>1260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I26 J13:J26 J1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topLeftCell="A7"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170</v>
      </c>
      <c r="D16" s="115"/>
      <c r="E16" s="115">
        <v>1</v>
      </c>
      <c r="F16" s="55">
        <v>200</v>
      </c>
      <c r="G16" s="55">
        <f>E16*F16</f>
        <v>200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169</v>
      </c>
      <c r="D17" s="115"/>
      <c r="E17" s="115">
        <v>2</v>
      </c>
      <c r="F17" s="55">
        <v>170</v>
      </c>
      <c r="G17" s="55">
        <f t="shared" ref="G17:G20" si="0">E17*F17</f>
        <v>340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168</v>
      </c>
      <c r="D18" s="115"/>
      <c r="E18" s="11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171</v>
      </c>
      <c r="D19" s="115"/>
      <c r="E19" s="115">
        <v>1</v>
      </c>
      <c r="F19" s="55">
        <v>70</v>
      </c>
      <c r="G19" s="55">
        <f t="shared" si="0"/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179</v>
      </c>
      <c r="D20" s="115"/>
      <c r="E20" s="115">
        <v>24</v>
      </c>
      <c r="F20" s="55">
        <v>10</v>
      </c>
      <c r="G20" s="55">
        <f t="shared" si="0"/>
        <v>240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/>
      <c r="D21" s="115"/>
      <c r="E21" s="11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5" workbookViewId="0">
      <selection activeCell="D15" sqref="D15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AGE with mod. DHN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60</v>
      </c>
      <c r="E13" s="55"/>
      <c r="F13" s="55"/>
      <c r="G13" s="55">
        <v>60</v>
      </c>
      <c r="H13" s="55"/>
      <c r="I13" s="55"/>
      <c r="J13" s="55"/>
      <c r="K13" s="55"/>
      <c r="L13" s="55"/>
      <c r="M13" s="55"/>
      <c r="N13" s="55"/>
      <c r="P13" s="88">
        <f>SUM(D13:N13)</f>
        <v>120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172</v>
      </c>
      <c r="D14" s="55"/>
      <c r="E14" s="55"/>
      <c r="F14" s="55"/>
      <c r="G14" s="55">
        <v>210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60</v>
      </c>
      <c r="E30" s="88">
        <f t="shared" si="1"/>
        <v>0</v>
      </c>
      <c r="F30" s="88">
        <f t="shared" si="1"/>
        <v>0</v>
      </c>
      <c r="G30" s="88">
        <f t="shared" si="1"/>
        <v>270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330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2018-08-23T13:13:58Z</dcterms:modified>
</cp:coreProperties>
</file>