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Supplies_Medical'!$C$15:$C$60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21" i="9" l="1"/>
  <c r="J17" i="2"/>
  <c r="J16" i="2"/>
  <c r="J14" i="2"/>
  <c r="J15" i="2"/>
  <c r="J11" i="2"/>
  <c r="J12" i="2"/>
  <c r="J13" i="2"/>
  <c r="G17" i="9" l="1"/>
  <c r="G18" i="9"/>
  <c r="G19" i="9"/>
  <c r="G20" i="9"/>
  <c r="G16" i="9"/>
  <c r="J22" i="2" l="1"/>
  <c r="J21" i="2"/>
  <c r="J20" i="2"/>
  <c r="J18" i="2" l="1"/>
  <c r="J19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<sst xmlns="http://schemas.openxmlformats.org/spreadsheetml/2006/main" count="486" uniqueCount="196">
  <si>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</si>
  <si>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</si>
  <si>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</si>
  <si>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</si>
  <si>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</si>
  <si>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</si>
  <si>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</si>
  <si>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</si>
  <si>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</si>
  <si>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</si>
  <si>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</si>
  <si>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</si>
  <si>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</si>
  <si>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</si>
  <si>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</si>
  <si>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</si>
  <si>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</si>
  <si>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</si>
  <si>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</si>
  <si>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</si>
  <si>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</si>
  <si>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</si>
  <si>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</si>
  <si>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</si>
  <si>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</si>
  <si>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</si>
  <si>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</si>
  <si>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</si>
  <si>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</si>
  <si>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</si>
  <si>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</si>
  <si>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</si>
  <si>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</si>
  <si>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</si>
  <si>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</si>
  <si>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</si>
  <si>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</si>
  <si>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</si>
  <si>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</si>
  <si>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</si>
  <si>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</si>
  <si>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</si>
  <si>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</si>
  <si>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</si>
  <si>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</si>
  <si>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</si>
  <si>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</si>
  <si>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</si>
  <si>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</si>
  <si>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</si>
  <si>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</si>
  <si>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</si>
  <si>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</si>
  <si>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</si>
  <si>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</si>
  <si>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</si>
  <si>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</si>
  <si>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</si>
  <si>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</si>
  <si>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</si>
  <si>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</si>
  <si>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</si>
  <si>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</si>
  <si>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</si>
  <si>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</si>
  <si>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</si>
  <si>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</si>
  <si>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</si>
  <si>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</si>
  <si>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</si>
  <si>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</si>
  <si>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</si>
  <si>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</si>
  <si>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</si>
  <si>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</si>
  <si>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</si>
  <si>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</si>
  <si>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</si>
  <si>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</si>
  <si>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</si>
  <si>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</si>
  <si>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</si>
  <si>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</si>
  <si>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</si>
  <si>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</si>
  <si>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</si>
  <si>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</si>
  <si>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</si>
  <si>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</si>
  <si>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</si>
  <si>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</si>
  <si>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</si>
  <si>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</si>
  <si>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</si>
  <si>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</si>
  <si>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</si>
  <si>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</si>
  <si>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</si>
  <si>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</si>
  <si>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</si>
  <si>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</si>
  <si>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</si>
  <si>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</si>
  <si>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</si>
  <si>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</si>
  <si>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</si>
  <si>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</si>
  <si>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</si>
  <si>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</si>
  <si>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</si>
  <si>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</si>
  <si>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</si>
  <si>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</si>
  <si>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</si>
  <si>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</si>
  <si>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</si>
  <si>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</si>
  <si>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</si>
  <si>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</si>
  <si>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</si>
  <si>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</si>
  <si>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</si>
  <si>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</si>
  <si>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</si>
  <si>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</si>
  <si>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</si>
  <si>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</si>
  <si>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</si>
  <si>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</si>
  <si>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</si>
  <si>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</si>
  <si>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</si>
  <si>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</si>
  <si>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</si>
  <si>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</si>
  <si>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</si>
  <si>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</si>
  <si>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</si>
  <si>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</si>
  <si>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</si>
  <si>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</si>
  <si>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</si>
  <si>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</si>
  <si>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</si>
  <si>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</si>
  <si>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</si>
  <si>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</si>
  <si>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</si>
  <si>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</si>
  <si>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</si>
  <si>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</si>
  <si>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</si>
  <si>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</si>
  <si>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</si>
  <si>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</si>
  <si>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</si>
  <si>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</si>
  <si>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</si>
  <si>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</si>
  <si>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</si>
  <si>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</si>
  <si>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</si>
  <si>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CR (HOSP0</t>
  </si>
  <si>
    <t>CR (PF)</t>
  </si>
  <si>
    <t>medtech</t>
  </si>
  <si>
    <t>hearingtest</t>
  </si>
  <si>
    <t>hospital</t>
  </si>
  <si>
    <t>amp</t>
  </si>
  <si>
    <t>splint</t>
  </si>
  <si>
    <t>vacoset</t>
  </si>
  <si>
    <t>abbocath</t>
  </si>
  <si>
    <t>micropore</t>
  </si>
  <si>
    <t>administration of medicine</t>
  </si>
  <si>
    <t>ue</t>
  </si>
  <si>
    <t>cbc/pc</t>
  </si>
  <si>
    <t>pf</t>
  </si>
  <si>
    <t>syringe 3cc</t>
  </si>
  <si>
    <t>cefuroxime</t>
  </si>
  <si>
    <t>750mg</t>
  </si>
  <si>
    <t>ivf</t>
  </si>
  <si>
    <t>fe</t>
  </si>
  <si>
    <t>gastro-aide</t>
  </si>
  <si>
    <t>paracetamol</t>
  </si>
  <si>
    <t>syrup</t>
  </si>
  <si>
    <t>AGE with mod. DHN</t>
  </si>
  <si>
    <t>a09.9</t>
  </si>
  <si>
    <t>e86.1</t>
  </si>
  <si>
    <t>500mg</t>
  </si>
  <si>
    <t>1000ml</t>
  </si>
  <si>
    <t>soluset</t>
  </si>
  <si>
    <t>sachet</t>
  </si>
  <si>
    <t>chlorphenamine maleate</t>
  </si>
  <si>
    <t>d50.3nacl</t>
  </si>
  <si>
    <t>dicycloverine</t>
  </si>
  <si>
    <t>mebendaazole</t>
  </si>
  <si>
    <t>metronizadole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</si>
</sst>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0" fontId="13" fillId="0" borderId="0" xfId="0" applyFont="1" applyAlignment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</xdr:row>
          <xdr:rowOff>28575</xdr:rowOff>
        </xdr:from>
        <xdr:to>
          <xdr:col>1</xdr:col>
          <xdr:colOff>771525</xdr:colOff>
          <xdr:row>50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50</xdr:row>
          <xdr:rowOff>28575</xdr:rowOff>
        </xdr:from>
        <xdr:to>
          <xdr:col>1</xdr:col>
          <xdr:colOff>1543050</xdr:colOff>
          <xdr:row>50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topLeftCell="A3" zoomScaleNormal="100" workbookViewId="0">
      <selection activeCell="H25" sqref="H2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60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61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52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43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4.5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173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180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0" t="s">
        <v>19</v>
      </c>
      <c r="C40" s="121"/>
      <c r="D40" s="118"/>
      <c r="E40" s="121"/>
      <c r="F40" s="119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20" t="s">
        <v>44</v>
      </c>
      <c r="C45" s="121"/>
      <c r="D45" s="118"/>
      <c r="E45" s="121"/>
      <c r="F45" s="119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45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7" t="s">
        <v>53</v>
      </c>
      <c r="C47" s="118"/>
      <c r="D47" s="118"/>
      <c r="E47" s="118"/>
      <c r="F47" s="119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7" t="s">
        <v>20</v>
      </c>
      <c r="C52" s="118"/>
      <c r="D52" s="118"/>
      <c r="E52" s="118"/>
      <c r="F52" s="119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55</v>
      </c>
      <c r="C61" s="17" t="s">
        <v>51</v>
      </c>
      <c r="D61" s="17" t="s">
        <v>56</v>
      </c>
      <c r="E61" s="18" t="s">
        <v>57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162</v>
      </c>
      <c r="D62" s="55">
        <v>4200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163</v>
      </c>
      <c r="D63" s="55">
        <v>1800</v>
      </c>
      <c r="E63" s="55">
        <v>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166</v>
      </c>
      <c r="D64" s="55"/>
      <c r="E64" s="55"/>
      <c r="F64" s="55">
        <v>5170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175</v>
      </c>
      <c r="D65" s="55"/>
      <c r="E65" s="55"/>
      <c r="F65" s="55">
        <v>200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6000</v>
      </c>
      <c r="E73" s="59">
        <f>SUM(E62:E72)</f>
        <v>0</v>
      </c>
      <c r="F73" s="59">
        <f>SUM(F62:F72)</f>
        <v>5370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9" sqref="J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with mod. DHN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2" t="s">
        <v>64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177</v>
      </c>
      <c r="D11" s="27" t="s">
        <v>167</v>
      </c>
      <c r="E11" s="27" t="s">
        <v>178</v>
      </c>
      <c r="F11" s="55">
        <v>3</v>
      </c>
      <c r="G11" s="55"/>
      <c r="H11" s="55">
        <v>5</v>
      </c>
      <c r="I11" s="55">
        <v>280</v>
      </c>
      <c r="J11" s="55">
        <f t="shared" ref="J11:J22" si="0">H11*I11</f>
        <v>1400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193</v>
      </c>
      <c r="D12" s="27" t="s">
        <v>183</v>
      </c>
      <c r="E12" s="27"/>
      <c r="F12" s="55">
        <v>3</v>
      </c>
      <c r="G12" s="55"/>
      <c r="H12" s="55">
        <v>1</v>
      </c>
      <c r="I12" s="55">
        <v>150</v>
      </c>
      <c r="J12" s="55">
        <f t="shared" si="0"/>
        <v>150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181</v>
      </c>
      <c r="D13" s="27" t="s">
        <v>190</v>
      </c>
      <c r="E13" s="27"/>
      <c r="F13" s="55">
        <v>1</v>
      </c>
      <c r="G13" s="55"/>
      <c r="H13" s="55">
        <v>5</v>
      </c>
      <c r="I13" s="55">
        <v>50</v>
      </c>
      <c r="J13" s="55">
        <f t="shared" si="0"/>
        <v>250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191</v>
      </c>
      <c r="D14" s="27" t="s">
        <v>183</v>
      </c>
      <c r="E14" s="27"/>
      <c r="F14" s="55">
        <v>3</v>
      </c>
      <c r="G14" s="55"/>
      <c r="H14" s="55">
        <v>1</v>
      </c>
      <c r="I14" s="55">
        <v>160</v>
      </c>
      <c r="J14" s="55">
        <f t="shared" si="0"/>
        <v>160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192</v>
      </c>
      <c r="D15" s="27" t="s">
        <v>179</v>
      </c>
      <c r="E15" s="27" t="s">
        <v>188</v>
      </c>
      <c r="F15" s="55"/>
      <c r="G15" s="55"/>
      <c r="H15" s="55">
        <v>4</v>
      </c>
      <c r="I15" s="55">
        <v>350</v>
      </c>
      <c r="J15" s="55">
        <f t="shared" si="0"/>
        <v>1400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194</v>
      </c>
      <c r="D16" s="27" t="s">
        <v>183</v>
      </c>
      <c r="E16" s="27"/>
      <c r="F16" s="55"/>
      <c r="G16" s="55"/>
      <c r="H16" s="55">
        <v>1</v>
      </c>
      <c r="I16" s="55">
        <v>150</v>
      </c>
      <c r="J16" s="55">
        <f t="shared" si="0"/>
        <v>150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182</v>
      </c>
      <c r="D17" s="27" t="s">
        <v>183</v>
      </c>
      <c r="E17" s="27"/>
      <c r="F17" s="55">
        <v>6</v>
      </c>
      <c r="G17" s="55"/>
      <c r="H17" s="55">
        <v>1</v>
      </c>
      <c r="I17" s="55">
        <v>100</v>
      </c>
      <c r="J17" s="55">
        <f t="shared" si="0"/>
        <v>100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182</v>
      </c>
      <c r="D18" s="27" t="s">
        <v>167</v>
      </c>
      <c r="E18" s="27"/>
      <c r="F18" s="55">
        <v>6</v>
      </c>
      <c r="G18" s="55"/>
      <c r="H18" s="55">
        <v>2</v>
      </c>
      <c r="I18" s="55">
        <v>100</v>
      </c>
      <c r="J18" s="55">
        <f t="shared" si="0"/>
        <v>200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195</v>
      </c>
      <c r="D19" s="27" t="s">
        <v>167</v>
      </c>
      <c r="E19" s="27" t="s">
        <v>187</v>
      </c>
      <c r="F19" s="55">
        <v>3</v>
      </c>
      <c r="G19" s="55"/>
      <c r="H19" s="55">
        <v>8</v>
      </c>
      <c r="I19" s="55">
        <v>140</v>
      </c>
      <c r="J19" s="55">
        <f t="shared" si="0"/>
        <v>1120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I26 J13:J26 J1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4"/>
  <sheetViews>
    <sheetView topLeftCell="A7" workbookViewId="0">
      <selection activeCell="F23" sqref="F2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with mod. DHN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22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1" t="s">
        <v>69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72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116" t="s">
        <v>170</v>
      </c>
      <c r="D16" s="115"/>
      <c r="E16" s="115">
        <v>1</v>
      </c>
      <c r="F16" s="55">
        <v>200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116" t="s">
        <v>169</v>
      </c>
      <c r="D17" s="115"/>
      <c r="E17" s="115">
        <v>1</v>
      </c>
      <c r="F17" s="55">
        <v>170</v>
      </c>
      <c r="G17" s="55">
        <f t="shared" ref="G17:G21" si="0">E17*F17</f>
        <v>170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116" t="s">
        <v>168</v>
      </c>
      <c r="D18" s="115"/>
      <c r="E18" s="11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116" t="s">
        <v>171</v>
      </c>
      <c r="D19" s="115"/>
      <c r="E19" s="115">
        <v>1</v>
      </c>
      <c r="F19" s="55">
        <v>70</v>
      </c>
      <c r="G19" s="55">
        <f t="shared" si="0"/>
        <v>70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116" t="s">
        <v>176</v>
      </c>
      <c r="D20" s="115"/>
      <c r="E20" s="115">
        <v>10</v>
      </c>
      <c r="F20" s="55">
        <v>10</v>
      </c>
      <c r="G20" s="55">
        <f t="shared" si="0"/>
        <v>100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116" t="s">
        <v>189</v>
      </c>
      <c r="D21" s="115"/>
      <c r="E21" s="115">
        <v>1</v>
      </c>
      <c r="F21" s="55">
        <v>250</v>
      </c>
      <c r="G21" s="55">
        <f t="shared" si="0"/>
        <v>250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115"/>
      <c r="D22" s="115"/>
      <c r="E22" s="11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115"/>
      <c r="D23" s="115"/>
      <c r="E23" s="11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115"/>
      <c r="D24" s="115"/>
      <c r="E24" s="11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115"/>
      <c r="D25" s="115"/>
      <c r="E25" s="11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115"/>
      <c r="D26" s="115"/>
      <c r="E26" s="11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8" t="s">
        <v>76</v>
      </c>
      <c r="C27" s="139"/>
      <c r="D27" s="139"/>
      <c r="E27" s="139"/>
      <c r="F27" s="139"/>
      <c r="G27" s="140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22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138" t="s">
        <v>29</v>
      </c>
      <c r="C50" s="139"/>
      <c r="D50" s="139"/>
      <c r="E50" s="139"/>
      <c r="F50" s="139"/>
      <c r="G50" s="140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2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3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4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5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6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7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8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B59" s="68">
        <v>9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B60" s="68">
        <v>10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4.25" customHeight="1" x14ac:dyDescent="0.3">
      <c r="A61" s="44"/>
      <c r="B61" s="39"/>
      <c r="C61" s="44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</row>
    <row r="62" spans="1:16" ht="14.25" customHeight="1" x14ac:dyDescent="0.3">
      <c r="A62" s="44"/>
      <c r="B62" s="39"/>
      <c r="C62" s="44"/>
      <c r="D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</row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50:G5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F16:G26 E27:G6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50</xdr:row>
                    <xdr:rowOff>28575</xdr:rowOff>
                  </from>
                  <to>
                    <xdr:col>1</xdr:col>
                    <xdr:colOff>771525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50</xdr:row>
                    <xdr:rowOff>28575</xdr:rowOff>
                  </from>
                  <to>
                    <xdr:col>1</xdr:col>
                    <xdr:colOff>1543050</xdr:colOff>
                    <xdr:row>50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7" workbookViewId="0">
      <selection activeCell="D17" sqref="D17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with mod. DHN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7" t="s">
        <v>32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164</v>
      </c>
      <c r="N12" s="90" t="s">
        <v>165</v>
      </c>
      <c r="P12" s="151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75</v>
      </c>
      <c r="E13" s="55"/>
      <c r="F13" s="55"/>
      <c r="G13" s="55">
        <v>75</v>
      </c>
      <c r="H13" s="55"/>
      <c r="I13" s="55"/>
      <c r="J13" s="55"/>
      <c r="K13" s="55"/>
      <c r="L13" s="55"/>
      <c r="M13" s="55"/>
      <c r="N13" s="55"/>
      <c r="P13" s="88">
        <f>SUM(D13:N13)</f>
        <v>150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172</v>
      </c>
      <c r="D14" s="55"/>
      <c r="E14" s="55"/>
      <c r="F14" s="55"/>
      <c r="G14" s="55">
        <v>300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300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75</v>
      </c>
      <c r="E30" s="88">
        <f t="shared" si="1"/>
        <v>0</v>
      </c>
      <c r="F30" s="88">
        <f t="shared" si="1"/>
        <v>0</v>
      </c>
      <c r="G30" s="88">
        <f t="shared" si="1"/>
        <v>375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450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2018-08-23T13:16:06Z</dcterms:modified>
</cp:coreProperties>
</file>