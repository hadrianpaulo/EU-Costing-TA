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5" i="2" l="1"/>
  <c r="G21" i="9"/>
  <c r="J17" i="2"/>
  <c r="J16" i="2"/>
  <c r="J12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<sst xmlns="http://schemas.openxmlformats.org/spreadsheetml/2006/main" count="479" uniqueCount="192">
  <si>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</si>
  <si>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</si>
  <si>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</si>
  <si>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</si>
  <si>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</si>
  <si>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</si>
  <si>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</si>
  <si>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</si>
  <si>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</si>
  <si>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</si>
  <si>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</si>
  <si>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</si>
  <si>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</si>
  <si>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</si>
  <si>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</si>
  <si>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</si>
  <si>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</si>
  <si>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</si>
  <si>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</si>
  <si>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</si>
  <si>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</si>
  <si>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</si>
  <si>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</si>
  <si>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</si>
  <si>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</si>
  <si>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</si>
  <si>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</si>
  <si>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</si>
  <si>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</si>
  <si>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</si>
  <si>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</si>
  <si>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</si>
  <si>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</si>
  <si>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</si>
  <si>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</si>
  <si>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</si>
  <si>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</si>
  <si>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</si>
  <si>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</si>
  <si>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</si>
  <si>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</si>
  <si>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</si>
  <si>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</si>
  <si>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</si>
  <si>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</si>
  <si>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</si>
  <si>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</si>
  <si>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</si>
  <si>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</si>
  <si>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</si>
  <si>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</si>
  <si>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</si>
  <si>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</si>
  <si>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</si>
  <si>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</si>
  <si>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</si>
  <si>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</si>
  <si>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</si>
  <si>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</si>
  <si>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</si>
  <si>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</si>
  <si>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</si>
  <si>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</si>
  <si>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</si>
  <si>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</si>
  <si>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</si>
  <si>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</si>
  <si>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</si>
  <si>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</si>
  <si>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</si>
  <si>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</si>
  <si>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</si>
  <si>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</si>
  <si>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</si>
  <si>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</si>
  <si>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</si>
  <si>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</si>
  <si>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</si>
  <si>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</si>
  <si>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</si>
  <si>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</si>
  <si>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</si>
  <si>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</si>
  <si>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</si>
  <si>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</si>
  <si>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</si>
  <si>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</si>
  <si>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</si>
  <si>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</si>
  <si>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</si>
  <si>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</si>
  <si>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</si>
  <si>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</si>
  <si>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</si>
  <si>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</si>
  <si>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</si>
  <si>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</si>
  <si>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</si>
  <si>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</si>
  <si>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</si>
  <si>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</si>
  <si>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</si>
  <si>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</si>
  <si>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</si>
  <si>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</si>
  <si>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</si>
  <si>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</si>
  <si>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</si>
  <si>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</si>
  <si>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</si>
  <si>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</si>
  <si>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</si>
  <si>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</si>
  <si>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</si>
  <si>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</si>
  <si>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</si>
  <si>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</si>
  <si>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</si>
  <si>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</si>
  <si>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</si>
  <si>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</si>
  <si>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</si>
  <si>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</si>
  <si>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</si>
  <si>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</si>
  <si>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</si>
  <si>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</si>
  <si>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</si>
  <si>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</si>
  <si>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</si>
  <si>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</si>
  <si>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</si>
  <si>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</si>
  <si>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</si>
  <si>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</si>
  <si>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</si>
  <si>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</si>
  <si>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</si>
  <si>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</si>
  <si>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</si>
  <si>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</si>
  <si>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</si>
  <si>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</si>
  <si>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</si>
  <si>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</si>
  <si>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</si>
  <si>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</si>
  <si>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</si>
  <si>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</si>
  <si>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</si>
  <si>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</si>
  <si>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</si>
  <si>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</si>
  <si>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</si>
  <si>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</si>
  <si>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</si>
  <si>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</si>
  <si>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</si>
  <si>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</si>
  <si>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</si>
  <si>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</si>
  <si>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</si>
  <si>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</si>
  <si>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</si>
  <si>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</si>
  <si>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</si>
  <si>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</si>
  <si>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</si>
  <si>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</si>
  <si>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</si>
  <si>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</si>
  <si>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</si>
  <si>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</si>
  <si>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</si>
  <si>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</si>
  <si>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</si>
  <si>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ranitidine</t>
  </si>
  <si>
    <t>syringe 3cc</t>
  </si>
  <si>
    <t>cefuroxime</t>
  </si>
  <si>
    <t>750mg</t>
  </si>
  <si>
    <t>ivf</t>
  </si>
  <si>
    <t>d5lr</t>
  </si>
  <si>
    <t>fe</t>
  </si>
  <si>
    <t>gastro-aide</t>
  </si>
  <si>
    <t>paracetamol</t>
  </si>
  <si>
    <t>syrup</t>
  </si>
  <si>
    <t>AGE with mod. DHN</t>
  </si>
  <si>
    <t>a09.9</t>
  </si>
  <si>
    <t>e86.1</t>
  </si>
  <si>
    <t>soluset</t>
  </si>
  <si>
    <t>sachet</t>
  </si>
  <si>
    <t>mupirocin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</si>
</sst>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182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7005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650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7655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J21" sqref="J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with mod. DHN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167</v>
      </c>
      <c r="E11" s="27" t="s">
        <v>179</v>
      </c>
      <c r="F11" s="55">
        <v>3</v>
      </c>
      <c r="G11" s="55"/>
      <c r="H11" s="55">
        <v>5</v>
      </c>
      <c r="I11" s="55">
        <v>330</v>
      </c>
      <c r="J11" s="55">
        <f t="shared" ref="J11:J22" si="0">H11*I11</f>
        <v>1650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167</v>
      </c>
      <c r="E12" s="27"/>
      <c r="F12" s="55">
        <v>3</v>
      </c>
      <c r="G12" s="55"/>
      <c r="H12" s="55">
        <v>4</v>
      </c>
      <c r="I12" s="55">
        <v>150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190</v>
      </c>
      <c r="E13" s="27"/>
      <c r="F13" s="55">
        <v>1</v>
      </c>
      <c r="G13" s="55"/>
      <c r="H13" s="55">
        <v>4</v>
      </c>
      <c r="I13" s="55">
        <v>50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185</v>
      </c>
      <c r="E14" s="27"/>
      <c r="F14" s="55"/>
      <c r="G14" s="55"/>
      <c r="H14" s="55">
        <v>1</v>
      </c>
      <c r="I14" s="55">
        <v>140</v>
      </c>
      <c r="J14" s="55">
        <v>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/>
      <c r="E15" s="27"/>
      <c r="F15" s="55"/>
      <c r="G15" s="55"/>
      <c r="H15" s="55">
        <v>1</v>
      </c>
      <c r="I15" s="55">
        <v>250</v>
      </c>
      <c r="J15" s="55">
        <f t="shared" si="0"/>
        <v>250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167</v>
      </c>
      <c r="E16" s="27"/>
      <c r="F16" s="55"/>
      <c r="G16" s="55"/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181</v>
      </c>
      <c r="D17" s="27" t="s">
        <v>180</v>
      </c>
      <c r="E17" s="27"/>
      <c r="F17" s="55"/>
      <c r="G17" s="55"/>
      <c r="H17" s="55">
        <v>5</v>
      </c>
      <c r="I17" s="55">
        <v>330</v>
      </c>
      <c r="J17" s="55">
        <f t="shared" si="0"/>
        <v>1650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40" workbookViewId="0">
      <selection activeCell="E23" sqref="E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2</v>
      </c>
      <c r="F16" s="55">
        <v>200</v>
      </c>
      <c r="G16" s="55">
        <f>E16*F16</f>
        <v>400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1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177</v>
      </c>
      <c r="D20" s="115"/>
      <c r="E20" s="115">
        <v>23</v>
      </c>
      <c r="F20" s="55">
        <v>10</v>
      </c>
      <c r="G20" s="55">
        <f t="shared" si="0"/>
        <v>230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 t="s">
        <v>189</v>
      </c>
      <c r="D21" s="115"/>
      <c r="E21" s="115">
        <v>1</v>
      </c>
      <c r="F21" s="55">
        <v>250</v>
      </c>
      <c r="G21" s="55">
        <f t="shared" si="0"/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D15" sqref="D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60</v>
      </c>
      <c r="E13" s="55"/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210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60</v>
      </c>
      <c r="E30" s="88">
        <f t="shared" si="1"/>
        <v>0</v>
      </c>
      <c r="F30" s="88">
        <f t="shared" si="1"/>
        <v>0</v>
      </c>
      <c r="G30" s="88">
        <f t="shared" si="1"/>
        <v>270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2018-08-23T13:13:13Z</dcterms:modified>
</cp:coreProperties>
</file>