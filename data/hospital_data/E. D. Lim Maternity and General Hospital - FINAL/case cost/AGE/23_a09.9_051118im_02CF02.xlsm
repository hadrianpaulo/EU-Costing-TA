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1" i="9" l="1"/>
  <c r="J14" i="2"/>
  <c r="J11" i="2"/>
  <c r="J12" i="2"/>
  <c r="J13" i="2"/>
  <c r="J15" i="2"/>
  <c r="J16" i="2"/>
  <c r="G17" i="9" l="1"/>
  <c r="G18" i="9"/>
  <c r="G19" i="9"/>
  <c r="G20" i="9"/>
  <c r="G16" i="9"/>
  <c r="J22" i="2" l="1"/>
  <c r="J21" i="2"/>
  <c r="J20" i="2"/>
  <c r="J18" i="2" l="1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<sst xmlns="http://schemas.openxmlformats.org/spreadsheetml/2006/main" count="480" uniqueCount="193">
  <si>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</si>
  <si>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</si>
  <si>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</si>
  <si>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</si>
  <si>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</si>
  <si>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</si>
  <si>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</si>
  <si>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</si>
  <si>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</si>
  <si>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</si>
  <si>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</si>
  <si>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</si>
  <si>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</si>
  <si>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</si>
  <si>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</si>
  <si>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</si>
  <si>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</si>
  <si>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</si>
  <si>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</si>
  <si>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</si>
  <si>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</si>
  <si>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</si>
  <si>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</si>
  <si>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</si>
  <si>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</si>
  <si>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</si>
  <si>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</si>
  <si>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</si>
  <si>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</si>
  <si>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</si>
  <si>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</si>
  <si>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</si>
  <si>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</si>
  <si>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</si>
  <si>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</si>
  <si>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</si>
  <si>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</si>
  <si>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</si>
  <si>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</si>
  <si>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</si>
  <si>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</si>
  <si>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</si>
  <si>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</si>
  <si>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</si>
  <si>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</si>
  <si>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</si>
  <si>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</si>
  <si>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</si>
  <si>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</si>
  <si>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</si>
  <si>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</si>
  <si>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</si>
  <si>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</si>
  <si>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</si>
  <si>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</si>
  <si>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</si>
  <si>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</si>
  <si>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</si>
  <si>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</si>
  <si>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</si>
  <si>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</si>
  <si>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</si>
  <si>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</si>
  <si>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</si>
  <si>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</si>
  <si>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</si>
  <si>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</si>
  <si>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</si>
  <si>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</si>
  <si>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</si>
  <si>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</si>
  <si>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</si>
  <si>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</si>
  <si>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</si>
  <si>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</si>
  <si>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</si>
  <si>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</si>
  <si>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</si>
  <si>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</si>
  <si>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</si>
  <si>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</si>
  <si>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</si>
  <si>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</si>
  <si>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</si>
  <si>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</si>
  <si>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</si>
  <si>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</si>
  <si>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</si>
  <si>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</si>
  <si>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</si>
  <si>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</si>
  <si>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</si>
  <si>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</si>
  <si>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</si>
  <si>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</si>
  <si>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</si>
  <si>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</si>
  <si>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</si>
  <si>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</si>
  <si>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</si>
  <si>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</si>
  <si>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</si>
  <si>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</si>
  <si>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</si>
  <si>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</si>
  <si>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</si>
  <si>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</si>
  <si>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</si>
  <si>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</si>
  <si>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</si>
  <si>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</si>
  <si>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</si>
  <si>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</si>
  <si>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</si>
  <si>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</si>
  <si>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</si>
  <si>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</si>
  <si>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</si>
  <si>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</si>
  <si>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</si>
  <si>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</si>
  <si>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</si>
  <si>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</si>
  <si>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</si>
  <si>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</si>
  <si>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</si>
  <si>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</si>
  <si>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</si>
  <si>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</si>
  <si>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</si>
  <si>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</si>
  <si>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</si>
  <si>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</si>
  <si>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</si>
  <si>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</si>
  <si>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</si>
  <si>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</si>
  <si>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</si>
  <si>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</si>
  <si>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</si>
  <si>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</si>
  <si>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</si>
  <si>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</si>
  <si>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</si>
  <si>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</si>
  <si>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</si>
  <si>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</si>
  <si>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</si>
  <si>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</si>
  <si>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</si>
  <si>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</si>
  <si>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</si>
  <si>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</si>
  <si>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</si>
  <si>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</si>
  <si>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</si>
  <si>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</si>
  <si>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</si>
  <si>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</si>
  <si>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</si>
  <si>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</si>
  <si>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</si>
  <si>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</si>
  <si>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</si>
  <si>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</si>
  <si>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</si>
  <si>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</si>
  <si>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</si>
  <si>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</si>
  <si>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</si>
  <si>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</si>
  <si>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</si>
  <si>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</si>
  <si>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ue</t>
  </si>
  <si>
    <t>cbc/pc</t>
  </si>
  <si>
    <t>pf</t>
  </si>
  <si>
    <t>syringe 3cc</t>
  </si>
  <si>
    <t>cefuroxime</t>
  </si>
  <si>
    <t>750mg</t>
  </si>
  <si>
    <t>ivf</t>
  </si>
  <si>
    <t>fe</t>
  </si>
  <si>
    <t>metronidazole</t>
  </si>
  <si>
    <t>metsil</t>
  </si>
  <si>
    <t>gastro-aide</t>
  </si>
  <si>
    <t>paracetamol</t>
  </si>
  <si>
    <t>AGE with mod. DHN</t>
  </si>
  <si>
    <t>a09.9</t>
  </si>
  <si>
    <t>e86.1</t>
  </si>
  <si>
    <t>500mg</t>
  </si>
  <si>
    <t>1000ml</t>
  </si>
  <si>
    <t>d5 0.3 nacl</t>
  </si>
  <si>
    <t>soluset</t>
  </si>
  <si>
    <t>sachet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</si>
</sst>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zoomScaleNormal="100" workbookViewId="0">
      <selection activeCell="H28" sqref="H2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180</v>
      </c>
      <c r="D36" s="23"/>
      <c r="E36" s="55">
        <v>2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4200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1800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2570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175</v>
      </c>
      <c r="D65" s="55"/>
      <c r="E65" s="55"/>
      <c r="F65" s="55">
        <v>300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6000</v>
      </c>
      <c r="E73" s="59">
        <f>SUM(E62:E72)</f>
        <v>0</v>
      </c>
      <c r="F73" s="59">
        <f>SUM(F62:F72)</f>
        <v>2870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21" sqref="C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with mod. DHN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167</v>
      </c>
      <c r="E11" s="27" t="s">
        <v>178</v>
      </c>
      <c r="F11" s="55">
        <v>3</v>
      </c>
      <c r="G11" s="55"/>
      <c r="H11" s="55">
        <v>3</v>
      </c>
      <c r="I11" s="55">
        <v>280</v>
      </c>
      <c r="J11" s="55">
        <f t="shared" ref="J11:J22" si="0">H11*I11</f>
        <v>840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167</v>
      </c>
      <c r="E12" s="27"/>
      <c r="F12" s="55">
        <v>1</v>
      </c>
      <c r="G12" s="55"/>
      <c r="H12" s="55">
        <v>1</v>
      </c>
      <c r="I12" s="55">
        <v>140</v>
      </c>
      <c r="J12" s="55">
        <f t="shared" si="0"/>
        <v>140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192</v>
      </c>
      <c r="E13" s="27"/>
      <c r="F13" s="55">
        <v>1</v>
      </c>
      <c r="G13" s="55"/>
      <c r="H13" s="55">
        <v>4</v>
      </c>
      <c r="I13" s="55">
        <v>50</v>
      </c>
      <c r="J13" s="55">
        <f t="shared" si="0"/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167</v>
      </c>
      <c r="E14" s="27"/>
      <c r="F14" s="55"/>
      <c r="G14" s="55"/>
      <c r="H14" s="55">
        <v>1</v>
      </c>
      <c r="I14" s="55">
        <v>100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181</v>
      </c>
      <c r="D15" s="27" t="s">
        <v>179</v>
      </c>
      <c r="E15" s="27" t="s">
        <v>188</v>
      </c>
      <c r="F15" s="55">
        <v>1</v>
      </c>
      <c r="G15" s="55"/>
      <c r="H15" s="55">
        <v>9</v>
      </c>
      <c r="I15" s="55">
        <v>140</v>
      </c>
      <c r="J15" s="55">
        <f t="shared" si="0"/>
        <v>1260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190</v>
      </c>
      <c r="D16" s="27" t="s">
        <v>179</v>
      </c>
      <c r="E16" s="27" t="s">
        <v>189</v>
      </c>
      <c r="F16" s="55"/>
      <c r="G16" s="55"/>
      <c r="H16" s="55">
        <v>2</v>
      </c>
      <c r="I16" s="55">
        <v>350</v>
      </c>
      <c r="J16" s="55">
        <f t="shared" si="0"/>
        <v>700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workbookViewId="0">
      <selection activeCell="G21" sqref="G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1</v>
      </c>
      <c r="F17" s="55">
        <v>170</v>
      </c>
      <c r="G17" s="55">
        <f t="shared" ref="G17:G21" si="0">E17*F17</f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176</v>
      </c>
      <c r="D20" s="115"/>
      <c r="E20" s="115">
        <v>10</v>
      </c>
      <c r="F20" s="55">
        <v>10</v>
      </c>
      <c r="G20" s="55">
        <f t="shared" si="0"/>
        <v>100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 t="s">
        <v>191</v>
      </c>
      <c r="D21" s="115"/>
      <c r="E21" s="115">
        <v>1</v>
      </c>
      <c r="F21" s="55">
        <v>250</v>
      </c>
      <c r="G21" s="55">
        <f t="shared" si="0"/>
        <v>250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K14" sqref="K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60</v>
      </c>
      <c r="E13" s="55"/>
      <c r="F13" s="55"/>
      <c r="G13" s="55">
        <v>60</v>
      </c>
      <c r="H13" s="55"/>
      <c r="I13" s="55"/>
      <c r="J13" s="55"/>
      <c r="K13" s="55"/>
      <c r="L13" s="55"/>
      <c r="M13" s="55"/>
      <c r="N13" s="55"/>
      <c r="P13" s="88">
        <f>SUM(D13:N13)</f>
        <v>120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190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190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60</v>
      </c>
      <c r="E30" s="88">
        <f t="shared" si="1"/>
        <v>0</v>
      </c>
      <c r="F30" s="88">
        <f t="shared" si="1"/>
        <v>0</v>
      </c>
      <c r="G30" s="88">
        <f t="shared" si="1"/>
        <v>250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2018-08-23T13:17:18Z</dcterms:modified>
</cp:coreProperties>
</file>